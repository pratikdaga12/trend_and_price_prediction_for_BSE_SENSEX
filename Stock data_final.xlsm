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6f514aab750bb5d/Desktop/"/>
    </mc:Choice>
  </mc:AlternateContent>
  <xr:revisionPtr revIDLastSave="2" documentId="8_{1384D9C9-0401-4ED8-A264-36C6025B8FCB}" xr6:coauthVersionLast="47" xr6:coauthVersionMax="47" xr10:uidLastSave="{03B5C45F-AFA7-480B-8CC3-8B0C53301CCC}"/>
  <bookViews>
    <workbookView xWindow="-108" yWindow="-108" windowWidth="23256" windowHeight="12456" activeTab="2" xr2:uid="{00000000-000D-0000-FFFF-FFFF00000000}"/>
  </bookViews>
  <sheets>
    <sheet name="Stock data" sheetId="1" r:id="rId1"/>
    <sheet name="Second order Frequencies" sheetId="3" r:id="rId2"/>
    <sheet name="Generator second order" sheetId="6" r:id="rId3"/>
    <sheet name="First order frequencies" sheetId="2" r:id="rId4"/>
    <sheet name="Generator first order" sheetId="7" r:id="rId5"/>
    <sheet name="Third Order Frequencies" sheetId="4" r:id="rId6"/>
    <sheet name="Order" sheetId="5" r:id="rId7"/>
  </sheets>
  <definedNames>
    <definedName name="_xlnm._FilterDatabase" localSheetId="0" hidden="1">'Stock data'!$A$1:$E$2477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6" l="1"/>
  <c r="O7" i="6"/>
  <c r="D2" i="3"/>
  <c r="D3" i="3"/>
  <c r="D4" i="3"/>
  <c r="D5" i="3"/>
  <c r="D6" i="3"/>
  <c r="D7" i="3"/>
  <c r="D8" i="3"/>
  <c r="D9" i="3"/>
  <c r="E10" i="3" s="1"/>
  <c r="F10" i="3" s="1"/>
  <c r="D10" i="3"/>
  <c r="D11" i="3"/>
  <c r="D12" i="3"/>
  <c r="D13" i="3"/>
  <c r="D14" i="3"/>
  <c r="D15" i="3"/>
  <c r="D16" i="3"/>
  <c r="D17" i="3"/>
  <c r="D18" i="3"/>
  <c r="D19" i="3"/>
  <c r="D20" i="3"/>
  <c r="D21" i="3"/>
  <c r="E22" i="3" s="1"/>
  <c r="F22" i="3" s="1"/>
  <c r="D22" i="3"/>
  <c r="D23" i="3"/>
  <c r="D24" i="3"/>
  <c r="D25" i="3"/>
  <c r="E26" i="3" s="1"/>
  <c r="F26" i="3" s="1"/>
  <c r="D26" i="3"/>
  <c r="D27" i="3"/>
  <c r="D28" i="3"/>
  <c r="D29" i="3"/>
  <c r="D30" i="3"/>
  <c r="D31" i="3"/>
  <c r="D32" i="3"/>
  <c r="D33" i="3"/>
  <c r="E34" i="3" s="1"/>
  <c r="F34" i="3" s="1"/>
  <c r="D34" i="3"/>
  <c r="D35" i="3"/>
  <c r="D36" i="3"/>
  <c r="D37" i="3"/>
  <c r="D38" i="3"/>
  <c r="D39" i="3"/>
  <c r="D40" i="3"/>
  <c r="D41" i="3"/>
  <c r="E42" i="3" s="1"/>
  <c r="F42" i="3" s="1"/>
  <c r="D42" i="3"/>
  <c r="D43" i="3"/>
  <c r="D44" i="3"/>
  <c r="D45" i="3"/>
  <c r="D46" i="3"/>
  <c r="D47" i="3"/>
  <c r="D48" i="3"/>
  <c r="D49" i="3"/>
  <c r="E50" i="3" s="1"/>
  <c r="F50" i="3" s="1"/>
  <c r="D50" i="3"/>
  <c r="D51" i="3"/>
  <c r="D52" i="3"/>
  <c r="D53" i="3"/>
  <c r="D54" i="3"/>
  <c r="D55" i="3"/>
  <c r="D56" i="3"/>
  <c r="D57" i="3"/>
  <c r="E58" i="3" s="1"/>
  <c r="F58" i="3" s="1"/>
  <c r="D58" i="3"/>
  <c r="D59" i="3"/>
  <c r="D60" i="3"/>
  <c r="D61" i="3"/>
  <c r="D62" i="3"/>
  <c r="D63" i="3"/>
  <c r="D64" i="3"/>
  <c r="D65" i="3"/>
  <c r="E66" i="3" s="1"/>
  <c r="F66" i="3" s="1"/>
  <c r="D66" i="3"/>
  <c r="D67" i="3"/>
  <c r="D68" i="3"/>
  <c r="D69" i="3"/>
  <c r="D70" i="3"/>
  <c r="D71" i="3"/>
  <c r="D72" i="3"/>
  <c r="D73" i="3"/>
  <c r="D74" i="3"/>
  <c r="D75" i="3"/>
  <c r="D76" i="3"/>
  <c r="D77" i="3"/>
  <c r="E78" i="3" s="1"/>
  <c r="F78" i="3" s="1"/>
  <c r="D78" i="3"/>
  <c r="D79" i="3"/>
  <c r="D80" i="3"/>
  <c r="D81" i="3"/>
  <c r="E82" i="3" s="1"/>
  <c r="F82" i="3" s="1"/>
  <c r="D82" i="3"/>
  <c r="D83" i="3"/>
  <c r="D84" i="3"/>
  <c r="D85" i="3"/>
  <c r="D86" i="3"/>
  <c r="D87" i="3"/>
  <c r="D88" i="3"/>
  <c r="D89" i="3"/>
  <c r="E90" i="3" s="1"/>
  <c r="F90" i="3" s="1"/>
  <c r="D90" i="3"/>
  <c r="D91" i="3"/>
  <c r="D92" i="3"/>
  <c r="D93" i="3"/>
  <c r="D94" i="3"/>
  <c r="D95" i="3"/>
  <c r="D96" i="3"/>
  <c r="D97" i="3"/>
  <c r="E98" i="3" s="1"/>
  <c r="F98" i="3" s="1"/>
  <c r="D98" i="3"/>
  <c r="D99" i="3"/>
  <c r="D100" i="3"/>
  <c r="D101" i="3"/>
  <c r="D102" i="3"/>
  <c r="D103" i="3"/>
  <c r="D104" i="3"/>
  <c r="D105" i="3"/>
  <c r="D106" i="3"/>
  <c r="D107" i="3"/>
  <c r="D108" i="3"/>
  <c r="D109" i="3"/>
  <c r="E110" i="3" s="1"/>
  <c r="F110" i="3" s="1"/>
  <c r="D110" i="3"/>
  <c r="D111" i="3"/>
  <c r="D112" i="3"/>
  <c r="D113" i="3"/>
  <c r="E114" i="3" s="1"/>
  <c r="F114" i="3" s="1"/>
  <c r="D114" i="3"/>
  <c r="D115" i="3"/>
  <c r="D116" i="3"/>
  <c r="D117" i="3"/>
  <c r="D118" i="3"/>
  <c r="D119" i="3"/>
  <c r="D120" i="3"/>
  <c r="D121" i="3"/>
  <c r="E122" i="3" s="1"/>
  <c r="F122" i="3" s="1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E138" i="3" s="1"/>
  <c r="F138" i="3" s="1"/>
  <c r="D138" i="3"/>
  <c r="D139" i="3"/>
  <c r="D140" i="3"/>
  <c r="D141" i="3"/>
  <c r="E142" i="3" s="1"/>
  <c r="F142" i="3" s="1"/>
  <c r="D142" i="3"/>
  <c r="D143" i="3"/>
  <c r="D144" i="3"/>
  <c r="D145" i="3"/>
  <c r="E146" i="3" s="1"/>
  <c r="F146" i="3" s="1"/>
  <c r="D146" i="3"/>
  <c r="D147" i="3"/>
  <c r="D148" i="3"/>
  <c r="D149" i="3"/>
  <c r="D150" i="3"/>
  <c r="D151" i="3"/>
  <c r="D152" i="3"/>
  <c r="D153" i="3"/>
  <c r="E154" i="3" s="1"/>
  <c r="F154" i="3" s="1"/>
  <c r="D154" i="3"/>
  <c r="D155" i="3"/>
  <c r="D156" i="3"/>
  <c r="D157" i="3"/>
  <c r="D158" i="3"/>
  <c r="D159" i="3"/>
  <c r="D160" i="3"/>
  <c r="D161" i="3"/>
  <c r="E162" i="3" s="1"/>
  <c r="F162" i="3" s="1"/>
  <c r="D162" i="3"/>
  <c r="D163" i="3"/>
  <c r="D164" i="3"/>
  <c r="D165" i="3"/>
  <c r="D166" i="3"/>
  <c r="D167" i="3"/>
  <c r="D168" i="3"/>
  <c r="D169" i="3"/>
  <c r="E170" i="3" s="1"/>
  <c r="F170" i="3" s="1"/>
  <c r="D170" i="3"/>
  <c r="D171" i="3"/>
  <c r="D172" i="3"/>
  <c r="D173" i="3"/>
  <c r="D174" i="3"/>
  <c r="D175" i="3"/>
  <c r="D176" i="3"/>
  <c r="D177" i="3"/>
  <c r="E178" i="3" s="1"/>
  <c r="F178" i="3" s="1"/>
  <c r="D178" i="3"/>
  <c r="D179" i="3"/>
  <c r="D180" i="3"/>
  <c r="D181" i="3"/>
  <c r="D182" i="3"/>
  <c r="D183" i="3"/>
  <c r="D184" i="3"/>
  <c r="D185" i="3"/>
  <c r="E186" i="3" s="1"/>
  <c r="F186" i="3" s="1"/>
  <c r="D186" i="3"/>
  <c r="D187" i="3"/>
  <c r="D188" i="3"/>
  <c r="D189" i="3"/>
  <c r="D190" i="3"/>
  <c r="D191" i="3"/>
  <c r="D192" i="3"/>
  <c r="D193" i="3"/>
  <c r="E194" i="3" s="1"/>
  <c r="F194" i="3" s="1"/>
  <c r="D194" i="3"/>
  <c r="D195" i="3"/>
  <c r="D196" i="3"/>
  <c r="D197" i="3"/>
  <c r="D198" i="3"/>
  <c r="D199" i="3"/>
  <c r="D200" i="3"/>
  <c r="D201" i="3"/>
  <c r="E202" i="3" s="1"/>
  <c r="F202" i="3" s="1"/>
  <c r="D202" i="3"/>
  <c r="D203" i="3"/>
  <c r="D204" i="3"/>
  <c r="D205" i="3"/>
  <c r="D206" i="3"/>
  <c r="D207" i="3"/>
  <c r="D208" i="3"/>
  <c r="D209" i="3"/>
  <c r="E210" i="3" s="1"/>
  <c r="F210" i="3" s="1"/>
  <c r="D210" i="3"/>
  <c r="D211" i="3"/>
  <c r="D212" i="3"/>
  <c r="D213" i="3"/>
  <c r="E214" i="3" s="1"/>
  <c r="F214" i="3" s="1"/>
  <c r="D214" i="3"/>
  <c r="D215" i="3"/>
  <c r="D216" i="3"/>
  <c r="D217" i="3"/>
  <c r="E218" i="3" s="1"/>
  <c r="F218" i="3" s="1"/>
  <c r="D218" i="3"/>
  <c r="D219" i="3"/>
  <c r="D220" i="3"/>
  <c r="D221" i="3"/>
  <c r="D222" i="3"/>
  <c r="D223" i="3"/>
  <c r="D224" i="3"/>
  <c r="D225" i="3"/>
  <c r="D226" i="3"/>
  <c r="D227" i="3"/>
  <c r="D228" i="3"/>
  <c r="D229" i="3"/>
  <c r="E230" i="3" s="1"/>
  <c r="F230" i="3" s="1"/>
  <c r="D230" i="3"/>
  <c r="D231" i="3"/>
  <c r="D232" i="3"/>
  <c r="D233" i="3"/>
  <c r="E234" i="3" s="1"/>
  <c r="F234" i="3" s="1"/>
  <c r="D234" i="3"/>
  <c r="D235" i="3"/>
  <c r="D236" i="3"/>
  <c r="D237" i="3"/>
  <c r="D238" i="3"/>
  <c r="D239" i="3"/>
  <c r="D240" i="3"/>
  <c r="D241" i="3"/>
  <c r="E242" i="3" s="1"/>
  <c r="F242" i="3" s="1"/>
  <c r="D242" i="3"/>
  <c r="D243" i="3"/>
  <c r="D244" i="3"/>
  <c r="D245" i="3"/>
  <c r="D246" i="3"/>
  <c r="D247" i="3"/>
  <c r="D248" i="3"/>
  <c r="D249" i="3"/>
  <c r="E250" i="3" s="1"/>
  <c r="F250" i="3" s="1"/>
  <c r="D250" i="3"/>
  <c r="D251" i="3"/>
  <c r="D252" i="3"/>
  <c r="D253" i="3"/>
  <c r="E254" i="3" s="1"/>
  <c r="D254" i="3"/>
  <c r="D255" i="3"/>
  <c r="D256" i="3"/>
  <c r="D257" i="3"/>
  <c r="E258" i="3" s="1"/>
  <c r="D258" i="3"/>
  <c r="D259" i="3"/>
  <c r="D260" i="3"/>
  <c r="D261" i="3"/>
  <c r="D262" i="3"/>
  <c r="D263" i="3"/>
  <c r="D264" i="3"/>
  <c r="D265" i="3"/>
  <c r="E266" i="3" s="1"/>
  <c r="D266" i="3"/>
  <c r="D267" i="3"/>
  <c r="D268" i="3"/>
  <c r="D269" i="3"/>
  <c r="D270" i="3"/>
  <c r="D271" i="3"/>
  <c r="D272" i="3"/>
  <c r="D273" i="3"/>
  <c r="E274" i="3" s="1"/>
  <c r="D274" i="3"/>
  <c r="D275" i="3"/>
  <c r="D276" i="3"/>
  <c r="D277" i="3"/>
  <c r="D278" i="3"/>
  <c r="D279" i="3"/>
  <c r="D280" i="3"/>
  <c r="D281" i="3"/>
  <c r="E282" i="3" s="1"/>
  <c r="D282" i="3"/>
  <c r="D283" i="3"/>
  <c r="D284" i="3"/>
  <c r="D285" i="3"/>
  <c r="D286" i="3"/>
  <c r="D287" i="3"/>
  <c r="D288" i="3"/>
  <c r="D289" i="3"/>
  <c r="E290" i="3" s="1"/>
  <c r="D290" i="3"/>
  <c r="D291" i="3"/>
  <c r="D292" i="3"/>
  <c r="D293" i="3"/>
  <c r="E294" i="3" s="1"/>
  <c r="D294" i="3"/>
  <c r="D295" i="3"/>
  <c r="D296" i="3"/>
  <c r="D297" i="3"/>
  <c r="E298" i="3" s="1"/>
  <c r="D298" i="3"/>
  <c r="D299" i="3"/>
  <c r="D300" i="3"/>
  <c r="D301" i="3"/>
  <c r="D302" i="3"/>
  <c r="D303" i="3"/>
  <c r="D304" i="3"/>
  <c r="D305" i="3"/>
  <c r="E306" i="3" s="1"/>
  <c r="D306" i="3"/>
  <c r="D307" i="3"/>
  <c r="D308" i="3"/>
  <c r="D309" i="3"/>
  <c r="E310" i="3" s="1"/>
  <c r="D310" i="3"/>
  <c r="D311" i="3"/>
  <c r="D312" i="3"/>
  <c r="D313" i="3"/>
  <c r="E314" i="3" s="1"/>
  <c r="D314" i="3"/>
  <c r="D315" i="3"/>
  <c r="D316" i="3"/>
  <c r="D317" i="3"/>
  <c r="E318" i="3" s="1"/>
  <c r="D318" i="3"/>
  <c r="D319" i="3"/>
  <c r="D320" i="3"/>
  <c r="D321" i="3"/>
  <c r="E322" i="3" s="1"/>
  <c r="D322" i="3"/>
  <c r="D323" i="3"/>
  <c r="D324" i="3"/>
  <c r="D325" i="3"/>
  <c r="D326" i="3"/>
  <c r="D327" i="3"/>
  <c r="D328" i="3"/>
  <c r="D329" i="3"/>
  <c r="E330" i="3" s="1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E346" i="3" s="1"/>
  <c r="D346" i="3"/>
  <c r="D347" i="3"/>
  <c r="D348" i="3"/>
  <c r="D349" i="3"/>
  <c r="D350" i="3"/>
  <c r="D351" i="3"/>
  <c r="D352" i="3"/>
  <c r="D353" i="3"/>
  <c r="E354" i="3" s="1"/>
  <c r="D354" i="3"/>
  <c r="D355" i="3"/>
  <c r="D356" i="3"/>
  <c r="D357" i="3"/>
  <c r="D358" i="3"/>
  <c r="D359" i="3"/>
  <c r="D360" i="3"/>
  <c r="D361" i="3"/>
  <c r="D362" i="3"/>
  <c r="D363" i="3"/>
  <c r="D364" i="3"/>
  <c r="D365" i="3"/>
  <c r="E366" i="3" s="1"/>
  <c r="D366" i="3"/>
  <c r="D367" i="3"/>
  <c r="D368" i="3"/>
  <c r="D369" i="3"/>
  <c r="E370" i="3" s="1"/>
  <c r="D370" i="3"/>
  <c r="D371" i="3"/>
  <c r="D372" i="3"/>
  <c r="D373" i="3"/>
  <c r="D374" i="3"/>
  <c r="D375" i="3"/>
  <c r="D376" i="3"/>
  <c r="D377" i="3"/>
  <c r="E378" i="3" s="1"/>
  <c r="D378" i="3"/>
  <c r="D379" i="3"/>
  <c r="D380" i="3"/>
  <c r="D381" i="3"/>
  <c r="E382" i="3" s="1"/>
  <c r="D382" i="3"/>
  <c r="D383" i="3"/>
  <c r="D384" i="3"/>
  <c r="D385" i="3"/>
  <c r="E386" i="3" s="1"/>
  <c r="D386" i="3"/>
  <c r="D387" i="3"/>
  <c r="D388" i="3"/>
  <c r="D389" i="3"/>
  <c r="E390" i="3" s="1"/>
  <c r="D390" i="3"/>
  <c r="D391" i="3"/>
  <c r="D392" i="3"/>
  <c r="D393" i="3"/>
  <c r="E394" i="3" s="1"/>
  <c r="D394" i="3"/>
  <c r="D395" i="3"/>
  <c r="D396" i="3"/>
  <c r="C2" i="3"/>
  <c r="C3" i="3"/>
  <c r="E4" i="3" s="1"/>
  <c r="F4" i="3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E44" i="3" s="1"/>
  <c r="F44" i="3" s="1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E84" i="3" s="1"/>
  <c r="F84" i="3" s="1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E124" i="3" s="1"/>
  <c r="F124" i="3" s="1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E172" i="3" s="1"/>
  <c r="F172" i="3" s="1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E268" i="3" s="1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H4" i="6"/>
  <c r="H5" i="6"/>
  <c r="I5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3" i="6"/>
  <c r="I3" i="6" s="1"/>
  <c r="E5" i="3"/>
  <c r="F5" i="3" s="1"/>
  <c r="E21" i="3"/>
  <c r="F21" i="3" s="1"/>
  <c r="E37" i="3"/>
  <c r="F37" i="3" s="1"/>
  <c r="E76" i="3"/>
  <c r="F76" i="3" s="1"/>
  <c r="E85" i="3"/>
  <c r="F85" i="3" s="1"/>
  <c r="E132" i="3"/>
  <c r="F132" i="3" s="1"/>
  <c r="E148" i="3"/>
  <c r="F148" i="3" s="1"/>
  <c r="E157" i="3"/>
  <c r="F157" i="3" s="1"/>
  <c r="E205" i="3"/>
  <c r="F205" i="3" s="1"/>
  <c r="E229" i="3"/>
  <c r="F229" i="3" s="1"/>
  <c r="E253" i="3"/>
  <c r="F253" i="3" s="1"/>
  <c r="E285" i="3"/>
  <c r="E308" i="3"/>
  <c r="E316" i="3"/>
  <c r="E317" i="3"/>
  <c r="E332" i="3"/>
  <c r="E338" i="3"/>
  <c r="E341" i="3"/>
  <c r="E349" i="3"/>
  <c r="E373" i="3"/>
  <c r="E388" i="3"/>
  <c r="E389" i="3"/>
  <c r="E9" i="3"/>
  <c r="F9" i="3" s="1"/>
  <c r="E14" i="3"/>
  <c r="F14" i="3" s="1"/>
  <c r="E18" i="3"/>
  <c r="F18" i="3" s="1"/>
  <c r="E25" i="3"/>
  <c r="F25" i="3" s="1"/>
  <c r="E30" i="3"/>
  <c r="F30" i="3" s="1"/>
  <c r="E38" i="3"/>
  <c r="F38" i="3" s="1"/>
  <c r="E46" i="3"/>
  <c r="F46" i="3" s="1"/>
  <c r="E57" i="3"/>
  <c r="F57" i="3" s="1"/>
  <c r="E62" i="3"/>
  <c r="F62" i="3" s="1"/>
  <c r="E65" i="3"/>
  <c r="F65" i="3" s="1"/>
  <c r="E70" i="3"/>
  <c r="F70" i="3" s="1"/>
  <c r="E73" i="3"/>
  <c r="F73" i="3" s="1"/>
  <c r="E74" i="3"/>
  <c r="F74" i="3" s="1"/>
  <c r="E81" i="3"/>
  <c r="F81" i="3" s="1"/>
  <c r="E89" i="3"/>
  <c r="F89" i="3" s="1"/>
  <c r="E94" i="3"/>
  <c r="F94" i="3" s="1"/>
  <c r="E106" i="3"/>
  <c r="F106" i="3" s="1"/>
  <c r="E113" i="3"/>
  <c r="F113" i="3" s="1"/>
  <c r="E118" i="3"/>
  <c r="F118" i="3" s="1"/>
  <c r="E126" i="3"/>
  <c r="F126" i="3" s="1"/>
  <c r="E129" i="3"/>
  <c r="F129" i="3" s="1"/>
  <c r="E130" i="3"/>
  <c r="F130" i="3" s="1"/>
  <c r="E145" i="3"/>
  <c r="F145" i="3" s="1"/>
  <c r="E153" i="3"/>
  <c r="F153" i="3" s="1"/>
  <c r="E166" i="3"/>
  <c r="F166" i="3" s="1"/>
  <c r="E169" i="3"/>
  <c r="F169" i="3" s="1"/>
  <c r="E177" i="3"/>
  <c r="F177" i="3" s="1"/>
  <c r="E182" i="3"/>
  <c r="F182" i="3" s="1"/>
  <c r="E185" i="3"/>
  <c r="F185" i="3" s="1"/>
  <c r="E206" i="3"/>
  <c r="F206" i="3" s="1"/>
  <c r="E209" i="3"/>
  <c r="F209" i="3" s="1"/>
  <c r="E225" i="3"/>
  <c r="F225" i="3" s="1"/>
  <c r="E233" i="3"/>
  <c r="F233" i="3" s="1"/>
  <c r="E238" i="3"/>
  <c r="F238" i="3" s="1"/>
  <c r="E257" i="3"/>
  <c r="E262" i="3"/>
  <c r="E273" i="3"/>
  <c r="E281" i="3"/>
  <c r="E297" i="3"/>
  <c r="E305" i="3"/>
  <c r="E313" i="3"/>
  <c r="E321" i="3"/>
  <c r="E326" i="3"/>
  <c r="E337" i="3"/>
  <c r="E350" i="3"/>
  <c r="E353" i="3"/>
  <c r="E361" i="3"/>
  <c r="E362" i="3"/>
  <c r="E226" i="3"/>
  <c r="F226" i="3" s="1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F2" i="3"/>
  <c r="E12" i="3"/>
  <c r="F12" i="3" s="1"/>
  <c r="E20" i="3"/>
  <c r="F20" i="3" s="1"/>
  <c r="E35" i="3"/>
  <c r="F35" i="3" s="1"/>
  <c r="E36" i="3"/>
  <c r="F36" i="3" s="1"/>
  <c r="E43" i="3"/>
  <c r="F43" i="3" s="1"/>
  <c r="E45" i="3"/>
  <c r="F45" i="3" s="1"/>
  <c r="E52" i="3"/>
  <c r="F52" i="3" s="1"/>
  <c r="E59" i="3"/>
  <c r="F59" i="3" s="1"/>
  <c r="E67" i="3"/>
  <c r="F67" i="3" s="1"/>
  <c r="E69" i="3"/>
  <c r="F69" i="3" s="1"/>
  <c r="E92" i="3"/>
  <c r="F92" i="3" s="1"/>
  <c r="E93" i="3"/>
  <c r="F93" i="3" s="1"/>
  <c r="E99" i="3"/>
  <c r="F99" i="3" s="1"/>
  <c r="E109" i="3"/>
  <c r="F109" i="3" s="1"/>
  <c r="E115" i="3"/>
  <c r="F115" i="3" s="1"/>
  <c r="E123" i="3"/>
  <c r="F123" i="3" s="1"/>
  <c r="E140" i="3"/>
  <c r="F140" i="3" s="1"/>
  <c r="E147" i="3"/>
  <c r="F147" i="3" s="1"/>
  <c r="E155" i="3"/>
  <c r="F155" i="3" s="1"/>
  <c r="E156" i="3"/>
  <c r="F156" i="3" s="1"/>
  <c r="E171" i="3"/>
  <c r="F171" i="3" s="1"/>
  <c r="E181" i="3"/>
  <c r="F181" i="3" s="1"/>
  <c r="E189" i="3"/>
  <c r="F189" i="3" s="1"/>
  <c r="E211" i="3"/>
  <c r="F211" i="3" s="1"/>
  <c r="E220" i="3"/>
  <c r="F220" i="3" s="1"/>
  <c r="E269" i="3"/>
  <c r="E283" i="3"/>
  <c r="E293" i="3"/>
  <c r="E299" i="3"/>
  <c r="E324" i="3"/>
  <c r="E325" i="3"/>
  <c r="E333" i="3"/>
  <c r="E340" i="3"/>
  <c r="E355" i="3"/>
  <c r="E357" i="3"/>
  <c r="E365" i="3"/>
  <c r="E379" i="3"/>
  <c r="E381" i="3"/>
  <c r="E387" i="3"/>
  <c r="E396" i="3"/>
  <c r="K8" i="7"/>
  <c r="D152" i="7"/>
  <c r="C152" i="7"/>
  <c r="D151" i="7"/>
  <c r="E152" i="7" s="1"/>
  <c r="C151" i="7"/>
  <c r="D150" i="7"/>
  <c r="E151" i="7" s="1"/>
  <c r="C150" i="7"/>
  <c r="D149" i="7"/>
  <c r="E150" i="7" s="1"/>
  <c r="C149" i="7"/>
  <c r="D148" i="7"/>
  <c r="E149" i="7" s="1"/>
  <c r="C148" i="7"/>
  <c r="D147" i="7"/>
  <c r="C147" i="7"/>
  <c r="E148" i="7" s="1"/>
  <c r="D146" i="7"/>
  <c r="C146" i="7"/>
  <c r="D145" i="7"/>
  <c r="C145" i="7"/>
  <c r="E146" i="7" s="1"/>
  <c r="D144" i="7"/>
  <c r="E145" i="7" s="1"/>
  <c r="C144" i="7"/>
  <c r="D143" i="7"/>
  <c r="E144" i="7" s="1"/>
  <c r="C143" i="7"/>
  <c r="D142" i="7"/>
  <c r="E143" i="7" s="1"/>
  <c r="C142" i="7"/>
  <c r="D141" i="7"/>
  <c r="C141" i="7"/>
  <c r="E140" i="7"/>
  <c r="D140" i="7"/>
  <c r="E141" i="7" s="1"/>
  <c r="C140" i="7"/>
  <c r="D139" i="7"/>
  <c r="C139" i="7"/>
  <c r="D138" i="7"/>
  <c r="E139" i="7" s="1"/>
  <c r="C138" i="7"/>
  <c r="E137" i="7"/>
  <c r="D137" i="7"/>
  <c r="E138" i="7" s="1"/>
  <c r="C137" i="7"/>
  <c r="D136" i="7"/>
  <c r="C136" i="7"/>
  <c r="D135" i="7"/>
  <c r="E136" i="7" s="1"/>
  <c r="C135" i="7"/>
  <c r="D134" i="7"/>
  <c r="C134" i="7"/>
  <c r="D133" i="7"/>
  <c r="C133" i="7"/>
  <c r="D132" i="7"/>
  <c r="E133" i="7" s="1"/>
  <c r="C132" i="7"/>
  <c r="D131" i="7"/>
  <c r="E132" i="7" s="1"/>
  <c r="C131" i="7"/>
  <c r="E130" i="7"/>
  <c r="D130" i="7"/>
  <c r="C130" i="7"/>
  <c r="E131" i="7" s="1"/>
  <c r="D129" i="7"/>
  <c r="C129" i="7"/>
  <c r="D128" i="7"/>
  <c r="E129" i="7" s="1"/>
  <c r="C128" i="7"/>
  <c r="D127" i="7"/>
  <c r="E128" i="7" s="1"/>
  <c r="C127" i="7"/>
  <c r="D126" i="7"/>
  <c r="E127" i="7" s="1"/>
  <c r="C126" i="7"/>
  <c r="D125" i="7"/>
  <c r="E126" i="7" s="1"/>
  <c r="G126" i="7" s="1"/>
  <c r="C125" i="7"/>
  <c r="E124" i="7"/>
  <c r="G124" i="7" s="1"/>
  <c r="D124" i="7"/>
  <c r="E125" i="7" s="1"/>
  <c r="G125" i="7" s="1"/>
  <c r="C124" i="7"/>
  <c r="D123" i="7"/>
  <c r="C123" i="7"/>
  <c r="D122" i="7"/>
  <c r="E123" i="7" s="1"/>
  <c r="G123" i="7" s="1"/>
  <c r="C122" i="7"/>
  <c r="E121" i="7"/>
  <c r="G121" i="7" s="1"/>
  <c r="D121" i="7"/>
  <c r="C121" i="7"/>
  <c r="E122" i="7" s="1"/>
  <c r="G122" i="7" s="1"/>
  <c r="D120" i="7"/>
  <c r="C120" i="7"/>
  <c r="D119" i="7"/>
  <c r="C119" i="7"/>
  <c r="D118" i="7"/>
  <c r="E119" i="7" s="1"/>
  <c r="G119" i="7" s="1"/>
  <c r="C118" i="7"/>
  <c r="D117" i="7"/>
  <c r="E118" i="7" s="1"/>
  <c r="G118" i="7" s="1"/>
  <c r="C117" i="7"/>
  <c r="E116" i="7"/>
  <c r="G116" i="7" s="1"/>
  <c r="D116" i="7"/>
  <c r="E117" i="7" s="1"/>
  <c r="G117" i="7" s="1"/>
  <c r="C116" i="7"/>
  <c r="D115" i="7"/>
  <c r="C115" i="7"/>
  <c r="D114" i="7"/>
  <c r="E115" i="7" s="1"/>
  <c r="G115" i="7" s="1"/>
  <c r="C114" i="7"/>
  <c r="D113" i="7"/>
  <c r="C113" i="7"/>
  <c r="D112" i="7"/>
  <c r="E113" i="7" s="1"/>
  <c r="G113" i="7" s="1"/>
  <c r="C112" i="7"/>
  <c r="D111" i="7"/>
  <c r="E112" i="7" s="1"/>
  <c r="G112" i="7" s="1"/>
  <c r="C111" i="7"/>
  <c r="D110" i="7"/>
  <c r="E111" i="7" s="1"/>
  <c r="G111" i="7" s="1"/>
  <c r="C110" i="7"/>
  <c r="D109" i="7"/>
  <c r="E110" i="7" s="1"/>
  <c r="G110" i="7" s="1"/>
  <c r="C109" i="7"/>
  <c r="D108" i="7"/>
  <c r="C108" i="7"/>
  <c r="D107" i="7"/>
  <c r="E108" i="7" s="1"/>
  <c r="G108" i="7" s="1"/>
  <c r="C107" i="7"/>
  <c r="D106" i="7"/>
  <c r="C106" i="7"/>
  <c r="D105" i="7"/>
  <c r="C105" i="7"/>
  <c r="E106" i="7" s="1"/>
  <c r="G106" i="7" s="1"/>
  <c r="D104" i="7"/>
  <c r="E105" i="7" s="1"/>
  <c r="G105" i="7" s="1"/>
  <c r="C104" i="7"/>
  <c r="D103" i="7"/>
  <c r="E104" i="7" s="1"/>
  <c r="G104" i="7" s="1"/>
  <c r="C103" i="7"/>
  <c r="D102" i="7"/>
  <c r="E103" i="7" s="1"/>
  <c r="G103" i="7" s="1"/>
  <c r="C102" i="7"/>
  <c r="D101" i="7"/>
  <c r="E102" i="7" s="1"/>
  <c r="G102" i="7" s="1"/>
  <c r="C101" i="7"/>
  <c r="E100" i="7"/>
  <c r="G100" i="7" s="1"/>
  <c r="D100" i="7"/>
  <c r="E101" i="7" s="1"/>
  <c r="G101" i="7" s="1"/>
  <c r="C100" i="7"/>
  <c r="D99" i="7"/>
  <c r="C99" i="7"/>
  <c r="D98" i="7"/>
  <c r="C98" i="7"/>
  <c r="E99" i="7" s="1"/>
  <c r="G99" i="7" s="1"/>
  <c r="E97" i="7"/>
  <c r="G97" i="7" s="1"/>
  <c r="D97" i="7"/>
  <c r="E98" i="7" s="1"/>
  <c r="G98" i="7" s="1"/>
  <c r="C97" i="7"/>
  <c r="D96" i="7"/>
  <c r="C96" i="7"/>
  <c r="D95" i="7"/>
  <c r="E96" i="7" s="1"/>
  <c r="G96" i="7" s="1"/>
  <c r="C95" i="7"/>
  <c r="D94" i="7"/>
  <c r="E95" i="7" s="1"/>
  <c r="G95" i="7" s="1"/>
  <c r="C94" i="7"/>
  <c r="D93" i="7"/>
  <c r="E94" i="7" s="1"/>
  <c r="G94" i="7" s="1"/>
  <c r="C93" i="7"/>
  <c r="D92" i="7"/>
  <c r="C92" i="7"/>
  <c r="D91" i="7"/>
  <c r="C91" i="7"/>
  <c r="E92" i="7" s="1"/>
  <c r="G92" i="7" s="1"/>
  <c r="D90" i="7"/>
  <c r="C90" i="7"/>
  <c r="E91" i="7" s="1"/>
  <c r="G91" i="7" s="1"/>
  <c r="D89" i="7"/>
  <c r="C89" i="7"/>
  <c r="D88" i="7"/>
  <c r="E89" i="7" s="1"/>
  <c r="G89" i="7" s="1"/>
  <c r="C88" i="7"/>
  <c r="D87" i="7"/>
  <c r="E88" i="7" s="1"/>
  <c r="G88" i="7" s="1"/>
  <c r="C87" i="7"/>
  <c r="D86" i="7"/>
  <c r="E87" i="7" s="1"/>
  <c r="G87" i="7" s="1"/>
  <c r="C86" i="7"/>
  <c r="D85" i="7"/>
  <c r="E86" i="7" s="1"/>
  <c r="G86" i="7" s="1"/>
  <c r="C85" i="7"/>
  <c r="D84" i="7"/>
  <c r="C84" i="7"/>
  <c r="E83" i="7"/>
  <c r="G83" i="7" s="1"/>
  <c r="D83" i="7"/>
  <c r="E84" i="7" s="1"/>
  <c r="G84" i="7" s="1"/>
  <c r="C83" i="7"/>
  <c r="D82" i="7"/>
  <c r="C82" i="7"/>
  <c r="D81" i="7"/>
  <c r="E82" i="7" s="1"/>
  <c r="G82" i="7" s="1"/>
  <c r="C81" i="7"/>
  <c r="D80" i="7"/>
  <c r="E81" i="7" s="1"/>
  <c r="G81" i="7" s="1"/>
  <c r="C80" i="7"/>
  <c r="D79" i="7"/>
  <c r="E80" i="7" s="1"/>
  <c r="G80" i="7" s="1"/>
  <c r="C79" i="7"/>
  <c r="D78" i="7"/>
  <c r="E79" i="7" s="1"/>
  <c r="G79" i="7" s="1"/>
  <c r="C78" i="7"/>
  <c r="D77" i="7"/>
  <c r="E78" i="7" s="1"/>
  <c r="G78" i="7" s="1"/>
  <c r="C77" i="7"/>
  <c r="E76" i="7"/>
  <c r="G76" i="7" s="1"/>
  <c r="D76" i="7"/>
  <c r="E77" i="7" s="1"/>
  <c r="G77" i="7" s="1"/>
  <c r="C76" i="7"/>
  <c r="D75" i="7"/>
  <c r="C75" i="7"/>
  <c r="E74" i="7"/>
  <c r="G74" i="7" s="1"/>
  <c r="D74" i="7"/>
  <c r="E75" i="7" s="1"/>
  <c r="G75" i="7" s="1"/>
  <c r="C74" i="7"/>
  <c r="D73" i="7"/>
  <c r="C73" i="7"/>
  <c r="D72" i="7"/>
  <c r="E73" i="7" s="1"/>
  <c r="G73" i="7" s="1"/>
  <c r="C72" i="7"/>
  <c r="D71" i="7"/>
  <c r="C71" i="7"/>
  <c r="D70" i="7"/>
  <c r="E71" i="7" s="1"/>
  <c r="G71" i="7" s="1"/>
  <c r="C70" i="7"/>
  <c r="D69" i="7"/>
  <c r="E70" i="7" s="1"/>
  <c r="G70" i="7" s="1"/>
  <c r="C69" i="7"/>
  <c r="D68" i="7"/>
  <c r="C68" i="7"/>
  <c r="D67" i="7"/>
  <c r="E68" i="7" s="1"/>
  <c r="G68" i="7" s="1"/>
  <c r="C67" i="7"/>
  <c r="D66" i="7"/>
  <c r="C66" i="7"/>
  <c r="D65" i="7"/>
  <c r="E66" i="7" s="1"/>
  <c r="G66" i="7" s="1"/>
  <c r="C65" i="7"/>
  <c r="D64" i="7"/>
  <c r="E65" i="7" s="1"/>
  <c r="G65" i="7" s="1"/>
  <c r="C64" i="7"/>
  <c r="D63" i="7"/>
  <c r="C63" i="7"/>
  <c r="D62" i="7"/>
  <c r="C62" i="7"/>
  <c r="D61" i="7"/>
  <c r="E62" i="7" s="1"/>
  <c r="G62" i="7" s="1"/>
  <c r="C61" i="7"/>
  <c r="E60" i="7"/>
  <c r="G60" i="7" s="1"/>
  <c r="D60" i="7"/>
  <c r="E61" i="7" s="1"/>
  <c r="G61" i="7" s="1"/>
  <c r="C60" i="7"/>
  <c r="D59" i="7"/>
  <c r="C59" i="7"/>
  <c r="D58" i="7"/>
  <c r="C58" i="7"/>
  <c r="E59" i="7" s="1"/>
  <c r="G59" i="7" s="1"/>
  <c r="E57" i="7"/>
  <c r="G57" i="7" s="1"/>
  <c r="D57" i="7"/>
  <c r="C57" i="7"/>
  <c r="D56" i="7"/>
  <c r="C56" i="7"/>
  <c r="D55" i="7"/>
  <c r="E56" i="7" s="1"/>
  <c r="G56" i="7" s="1"/>
  <c r="C55" i="7"/>
  <c r="D54" i="7"/>
  <c r="C54" i="7"/>
  <c r="D53" i="7"/>
  <c r="E54" i="7" s="1"/>
  <c r="G54" i="7" s="1"/>
  <c r="C53" i="7"/>
  <c r="D52" i="7"/>
  <c r="E53" i="7" s="1"/>
  <c r="G53" i="7" s="1"/>
  <c r="C52" i="7"/>
  <c r="D51" i="7"/>
  <c r="C51" i="7"/>
  <c r="E52" i="7" s="1"/>
  <c r="G52" i="7" s="1"/>
  <c r="D50" i="7"/>
  <c r="C50" i="7"/>
  <c r="E51" i="7" s="1"/>
  <c r="G51" i="7" s="1"/>
  <c r="D49" i="7"/>
  <c r="C49" i="7"/>
  <c r="D48" i="7"/>
  <c r="E49" i="7" s="1"/>
  <c r="G49" i="7" s="1"/>
  <c r="C48" i="7"/>
  <c r="D47" i="7"/>
  <c r="E48" i="7" s="1"/>
  <c r="G48" i="7" s="1"/>
  <c r="C47" i="7"/>
  <c r="D46" i="7"/>
  <c r="E47" i="7" s="1"/>
  <c r="G47" i="7" s="1"/>
  <c r="C46" i="7"/>
  <c r="D45" i="7"/>
  <c r="E46" i="7" s="1"/>
  <c r="G46" i="7" s="1"/>
  <c r="C45" i="7"/>
  <c r="D44" i="7"/>
  <c r="C44" i="7"/>
  <c r="D43" i="7"/>
  <c r="E44" i="7" s="1"/>
  <c r="G44" i="7" s="1"/>
  <c r="C43" i="7"/>
  <c r="D42" i="7"/>
  <c r="C42" i="7"/>
  <c r="E43" i="7" s="1"/>
  <c r="G43" i="7" s="1"/>
  <c r="D41" i="7"/>
  <c r="C41" i="7"/>
  <c r="D40" i="7"/>
  <c r="E41" i="7" s="1"/>
  <c r="G41" i="7" s="1"/>
  <c r="C40" i="7"/>
  <c r="D39" i="7"/>
  <c r="E40" i="7" s="1"/>
  <c r="G40" i="7" s="1"/>
  <c r="C39" i="7"/>
  <c r="D38" i="7"/>
  <c r="E39" i="7" s="1"/>
  <c r="G39" i="7" s="1"/>
  <c r="C38" i="7"/>
  <c r="D37" i="7"/>
  <c r="E38" i="7" s="1"/>
  <c r="G38" i="7" s="1"/>
  <c r="C37" i="7"/>
  <c r="E36" i="7"/>
  <c r="G36" i="7" s="1"/>
  <c r="D36" i="7"/>
  <c r="C36" i="7"/>
  <c r="D35" i="7"/>
  <c r="C35" i="7"/>
  <c r="D34" i="7"/>
  <c r="C34" i="7"/>
  <c r="E33" i="7"/>
  <c r="G33" i="7" s="1"/>
  <c r="D33" i="7"/>
  <c r="E34" i="7" s="1"/>
  <c r="G34" i="7" s="1"/>
  <c r="C33" i="7"/>
  <c r="D32" i="7"/>
  <c r="C32" i="7"/>
  <c r="D31" i="7"/>
  <c r="E32" i="7" s="1"/>
  <c r="G32" i="7" s="1"/>
  <c r="C31" i="7"/>
  <c r="D30" i="7"/>
  <c r="C30" i="7"/>
  <c r="D29" i="7"/>
  <c r="C29" i="7"/>
  <c r="D28" i="7"/>
  <c r="E29" i="7" s="1"/>
  <c r="G29" i="7" s="1"/>
  <c r="C28" i="7"/>
  <c r="D27" i="7"/>
  <c r="E28" i="7" s="1"/>
  <c r="G28" i="7" s="1"/>
  <c r="C27" i="7"/>
  <c r="D26" i="7"/>
  <c r="E27" i="7" s="1"/>
  <c r="G27" i="7" s="1"/>
  <c r="C26" i="7"/>
  <c r="D25" i="7"/>
  <c r="C25" i="7"/>
  <c r="D24" i="7"/>
  <c r="E25" i="7" s="1"/>
  <c r="G25" i="7" s="1"/>
  <c r="C24" i="7"/>
  <c r="D23" i="7"/>
  <c r="C23" i="7"/>
  <c r="D22" i="7"/>
  <c r="E23" i="7" s="1"/>
  <c r="G23" i="7" s="1"/>
  <c r="C22" i="7"/>
  <c r="D21" i="7"/>
  <c r="E22" i="7" s="1"/>
  <c r="G22" i="7" s="1"/>
  <c r="C21" i="7"/>
  <c r="D20" i="7"/>
  <c r="C20" i="7"/>
  <c r="E19" i="7"/>
  <c r="G19" i="7" s="1"/>
  <c r="D19" i="7"/>
  <c r="E20" i="7" s="1"/>
  <c r="G20" i="7" s="1"/>
  <c r="C19" i="7"/>
  <c r="D18" i="7"/>
  <c r="C18" i="7"/>
  <c r="D17" i="7"/>
  <c r="C17" i="7"/>
  <c r="E18" i="7" s="1"/>
  <c r="G18" i="7" s="1"/>
  <c r="D16" i="7"/>
  <c r="E17" i="7" s="1"/>
  <c r="G17" i="7" s="1"/>
  <c r="C16" i="7"/>
  <c r="D15" i="7"/>
  <c r="C15" i="7"/>
  <c r="D14" i="7"/>
  <c r="C14" i="7"/>
  <c r="D13" i="7"/>
  <c r="C13" i="7"/>
  <c r="E12" i="7"/>
  <c r="G12" i="7" s="1"/>
  <c r="D12" i="7"/>
  <c r="E13" i="7" s="1"/>
  <c r="G13" i="7" s="1"/>
  <c r="C12" i="7"/>
  <c r="D11" i="7"/>
  <c r="C11" i="7"/>
  <c r="E10" i="7"/>
  <c r="G10" i="7" s="1"/>
  <c r="D10" i="7"/>
  <c r="E11" i="7" s="1"/>
  <c r="G11" i="7" s="1"/>
  <c r="C10" i="7"/>
  <c r="C254" i="2"/>
  <c r="C255" i="2"/>
  <c r="C256" i="2"/>
  <c r="E257" i="2" s="1"/>
  <c r="F257" i="2" s="1"/>
  <c r="C257" i="2"/>
  <c r="C258" i="2"/>
  <c r="C259" i="2"/>
  <c r="E260" i="2" s="1"/>
  <c r="F260" i="2" s="1"/>
  <c r="C260" i="2"/>
  <c r="C261" i="2"/>
  <c r="C262" i="2"/>
  <c r="C263" i="2"/>
  <c r="C264" i="2"/>
  <c r="E265" i="2" s="1"/>
  <c r="F265" i="2" s="1"/>
  <c r="C265" i="2"/>
  <c r="C266" i="2"/>
  <c r="C267" i="2"/>
  <c r="E268" i="2" s="1"/>
  <c r="F268" i="2" s="1"/>
  <c r="C268" i="2"/>
  <c r="C269" i="2"/>
  <c r="C270" i="2"/>
  <c r="C271" i="2"/>
  <c r="C272" i="2"/>
  <c r="E273" i="2" s="1"/>
  <c r="F273" i="2" s="1"/>
  <c r="M273" i="2" s="1"/>
  <c r="C273" i="2"/>
  <c r="C274" i="2"/>
  <c r="C275" i="2"/>
  <c r="E276" i="2" s="1"/>
  <c r="F276" i="2" s="1"/>
  <c r="C276" i="2"/>
  <c r="C277" i="2"/>
  <c r="C278" i="2"/>
  <c r="C279" i="2"/>
  <c r="C280" i="2"/>
  <c r="E281" i="2" s="1"/>
  <c r="F281" i="2" s="1"/>
  <c r="C281" i="2"/>
  <c r="C282" i="2"/>
  <c r="E283" i="2" s="1"/>
  <c r="F283" i="2" s="1"/>
  <c r="C283" i="2"/>
  <c r="E284" i="2" s="1"/>
  <c r="F284" i="2" s="1"/>
  <c r="J284" i="2" s="1"/>
  <c r="C284" i="2"/>
  <c r="C285" i="2"/>
  <c r="C286" i="2"/>
  <c r="C287" i="2"/>
  <c r="C288" i="2"/>
  <c r="E289" i="2" s="1"/>
  <c r="F289" i="2" s="1"/>
  <c r="I289" i="2" s="1"/>
  <c r="C289" i="2"/>
  <c r="C290" i="2"/>
  <c r="C291" i="2"/>
  <c r="E292" i="2" s="1"/>
  <c r="F292" i="2" s="1"/>
  <c r="O292" i="2" s="1"/>
  <c r="C292" i="2"/>
  <c r="C293" i="2"/>
  <c r="C294" i="2"/>
  <c r="C295" i="2"/>
  <c r="C296" i="2"/>
  <c r="E297" i="2" s="1"/>
  <c r="F297" i="2" s="1"/>
  <c r="G297" i="2" s="1"/>
  <c r="C297" i="2"/>
  <c r="C298" i="2"/>
  <c r="C299" i="2"/>
  <c r="E300" i="2" s="1"/>
  <c r="F300" i="2" s="1"/>
  <c r="C300" i="2"/>
  <c r="C301" i="2"/>
  <c r="C302" i="2"/>
  <c r="C303" i="2"/>
  <c r="C304" i="2"/>
  <c r="E305" i="2" s="1"/>
  <c r="F305" i="2" s="1"/>
  <c r="C305" i="2"/>
  <c r="C306" i="2"/>
  <c r="C307" i="2"/>
  <c r="E308" i="2" s="1"/>
  <c r="F308" i="2" s="1"/>
  <c r="C308" i="2"/>
  <c r="C309" i="2"/>
  <c r="C310" i="2"/>
  <c r="C311" i="2"/>
  <c r="C312" i="2"/>
  <c r="E313" i="2" s="1"/>
  <c r="F313" i="2" s="1"/>
  <c r="O313" i="2" s="1"/>
  <c r="C313" i="2"/>
  <c r="C314" i="2"/>
  <c r="C315" i="2"/>
  <c r="E316" i="2" s="1"/>
  <c r="F316" i="2" s="1"/>
  <c r="C316" i="2"/>
  <c r="C317" i="2"/>
  <c r="C318" i="2"/>
  <c r="C319" i="2"/>
  <c r="C320" i="2"/>
  <c r="E321" i="2" s="1"/>
  <c r="F321" i="2" s="1"/>
  <c r="C321" i="2"/>
  <c r="C322" i="2"/>
  <c r="C323" i="2"/>
  <c r="E324" i="2" s="1"/>
  <c r="F324" i="2" s="1"/>
  <c r="C324" i="2"/>
  <c r="C325" i="2"/>
  <c r="C326" i="2"/>
  <c r="C327" i="2"/>
  <c r="C328" i="2"/>
  <c r="E329" i="2" s="1"/>
  <c r="F329" i="2" s="1"/>
  <c r="C329" i="2"/>
  <c r="C330" i="2"/>
  <c r="C331" i="2"/>
  <c r="E332" i="2" s="1"/>
  <c r="F332" i="2" s="1"/>
  <c r="C332" i="2"/>
  <c r="C333" i="2"/>
  <c r="C334" i="2"/>
  <c r="C335" i="2"/>
  <c r="C336" i="2"/>
  <c r="E337" i="2" s="1"/>
  <c r="F337" i="2" s="1"/>
  <c r="O337" i="2" s="1"/>
  <c r="C337" i="2"/>
  <c r="C338" i="2"/>
  <c r="C339" i="2"/>
  <c r="E340" i="2" s="1"/>
  <c r="F340" i="2" s="1"/>
  <c r="C340" i="2"/>
  <c r="C341" i="2"/>
  <c r="C342" i="2"/>
  <c r="C343" i="2"/>
  <c r="C344" i="2"/>
  <c r="E345" i="2" s="1"/>
  <c r="F345" i="2" s="1"/>
  <c r="O345" i="2" s="1"/>
  <c r="C345" i="2"/>
  <c r="C346" i="2"/>
  <c r="C347" i="2"/>
  <c r="E348" i="2" s="1"/>
  <c r="F348" i="2" s="1"/>
  <c r="C348" i="2"/>
  <c r="C349" i="2"/>
  <c r="C350" i="2"/>
  <c r="C351" i="2"/>
  <c r="C352" i="2"/>
  <c r="E353" i="2" s="1"/>
  <c r="F353" i="2" s="1"/>
  <c r="C353" i="2"/>
  <c r="C354" i="2"/>
  <c r="C355" i="2"/>
  <c r="E356" i="2" s="1"/>
  <c r="F356" i="2" s="1"/>
  <c r="C356" i="2"/>
  <c r="C357" i="2"/>
  <c r="C358" i="2"/>
  <c r="C359" i="2"/>
  <c r="C360" i="2"/>
  <c r="E361" i="2" s="1"/>
  <c r="F361" i="2" s="1"/>
  <c r="H361" i="2" s="1"/>
  <c r="C361" i="2"/>
  <c r="C362" i="2"/>
  <c r="C363" i="2"/>
  <c r="E364" i="2" s="1"/>
  <c r="C364" i="2"/>
  <c r="C365" i="2"/>
  <c r="C366" i="2"/>
  <c r="C367" i="2"/>
  <c r="C368" i="2"/>
  <c r="E369" i="2" s="1"/>
  <c r="F369" i="2" s="1"/>
  <c r="M369" i="2" s="1"/>
  <c r="C369" i="2"/>
  <c r="C370" i="2"/>
  <c r="C371" i="2"/>
  <c r="E372" i="2" s="1"/>
  <c r="F372" i="2" s="1"/>
  <c r="C372" i="2"/>
  <c r="C373" i="2"/>
  <c r="C374" i="2"/>
  <c r="C375" i="2"/>
  <c r="C376" i="2"/>
  <c r="E377" i="2" s="1"/>
  <c r="F377" i="2" s="1"/>
  <c r="L377" i="2" s="1"/>
  <c r="C377" i="2"/>
  <c r="C378" i="2"/>
  <c r="C379" i="2"/>
  <c r="E380" i="2" s="1"/>
  <c r="C380" i="2"/>
  <c r="C381" i="2"/>
  <c r="E382" i="2" s="1"/>
  <c r="F382" i="2" s="1"/>
  <c r="C382" i="2"/>
  <c r="C383" i="2"/>
  <c r="C384" i="2"/>
  <c r="E385" i="2" s="1"/>
  <c r="F385" i="2" s="1"/>
  <c r="C385" i="2"/>
  <c r="C386" i="2"/>
  <c r="C387" i="2"/>
  <c r="E388" i="2" s="1"/>
  <c r="F388" i="2" s="1"/>
  <c r="C388" i="2"/>
  <c r="C389" i="2"/>
  <c r="C390" i="2"/>
  <c r="C391" i="2"/>
  <c r="C392" i="2"/>
  <c r="E393" i="2" s="1"/>
  <c r="F393" i="2" s="1"/>
  <c r="C393" i="2"/>
  <c r="C394" i="2"/>
  <c r="C395" i="2"/>
  <c r="E396" i="2" s="1"/>
  <c r="F396" i="2" s="1"/>
  <c r="J396" i="2" s="1"/>
  <c r="C396" i="2"/>
  <c r="D254" i="2"/>
  <c r="E255" i="2" s="1"/>
  <c r="F255" i="2" s="1"/>
  <c r="D255" i="2"/>
  <c r="D256" i="2"/>
  <c r="D257" i="2"/>
  <c r="E258" i="2" s="1"/>
  <c r="F258" i="2" s="1"/>
  <c r="I258" i="2" s="1"/>
  <c r="D258" i="2"/>
  <c r="D259" i="2"/>
  <c r="D260" i="2"/>
  <c r="E261" i="2" s="1"/>
  <c r="F261" i="2" s="1"/>
  <c r="O261" i="2" s="1"/>
  <c r="D261" i="2"/>
  <c r="D262" i="2"/>
  <c r="E263" i="2" s="1"/>
  <c r="F263" i="2" s="1"/>
  <c r="D263" i="2"/>
  <c r="D264" i="2"/>
  <c r="D265" i="2"/>
  <c r="D266" i="2"/>
  <c r="D267" i="2"/>
  <c r="D268" i="2"/>
  <c r="D269" i="2"/>
  <c r="E270" i="2" s="1"/>
  <c r="F270" i="2" s="1"/>
  <c r="D270" i="2"/>
  <c r="E271" i="2" s="1"/>
  <c r="F271" i="2" s="1"/>
  <c r="D271" i="2"/>
  <c r="D272" i="2"/>
  <c r="D273" i="2"/>
  <c r="D274" i="2"/>
  <c r="D275" i="2"/>
  <c r="D276" i="2"/>
  <c r="E277" i="2" s="1"/>
  <c r="F277" i="2" s="1"/>
  <c r="D277" i="2"/>
  <c r="E278" i="2" s="1"/>
  <c r="F278" i="2" s="1"/>
  <c r="H278" i="2" s="1"/>
  <c r="D278" i="2"/>
  <c r="E279" i="2" s="1"/>
  <c r="F279" i="2" s="1"/>
  <c r="D279" i="2"/>
  <c r="D280" i="2"/>
  <c r="D281" i="2"/>
  <c r="E282" i="2" s="1"/>
  <c r="F282" i="2" s="1"/>
  <c r="D282" i="2"/>
  <c r="D283" i="2"/>
  <c r="D284" i="2"/>
  <c r="D285" i="2"/>
  <c r="D286" i="2"/>
  <c r="E287" i="2" s="1"/>
  <c r="F287" i="2" s="1"/>
  <c r="D287" i="2"/>
  <c r="D288" i="2"/>
  <c r="D289" i="2"/>
  <c r="D290" i="2"/>
  <c r="D291" i="2"/>
  <c r="D292" i="2"/>
  <c r="D293" i="2"/>
  <c r="E294" i="2" s="1"/>
  <c r="F294" i="2" s="1"/>
  <c r="D294" i="2"/>
  <c r="E295" i="2" s="1"/>
  <c r="F295" i="2" s="1"/>
  <c r="L295" i="2" s="1"/>
  <c r="D295" i="2"/>
  <c r="D296" i="2"/>
  <c r="D297" i="2"/>
  <c r="D298" i="2"/>
  <c r="D299" i="2"/>
  <c r="D300" i="2"/>
  <c r="E301" i="2" s="1"/>
  <c r="F301" i="2" s="1"/>
  <c r="D301" i="2"/>
  <c r="D302" i="2"/>
  <c r="E303" i="2" s="1"/>
  <c r="F303" i="2" s="1"/>
  <c r="H304" i="2" s="1"/>
  <c r="D303" i="2"/>
  <c r="D304" i="2"/>
  <c r="D305" i="2"/>
  <c r="D306" i="2"/>
  <c r="D307" i="2"/>
  <c r="D308" i="2"/>
  <c r="E309" i="2" s="1"/>
  <c r="F309" i="2" s="1"/>
  <c r="N309" i="2" s="1"/>
  <c r="D309" i="2"/>
  <c r="D310" i="2"/>
  <c r="E311" i="2" s="1"/>
  <c r="F311" i="2" s="1"/>
  <c r="D311" i="2"/>
  <c r="D312" i="2"/>
  <c r="D313" i="2"/>
  <c r="E314" i="2" s="1"/>
  <c r="F314" i="2" s="1"/>
  <c r="N314" i="2" s="1"/>
  <c r="D314" i="2"/>
  <c r="D315" i="2"/>
  <c r="D316" i="2"/>
  <c r="D317" i="2"/>
  <c r="D318" i="2"/>
  <c r="D319" i="2"/>
  <c r="D320" i="2"/>
  <c r="D321" i="2"/>
  <c r="E322" i="2" s="1"/>
  <c r="F322" i="2" s="1"/>
  <c r="L322" i="2" s="1"/>
  <c r="D322" i="2"/>
  <c r="D323" i="2"/>
  <c r="D324" i="2"/>
  <c r="D325" i="2"/>
  <c r="D326" i="2"/>
  <c r="E327" i="2" s="1"/>
  <c r="F327" i="2" s="1"/>
  <c r="D327" i="2"/>
  <c r="D328" i="2"/>
  <c r="D329" i="2"/>
  <c r="D330" i="2"/>
  <c r="D331" i="2"/>
  <c r="D332" i="2"/>
  <c r="D333" i="2"/>
  <c r="D334" i="2"/>
  <c r="E335" i="2" s="1"/>
  <c r="F335" i="2" s="1"/>
  <c r="D335" i="2"/>
  <c r="D336" i="2"/>
  <c r="D337" i="2"/>
  <c r="E338" i="2" s="1"/>
  <c r="F338" i="2" s="1"/>
  <c r="D338" i="2"/>
  <c r="D339" i="2"/>
  <c r="D340" i="2"/>
  <c r="D341" i="2"/>
  <c r="D342" i="2"/>
  <c r="D343" i="2"/>
  <c r="D344" i="2"/>
  <c r="D345" i="2"/>
  <c r="E346" i="2" s="1"/>
  <c r="F346" i="2" s="1"/>
  <c r="N346" i="2" s="1"/>
  <c r="D346" i="2"/>
  <c r="D347" i="2"/>
  <c r="D348" i="2"/>
  <c r="D349" i="2"/>
  <c r="E350" i="2" s="1"/>
  <c r="F350" i="2" s="1"/>
  <c r="D350" i="2"/>
  <c r="E351" i="2" s="1"/>
  <c r="F351" i="2" s="1"/>
  <c r="K351" i="2" s="1"/>
  <c r="D351" i="2"/>
  <c r="D352" i="2"/>
  <c r="D353" i="2"/>
  <c r="D354" i="2"/>
  <c r="D355" i="2"/>
  <c r="D356" i="2"/>
  <c r="D357" i="2"/>
  <c r="E358" i="2" s="1"/>
  <c r="F358" i="2" s="1"/>
  <c r="D358" i="2"/>
  <c r="E359" i="2" s="1"/>
  <c r="F359" i="2" s="1"/>
  <c r="D359" i="2"/>
  <c r="D360" i="2"/>
  <c r="D361" i="2"/>
  <c r="D362" i="2"/>
  <c r="D363" i="2"/>
  <c r="D364" i="2"/>
  <c r="D365" i="2"/>
  <c r="D366" i="2"/>
  <c r="E367" i="2" s="1"/>
  <c r="F367" i="2" s="1"/>
  <c r="L368" i="2" s="1"/>
  <c r="D367" i="2"/>
  <c r="D368" i="2"/>
  <c r="D369" i="2"/>
  <c r="D370" i="2"/>
  <c r="D371" i="2"/>
  <c r="D372" i="2"/>
  <c r="D373" i="2"/>
  <c r="D374" i="2"/>
  <c r="E375" i="2" s="1"/>
  <c r="F375" i="2" s="1"/>
  <c r="G376" i="2" s="1"/>
  <c r="D375" i="2"/>
  <c r="D376" i="2"/>
  <c r="D377" i="2"/>
  <c r="E378" i="2" s="1"/>
  <c r="F378" i="2" s="1"/>
  <c r="D378" i="2"/>
  <c r="D379" i="2"/>
  <c r="D380" i="2"/>
  <c r="D381" i="2"/>
  <c r="D382" i="2"/>
  <c r="D383" i="2"/>
  <c r="D384" i="2"/>
  <c r="D385" i="2"/>
  <c r="E386" i="2" s="1"/>
  <c r="F386" i="2" s="1"/>
  <c r="D386" i="2"/>
  <c r="D387" i="2"/>
  <c r="D388" i="2"/>
  <c r="D389" i="2"/>
  <c r="E390" i="2" s="1"/>
  <c r="F390" i="2" s="1"/>
  <c r="D390" i="2"/>
  <c r="E391" i="2" s="1"/>
  <c r="F391" i="2" s="1"/>
  <c r="D391" i="2"/>
  <c r="D392" i="2"/>
  <c r="D393" i="2"/>
  <c r="D394" i="2"/>
  <c r="D395" i="2"/>
  <c r="D396" i="2"/>
  <c r="E256" i="2"/>
  <c r="F256" i="2" s="1"/>
  <c r="E259" i="2"/>
  <c r="E264" i="2"/>
  <c r="E266" i="2"/>
  <c r="F266" i="2" s="1"/>
  <c r="L266" i="2" s="1"/>
  <c r="E267" i="2"/>
  <c r="E272" i="2"/>
  <c r="E274" i="2"/>
  <c r="F274" i="2" s="1"/>
  <c r="M274" i="2" s="1"/>
  <c r="E275" i="2"/>
  <c r="E280" i="2"/>
  <c r="E288" i="2"/>
  <c r="E290" i="2"/>
  <c r="F290" i="2" s="1"/>
  <c r="J290" i="2" s="1"/>
  <c r="E291" i="2"/>
  <c r="F291" i="2" s="1"/>
  <c r="E296" i="2"/>
  <c r="E298" i="2"/>
  <c r="F298" i="2" s="1"/>
  <c r="H298" i="2" s="1"/>
  <c r="E299" i="2"/>
  <c r="E304" i="2"/>
  <c r="F304" i="2" s="1"/>
  <c r="E306" i="2"/>
  <c r="F306" i="2" s="1"/>
  <c r="M306" i="2" s="1"/>
  <c r="E307" i="2"/>
  <c r="F307" i="2" s="1"/>
  <c r="E312" i="2"/>
  <c r="E315" i="2"/>
  <c r="E318" i="2"/>
  <c r="F318" i="2" s="1"/>
  <c r="E319" i="2"/>
  <c r="F319" i="2" s="1"/>
  <c r="M319" i="2" s="1"/>
  <c r="E320" i="2"/>
  <c r="E323" i="2"/>
  <c r="E328" i="2"/>
  <c r="F328" i="2" s="1"/>
  <c r="E330" i="2"/>
  <c r="F330" i="2" s="1"/>
  <c r="O331" i="2" s="1"/>
  <c r="E331" i="2"/>
  <c r="F331" i="2" s="1"/>
  <c r="E336" i="2"/>
  <c r="F336" i="2" s="1"/>
  <c r="E339" i="2"/>
  <c r="E343" i="2"/>
  <c r="F343" i="2" s="1"/>
  <c r="I344" i="2" s="1"/>
  <c r="E344" i="2"/>
  <c r="E347" i="2"/>
  <c r="E352" i="2"/>
  <c r="F352" i="2" s="1"/>
  <c r="E354" i="2"/>
  <c r="F354" i="2" s="1"/>
  <c r="L354" i="2" s="1"/>
  <c r="E355" i="2"/>
  <c r="F355" i="2" s="1"/>
  <c r="M355" i="2" s="1"/>
  <c r="E360" i="2"/>
  <c r="E362" i="2"/>
  <c r="F362" i="2" s="1"/>
  <c r="I363" i="2" s="1"/>
  <c r="E363" i="2"/>
  <c r="F363" i="2" s="1"/>
  <c r="E368" i="2"/>
  <c r="F368" i="2" s="1"/>
  <c r="E370" i="2"/>
  <c r="F370" i="2" s="1"/>
  <c r="O371" i="2" s="1"/>
  <c r="E371" i="2"/>
  <c r="F371" i="2" s="1"/>
  <c r="E376" i="2"/>
  <c r="E379" i="2"/>
  <c r="F379" i="2" s="1"/>
  <c r="E383" i="2"/>
  <c r="F383" i="2" s="1"/>
  <c r="E384" i="2"/>
  <c r="E387" i="2"/>
  <c r="E392" i="2"/>
  <c r="F392" i="2" s="1"/>
  <c r="L392" i="2" s="1"/>
  <c r="E394" i="2"/>
  <c r="F394" i="2" s="1"/>
  <c r="E395" i="2"/>
  <c r="F395" i="2" s="1"/>
  <c r="F259" i="2"/>
  <c r="F264" i="2"/>
  <c r="F267" i="2"/>
  <c r="F272" i="2"/>
  <c r="F275" i="2"/>
  <c r="F280" i="2"/>
  <c r="J281" i="2" s="1"/>
  <c r="F288" i="2"/>
  <c r="F296" i="2"/>
  <c r="F299" i="2"/>
  <c r="I299" i="2" s="1"/>
  <c r="F312" i="2"/>
  <c r="F315" i="2"/>
  <c r="F320" i="2"/>
  <c r="F323" i="2"/>
  <c r="F339" i="2"/>
  <c r="F344" i="2"/>
  <c r="F347" i="2"/>
  <c r="F360" i="2"/>
  <c r="F364" i="2"/>
  <c r="I364" i="2" s="1"/>
  <c r="F376" i="2"/>
  <c r="F380" i="2"/>
  <c r="F384" i="2"/>
  <c r="F387" i="2"/>
  <c r="G281" i="2"/>
  <c r="G332" i="2"/>
  <c r="G364" i="2"/>
  <c r="G377" i="2"/>
  <c r="H282" i="2"/>
  <c r="H297" i="2"/>
  <c r="I345" i="2"/>
  <c r="I361" i="2"/>
  <c r="J273" i="2"/>
  <c r="J314" i="2"/>
  <c r="J321" i="2"/>
  <c r="J364" i="2"/>
  <c r="J377" i="2"/>
  <c r="K314" i="2"/>
  <c r="L272" i="2"/>
  <c r="L273" i="2"/>
  <c r="L274" i="2"/>
  <c r="L290" i="2"/>
  <c r="L298" i="2"/>
  <c r="L306" i="2"/>
  <c r="L309" i="2"/>
  <c r="L321" i="2"/>
  <c r="L345" i="2"/>
  <c r="L363" i="2"/>
  <c r="L387" i="2"/>
  <c r="M272" i="2"/>
  <c r="M290" i="2"/>
  <c r="M305" i="2"/>
  <c r="M321" i="2"/>
  <c r="M345" i="2"/>
  <c r="M361" i="2"/>
  <c r="M362" i="2"/>
  <c r="M363" i="2"/>
  <c r="M377" i="2"/>
  <c r="N258" i="2"/>
  <c r="N260" i="2"/>
  <c r="N282" i="2"/>
  <c r="N298" i="2"/>
  <c r="N330" i="2"/>
  <c r="N331" i="2"/>
  <c r="N354" i="2"/>
  <c r="N363" i="2"/>
  <c r="N372" i="2"/>
  <c r="N376" i="2"/>
  <c r="N394" i="2"/>
  <c r="N395" i="2"/>
  <c r="O273" i="2"/>
  <c r="O332" i="2"/>
  <c r="O353" i="2"/>
  <c r="O355" i="2"/>
  <c r="O369" i="2"/>
  <c r="O395" i="2"/>
  <c r="O396" i="2"/>
  <c r="G3" i="7"/>
  <c r="H3" i="7" s="1"/>
  <c r="G4" i="7"/>
  <c r="H4" i="7" s="1"/>
  <c r="G2" i="7"/>
  <c r="H2" i="7" s="1"/>
  <c r="O3" i="6"/>
  <c r="O1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8" i="6"/>
  <c r="E2" i="3"/>
  <c r="E3" i="3"/>
  <c r="F3" i="3" s="1"/>
  <c r="E6" i="3"/>
  <c r="F6" i="3" s="1"/>
  <c r="E7" i="3"/>
  <c r="F7" i="3" s="1"/>
  <c r="E8" i="3"/>
  <c r="F8" i="3" s="1"/>
  <c r="E11" i="3"/>
  <c r="F11" i="3" s="1"/>
  <c r="E13" i="3"/>
  <c r="F13" i="3" s="1"/>
  <c r="E15" i="3"/>
  <c r="F15" i="3" s="1"/>
  <c r="E16" i="3"/>
  <c r="F16" i="3" s="1"/>
  <c r="E17" i="3"/>
  <c r="F17" i="3" s="1"/>
  <c r="E19" i="3"/>
  <c r="F19" i="3" s="1"/>
  <c r="E23" i="3"/>
  <c r="F23" i="3" s="1"/>
  <c r="E24" i="3"/>
  <c r="F24" i="3" s="1"/>
  <c r="E27" i="3"/>
  <c r="F27" i="3" s="1"/>
  <c r="E28" i="3"/>
  <c r="F28" i="3" s="1"/>
  <c r="E29" i="3"/>
  <c r="F29" i="3" s="1"/>
  <c r="E31" i="3"/>
  <c r="F31" i="3" s="1"/>
  <c r="E32" i="3"/>
  <c r="F32" i="3" s="1"/>
  <c r="E33" i="3"/>
  <c r="F33" i="3" s="1"/>
  <c r="E39" i="3"/>
  <c r="F39" i="3" s="1"/>
  <c r="E40" i="3"/>
  <c r="F40" i="3" s="1"/>
  <c r="E41" i="3"/>
  <c r="F41" i="3" s="1"/>
  <c r="E47" i="3"/>
  <c r="F47" i="3" s="1"/>
  <c r="E48" i="3"/>
  <c r="F48" i="3" s="1"/>
  <c r="E49" i="3"/>
  <c r="F49" i="3" s="1"/>
  <c r="E51" i="3"/>
  <c r="F51" i="3" s="1"/>
  <c r="E53" i="3"/>
  <c r="F53" i="3" s="1"/>
  <c r="E54" i="3"/>
  <c r="F54" i="3" s="1"/>
  <c r="E55" i="3"/>
  <c r="F55" i="3" s="1"/>
  <c r="E56" i="3"/>
  <c r="F56" i="3" s="1"/>
  <c r="E60" i="3"/>
  <c r="F60" i="3" s="1"/>
  <c r="E61" i="3"/>
  <c r="F61" i="3" s="1"/>
  <c r="E63" i="3"/>
  <c r="F63" i="3" s="1"/>
  <c r="E64" i="3"/>
  <c r="F64" i="3" s="1"/>
  <c r="E68" i="3"/>
  <c r="F68" i="3" s="1"/>
  <c r="E71" i="3"/>
  <c r="F71" i="3" s="1"/>
  <c r="E72" i="3"/>
  <c r="F72" i="3" s="1"/>
  <c r="E75" i="3"/>
  <c r="F75" i="3" s="1"/>
  <c r="E77" i="3"/>
  <c r="F77" i="3" s="1"/>
  <c r="E79" i="3"/>
  <c r="F79" i="3" s="1"/>
  <c r="E80" i="3"/>
  <c r="F80" i="3" s="1"/>
  <c r="E83" i="3"/>
  <c r="F83" i="3" s="1"/>
  <c r="E86" i="3"/>
  <c r="F86" i="3" s="1"/>
  <c r="E87" i="3"/>
  <c r="F87" i="3" s="1"/>
  <c r="E88" i="3"/>
  <c r="F88" i="3" s="1"/>
  <c r="E91" i="3"/>
  <c r="F91" i="3" s="1"/>
  <c r="E95" i="3"/>
  <c r="F95" i="3" s="1"/>
  <c r="E96" i="3"/>
  <c r="F96" i="3" s="1"/>
  <c r="E97" i="3"/>
  <c r="F97" i="3" s="1"/>
  <c r="E100" i="3"/>
  <c r="F100" i="3" s="1"/>
  <c r="E101" i="3"/>
  <c r="F101" i="3" s="1"/>
  <c r="E102" i="3"/>
  <c r="F102" i="3" s="1"/>
  <c r="E103" i="3"/>
  <c r="F103" i="3" s="1"/>
  <c r="E104" i="3"/>
  <c r="F104" i="3" s="1"/>
  <c r="E105" i="3"/>
  <c r="F105" i="3" s="1"/>
  <c r="E107" i="3"/>
  <c r="F107" i="3" s="1"/>
  <c r="E108" i="3"/>
  <c r="F108" i="3" s="1"/>
  <c r="E111" i="3"/>
  <c r="F111" i="3" s="1"/>
  <c r="E112" i="3"/>
  <c r="F112" i="3" s="1"/>
  <c r="E116" i="3"/>
  <c r="F116" i="3" s="1"/>
  <c r="E117" i="3"/>
  <c r="F117" i="3" s="1"/>
  <c r="E119" i="3"/>
  <c r="F119" i="3" s="1"/>
  <c r="E120" i="3"/>
  <c r="F120" i="3" s="1"/>
  <c r="E121" i="3"/>
  <c r="F121" i="3" s="1"/>
  <c r="E125" i="3"/>
  <c r="F125" i="3" s="1"/>
  <c r="E127" i="3"/>
  <c r="F127" i="3" s="1"/>
  <c r="E128" i="3"/>
  <c r="F128" i="3" s="1"/>
  <c r="E131" i="3"/>
  <c r="F131" i="3" s="1"/>
  <c r="E133" i="3"/>
  <c r="F133" i="3" s="1"/>
  <c r="E134" i="3"/>
  <c r="F134" i="3" s="1"/>
  <c r="E135" i="3"/>
  <c r="F135" i="3" s="1"/>
  <c r="E136" i="3"/>
  <c r="F136" i="3" s="1"/>
  <c r="E137" i="3"/>
  <c r="F137" i="3" s="1"/>
  <c r="E139" i="3"/>
  <c r="F139" i="3" s="1"/>
  <c r="E141" i="3"/>
  <c r="F141" i="3" s="1"/>
  <c r="E143" i="3"/>
  <c r="F143" i="3" s="1"/>
  <c r="E144" i="3"/>
  <c r="F144" i="3" s="1"/>
  <c r="E149" i="3"/>
  <c r="F149" i="3" s="1"/>
  <c r="E150" i="3"/>
  <c r="F150" i="3" s="1"/>
  <c r="E151" i="3"/>
  <c r="F151" i="3" s="1"/>
  <c r="E152" i="3"/>
  <c r="F152" i="3" s="1"/>
  <c r="E158" i="3"/>
  <c r="F158" i="3" s="1"/>
  <c r="E159" i="3"/>
  <c r="F159" i="3" s="1"/>
  <c r="E160" i="3"/>
  <c r="F160" i="3" s="1"/>
  <c r="E161" i="3"/>
  <c r="F161" i="3" s="1"/>
  <c r="E163" i="3"/>
  <c r="F163" i="3" s="1"/>
  <c r="E164" i="3"/>
  <c r="F164" i="3" s="1"/>
  <c r="E165" i="3"/>
  <c r="F165" i="3" s="1"/>
  <c r="E167" i="3"/>
  <c r="F167" i="3" s="1"/>
  <c r="E168" i="3"/>
  <c r="F168" i="3" s="1"/>
  <c r="E173" i="3"/>
  <c r="F173" i="3" s="1"/>
  <c r="E174" i="3"/>
  <c r="F174" i="3" s="1"/>
  <c r="E175" i="3"/>
  <c r="F175" i="3" s="1"/>
  <c r="E176" i="3"/>
  <c r="F176" i="3" s="1"/>
  <c r="E179" i="3"/>
  <c r="F179" i="3" s="1"/>
  <c r="E180" i="3"/>
  <c r="F180" i="3" s="1"/>
  <c r="E183" i="3"/>
  <c r="F183" i="3" s="1"/>
  <c r="E184" i="3"/>
  <c r="F184" i="3" s="1"/>
  <c r="E187" i="3"/>
  <c r="F187" i="3" s="1"/>
  <c r="E188" i="3"/>
  <c r="F188" i="3" s="1"/>
  <c r="E190" i="3"/>
  <c r="F190" i="3" s="1"/>
  <c r="E191" i="3"/>
  <c r="F191" i="3" s="1"/>
  <c r="E192" i="3"/>
  <c r="F192" i="3" s="1"/>
  <c r="E193" i="3"/>
  <c r="F193" i="3" s="1"/>
  <c r="E195" i="3"/>
  <c r="F195" i="3" s="1"/>
  <c r="E196" i="3"/>
  <c r="F196" i="3" s="1"/>
  <c r="E197" i="3"/>
  <c r="F197" i="3" s="1"/>
  <c r="E198" i="3"/>
  <c r="F198" i="3" s="1"/>
  <c r="E199" i="3"/>
  <c r="F199" i="3" s="1"/>
  <c r="E200" i="3"/>
  <c r="F200" i="3" s="1"/>
  <c r="E201" i="3"/>
  <c r="F201" i="3" s="1"/>
  <c r="E203" i="3"/>
  <c r="F203" i="3" s="1"/>
  <c r="E204" i="3"/>
  <c r="F204" i="3" s="1"/>
  <c r="E207" i="3"/>
  <c r="F207" i="3" s="1"/>
  <c r="E208" i="3"/>
  <c r="F208" i="3" s="1"/>
  <c r="E212" i="3"/>
  <c r="F212" i="3" s="1"/>
  <c r="E213" i="3"/>
  <c r="F213" i="3" s="1"/>
  <c r="E215" i="3"/>
  <c r="F215" i="3" s="1"/>
  <c r="E216" i="3"/>
  <c r="F216" i="3" s="1"/>
  <c r="E217" i="3"/>
  <c r="F217" i="3" s="1"/>
  <c r="E219" i="3"/>
  <c r="F219" i="3" s="1"/>
  <c r="E221" i="3"/>
  <c r="F221" i="3" s="1"/>
  <c r="E222" i="3"/>
  <c r="F222" i="3" s="1"/>
  <c r="E223" i="3"/>
  <c r="F223" i="3" s="1"/>
  <c r="E224" i="3"/>
  <c r="F224" i="3" s="1"/>
  <c r="E227" i="3"/>
  <c r="F227" i="3" s="1"/>
  <c r="E228" i="3"/>
  <c r="F228" i="3" s="1"/>
  <c r="E231" i="3"/>
  <c r="F231" i="3" s="1"/>
  <c r="E232" i="3"/>
  <c r="F232" i="3" s="1"/>
  <c r="E235" i="3"/>
  <c r="F235" i="3" s="1"/>
  <c r="E236" i="3"/>
  <c r="F236" i="3" s="1"/>
  <c r="E237" i="3"/>
  <c r="F237" i="3" s="1"/>
  <c r="E239" i="3"/>
  <c r="F239" i="3" s="1"/>
  <c r="E240" i="3"/>
  <c r="F240" i="3" s="1"/>
  <c r="E241" i="3"/>
  <c r="F241" i="3" s="1"/>
  <c r="E243" i="3"/>
  <c r="F243" i="3" s="1"/>
  <c r="E244" i="3"/>
  <c r="F244" i="3" s="1"/>
  <c r="E245" i="3"/>
  <c r="F245" i="3" s="1"/>
  <c r="E246" i="3"/>
  <c r="F246" i="3" s="1"/>
  <c r="E247" i="3"/>
  <c r="F247" i="3" s="1"/>
  <c r="E248" i="3"/>
  <c r="F248" i="3" s="1"/>
  <c r="E249" i="3"/>
  <c r="F249" i="3" s="1"/>
  <c r="E251" i="3"/>
  <c r="F251" i="3" s="1"/>
  <c r="E252" i="3"/>
  <c r="F252" i="3" s="1"/>
  <c r="E255" i="3"/>
  <c r="E256" i="3"/>
  <c r="E259" i="3"/>
  <c r="E260" i="3"/>
  <c r="E261" i="3"/>
  <c r="E263" i="3"/>
  <c r="E264" i="3"/>
  <c r="E265" i="3"/>
  <c r="E267" i="3"/>
  <c r="E270" i="3"/>
  <c r="E271" i="3"/>
  <c r="E272" i="3"/>
  <c r="E275" i="3"/>
  <c r="E276" i="3"/>
  <c r="E277" i="3"/>
  <c r="E278" i="3"/>
  <c r="E279" i="3"/>
  <c r="E280" i="3"/>
  <c r="E284" i="3"/>
  <c r="E286" i="3"/>
  <c r="E287" i="3"/>
  <c r="E288" i="3"/>
  <c r="E289" i="3"/>
  <c r="E291" i="3"/>
  <c r="E292" i="3"/>
  <c r="E295" i="3"/>
  <c r="E296" i="3"/>
  <c r="E300" i="3"/>
  <c r="E301" i="3"/>
  <c r="E302" i="3"/>
  <c r="E303" i="3"/>
  <c r="E304" i="3"/>
  <c r="E307" i="3"/>
  <c r="E309" i="3"/>
  <c r="E311" i="3"/>
  <c r="E312" i="3"/>
  <c r="E315" i="3"/>
  <c r="E319" i="3"/>
  <c r="E320" i="3"/>
  <c r="E323" i="3"/>
  <c r="E327" i="3"/>
  <c r="E328" i="3"/>
  <c r="E329" i="3"/>
  <c r="E331" i="3"/>
  <c r="E334" i="3"/>
  <c r="E335" i="3"/>
  <c r="E336" i="3"/>
  <c r="E339" i="3"/>
  <c r="E342" i="3"/>
  <c r="E343" i="3"/>
  <c r="E344" i="3"/>
  <c r="E345" i="3"/>
  <c r="E347" i="3"/>
  <c r="E348" i="3"/>
  <c r="E351" i="3"/>
  <c r="E352" i="3"/>
  <c r="E356" i="3"/>
  <c r="E358" i="3"/>
  <c r="E359" i="3"/>
  <c r="E360" i="3"/>
  <c r="E363" i="3"/>
  <c r="E364" i="3"/>
  <c r="E367" i="3"/>
  <c r="E368" i="3"/>
  <c r="E369" i="3"/>
  <c r="E371" i="3"/>
  <c r="E372" i="3"/>
  <c r="E374" i="3"/>
  <c r="E375" i="3"/>
  <c r="E376" i="3"/>
  <c r="E377" i="3"/>
  <c r="E380" i="3"/>
  <c r="E383" i="3"/>
  <c r="E384" i="3"/>
  <c r="E385" i="3"/>
  <c r="E391" i="3"/>
  <c r="E392" i="3"/>
  <c r="E393" i="3"/>
  <c r="E395" i="3"/>
  <c r="AU16" i="3"/>
  <c r="AS30" i="3" s="1"/>
  <c r="AU17" i="3"/>
  <c r="AT31" i="3" s="1"/>
  <c r="AU18" i="3"/>
  <c r="AM32" i="3" s="1"/>
  <c r="AU20" i="3"/>
  <c r="AN34" i="3" s="1"/>
  <c r="AU21" i="3"/>
  <c r="AO35" i="3" s="1"/>
  <c r="AU22" i="3"/>
  <c r="AP36" i="3" s="1"/>
  <c r="AU23" i="3"/>
  <c r="AQ37" i="3" s="1"/>
  <c r="AU15" i="3"/>
  <c r="AQ29" i="3" s="1"/>
  <c r="AQ82" i="5"/>
  <c r="AQ81" i="5"/>
  <c r="AQ80" i="5"/>
  <c r="AQ79" i="5"/>
  <c r="AO78" i="5"/>
  <c r="AP78" i="5" s="1"/>
  <c r="AQ78" i="5" s="1"/>
  <c r="AO77" i="5"/>
  <c r="AP77" i="5" s="1"/>
  <c r="AQ77" i="5" s="1"/>
  <c r="AO76" i="5"/>
  <c r="AP76" i="5" s="1"/>
  <c r="AQ76" i="5" s="1"/>
  <c r="AO75" i="5"/>
  <c r="AP75" i="5" s="1"/>
  <c r="AQ75" i="5" s="1"/>
  <c r="AO74" i="5"/>
  <c r="AP74" i="5" s="1"/>
  <c r="AQ74" i="5" s="1"/>
  <c r="AO73" i="5"/>
  <c r="AP73" i="5" s="1"/>
  <c r="AQ73" i="5" s="1"/>
  <c r="AQ72" i="5"/>
  <c r="AO71" i="5"/>
  <c r="AP71" i="5" s="1"/>
  <c r="AQ71" i="5" s="1"/>
  <c r="AO70" i="5"/>
  <c r="AP70" i="5" s="1"/>
  <c r="AQ70" i="5" s="1"/>
  <c r="AO69" i="5"/>
  <c r="AP69" i="5" s="1"/>
  <c r="AQ69" i="5" s="1"/>
  <c r="AO68" i="5"/>
  <c r="AP68" i="5" s="1"/>
  <c r="AQ68" i="5" s="1"/>
  <c r="AP67" i="5"/>
  <c r="AQ67" i="5" s="1"/>
  <c r="AO67" i="5"/>
  <c r="AO66" i="5"/>
  <c r="AP66" i="5" s="1"/>
  <c r="AQ66" i="5" s="1"/>
  <c r="AO65" i="5"/>
  <c r="AP65" i="5" s="1"/>
  <c r="AQ65" i="5" s="1"/>
  <c r="AO64" i="5"/>
  <c r="AP64" i="5" s="1"/>
  <c r="AQ64" i="5" s="1"/>
  <c r="AO63" i="5"/>
  <c r="AP63" i="5" s="1"/>
  <c r="AQ63" i="5" s="1"/>
  <c r="AO62" i="5"/>
  <c r="AP62" i="5" s="1"/>
  <c r="AQ62" i="5" s="1"/>
  <c r="AO61" i="5"/>
  <c r="AP61" i="5" s="1"/>
  <c r="AQ61" i="5" s="1"/>
  <c r="AO60" i="5"/>
  <c r="AP60" i="5" s="1"/>
  <c r="AQ60" i="5" s="1"/>
  <c r="AO59" i="5"/>
  <c r="AP59" i="5" s="1"/>
  <c r="AQ59" i="5" s="1"/>
  <c r="AO58" i="5"/>
  <c r="AP58" i="5" s="1"/>
  <c r="AQ58" i="5" s="1"/>
  <c r="AO57" i="5"/>
  <c r="AP57" i="5" s="1"/>
  <c r="AQ57" i="5" s="1"/>
  <c r="AO56" i="5"/>
  <c r="AP56" i="5" s="1"/>
  <c r="AQ56" i="5" s="1"/>
  <c r="AQ55" i="5"/>
  <c r="AQ54" i="5"/>
  <c r="AQ53" i="5"/>
  <c r="AQ52" i="5"/>
  <c r="AQ51" i="5"/>
  <c r="AO51" i="5"/>
  <c r="AQ50" i="5"/>
  <c r="AO50" i="5"/>
  <c r="AQ49" i="5"/>
  <c r="AO49" i="5"/>
  <c r="AQ48" i="5"/>
  <c r="AO48" i="5"/>
  <c r="AQ47" i="5"/>
  <c r="AO47" i="5"/>
  <c r="AO46" i="5"/>
  <c r="AP46" i="5" s="1"/>
  <c r="AQ46" i="5" s="1"/>
  <c r="AQ45" i="5"/>
  <c r="AQ44" i="5"/>
  <c r="AO44" i="5"/>
  <c r="AQ43" i="5"/>
  <c r="AO43" i="5"/>
  <c r="AQ42" i="5"/>
  <c r="AO42" i="5"/>
  <c r="AQ41" i="5"/>
  <c r="AO41" i="5"/>
  <c r="AQ40" i="5"/>
  <c r="AO40" i="5"/>
  <c r="AQ39" i="5"/>
  <c r="AO39" i="5"/>
  <c r="AO38" i="5"/>
  <c r="AP38" i="5" s="1"/>
  <c r="AQ38" i="5" s="1"/>
  <c r="AO37" i="5"/>
  <c r="AP37" i="5" s="1"/>
  <c r="AQ37" i="5" s="1"/>
  <c r="AO36" i="5"/>
  <c r="AP36" i="5" s="1"/>
  <c r="AQ36" i="5" s="1"/>
  <c r="AQ35" i="5"/>
  <c r="AO35" i="5"/>
  <c r="AQ34" i="5"/>
  <c r="AO34" i="5"/>
  <c r="AO33" i="5"/>
  <c r="AP33" i="5" s="1"/>
  <c r="AQ33" i="5" s="1"/>
  <c r="AO32" i="5"/>
  <c r="AP32" i="5" s="1"/>
  <c r="AQ32" i="5" s="1"/>
  <c r="AO31" i="5"/>
  <c r="AP31" i="5" s="1"/>
  <c r="AQ31" i="5" s="1"/>
  <c r="AO30" i="5"/>
  <c r="AP30" i="5" s="1"/>
  <c r="AQ30" i="5" s="1"/>
  <c r="AO29" i="5"/>
  <c r="AP29" i="5" s="1"/>
  <c r="AQ29" i="5" s="1"/>
  <c r="AQ28" i="5"/>
  <c r="X28" i="5"/>
  <c r="Y28" i="5" s="1"/>
  <c r="Z28" i="5" s="1"/>
  <c r="AQ27" i="5"/>
  <c r="X27" i="5"/>
  <c r="Y27" i="5" s="1"/>
  <c r="Z27" i="5" s="1"/>
  <c r="AQ26" i="5"/>
  <c r="X26" i="5"/>
  <c r="Y26" i="5" s="1"/>
  <c r="Z26" i="5" s="1"/>
  <c r="AQ25" i="5"/>
  <c r="X25" i="5"/>
  <c r="Y25" i="5" s="1"/>
  <c r="Z25" i="5" s="1"/>
  <c r="AO24" i="5"/>
  <c r="AP24" i="5" s="1"/>
  <c r="AQ24" i="5" s="1"/>
  <c r="X24" i="5"/>
  <c r="Y24" i="5" s="1"/>
  <c r="Z24" i="5" s="1"/>
  <c r="AO23" i="5"/>
  <c r="AP23" i="5" s="1"/>
  <c r="AQ23" i="5" s="1"/>
  <c r="X23" i="5"/>
  <c r="Y23" i="5" s="1"/>
  <c r="Z23" i="5" s="1"/>
  <c r="AO22" i="5"/>
  <c r="AP22" i="5" s="1"/>
  <c r="AQ22" i="5" s="1"/>
  <c r="X22" i="5"/>
  <c r="Y22" i="5" s="1"/>
  <c r="Z22" i="5" s="1"/>
  <c r="AO21" i="5"/>
  <c r="AP21" i="5" s="1"/>
  <c r="AQ21" i="5" s="1"/>
  <c r="X21" i="5"/>
  <c r="Y21" i="5" s="1"/>
  <c r="Z21" i="5" s="1"/>
  <c r="AO20" i="5"/>
  <c r="AP20" i="5" s="1"/>
  <c r="AQ20" i="5" s="1"/>
  <c r="X20" i="5"/>
  <c r="Y20" i="5" s="1"/>
  <c r="Z20" i="5" s="1"/>
  <c r="AO19" i="5"/>
  <c r="AP19" i="5" s="1"/>
  <c r="AQ19" i="5" s="1"/>
  <c r="Z19" i="5"/>
  <c r="X19" i="5"/>
  <c r="AQ18" i="5"/>
  <c r="X18" i="5"/>
  <c r="Y18" i="5" s="1"/>
  <c r="Z18" i="5" s="1"/>
  <c r="AQ17" i="5"/>
  <c r="AO17" i="5"/>
  <c r="Z17" i="5"/>
  <c r="X17" i="5"/>
  <c r="AO16" i="5"/>
  <c r="AP16" i="5" s="1"/>
  <c r="AQ16" i="5" s="1"/>
  <c r="X16" i="5"/>
  <c r="Y16" i="5" s="1"/>
  <c r="Z16" i="5" s="1"/>
  <c r="E16" i="5"/>
  <c r="F16" i="5" s="1"/>
  <c r="G16" i="5" s="1"/>
  <c r="AQ15" i="5"/>
  <c r="AO15" i="5"/>
  <c r="Z15" i="5"/>
  <c r="X15" i="5"/>
  <c r="E15" i="5"/>
  <c r="F15" i="5" s="1"/>
  <c r="G15" i="5" s="1"/>
  <c r="E21" i="5" s="1"/>
  <c r="AQ14" i="5"/>
  <c r="AO14" i="5"/>
  <c r="X14" i="5"/>
  <c r="Y14" i="5" s="1"/>
  <c r="Z14" i="5" s="1"/>
  <c r="E14" i="5"/>
  <c r="F14" i="5" s="1"/>
  <c r="G14" i="5" s="1"/>
  <c r="AQ13" i="5"/>
  <c r="AO13" i="5"/>
  <c r="X13" i="5"/>
  <c r="Y13" i="5" s="1"/>
  <c r="Z13" i="5" s="1"/>
  <c r="AO12" i="5"/>
  <c r="AP12" i="5" s="1"/>
  <c r="AQ12" i="5" s="1"/>
  <c r="Z12" i="5"/>
  <c r="X12" i="5"/>
  <c r="AO11" i="5"/>
  <c r="AP11" i="5" s="1"/>
  <c r="AQ11" i="5" s="1"/>
  <c r="X11" i="5"/>
  <c r="Y11" i="5" s="1"/>
  <c r="Z11" i="5" s="1"/>
  <c r="AQ10" i="5"/>
  <c r="AO10" i="5"/>
  <c r="X10" i="5"/>
  <c r="Y10" i="5" s="1"/>
  <c r="Z10" i="5" s="1"/>
  <c r="J10" i="5"/>
  <c r="K10" i="5" s="1"/>
  <c r="L10" i="5" s="1"/>
  <c r="AO9" i="5"/>
  <c r="AP9" i="5" s="1"/>
  <c r="AQ9" i="5" s="1"/>
  <c r="X9" i="5"/>
  <c r="Y9" i="5" s="1"/>
  <c r="Z9" i="5" s="1"/>
  <c r="J9" i="5"/>
  <c r="K9" i="5" s="1"/>
  <c r="L9" i="5" s="1"/>
  <c r="AO8" i="5"/>
  <c r="AP8" i="5" s="1"/>
  <c r="AQ8" i="5" s="1"/>
  <c r="X8" i="5"/>
  <c r="Y8" i="5" s="1"/>
  <c r="Z8" i="5" s="1"/>
  <c r="J8" i="5"/>
  <c r="K8" i="5" s="1"/>
  <c r="L8" i="5" s="1"/>
  <c r="AO7" i="5"/>
  <c r="AP7" i="5" s="1"/>
  <c r="AQ7" i="5" s="1"/>
  <c r="X7" i="5"/>
  <c r="Y7" i="5" s="1"/>
  <c r="Z7" i="5" s="1"/>
  <c r="J7" i="5"/>
  <c r="K7" i="5" s="1"/>
  <c r="L7" i="5" s="1"/>
  <c r="AO6" i="5"/>
  <c r="AP6" i="5" s="1"/>
  <c r="AQ6" i="5" s="1"/>
  <c r="Z6" i="5"/>
  <c r="X6" i="5"/>
  <c r="J6" i="5"/>
  <c r="K6" i="5" s="1"/>
  <c r="L6" i="5" s="1"/>
  <c r="AO5" i="5"/>
  <c r="AP5" i="5" s="1"/>
  <c r="AQ5" i="5" s="1"/>
  <c r="X5" i="5"/>
  <c r="Y5" i="5" s="1"/>
  <c r="Z5" i="5" s="1"/>
  <c r="J5" i="5"/>
  <c r="K5" i="5" s="1"/>
  <c r="L5" i="5" s="1"/>
  <c r="AO4" i="5"/>
  <c r="AP4" i="5" s="1"/>
  <c r="AQ4" i="5" s="1"/>
  <c r="X4" i="5"/>
  <c r="Y4" i="5" s="1"/>
  <c r="Z4" i="5" s="1"/>
  <c r="J4" i="5"/>
  <c r="K4" i="5" s="1"/>
  <c r="L4" i="5" s="1"/>
  <c r="AO3" i="5"/>
  <c r="AP3" i="5" s="1"/>
  <c r="AQ3" i="5" s="1"/>
  <c r="X3" i="5"/>
  <c r="Y3" i="5" s="1"/>
  <c r="Z3" i="5" s="1"/>
  <c r="J3" i="5"/>
  <c r="K3" i="5" s="1"/>
  <c r="L3" i="5" s="1"/>
  <c r="AO2" i="5"/>
  <c r="AP2" i="5" s="1"/>
  <c r="AQ2" i="5" s="1"/>
  <c r="X2" i="5"/>
  <c r="Y2" i="5" s="1"/>
  <c r="Z2" i="5" s="1"/>
  <c r="J2" i="5"/>
  <c r="K2" i="5" s="1"/>
  <c r="L2" i="5" s="1"/>
  <c r="L12" i="5" s="1"/>
  <c r="E24" i="7" l="1"/>
  <c r="G24" i="7" s="1"/>
  <c r="E55" i="7"/>
  <c r="G55" i="7" s="1"/>
  <c r="E72" i="7"/>
  <c r="G72" i="7" s="1"/>
  <c r="E142" i="7"/>
  <c r="E37" i="7"/>
  <c r="G37" i="7" s="1"/>
  <c r="E14" i="7"/>
  <c r="G14" i="7" s="1"/>
  <c r="E21" i="7"/>
  <c r="G21" i="7" s="1"/>
  <c r="E31" i="7"/>
  <c r="G31" i="7" s="1"/>
  <c r="E35" i="7"/>
  <c r="G35" i="7" s="1"/>
  <c r="E42" i="7"/>
  <c r="G42" i="7" s="1"/>
  <c r="E45" i="7"/>
  <c r="G45" i="7" s="1"/>
  <c r="E69" i="7"/>
  <c r="G69" i="7" s="1"/>
  <c r="E85" i="7"/>
  <c r="G85" i="7" s="1"/>
  <c r="E109" i="7"/>
  <c r="G109" i="7" s="1"/>
  <c r="E135" i="7"/>
  <c r="E15" i="7"/>
  <c r="G15" i="7" s="1"/>
  <c r="E26" i="7"/>
  <c r="G26" i="7" s="1"/>
  <c r="E50" i="7"/>
  <c r="G50" i="7" s="1"/>
  <c r="E63" i="7"/>
  <c r="G63" i="7" s="1"/>
  <c r="E67" i="7"/>
  <c r="G67" i="7" s="1"/>
  <c r="E90" i="7"/>
  <c r="G90" i="7" s="1"/>
  <c r="E93" i="7"/>
  <c r="G93" i="7" s="1"/>
  <c r="E107" i="7"/>
  <c r="G107" i="7" s="1"/>
  <c r="E114" i="7"/>
  <c r="G114" i="7" s="1"/>
  <c r="E120" i="7"/>
  <c r="G120" i="7" s="1"/>
  <c r="E147" i="7"/>
  <c r="E30" i="7"/>
  <c r="G30" i="7" s="1"/>
  <c r="E16" i="7"/>
  <c r="G16" i="7" s="1"/>
  <c r="E58" i="7"/>
  <c r="G58" i="7" s="1"/>
  <c r="E64" i="7"/>
  <c r="G64" i="7" s="1"/>
  <c r="E134" i="7"/>
  <c r="I280" i="2"/>
  <c r="L279" i="2"/>
  <c r="O279" i="2"/>
  <c r="I279" i="2"/>
  <c r="M279" i="2"/>
  <c r="J280" i="2"/>
  <c r="K279" i="2"/>
  <c r="N279" i="2"/>
  <c r="N280" i="2"/>
  <c r="M256" i="2"/>
  <c r="M294" i="2"/>
  <c r="O295" i="2"/>
  <c r="O270" i="2"/>
  <c r="N272" i="2"/>
  <c r="N271" i="2"/>
  <c r="M271" i="2"/>
  <c r="L256" i="2"/>
  <c r="E366" i="2"/>
  <c r="F366" i="2" s="1"/>
  <c r="E342" i="2"/>
  <c r="F342" i="2" s="1"/>
  <c r="E334" i="2"/>
  <c r="F334" i="2" s="1"/>
  <c r="K335" i="2" s="1"/>
  <c r="E326" i="2"/>
  <c r="F326" i="2" s="1"/>
  <c r="E310" i="2"/>
  <c r="F310" i="2" s="1"/>
  <c r="E302" i="2"/>
  <c r="F302" i="2" s="1"/>
  <c r="L302" i="2" s="1"/>
  <c r="E262" i="2"/>
  <c r="F262" i="2" s="1"/>
  <c r="N360" i="2"/>
  <c r="G359" i="2"/>
  <c r="L352" i="2"/>
  <c r="K311" i="2"/>
  <c r="O387" i="2"/>
  <c r="I387" i="2"/>
  <c r="M387" i="2"/>
  <c r="N387" i="2"/>
  <c r="N264" i="2"/>
  <c r="J265" i="2"/>
  <c r="L264" i="2"/>
  <c r="O264" i="2"/>
  <c r="L318" i="2"/>
  <c r="E374" i="2"/>
  <c r="F374" i="2" s="1"/>
  <c r="E286" i="2"/>
  <c r="F286" i="2" s="1"/>
  <c r="N371" i="2"/>
  <c r="M307" i="2"/>
  <c r="K280" i="2"/>
  <c r="J306" i="2"/>
  <c r="I306" i="2"/>
  <c r="O385" i="2"/>
  <c r="N384" i="2"/>
  <c r="G344" i="2"/>
  <c r="J345" i="2"/>
  <c r="O344" i="2"/>
  <c r="J344" i="2"/>
  <c r="N344" i="2"/>
  <c r="K344" i="2"/>
  <c r="L296" i="2"/>
  <c r="K379" i="2"/>
  <c r="L337" i="2"/>
  <c r="H337" i="2"/>
  <c r="E389" i="2"/>
  <c r="F389" i="2" s="1"/>
  <c r="L278" i="2"/>
  <c r="K309" i="2"/>
  <c r="N308" i="2"/>
  <c r="O272" i="2"/>
  <c r="N312" i="2"/>
  <c r="L344" i="2"/>
  <c r="K387" i="2"/>
  <c r="N288" i="2"/>
  <c r="M331" i="2"/>
  <c r="I331" i="2"/>
  <c r="N292" i="2"/>
  <c r="I291" i="2"/>
  <c r="N283" i="2"/>
  <c r="O283" i="2"/>
  <c r="O256" i="2"/>
  <c r="G256" i="2"/>
  <c r="N256" i="2"/>
  <c r="N299" i="2"/>
  <c r="O299" i="2"/>
  <c r="L299" i="2"/>
  <c r="K299" i="2"/>
  <c r="M299" i="2"/>
  <c r="O312" i="2"/>
  <c r="N359" i="2"/>
  <c r="K278" i="2"/>
  <c r="G324" i="2"/>
  <c r="O323" i="2"/>
  <c r="G280" i="2"/>
  <c r="L280" i="2"/>
  <c r="O280" i="2"/>
  <c r="L281" i="2"/>
  <c r="O281" i="2"/>
  <c r="M280" i="2"/>
  <c r="H280" i="2"/>
  <c r="H394" i="2"/>
  <c r="J394" i="2"/>
  <c r="L330" i="2"/>
  <c r="M330" i="2"/>
  <c r="K330" i="2"/>
  <c r="H330" i="2"/>
  <c r="M351" i="2"/>
  <c r="G351" i="2"/>
  <c r="N351" i="2"/>
  <c r="L312" i="2"/>
  <c r="M311" i="2"/>
  <c r="H312" i="2"/>
  <c r="G311" i="2"/>
  <c r="G312" i="2"/>
  <c r="I257" i="2"/>
  <c r="O320" i="2"/>
  <c r="I321" i="2"/>
  <c r="N320" i="2"/>
  <c r="G320" i="2"/>
  <c r="O392" i="2"/>
  <c r="I371" i="2"/>
  <c r="K371" i="2"/>
  <c r="M370" i="2"/>
  <c r="M371" i="2"/>
  <c r="N370" i="2"/>
  <c r="G352" i="2"/>
  <c r="M353" i="2"/>
  <c r="M352" i="2"/>
  <c r="O352" i="2"/>
  <c r="N307" i="2"/>
  <c r="N306" i="2"/>
  <c r="O307" i="2"/>
  <c r="J378" i="2"/>
  <c r="N378" i="2"/>
  <c r="L378" i="2"/>
  <c r="N339" i="2"/>
  <c r="O339" i="2"/>
  <c r="K339" i="2"/>
  <c r="L338" i="2"/>
  <c r="I339" i="2"/>
  <c r="I338" i="2"/>
  <c r="L339" i="2"/>
  <c r="M338" i="2"/>
  <c r="J322" i="2"/>
  <c r="K322" i="2"/>
  <c r="N322" i="2"/>
  <c r="L314" i="2"/>
  <c r="M314" i="2"/>
  <c r="J282" i="2"/>
  <c r="L282" i="2"/>
  <c r="M259" i="2"/>
  <c r="J258" i="2"/>
  <c r="L258" i="2"/>
  <c r="M258" i="2"/>
  <c r="H258" i="2"/>
  <c r="M393" i="2"/>
  <c r="L353" i="2"/>
  <c r="O321" i="2"/>
  <c r="O305" i="2"/>
  <c r="M281" i="2"/>
  <c r="L265" i="2"/>
  <c r="J257" i="2"/>
  <c r="G383" i="2"/>
  <c r="M383" i="2"/>
  <c r="N383" i="2"/>
  <c r="K383" i="2"/>
  <c r="L376" i="2"/>
  <c r="O376" i="2"/>
  <c r="H376" i="2"/>
  <c r="I376" i="2"/>
  <c r="M375" i="2"/>
  <c r="M376" i="2"/>
  <c r="K295" i="2"/>
  <c r="M295" i="2"/>
  <c r="I295" i="2"/>
  <c r="O311" i="2"/>
  <c r="M344" i="2"/>
  <c r="O360" i="2"/>
  <c r="N352" i="2"/>
  <c r="N296" i="2"/>
  <c r="M379" i="2"/>
  <c r="M339" i="2"/>
  <c r="L370" i="2"/>
  <c r="L320" i="2"/>
  <c r="K346" i="2"/>
  <c r="N315" i="2"/>
  <c r="N368" i="2"/>
  <c r="O368" i="2"/>
  <c r="N319" i="2"/>
  <c r="G319" i="2"/>
  <c r="K287" i="2"/>
  <c r="N287" i="2"/>
  <c r="M386" i="2"/>
  <c r="N386" i="2"/>
  <c r="K386" i="2"/>
  <c r="L386" i="2"/>
  <c r="O296" i="2"/>
  <c r="N392" i="2"/>
  <c r="N338" i="2"/>
  <c r="N295" i="2"/>
  <c r="M378" i="2"/>
  <c r="M322" i="2"/>
  <c r="M282" i="2"/>
  <c r="L311" i="2"/>
  <c r="K315" i="2"/>
  <c r="I388" i="2"/>
  <c r="H344" i="2"/>
  <c r="G295" i="2"/>
  <c r="H272" i="2"/>
  <c r="E381" i="2"/>
  <c r="F381" i="2" s="1"/>
  <c r="I381" i="2" s="1"/>
  <c r="E349" i="2"/>
  <c r="F349" i="2" s="1"/>
  <c r="H350" i="2" s="1"/>
  <c r="E325" i="2"/>
  <c r="F325" i="2" s="1"/>
  <c r="J326" i="2" s="1"/>
  <c r="E293" i="2"/>
  <c r="F293" i="2" s="1"/>
  <c r="E269" i="2"/>
  <c r="F269" i="2" s="1"/>
  <c r="J356" i="2"/>
  <c r="J332" i="2"/>
  <c r="O269" i="2"/>
  <c r="O393" i="2"/>
  <c r="O265" i="2"/>
  <c r="N290" i="2"/>
  <c r="N275" i="2"/>
  <c r="M265" i="2"/>
  <c r="L362" i="2"/>
  <c r="L305" i="2"/>
  <c r="K274" i="2"/>
  <c r="I377" i="2"/>
  <c r="H393" i="2"/>
  <c r="G361" i="2"/>
  <c r="G272" i="2"/>
  <c r="E373" i="2"/>
  <c r="F373" i="2" s="1"/>
  <c r="E341" i="2"/>
  <c r="F341" i="2" s="1"/>
  <c r="N341" i="2" s="1"/>
  <c r="E317" i="2"/>
  <c r="F317" i="2" s="1"/>
  <c r="K317" i="2" s="1"/>
  <c r="E285" i="2"/>
  <c r="F285" i="2" s="1"/>
  <c r="N316" i="2"/>
  <c r="N274" i="2"/>
  <c r="M354" i="2"/>
  <c r="M337" i="2"/>
  <c r="M315" i="2"/>
  <c r="M298" i="2"/>
  <c r="L361" i="2"/>
  <c r="K298" i="2"/>
  <c r="J353" i="2"/>
  <c r="J297" i="2"/>
  <c r="J266" i="2"/>
  <c r="E365" i="2"/>
  <c r="F365" i="2" s="1"/>
  <c r="O364" i="2"/>
  <c r="E333" i="2"/>
  <c r="F333" i="2" s="1"/>
  <c r="O377" i="2"/>
  <c r="O363" i="2"/>
  <c r="O315" i="2"/>
  <c r="O257" i="2"/>
  <c r="N362" i="2"/>
  <c r="N284" i="2"/>
  <c r="M313" i="2"/>
  <c r="L313" i="2"/>
  <c r="L297" i="2"/>
  <c r="K290" i="2"/>
  <c r="I369" i="2"/>
  <c r="I313" i="2"/>
  <c r="I268" i="2"/>
  <c r="H362" i="2"/>
  <c r="G396" i="2"/>
  <c r="E357" i="2"/>
  <c r="F357" i="2" s="1"/>
  <c r="L357" i="2" s="1"/>
  <c r="M297" i="2"/>
  <c r="O361" i="2"/>
  <c r="O297" i="2"/>
  <c r="M257" i="2"/>
  <c r="L257" i="2"/>
  <c r="K363" i="2"/>
  <c r="H343" i="2"/>
  <c r="J343" i="2"/>
  <c r="G343" i="2"/>
  <c r="K343" i="2"/>
  <c r="O343" i="2"/>
  <c r="L343" i="2"/>
  <c r="N343" i="2"/>
  <c r="L342" i="2"/>
  <c r="M343" i="2"/>
  <c r="H342" i="2"/>
  <c r="I343" i="2"/>
  <c r="H373" i="2"/>
  <c r="J385" i="2"/>
  <c r="I277" i="2"/>
  <c r="G277" i="2"/>
  <c r="H277" i="2"/>
  <c r="N277" i="2"/>
  <c r="M277" i="2"/>
  <c r="L277" i="2"/>
  <c r="J277" i="2"/>
  <c r="O277" i="2"/>
  <c r="K277" i="2"/>
  <c r="H391" i="2"/>
  <c r="J391" i="2"/>
  <c r="I391" i="2"/>
  <c r="O391" i="2"/>
  <c r="L391" i="2"/>
  <c r="K391" i="2"/>
  <c r="M391" i="2"/>
  <c r="G391" i="2"/>
  <c r="L390" i="2"/>
  <c r="N391" i="2"/>
  <c r="H367" i="2"/>
  <c r="G367" i="2"/>
  <c r="J367" i="2"/>
  <c r="I367" i="2"/>
  <c r="K367" i="2"/>
  <c r="O367" i="2"/>
  <c r="L367" i="2"/>
  <c r="M367" i="2"/>
  <c r="N367" i="2"/>
  <c r="K366" i="2"/>
  <c r="M366" i="2"/>
  <c r="L366" i="2"/>
  <c r="I341" i="2"/>
  <c r="G341" i="2"/>
  <c r="M340" i="2"/>
  <c r="L340" i="2"/>
  <c r="M341" i="2"/>
  <c r="G340" i="2"/>
  <c r="K341" i="2"/>
  <c r="J341" i="2"/>
  <c r="L341" i="2"/>
  <c r="N340" i="2"/>
  <c r="O341" i="2"/>
  <c r="J340" i="2"/>
  <c r="O340" i="2"/>
  <c r="L325" i="2"/>
  <c r="I301" i="2"/>
  <c r="H301" i="2"/>
  <c r="K300" i="2"/>
  <c r="M300" i="2"/>
  <c r="I300" i="2"/>
  <c r="J300" i="2"/>
  <c r="L300" i="2"/>
  <c r="M301" i="2"/>
  <c r="G301" i="2"/>
  <c r="K301" i="2"/>
  <c r="N300" i="2"/>
  <c r="N301" i="2"/>
  <c r="O300" i="2"/>
  <c r="L301" i="2"/>
  <c r="J301" i="2"/>
  <c r="H327" i="2"/>
  <c r="J327" i="2"/>
  <c r="G327" i="2"/>
  <c r="O327" i="2"/>
  <c r="L327" i="2"/>
  <c r="I327" i="2"/>
  <c r="M327" i="2"/>
  <c r="K327" i="2"/>
  <c r="N327" i="2"/>
  <c r="K390" i="2"/>
  <c r="H335" i="2"/>
  <c r="I335" i="2"/>
  <c r="J335" i="2"/>
  <c r="G335" i="2"/>
  <c r="O335" i="2"/>
  <c r="L335" i="2"/>
  <c r="M335" i="2"/>
  <c r="N335" i="2"/>
  <c r="K334" i="2"/>
  <c r="G326" i="2"/>
  <c r="H326" i="2"/>
  <c r="I326" i="2"/>
  <c r="N326" i="2"/>
  <c r="M326" i="2"/>
  <c r="O326" i="2"/>
  <c r="L326" i="2"/>
  <c r="K326" i="2"/>
  <c r="O342" i="2"/>
  <c r="G300" i="2"/>
  <c r="I336" i="2"/>
  <c r="K336" i="2"/>
  <c r="J336" i="2"/>
  <c r="G336" i="2"/>
  <c r="H336" i="2"/>
  <c r="M336" i="2"/>
  <c r="L336" i="2"/>
  <c r="O336" i="2"/>
  <c r="N336" i="2"/>
  <c r="H348" i="2"/>
  <c r="G348" i="2"/>
  <c r="K348" i="2"/>
  <c r="J348" i="2"/>
  <c r="M348" i="2"/>
  <c r="L348" i="2"/>
  <c r="I348" i="2"/>
  <c r="M347" i="2"/>
  <c r="O347" i="2"/>
  <c r="O348" i="2"/>
  <c r="N347" i="2"/>
  <c r="K347" i="2"/>
  <c r="N348" i="2"/>
  <c r="K385" i="2"/>
  <c r="G385" i="2"/>
  <c r="I385" i="2"/>
  <c r="N385" i="2"/>
  <c r="O384" i="2"/>
  <c r="H385" i="2"/>
  <c r="G384" i="2"/>
  <c r="L385" i="2"/>
  <c r="M385" i="2"/>
  <c r="I384" i="2"/>
  <c r="G374" i="2"/>
  <c r="I374" i="2"/>
  <c r="J374" i="2"/>
  <c r="N374" i="2"/>
  <c r="K374" i="2"/>
  <c r="L374" i="2"/>
  <c r="H374" i="2"/>
  <c r="O373" i="2"/>
  <c r="M342" i="2"/>
  <c r="H262" i="2"/>
  <c r="I262" i="2"/>
  <c r="J262" i="2"/>
  <c r="L261" i="2"/>
  <c r="K261" i="2"/>
  <c r="G261" i="2"/>
  <c r="I349" i="2"/>
  <c r="G349" i="2"/>
  <c r="H349" i="2"/>
  <c r="J349" i="2"/>
  <c r="M349" i="2"/>
  <c r="K349" i="2"/>
  <c r="O349" i="2"/>
  <c r="L349" i="2"/>
  <c r="N349" i="2"/>
  <c r="O301" i="2"/>
  <c r="G329" i="2"/>
  <c r="K329" i="2"/>
  <c r="H329" i="2"/>
  <c r="M328" i="2"/>
  <c r="N329" i="2"/>
  <c r="I260" i="2"/>
  <c r="H260" i="2"/>
  <c r="I259" i="2"/>
  <c r="J259" i="2"/>
  <c r="K260" i="2"/>
  <c r="L259" i="2"/>
  <c r="M260" i="2"/>
  <c r="L260" i="2"/>
  <c r="J381" i="2"/>
  <c r="G289" i="2"/>
  <c r="H289" i="2"/>
  <c r="K289" i="2"/>
  <c r="M288" i="2"/>
  <c r="N289" i="2"/>
  <c r="G358" i="2"/>
  <c r="I358" i="2"/>
  <c r="H358" i="2"/>
  <c r="N358" i="2"/>
  <c r="G310" i="2"/>
  <c r="J310" i="2"/>
  <c r="N310" i="2"/>
  <c r="G388" i="2"/>
  <c r="M388" i="2"/>
  <c r="G389" i="2"/>
  <c r="H389" i="2"/>
  <c r="J388" i="2"/>
  <c r="L388" i="2"/>
  <c r="M389" i="2"/>
  <c r="I293" i="2"/>
  <c r="K293" i="2"/>
  <c r="M293" i="2"/>
  <c r="O372" i="2"/>
  <c r="O329" i="2"/>
  <c r="O309" i="2"/>
  <c r="O289" i="2"/>
  <c r="O259" i="2"/>
  <c r="N380" i="2"/>
  <c r="M329" i="2"/>
  <c r="M303" i="2"/>
  <c r="M267" i="2"/>
  <c r="L328" i="2"/>
  <c r="L304" i="2"/>
  <c r="L294" i="2"/>
  <c r="L270" i="2"/>
  <c r="K365" i="2"/>
  <c r="K310" i="2"/>
  <c r="K291" i="2"/>
  <c r="J357" i="2"/>
  <c r="J260" i="2"/>
  <c r="I310" i="2"/>
  <c r="G293" i="2"/>
  <c r="G260" i="2"/>
  <c r="I360" i="2"/>
  <c r="K360" i="2"/>
  <c r="J360" i="2"/>
  <c r="G360" i="2"/>
  <c r="M360" i="2"/>
  <c r="H351" i="2"/>
  <c r="J351" i="2"/>
  <c r="I351" i="2"/>
  <c r="O351" i="2"/>
  <c r="L351" i="2"/>
  <c r="G390" i="2"/>
  <c r="H390" i="2"/>
  <c r="I390" i="2"/>
  <c r="N390" i="2"/>
  <c r="N259" i="2"/>
  <c r="N382" i="2"/>
  <c r="G342" i="2"/>
  <c r="N342" i="2"/>
  <c r="I342" i="2"/>
  <c r="J342" i="2"/>
  <c r="H302" i="2"/>
  <c r="N302" i="2"/>
  <c r="G373" i="2"/>
  <c r="J373" i="2"/>
  <c r="M373" i="2"/>
  <c r="I269" i="2"/>
  <c r="H269" i="2"/>
  <c r="K268" i="2"/>
  <c r="K269" i="2"/>
  <c r="M268" i="2"/>
  <c r="N269" i="2"/>
  <c r="G268" i="2"/>
  <c r="L268" i="2"/>
  <c r="M269" i="2"/>
  <c r="J268" i="2"/>
  <c r="L269" i="2"/>
  <c r="J278" i="2"/>
  <c r="G288" i="2"/>
  <c r="H356" i="2"/>
  <c r="I356" i="2"/>
  <c r="G356" i="2"/>
  <c r="J355" i="2"/>
  <c r="K356" i="2"/>
  <c r="K355" i="2"/>
  <c r="L355" i="2"/>
  <c r="M356" i="2"/>
  <c r="L356" i="2"/>
  <c r="H324" i="2"/>
  <c r="I324" i="2"/>
  <c r="J323" i="2"/>
  <c r="K324" i="2"/>
  <c r="J324" i="2"/>
  <c r="L323" i="2"/>
  <c r="M324" i="2"/>
  <c r="L324" i="2"/>
  <c r="I323" i="2"/>
  <c r="H284" i="2"/>
  <c r="G284" i="2"/>
  <c r="K284" i="2"/>
  <c r="L283" i="2"/>
  <c r="M284" i="2"/>
  <c r="I284" i="2"/>
  <c r="L284" i="2"/>
  <c r="H271" i="2"/>
  <c r="I271" i="2"/>
  <c r="J271" i="2"/>
  <c r="G271" i="2"/>
  <c r="O271" i="2"/>
  <c r="L271" i="2"/>
  <c r="H396" i="2"/>
  <c r="M396" i="2"/>
  <c r="L396" i="2"/>
  <c r="H365" i="2"/>
  <c r="G365" i="2"/>
  <c r="I365" i="2"/>
  <c r="M364" i="2"/>
  <c r="L364" i="2"/>
  <c r="M365" i="2"/>
  <c r="H276" i="2"/>
  <c r="I276" i="2"/>
  <c r="J275" i="2"/>
  <c r="K276" i="2"/>
  <c r="L275" i="2"/>
  <c r="M276" i="2"/>
  <c r="J276" i="2"/>
  <c r="L276" i="2"/>
  <c r="K275" i="2"/>
  <c r="I304" i="2"/>
  <c r="K304" i="2"/>
  <c r="G304" i="2"/>
  <c r="J304" i="2"/>
  <c r="L303" i="2"/>
  <c r="M304" i="2"/>
  <c r="O291" i="2"/>
  <c r="O260" i="2"/>
  <c r="M291" i="2"/>
  <c r="K259" i="2"/>
  <c r="I309" i="2"/>
  <c r="G309" i="2"/>
  <c r="H309" i="2"/>
  <c r="M309" i="2"/>
  <c r="G366" i="2"/>
  <c r="I366" i="2"/>
  <c r="H366" i="2"/>
  <c r="N366" i="2"/>
  <c r="J366" i="2"/>
  <c r="K318" i="2"/>
  <c r="I318" i="2"/>
  <c r="N318" i="2"/>
  <c r="G270" i="2"/>
  <c r="K270" i="2"/>
  <c r="N270" i="2"/>
  <c r="M317" i="2"/>
  <c r="H317" i="2"/>
  <c r="J317" i="2"/>
  <c r="I261" i="2"/>
  <c r="J261" i="2"/>
  <c r="N261" i="2"/>
  <c r="M261" i="2"/>
  <c r="O350" i="2"/>
  <c r="O328" i="2"/>
  <c r="O317" i="2"/>
  <c r="O288" i="2"/>
  <c r="O278" i="2"/>
  <c r="N379" i="2"/>
  <c r="M278" i="2"/>
  <c r="O390" i="2"/>
  <c r="O380" i="2"/>
  <c r="O358" i="2"/>
  <c r="O316" i="2"/>
  <c r="O267" i="2"/>
  <c r="N388" i="2"/>
  <c r="N356" i="2"/>
  <c r="N324" i="2"/>
  <c r="N267" i="2"/>
  <c r="M275" i="2"/>
  <c r="L373" i="2"/>
  <c r="K359" i="2"/>
  <c r="K342" i="2"/>
  <c r="K323" i="2"/>
  <c r="K271" i="2"/>
  <c r="J372" i="2"/>
  <c r="J333" i="2"/>
  <c r="J293" i="2"/>
  <c r="I355" i="2"/>
  <c r="I329" i="2"/>
  <c r="I278" i="2"/>
  <c r="H261" i="2"/>
  <c r="G393" i="2"/>
  <c r="K393" i="2"/>
  <c r="I393" i="2"/>
  <c r="J393" i="2"/>
  <c r="N393" i="2"/>
  <c r="H375" i="2"/>
  <c r="J375" i="2"/>
  <c r="I375" i="2"/>
  <c r="O375" i="2"/>
  <c r="L375" i="2"/>
  <c r="H395" i="2"/>
  <c r="G395" i="2"/>
  <c r="J395" i="2"/>
  <c r="L395" i="2"/>
  <c r="K395" i="2"/>
  <c r="K384" i="2"/>
  <c r="J384" i="2"/>
  <c r="H384" i="2"/>
  <c r="M384" i="2"/>
  <c r="H372" i="2"/>
  <c r="J371" i="2"/>
  <c r="K372" i="2"/>
  <c r="L371" i="2"/>
  <c r="M372" i="2"/>
  <c r="L372" i="2"/>
  <c r="I372" i="2"/>
  <c r="H347" i="2"/>
  <c r="G347" i="2"/>
  <c r="I347" i="2"/>
  <c r="J347" i="2"/>
  <c r="L347" i="2"/>
  <c r="G394" i="2"/>
  <c r="I394" i="2"/>
  <c r="K394" i="2"/>
  <c r="O394" i="2"/>
  <c r="G386" i="2"/>
  <c r="I386" i="2"/>
  <c r="H386" i="2"/>
  <c r="J386" i="2"/>
  <c r="O386" i="2"/>
  <c r="G378" i="2"/>
  <c r="H378" i="2"/>
  <c r="I378" i="2"/>
  <c r="N377" i="2"/>
  <c r="O378" i="2"/>
  <c r="G370" i="2"/>
  <c r="K369" i="2"/>
  <c r="H370" i="2"/>
  <c r="I370" i="2"/>
  <c r="G369" i="2"/>
  <c r="H369" i="2"/>
  <c r="K370" i="2"/>
  <c r="N369" i="2"/>
  <c r="O370" i="2"/>
  <c r="G362" i="2"/>
  <c r="I362" i="2"/>
  <c r="J361" i="2"/>
  <c r="J362" i="2"/>
  <c r="K362" i="2"/>
  <c r="N361" i="2"/>
  <c r="O362" i="2"/>
  <c r="G354" i="2"/>
  <c r="I353" i="2"/>
  <c r="J354" i="2"/>
  <c r="N353" i="2"/>
  <c r="O354" i="2"/>
  <c r="G346" i="2"/>
  <c r="I346" i="2"/>
  <c r="K345" i="2"/>
  <c r="H345" i="2"/>
  <c r="G345" i="2"/>
  <c r="H346" i="2"/>
  <c r="N345" i="2"/>
  <c r="O346" i="2"/>
  <c r="G338" i="2"/>
  <c r="H338" i="2"/>
  <c r="I337" i="2"/>
  <c r="K337" i="2"/>
  <c r="J337" i="2"/>
  <c r="J338" i="2"/>
  <c r="K338" i="2"/>
  <c r="N337" i="2"/>
  <c r="O338" i="2"/>
  <c r="G330" i="2"/>
  <c r="I330" i="2"/>
  <c r="J330" i="2"/>
  <c r="O330" i="2"/>
  <c r="G322" i="2"/>
  <c r="N321" i="2"/>
  <c r="O322" i="2"/>
  <c r="G314" i="2"/>
  <c r="I314" i="2"/>
  <c r="H314" i="2"/>
  <c r="O314" i="2"/>
  <c r="G306" i="2"/>
  <c r="I305" i="2"/>
  <c r="K305" i="2"/>
  <c r="H306" i="2"/>
  <c r="G305" i="2"/>
  <c r="H305" i="2"/>
  <c r="K306" i="2"/>
  <c r="J305" i="2"/>
  <c r="N305" i="2"/>
  <c r="O306" i="2"/>
  <c r="G298" i="2"/>
  <c r="I298" i="2"/>
  <c r="J298" i="2"/>
  <c r="O298" i="2"/>
  <c r="G290" i="2"/>
  <c r="I290" i="2"/>
  <c r="O290" i="2"/>
  <c r="G282" i="2"/>
  <c r="I282" i="2"/>
  <c r="K281" i="2"/>
  <c r="H281" i="2"/>
  <c r="I281" i="2"/>
  <c r="K282" i="2"/>
  <c r="N281" i="2"/>
  <c r="O282" i="2"/>
  <c r="G274" i="2"/>
  <c r="H274" i="2"/>
  <c r="I273" i="2"/>
  <c r="K273" i="2"/>
  <c r="J274" i="2"/>
  <c r="G273" i="2"/>
  <c r="H273" i="2"/>
  <c r="I274" i="2"/>
  <c r="N273" i="2"/>
  <c r="O274" i="2"/>
  <c r="G266" i="2"/>
  <c r="I266" i="2"/>
  <c r="H266" i="2"/>
  <c r="O266" i="2"/>
  <c r="G258" i="2"/>
  <c r="K258" i="2"/>
  <c r="N257" i="2"/>
  <c r="O258" i="2"/>
  <c r="K381" i="2"/>
  <c r="H292" i="2"/>
  <c r="I292" i="2"/>
  <c r="G292" i="2"/>
  <c r="J291" i="2"/>
  <c r="K292" i="2"/>
  <c r="L291" i="2"/>
  <c r="M292" i="2"/>
  <c r="L292" i="2"/>
  <c r="J292" i="2"/>
  <c r="H267" i="2"/>
  <c r="G267" i="2"/>
  <c r="J267" i="2"/>
  <c r="L267" i="2"/>
  <c r="I267" i="2"/>
  <c r="N328" i="2"/>
  <c r="M390" i="2"/>
  <c r="L365" i="2"/>
  <c r="L329" i="2"/>
  <c r="H380" i="2"/>
  <c r="G380" i="2"/>
  <c r="K380" i="2"/>
  <c r="M380" i="2"/>
  <c r="I380" i="2"/>
  <c r="L380" i="2"/>
  <c r="J380" i="2"/>
  <c r="G350" i="2"/>
  <c r="I350" i="2"/>
  <c r="N350" i="2"/>
  <c r="G286" i="2"/>
  <c r="H286" i="2"/>
  <c r="J286" i="2"/>
  <c r="I357" i="2"/>
  <c r="K357" i="2"/>
  <c r="M357" i="2"/>
  <c r="G357" i="2"/>
  <c r="H357" i="2"/>
  <c r="I325" i="2"/>
  <c r="G325" i="2"/>
  <c r="H325" i="2"/>
  <c r="J325" i="2"/>
  <c r="M325" i="2"/>
  <c r="K325" i="2"/>
  <c r="I285" i="2"/>
  <c r="G285" i="2"/>
  <c r="H285" i="2"/>
  <c r="O308" i="2"/>
  <c r="N389" i="2"/>
  <c r="N304" i="2"/>
  <c r="N293" i="2"/>
  <c r="M289" i="2"/>
  <c r="L350" i="2"/>
  <c r="L293" i="2"/>
  <c r="J316" i="2"/>
  <c r="O389" i="2"/>
  <c r="O379" i="2"/>
  <c r="O357" i="2"/>
  <c r="O325" i="2"/>
  <c r="O285" i="2"/>
  <c r="O276" i="2"/>
  <c r="N365" i="2"/>
  <c r="N355" i="2"/>
  <c r="N333" i="2"/>
  <c r="N323" i="2"/>
  <c r="N291" i="2"/>
  <c r="N266" i="2"/>
  <c r="M395" i="2"/>
  <c r="M359" i="2"/>
  <c r="M323" i="2"/>
  <c r="L394" i="2"/>
  <c r="L384" i="2"/>
  <c r="L360" i="2"/>
  <c r="L346" i="2"/>
  <c r="L289" i="2"/>
  <c r="K396" i="2"/>
  <c r="K378" i="2"/>
  <c r="K358" i="2"/>
  <c r="K267" i="2"/>
  <c r="J390" i="2"/>
  <c r="J370" i="2"/>
  <c r="J350" i="2"/>
  <c r="J309" i="2"/>
  <c r="I396" i="2"/>
  <c r="I354" i="2"/>
  <c r="I275" i="2"/>
  <c r="H360" i="2"/>
  <c r="H322" i="2"/>
  <c r="H293" i="2"/>
  <c r="G375" i="2"/>
  <c r="G392" i="2"/>
  <c r="K392" i="2"/>
  <c r="H392" i="2"/>
  <c r="J392" i="2"/>
  <c r="I392" i="2"/>
  <c r="M392" i="2"/>
  <c r="H316" i="2"/>
  <c r="G316" i="2"/>
  <c r="K316" i="2"/>
  <c r="I316" i="2"/>
  <c r="M316" i="2"/>
  <c r="L316" i="2"/>
  <c r="G265" i="2"/>
  <c r="K265" i="2"/>
  <c r="H265" i="2"/>
  <c r="I265" i="2"/>
  <c r="M264" i="2"/>
  <c r="N265" i="2"/>
  <c r="H383" i="2"/>
  <c r="J383" i="2"/>
  <c r="I383" i="2"/>
  <c r="O383" i="2"/>
  <c r="L383" i="2"/>
  <c r="H359" i="2"/>
  <c r="J359" i="2"/>
  <c r="O359" i="2"/>
  <c r="I359" i="2"/>
  <c r="L359" i="2"/>
  <c r="H308" i="2"/>
  <c r="I308" i="2"/>
  <c r="J307" i="2"/>
  <c r="K308" i="2"/>
  <c r="L307" i="2"/>
  <c r="M308" i="2"/>
  <c r="G308" i="2"/>
  <c r="K307" i="2"/>
  <c r="L308" i="2"/>
  <c r="I307" i="2"/>
  <c r="G278" i="2"/>
  <c r="N278" i="2"/>
  <c r="G334" i="2"/>
  <c r="I334" i="2"/>
  <c r="N334" i="2"/>
  <c r="G294" i="2"/>
  <c r="I294" i="2"/>
  <c r="H294" i="2"/>
  <c r="K294" i="2"/>
  <c r="N294" i="2"/>
  <c r="I333" i="2"/>
  <c r="H333" i="2"/>
  <c r="K333" i="2"/>
  <c r="M333" i="2"/>
  <c r="O268" i="2"/>
  <c r="N357" i="2"/>
  <c r="N325" i="2"/>
  <c r="N268" i="2"/>
  <c r="M266" i="2"/>
  <c r="J334" i="2"/>
  <c r="O388" i="2"/>
  <c r="O366" i="2"/>
  <c r="O356" i="2"/>
  <c r="O334" i="2"/>
  <c r="O324" i="2"/>
  <c r="O304" i="2"/>
  <c r="O294" i="2"/>
  <c r="O284" i="2"/>
  <c r="O275" i="2"/>
  <c r="N396" i="2"/>
  <c r="N375" i="2"/>
  <c r="N364" i="2"/>
  <c r="N332" i="2"/>
  <c r="N276" i="2"/>
  <c r="M394" i="2"/>
  <c r="M358" i="2"/>
  <c r="M346" i="2"/>
  <c r="M310" i="2"/>
  <c r="M283" i="2"/>
  <c r="L393" i="2"/>
  <c r="L369" i="2"/>
  <c r="L358" i="2"/>
  <c r="L334" i="2"/>
  <c r="L310" i="2"/>
  <c r="L288" i="2"/>
  <c r="K375" i="2"/>
  <c r="K354" i="2"/>
  <c r="K283" i="2"/>
  <c r="K266" i="2"/>
  <c r="J389" i="2"/>
  <c r="J369" i="2"/>
  <c r="J346" i="2"/>
  <c r="J329" i="2"/>
  <c r="J308" i="2"/>
  <c r="J289" i="2"/>
  <c r="J270" i="2"/>
  <c r="I395" i="2"/>
  <c r="I373" i="2"/>
  <c r="I322" i="2"/>
  <c r="I297" i="2"/>
  <c r="I270" i="2"/>
  <c r="H354" i="2"/>
  <c r="H321" i="2"/>
  <c r="H290" i="2"/>
  <c r="H257" i="2"/>
  <c r="G372" i="2"/>
  <c r="G337" i="2"/>
  <c r="G276" i="2"/>
  <c r="K368" i="2"/>
  <c r="G368" i="2"/>
  <c r="J368" i="2"/>
  <c r="H368" i="2"/>
  <c r="I368" i="2"/>
  <c r="M368" i="2"/>
  <c r="H313" i="2"/>
  <c r="K312" i="2"/>
  <c r="J312" i="2"/>
  <c r="K313" i="2"/>
  <c r="J313" i="2"/>
  <c r="G313" i="2"/>
  <c r="M312" i="2"/>
  <c r="N313" i="2"/>
  <c r="K297" i="2"/>
  <c r="H296" i="2"/>
  <c r="M296" i="2"/>
  <c r="N297" i="2"/>
  <c r="H331" i="2"/>
  <c r="G331" i="2"/>
  <c r="J331" i="2"/>
  <c r="K331" i="2"/>
  <c r="L331" i="2"/>
  <c r="I320" i="2"/>
  <c r="K320" i="2"/>
  <c r="J320" i="2"/>
  <c r="H320" i="2"/>
  <c r="K319" i="2"/>
  <c r="O319" i="2"/>
  <c r="L319" i="2"/>
  <c r="M320" i="2"/>
  <c r="H315" i="2"/>
  <c r="G315" i="2"/>
  <c r="I315" i="2"/>
  <c r="J315" i="2"/>
  <c r="H377" i="2"/>
  <c r="K376" i="2"/>
  <c r="J376" i="2"/>
  <c r="K377" i="2"/>
  <c r="K361" i="2"/>
  <c r="I328" i="2"/>
  <c r="G328" i="2"/>
  <c r="K328" i="2"/>
  <c r="H328" i="2"/>
  <c r="J328" i="2"/>
  <c r="H311" i="2"/>
  <c r="J311" i="2"/>
  <c r="I296" i="2"/>
  <c r="K296" i="2"/>
  <c r="J296" i="2"/>
  <c r="G296" i="2"/>
  <c r="H279" i="2"/>
  <c r="J279" i="2"/>
  <c r="G279" i="2"/>
  <c r="I264" i="2"/>
  <c r="G264" i="2"/>
  <c r="K264" i="2"/>
  <c r="H264" i="2"/>
  <c r="J264" i="2"/>
  <c r="H299" i="2"/>
  <c r="G299" i="2"/>
  <c r="J299" i="2"/>
  <c r="H263" i="2"/>
  <c r="J263" i="2"/>
  <c r="H379" i="2"/>
  <c r="G379" i="2"/>
  <c r="J379" i="2"/>
  <c r="H332" i="2"/>
  <c r="K332" i="2"/>
  <c r="H287" i="2"/>
  <c r="J287" i="2"/>
  <c r="I287" i="2"/>
  <c r="O287" i="2"/>
  <c r="O263" i="2"/>
  <c r="L332" i="2"/>
  <c r="G287" i="2"/>
  <c r="G353" i="2"/>
  <c r="H353" i="2"/>
  <c r="K353" i="2"/>
  <c r="H340" i="2"/>
  <c r="I340" i="2"/>
  <c r="J339" i="2"/>
  <c r="K340" i="2"/>
  <c r="K321" i="2"/>
  <c r="G321" i="2"/>
  <c r="I288" i="2"/>
  <c r="H288" i="2"/>
  <c r="K288" i="2"/>
  <c r="J288" i="2"/>
  <c r="K256" i="2"/>
  <c r="J256" i="2"/>
  <c r="K257" i="2"/>
  <c r="G257" i="2"/>
  <c r="H256" i="2"/>
  <c r="H364" i="2"/>
  <c r="K364" i="2"/>
  <c r="H319" i="2"/>
  <c r="J319" i="2"/>
  <c r="I319" i="2"/>
  <c r="H295" i="2"/>
  <c r="J295" i="2"/>
  <c r="H283" i="2"/>
  <c r="G283" i="2"/>
  <c r="I283" i="2"/>
  <c r="J283" i="2"/>
  <c r="M332" i="2"/>
  <c r="L379" i="2"/>
  <c r="L315" i="2"/>
  <c r="I379" i="2"/>
  <c r="I332" i="2"/>
  <c r="G263" i="2"/>
  <c r="H388" i="2"/>
  <c r="J387" i="2"/>
  <c r="K388" i="2"/>
  <c r="I352" i="2"/>
  <c r="H352" i="2"/>
  <c r="K352" i="2"/>
  <c r="J352" i="2"/>
  <c r="H303" i="2"/>
  <c r="I272" i="2"/>
  <c r="K272" i="2"/>
  <c r="J272" i="2"/>
  <c r="H363" i="2"/>
  <c r="G363" i="2"/>
  <c r="J363" i="2"/>
  <c r="I312" i="2"/>
  <c r="H300" i="2"/>
  <c r="H371" i="2"/>
  <c r="G371" i="2"/>
  <c r="H339" i="2"/>
  <c r="G339" i="2"/>
  <c r="H307" i="2"/>
  <c r="G307" i="2"/>
  <c r="H275" i="2"/>
  <c r="G275" i="2"/>
  <c r="I256" i="2"/>
  <c r="H268" i="2"/>
  <c r="H387" i="2"/>
  <c r="G387" i="2"/>
  <c r="H355" i="2"/>
  <c r="G355" i="2"/>
  <c r="H323" i="2"/>
  <c r="G323" i="2"/>
  <c r="H291" i="2"/>
  <c r="G291" i="2"/>
  <c r="H259" i="2"/>
  <c r="G259" i="2"/>
  <c r="AO29" i="3"/>
  <c r="AN29" i="3"/>
  <c r="AQ34" i="3"/>
  <c r="AM34" i="3"/>
  <c r="AR30" i="3"/>
  <c r="AL35" i="3"/>
  <c r="AN36" i="3"/>
  <c r="AO36" i="3"/>
  <c r="AQ30" i="3"/>
  <c r="AT35" i="3"/>
  <c r="AM36" i="3"/>
  <c r="AS36" i="3"/>
  <c r="AS31" i="3"/>
  <c r="AR35" i="3"/>
  <c r="AP37" i="3"/>
  <c r="AL34" i="3"/>
  <c r="AN35" i="3"/>
  <c r="AO37" i="3"/>
  <c r="AT29" i="3"/>
  <c r="AT34" i="3"/>
  <c r="AM35" i="3"/>
  <c r="AN37" i="3"/>
  <c r="AP29" i="3"/>
  <c r="AS34" i="3"/>
  <c r="AL36" i="3"/>
  <c r="AT32" i="3"/>
  <c r="AR32" i="3"/>
  <c r="AL29" i="3"/>
  <c r="AM29" i="3"/>
  <c r="AO30" i="3"/>
  <c r="AP31" i="3"/>
  <c r="AQ32" i="3"/>
  <c r="AR34" i="3"/>
  <c r="AS35" i="3"/>
  <c r="AT36" i="3"/>
  <c r="AL37" i="3"/>
  <c r="AM37" i="3"/>
  <c r="AN30" i="3"/>
  <c r="AS29" i="3"/>
  <c r="AL30" i="3"/>
  <c r="AM30" i="3"/>
  <c r="AN31" i="3"/>
  <c r="AO32" i="3"/>
  <c r="AP34" i="3"/>
  <c r="AQ35" i="3"/>
  <c r="AR36" i="3"/>
  <c r="AS37" i="3"/>
  <c r="AS32" i="3"/>
  <c r="AP30" i="3"/>
  <c r="AO31" i="3"/>
  <c r="AP32" i="3"/>
  <c r="AT37" i="3"/>
  <c r="AR29" i="3"/>
  <c r="AT30" i="3"/>
  <c r="AL31" i="3"/>
  <c r="AM31" i="3"/>
  <c r="AN32" i="3"/>
  <c r="AO34" i="3"/>
  <c r="AP35" i="3"/>
  <c r="AU35" i="3" s="1"/>
  <c r="AQ36" i="3"/>
  <c r="AR37" i="3"/>
  <c r="AR31" i="3"/>
  <c r="AQ31" i="3"/>
  <c r="AL32" i="3"/>
  <c r="Z30" i="5"/>
  <c r="AQ84" i="5"/>
  <c r="AC19" i="2"/>
  <c r="AA25" i="2" s="1"/>
  <c r="AC20" i="2"/>
  <c r="AA26" i="2" s="1"/>
  <c r="AC18" i="2"/>
  <c r="AC21" i="2" s="1"/>
  <c r="AC24" i="2" s="1"/>
  <c r="K382" i="2" l="1"/>
  <c r="N381" i="2"/>
  <c r="O286" i="2"/>
  <c r="L285" i="2"/>
  <c r="H318" i="2"/>
  <c r="L263" i="2"/>
  <c r="L262" i="2"/>
  <c r="O382" i="2"/>
  <c r="H381" i="2"/>
  <c r="L381" i="2"/>
  <c r="M382" i="2"/>
  <c r="K285" i="2"/>
  <c r="N303" i="2"/>
  <c r="G317" i="2"/>
  <c r="G318" i="2"/>
  <c r="O303" i="2"/>
  <c r="G302" i="2"/>
  <c r="G382" i="2"/>
  <c r="G262" i="2"/>
  <c r="H334" i="2"/>
  <c r="L333" i="2"/>
  <c r="G333" i="2"/>
  <c r="O333" i="2"/>
  <c r="L389" i="2"/>
  <c r="I389" i="2"/>
  <c r="K389" i="2"/>
  <c r="H310" i="2"/>
  <c r="O310" i="2"/>
  <c r="O381" i="2"/>
  <c r="K302" i="2"/>
  <c r="K303" i="2"/>
  <c r="I317" i="2"/>
  <c r="N373" i="2"/>
  <c r="K373" i="2"/>
  <c r="H270" i="2"/>
  <c r="G269" i="2"/>
  <c r="J269" i="2"/>
  <c r="M263" i="2"/>
  <c r="J358" i="2"/>
  <c r="O302" i="2"/>
  <c r="J302" i="2"/>
  <c r="L382" i="2"/>
  <c r="M302" i="2"/>
  <c r="M286" i="2"/>
  <c r="M285" i="2"/>
  <c r="I302" i="2"/>
  <c r="I286" i="2"/>
  <c r="M262" i="2"/>
  <c r="O365" i="2"/>
  <c r="J365" i="2"/>
  <c r="J294" i="2"/>
  <c r="O293" i="2"/>
  <c r="N263" i="2"/>
  <c r="L287" i="2"/>
  <c r="L286" i="2"/>
  <c r="K263" i="2"/>
  <c r="M334" i="2"/>
  <c r="M287" i="2"/>
  <c r="G381" i="2"/>
  <c r="J318" i="2"/>
  <c r="N317" i="2"/>
  <c r="L317" i="2"/>
  <c r="J303" i="2"/>
  <c r="I303" i="2"/>
  <c r="H382" i="2"/>
  <c r="N285" i="2"/>
  <c r="K286" i="2"/>
  <c r="K262" i="2"/>
  <c r="M374" i="2"/>
  <c r="H341" i="2"/>
  <c r="I311" i="2"/>
  <c r="O374" i="2"/>
  <c r="I263" i="2"/>
  <c r="N311" i="2"/>
  <c r="J382" i="2"/>
  <c r="I382" i="2"/>
  <c r="G303" i="2"/>
  <c r="J285" i="2"/>
  <c r="N286" i="2"/>
  <c r="M381" i="2"/>
  <c r="O318" i="2"/>
  <c r="O262" i="2"/>
  <c r="N262" i="2"/>
  <c r="M350" i="2"/>
  <c r="K350" i="2"/>
  <c r="M318" i="2"/>
  <c r="M270" i="2"/>
  <c r="AU29" i="3"/>
  <c r="AU37" i="3"/>
  <c r="AU36" i="3"/>
  <c r="AU34" i="3"/>
  <c r="AU32" i="3"/>
  <c r="AU30" i="3"/>
  <c r="AU31" i="3"/>
  <c r="Z24" i="2"/>
  <c r="Y24" i="2"/>
  <c r="AD24" i="2"/>
  <c r="Y26" i="2"/>
  <c r="Z26" i="2"/>
  <c r="AE24" i="2"/>
  <c r="AA24" i="2"/>
  <c r="Y25" i="2"/>
  <c r="Z25" i="2"/>
  <c r="D253" i="4"/>
  <c r="C253" i="4"/>
  <c r="D252" i="4"/>
  <c r="C252" i="4"/>
  <c r="D251" i="4"/>
  <c r="E252" i="4" s="1"/>
  <c r="C251" i="4"/>
  <c r="D250" i="4"/>
  <c r="E251" i="4" s="1"/>
  <c r="C250" i="4"/>
  <c r="D249" i="4"/>
  <c r="E250" i="4" s="1"/>
  <c r="C249" i="4"/>
  <c r="D248" i="4"/>
  <c r="E249" i="4" s="1"/>
  <c r="C248" i="4"/>
  <c r="D247" i="4"/>
  <c r="E248" i="4" s="1"/>
  <c r="C247" i="4"/>
  <c r="D246" i="4"/>
  <c r="E247" i="4" s="1"/>
  <c r="C246" i="4"/>
  <c r="D245" i="4"/>
  <c r="C245" i="4"/>
  <c r="D244" i="4"/>
  <c r="E245" i="4" s="1"/>
  <c r="C244" i="4"/>
  <c r="D243" i="4"/>
  <c r="E244" i="4" s="1"/>
  <c r="C243" i="4"/>
  <c r="D242" i="4"/>
  <c r="E243" i="4" s="1"/>
  <c r="C242" i="4"/>
  <c r="D241" i="4"/>
  <c r="E242" i="4" s="1"/>
  <c r="C241" i="4"/>
  <c r="D240" i="4"/>
  <c r="E241" i="4" s="1"/>
  <c r="C240" i="4"/>
  <c r="D239" i="4"/>
  <c r="E240" i="4" s="1"/>
  <c r="C239" i="4"/>
  <c r="D238" i="4"/>
  <c r="C238" i="4"/>
  <c r="D237" i="4"/>
  <c r="E238" i="4" s="1"/>
  <c r="C237" i="4"/>
  <c r="D236" i="4"/>
  <c r="E237" i="4" s="1"/>
  <c r="C236" i="4"/>
  <c r="D235" i="4"/>
  <c r="E236" i="4" s="1"/>
  <c r="C235" i="4"/>
  <c r="D234" i="4"/>
  <c r="E235" i="4" s="1"/>
  <c r="C234" i="4"/>
  <c r="D233" i="4"/>
  <c r="E234" i="4" s="1"/>
  <c r="C233" i="4"/>
  <c r="D232" i="4"/>
  <c r="C232" i="4"/>
  <c r="D231" i="4"/>
  <c r="E232" i="4" s="1"/>
  <c r="C231" i="4"/>
  <c r="D230" i="4"/>
  <c r="C230" i="4"/>
  <c r="D229" i="4"/>
  <c r="E230" i="4" s="1"/>
  <c r="C229" i="4"/>
  <c r="D228" i="4"/>
  <c r="C228" i="4"/>
  <c r="D227" i="4"/>
  <c r="E228" i="4" s="1"/>
  <c r="C227" i="4"/>
  <c r="D226" i="4"/>
  <c r="E227" i="4" s="1"/>
  <c r="C226" i="4"/>
  <c r="D225" i="4"/>
  <c r="E226" i="4" s="1"/>
  <c r="C225" i="4"/>
  <c r="D224" i="4"/>
  <c r="C224" i="4"/>
  <c r="D223" i="4"/>
  <c r="E224" i="4" s="1"/>
  <c r="C223" i="4"/>
  <c r="D222" i="4"/>
  <c r="E223" i="4" s="1"/>
  <c r="C222" i="4"/>
  <c r="D221" i="4"/>
  <c r="E222" i="4" s="1"/>
  <c r="C221" i="4"/>
  <c r="D220" i="4"/>
  <c r="E221" i="4" s="1"/>
  <c r="C220" i="4"/>
  <c r="D219" i="4"/>
  <c r="C219" i="4"/>
  <c r="D218" i="4"/>
  <c r="E219" i="4" s="1"/>
  <c r="C218" i="4"/>
  <c r="D217" i="4"/>
  <c r="E218" i="4" s="1"/>
  <c r="C217" i="4"/>
  <c r="D216" i="4"/>
  <c r="E217" i="4" s="1"/>
  <c r="C216" i="4"/>
  <c r="D215" i="4"/>
  <c r="E216" i="4" s="1"/>
  <c r="C215" i="4"/>
  <c r="D214" i="4"/>
  <c r="E215" i="4" s="1"/>
  <c r="C214" i="4"/>
  <c r="D213" i="4"/>
  <c r="E214" i="4" s="1"/>
  <c r="C213" i="4"/>
  <c r="D212" i="4"/>
  <c r="E213" i="4" s="1"/>
  <c r="C212" i="4"/>
  <c r="D211" i="4"/>
  <c r="E212" i="4" s="1"/>
  <c r="C211" i="4"/>
  <c r="D210" i="4"/>
  <c r="C210" i="4"/>
  <c r="D209" i="4"/>
  <c r="E210" i="4" s="1"/>
  <c r="C209" i="4"/>
  <c r="D208" i="4"/>
  <c r="C208" i="4"/>
  <c r="D207" i="4"/>
  <c r="E208" i="4" s="1"/>
  <c r="C207" i="4"/>
  <c r="D206" i="4"/>
  <c r="C206" i="4"/>
  <c r="D205" i="4"/>
  <c r="E206" i="4" s="1"/>
  <c r="C205" i="4"/>
  <c r="D204" i="4"/>
  <c r="C204" i="4"/>
  <c r="D203" i="4"/>
  <c r="E204" i="4" s="1"/>
  <c r="C203" i="4"/>
  <c r="D202" i="4"/>
  <c r="E203" i="4" s="1"/>
  <c r="C202" i="4"/>
  <c r="D201" i="4"/>
  <c r="E202" i="4" s="1"/>
  <c r="C201" i="4"/>
  <c r="D200" i="4"/>
  <c r="E201" i="4" s="1"/>
  <c r="C200" i="4"/>
  <c r="D199" i="4"/>
  <c r="C199" i="4"/>
  <c r="D198" i="4"/>
  <c r="E199" i="4" s="1"/>
  <c r="C198" i="4"/>
  <c r="D197" i="4"/>
  <c r="E198" i="4" s="1"/>
  <c r="C197" i="4"/>
  <c r="D196" i="4"/>
  <c r="E197" i="4" s="1"/>
  <c r="C196" i="4"/>
  <c r="D195" i="4"/>
  <c r="E196" i="4" s="1"/>
  <c r="C195" i="4"/>
  <c r="D194" i="4"/>
  <c r="E195" i="4" s="1"/>
  <c r="C194" i="4"/>
  <c r="D193" i="4"/>
  <c r="E194" i="4" s="1"/>
  <c r="C193" i="4"/>
  <c r="D192" i="4"/>
  <c r="E193" i="4" s="1"/>
  <c r="C192" i="4"/>
  <c r="D191" i="4"/>
  <c r="E192" i="4" s="1"/>
  <c r="C191" i="4"/>
  <c r="D190" i="4"/>
  <c r="E191" i="4" s="1"/>
  <c r="C190" i="4"/>
  <c r="D189" i="4"/>
  <c r="E190" i="4" s="1"/>
  <c r="C189" i="4"/>
  <c r="D188" i="4"/>
  <c r="C188" i="4"/>
  <c r="D187" i="4"/>
  <c r="E188" i="4" s="1"/>
  <c r="C187" i="4"/>
  <c r="D186" i="4"/>
  <c r="E187" i="4" s="1"/>
  <c r="C186" i="4"/>
  <c r="D185" i="4"/>
  <c r="C185" i="4"/>
  <c r="D184" i="4"/>
  <c r="C184" i="4"/>
  <c r="D183" i="4"/>
  <c r="C183" i="4"/>
  <c r="D182" i="4"/>
  <c r="C182" i="4"/>
  <c r="D181" i="4"/>
  <c r="E182" i="4" s="1"/>
  <c r="C181" i="4"/>
  <c r="D180" i="4"/>
  <c r="C180" i="4"/>
  <c r="D179" i="4"/>
  <c r="E180" i="4" s="1"/>
  <c r="C179" i="4"/>
  <c r="D178" i="4"/>
  <c r="E179" i="4" s="1"/>
  <c r="C178" i="4"/>
  <c r="D177" i="4"/>
  <c r="E178" i="4" s="1"/>
  <c r="C177" i="4"/>
  <c r="D176" i="4"/>
  <c r="C176" i="4"/>
  <c r="D175" i="4"/>
  <c r="E176" i="4" s="1"/>
  <c r="C175" i="4"/>
  <c r="D174" i="4"/>
  <c r="C174" i="4"/>
  <c r="D173" i="4"/>
  <c r="E174" i="4" s="1"/>
  <c r="C173" i="4"/>
  <c r="D172" i="4"/>
  <c r="E173" i="4" s="1"/>
  <c r="C172" i="4"/>
  <c r="D171" i="4"/>
  <c r="C171" i="4"/>
  <c r="D170" i="4"/>
  <c r="C170" i="4"/>
  <c r="D169" i="4"/>
  <c r="E170" i="4" s="1"/>
  <c r="C169" i="4"/>
  <c r="D168" i="4"/>
  <c r="E169" i="4" s="1"/>
  <c r="C168" i="4"/>
  <c r="D167" i="4"/>
  <c r="C167" i="4"/>
  <c r="D166" i="4"/>
  <c r="E167" i="4" s="1"/>
  <c r="C166" i="4"/>
  <c r="D165" i="4"/>
  <c r="E166" i="4" s="1"/>
  <c r="C165" i="4"/>
  <c r="D164" i="4"/>
  <c r="E165" i="4" s="1"/>
  <c r="C164" i="4"/>
  <c r="D163" i="4"/>
  <c r="E164" i="4" s="1"/>
  <c r="C163" i="4"/>
  <c r="D162" i="4"/>
  <c r="E163" i="4" s="1"/>
  <c r="C162" i="4"/>
  <c r="D161" i="4"/>
  <c r="E162" i="4" s="1"/>
  <c r="C161" i="4"/>
  <c r="D160" i="4"/>
  <c r="C160" i="4"/>
  <c r="D159" i="4"/>
  <c r="E160" i="4" s="1"/>
  <c r="C159" i="4"/>
  <c r="D158" i="4"/>
  <c r="E159" i="4" s="1"/>
  <c r="C158" i="4"/>
  <c r="D157" i="4"/>
  <c r="E158" i="4" s="1"/>
  <c r="C157" i="4"/>
  <c r="D156" i="4"/>
  <c r="C156" i="4"/>
  <c r="D155" i="4"/>
  <c r="C155" i="4"/>
  <c r="D154" i="4"/>
  <c r="C154" i="4"/>
  <c r="D153" i="4"/>
  <c r="E154" i="4" s="1"/>
  <c r="C153" i="4"/>
  <c r="D152" i="4"/>
  <c r="E153" i="4" s="1"/>
  <c r="C152" i="4"/>
  <c r="D151" i="4"/>
  <c r="C151" i="4"/>
  <c r="D150" i="4"/>
  <c r="E151" i="4" s="1"/>
  <c r="C150" i="4"/>
  <c r="D149" i="4"/>
  <c r="C149" i="4"/>
  <c r="D148" i="4"/>
  <c r="E149" i="4" s="1"/>
  <c r="C148" i="4"/>
  <c r="D147" i="4"/>
  <c r="C147" i="4"/>
  <c r="D146" i="4"/>
  <c r="C146" i="4"/>
  <c r="D145" i="4"/>
  <c r="E146" i="4" s="1"/>
  <c r="C145" i="4"/>
  <c r="D144" i="4"/>
  <c r="C144" i="4"/>
  <c r="D143" i="4"/>
  <c r="E144" i="4" s="1"/>
  <c r="C143" i="4"/>
  <c r="D142" i="4"/>
  <c r="C142" i="4"/>
  <c r="D141" i="4"/>
  <c r="E142" i="4" s="1"/>
  <c r="C141" i="4"/>
  <c r="D140" i="4"/>
  <c r="E141" i="4" s="1"/>
  <c r="C140" i="4"/>
  <c r="D139" i="4"/>
  <c r="C139" i="4"/>
  <c r="D138" i="4"/>
  <c r="E139" i="4" s="1"/>
  <c r="C138" i="4"/>
  <c r="D137" i="4"/>
  <c r="E138" i="4" s="1"/>
  <c r="C137" i="4"/>
  <c r="D136" i="4"/>
  <c r="E137" i="4" s="1"/>
  <c r="C136" i="4"/>
  <c r="D135" i="4"/>
  <c r="E136" i="4" s="1"/>
  <c r="C135" i="4"/>
  <c r="D134" i="4"/>
  <c r="C134" i="4"/>
  <c r="D133" i="4"/>
  <c r="E134" i="4" s="1"/>
  <c r="C133" i="4"/>
  <c r="D132" i="4"/>
  <c r="E133" i="4" s="1"/>
  <c r="C132" i="4"/>
  <c r="D131" i="4"/>
  <c r="C131" i="4"/>
  <c r="D130" i="4"/>
  <c r="E131" i="4" s="1"/>
  <c r="C130" i="4"/>
  <c r="D129" i="4"/>
  <c r="E130" i="4" s="1"/>
  <c r="C129" i="4"/>
  <c r="D128" i="4"/>
  <c r="E129" i="4" s="1"/>
  <c r="C128" i="4"/>
  <c r="D127" i="4"/>
  <c r="E128" i="4" s="1"/>
  <c r="C127" i="4"/>
  <c r="D126" i="4"/>
  <c r="E127" i="4" s="1"/>
  <c r="C126" i="4"/>
  <c r="D125" i="4"/>
  <c r="E126" i="4" s="1"/>
  <c r="C125" i="4"/>
  <c r="D124" i="4"/>
  <c r="E125" i="4" s="1"/>
  <c r="C124" i="4"/>
  <c r="D123" i="4"/>
  <c r="C123" i="4"/>
  <c r="D122" i="4"/>
  <c r="C122" i="4"/>
  <c r="D121" i="4"/>
  <c r="E122" i="4" s="1"/>
  <c r="C121" i="4"/>
  <c r="D120" i="4"/>
  <c r="C120" i="4"/>
  <c r="D119" i="4"/>
  <c r="C119" i="4"/>
  <c r="D118" i="4"/>
  <c r="E119" i="4" s="1"/>
  <c r="C118" i="4"/>
  <c r="D117" i="4"/>
  <c r="E118" i="4" s="1"/>
  <c r="C117" i="4"/>
  <c r="D116" i="4"/>
  <c r="E117" i="4" s="1"/>
  <c r="C116" i="4"/>
  <c r="D115" i="4"/>
  <c r="E116" i="4" s="1"/>
  <c r="C115" i="4"/>
  <c r="D114" i="4"/>
  <c r="C114" i="4"/>
  <c r="D113" i="4"/>
  <c r="E114" i="4" s="1"/>
  <c r="C113" i="4"/>
  <c r="D112" i="4"/>
  <c r="C112" i="4"/>
  <c r="D111" i="4"/>
  <c r="E112" i="4" s="1"/>
  <c r="C111" i="4"/>
  <c r="D110" i="4"/>
  <c r="C110" i="4"/>
  <c r="D109" i="4"/>
  <c r="E110" i="4" s="1"/>
  <c r="C109" i="4"/>
  <c r="D108" i="4"/>
  <c r="C108" i="4"/>
  <c r="D107" i="4"/>
  <c r="E108" i="4" s="1"/>
  <c r="C107" i="4"/>
  <c r="D106" i="4"/>
  <c r="E107" i="4" s="1"/>
  <c r="C106" i="4"/>
  <c r="D105" i="4"/>
  <c r="C105" i="4"/>
  <c r="D104" i="4"/>
  <c r="E105" i="4" s="1"/>
  <c r="C104" i="4"/>
  <c r="D103" i="4"/>
  <c r="E104" i="4" s="1"/>
  <c r="C103" i="4"/>
  <c r="D102" i="4"/>
  <c r="E103" i="4" s="1"/>
  <c r="C102" i="4"/>
  <c r="D101" i="4"/>
  <c r="E102" i="4" s="1"/>
  <c r="C101" i="4"/>
  <c r="D100" i="4"/>
  <c r="E101" i="4" s="1"/>
  <c r="C100" i="4"/>
  <c r="D99" i="4"/>
  <c r="E100" i="4" s="1"/>
  <c r="C99" i="4"/>
  <c r="D98" i="4"/>
  <c r="C98" i="4"/>
  <c r="D97" i="4"/>
  <c r="E98" i="4" s="1"/>
  <c r="C97" i="4"/>
  <c r="D96" i="4"/>
  <c r="E97" i="4" s="1"/>
  <c r="C96" i="4"/>
  <c r="D95" i="4"/>
  <c r="E96" i="4" s="1"/>
  <c r="C95" i="4"/>
  <c r="D94" i="4"/>
  <c r="E95" i="4" s="1"/>
  <c r="C94" i="4"/>
  <c r="D93" i="4"/>
  <c r="C93" i="4"/>
  <c r="D92" i="4"/>
  <c r="C92" i="4"/>
  <c r="D91" i="4"/>
  <c r="C91" i="4"/>
  <c r="D90" i="4"/>
  <c r="E91" i="4" s="1"/>
  <c r="C90" i="4"/>
  <c r="D89" i="4"/>
  <c r="C89" i="4"/>
  <c r="D88" i="4"/>
  <c r="C88" i="4"/>
  <c r="D87" i="4"/>
  <c r="E88" i="4" s="1"/>
  <c r="C87" i="4"/>
  <c r="D86" i="4"/>
  <c r="C86" i="4"/>
  <c r="D85" i="4"/>
  <c r="E86" i="4" s="1"/>
  <c r="C85" i="4"/>
  <c r="D84" i="4"/>
  <c r="C84" i="4"/>
  <c r="D83" i="4"/>
  <c r="C83" i="4"/>
  <c r="D82" i="4"/>
  <c r="E83" i="4" s="1"/>
  <c r="C82" i="4"/>
  <c r="D81" i="4"/>
  <c r="E82" i="4" s="1"/>
  <c r="C81" i="4"/>
  <c r="D80" i="4"/>
  <c r="E81" i="4" s="1"/>
  <c r="C80" i="4"/>
  <c r="D79" i="4"/>
  <c r="E80" i="4" s="1"/>
  <c r="C79" i="4"/>
  <c r="D78" i="4"/>
  <c r="C78" i="4"/>
  <c r="D77" i="4"/>
  <c r="E78" i="4" s="1"/>
  <c r="C77" i="4"/>
  <c r="D76" i="4"/>
  <c r="E77" i="4" s="1"/>
  <c r="C76" i="4"/>
  <c r="D75" i="4"/>
  <c r="C75" i="4"/>
  <c r="D74" i="4"/>
  <c r="E75" i="4" s="1"/>
  <c r="C74" i="4"/>
  <c r="D73" i="4"/>
  <c r="E74" i="4" s="1"/>
  <c r="C73" i="4"/>
  <c r="D72" i="4"/>
  <c r="E73" i="4" s="1"/>
  <c r="C72" i="4"/>
  <c r="D71" i="4"/>
  <c r="C71" i="4"/>
  <c r="D70" i="4"/>
  <c r="C70" i="4"/>
  <c r="D69" i="4"/>
  <c r="E70" i="4" s="1"/>
  <c r="C69" i="4"/>
  <c r="D68" i="4"/>
  <c r="E69" i="4" s="1"/>
  <c r="C68" i="4"/>
  <c r="D67" i="4"/>
  <c r="E68" i="4" s="1"/>
  <c r="C67" i="4"/>
  <c r="D66" i="4"/>
  <c r="C66" i="4"/>
  <c r="D65" i="4"/>
  <c r="C65" i="4"/>
  <c r="D64" i="4"/>
  <c r="E65" i="4" s="1"/>
  <c r="C64" i="4"/>
  <c r="D63" i="4"/>
  <c r="C63" i="4"/>
  <c r="D62" i="4"/>
  <c r="C62" i="4"/>
  <c r="D61" i="4"/>
  <c r="E62" i="4" s="1"/>
  <c r="C61" i="4"/>
  <c r="D60" i="4"/>
  <c r="E61" i="4" s="1"/>
  <c r="C60" i="4"/>
  <c r="D59" i="4"/>
  <c r="E60" i="4" s="1"/>
  <c r="C59" i="4"/>
  <c r="D58" i="4"/>
  <c r="C58" i="4"/>
  <c r="D57" i="4"/>
  <c r="E58" i="4" s="1"/>
  <c r="C57" i="4"/>
  <c r="D56" i="4"/>
  <c r="E57" i="4" s="1"/>
  <c r="C56" i="4"/>
  <c r="D55" i="4"/>
  <c r="C55" i="4"/>
  <c r="D54" i="4"/>
  <c r="C54" i="4"/>
  <c r="D53" i="4"/>
  <c r="C53" i="4"/>
  <c r="D52" i="4"/>
  <c r="E53" i="4" s="1"/>
  <c r="C52" i="4"/>
  <c r="D51" i="4"/>
  <c r="C51" i="4"/>
  <c r="D50" i="4"/>
  <c r="E51" i="4" s="1"/>
  <c r="C50" i="4"/>
  <c r="D49" i="4"/>
  <c r="C49" i="4"/>
  <c r="D48" i="4"/>
  <c r="E49" i="4" s="1"/>
  <c r="C48" i="4"/>
  <c r="D47" i="4"/>
  <c r="E48" i="4" s="1"/>
  <c r="C47" i="4"/>
  <c r="D46" i="4"/>
  <c r="C46" i="4"/>
  <c r="D45" i="4"/>
  <c r="E46" i="4" s="1"/>
  <c r="C45" i="4"/>
  <c r="D44" i="4"/>
  <c r="E45" i="4" s="1"/>
  <c r="C44" i="4"/>
  <c r="D43" i="4"/>
  <c r="C43" i="4"/>
  <c r="D42" i="4"/>
  <c r="C42" i="4"/>
  <c r="D41" i="4"/>
  <c r="C41" i="4"/>
  <c r="D40" i="4"/>
  <c r="E41" i="4" s="1"/>
  <c r="C40" i="4"/>
  <c r="D39" i="4"/>
  <c r="C39" i="4"/>
  <c r="D38" i="4"/>
  <c r="C38" i="4"/>
  <c r="D37" i="4"/>
  <c r="E38" i="4" s="1"/>
  <c r="C37" i="4"/>
  <c r="D36" i="4"/>
  <c r="E37" i="4" s="1"/>
  <c r="C36" i="4"/>
  <c r="D35" i="4"/>
  <c r="C35" i="4"/>
  <c r="D34" i="4"/>
  <c r="C34" i="4"/>
  <c r="D33" i="4"/>
  <c r="C33" i="4"/>
  <c r="D32" i="4"/>
  <c r="E33" i="4" s="1"/>
  <c r="C32" i="4"/>
  <c r="D31" i="4"/>
  <c r="E32" i="4" s="1"/>
  <c r="C31" i="4"/>
  <c r="D30" i="4"/>
  <c r="C30" i="4"/>
  <c r="D29" i="4"/>
  <c r="C29" i="4"/>
  <c r="D28" i="4"/>
  <c r="E29" i="4" s="1"/>
  <c r="C28" i="4"/>
  <c r="D27" i="4"/>
  <c r="E28" i="4" s="1"/>
  <c r="C27" i="4"/>
  <c r="D26" i="4"/>
  <c r="E27" i="4" s="1"/>
  <c r="C26" i="4"/>
  <c r="D25" i="4"/>
  <c r="E26" i="4" s="1"/>
  <c r="C25" i="4"/>
  <c r="D24" i="4"/>
  <c r="E25" i="4" s="1"/>
  <c r="C24" i="4"/>
  <c r="D23" i="4"/>
  <c r="C23" i="4"/>
  <c r="D22" i="4"/>
  <c r="C22" i="4"/>
  <c r="D21" i="4"/>
  <c r="E22" i="4" s="1"/>
  <c r="C21" i="4"/>
  <c r="D20" i="4"/>
  <c r="E21" i="4" s="1"/>
  <c r="C20" i="4"/>
  <c r="D19" i="4"/>
  <c r="C19" i="4"/>
  <c r="D18" i="4"/>
  <c r="E19" i="4" s="1"/>
  <c r="C18" i="4"/>
  <c r="D17" i="4"/>
  <c r="E18" i="4" s="1"/>
  <c r="C17" i="4"/>
  <c r="D16" i="4"/>
  <c r="E17" i="4" s="1"/>
  <c r="C16" i="4"/>
  <c r="D15" i="4"/>
  <c r="C15" i="4"/>
  <c r="D14" i="4"/>
  <c r="C14" i="4"/>
  <c r="D13" i="4"/>
  <c r="C13" i="4"/>
  <c r="D12" i="4"/>
  <c r="E13" i="4" s="1"/>
  <c r="C12" i="4"/>
  <c r="D11" i="4"/>
  <c r="C11" i="4"/>
  <c r="D10" i="4"/>
  <c r="E11" i="4" s="1"/>
  <c r="C10" i="4"/>
  <c r="D9" i="4"/>
  <c r="E10" i="4" s="1"/>
  <c r="C9" i="4"/>
  <c r="D8" i="4"/>
  <c r="E9" i="4" s="1"/>
  <c r="C8" i="4"/>
  <c r="D7" i="4"/>
  <c r="E8" i="4" s="1"/>
  <c r="C7" i="4"/>
  <c r="D6" i="4"/>
  <c r="C6" i="4"/>
  <c r="D5" i="4"/>
  <c r="E6" i="4" s="1"/>
  <c r="C5" i="4"/>
  <c r="D4" i="4"/>
  <c r="E5" i="4" s="1"/>
  <c r="C4" i="4"/>
  <c r="D3" i="4"/>
  <c r="C3" i="4"/>
  <c r="E2" i="4"/>
  <c r="D2" i="4"/>
  <c r="E3" i="4" s="1"/>
  <c r="C2" i="4"/>
  <c r="E2" i="2"/>
  <c r="D2" i="2"/>
  <c r="E3" i="2" s="1"/>
  <c r="D3" i="2"/>
  <c r="D4" i="2"/>
  <c r="D5" i="2"/>
  <c r="E6" i="2" s="1"/>
  <c r="D6" i="2"/>
  <c r="D7" i="2"/>
  <c r="E8" i="2" s="1"/>
  <c r="D8" i="2"/>
  <c r="E9" i="2" s="1"/>
  <c r="D9" i="2"/>
  <c r="E10" i="2" s="1"/>
  <c r="D10" i="2"/>
  <c r="E11" i="2" s="1"/>
  <c r="D11" i="2"/>
  <c r="D12" i="2"/>
  <c r="E13" i="2" s="1"/>
  <c r="D13" i="2"/>
  <c r="D14" i="2"/>
  <c r="D15" i="2"/>
  <c r="D16" i="2"/>
  <c r="D17" i="2"/>
  <c r="E18" i="2" s="1"/>
  <c r="D18" i="2"/>
  <c r="E19" i="2" s="1"/>
  <c r="D19" i="2"/>
  <c r="D20" i="2"/>
  <c r="D21" i="2"/>
  <c r="E22" i="2" s="1"/>
  <c r="D22" i="2"/>
  <c r="D23" i="2"/>
  <c r="D24" i="2"/>
  <c r="D25" i="2"/>
  <c r="E26" i="2" s="1"/>
  <c r="D26" i="2"/>
  <c r="E27" i="2" s="1"/>
  <c r="D27" i="2"/>
  <c r="E28" i="2" s="1"/>
  <c r="D28" i="2"/>
  <c r="E29" i="2" s="1"/>
  <c r="D29" i="2"/>
  <c r="D30" i="2"/>
  <c r="D31" i="2"/>
  <c r="E32" i="2" s="1"/>
  <c r="D32" i="2"/>
  <c r="E33" i="2" s="1"/>
  <c r="D33" i="2"/>
  <c r="D34" i="2"/>
  <c r="D35" i="2"/>
  <c r="D36" i="2"/>
  <c r="D37" i="2"/>
  <c r="E38" i="2" s="1"/>
  <c r="D38" i="2"/>
  <c r="D39" i="2"/>
  <c r="D40" i="2"/>
  <c r="D41" i="2"/>
  <c r="D42" i="2"/>
  <c r="D43" i="2"/>
  <c r="D44" i="2"/>
  <c r="D45" i="2"/>
  <c r="E46" i="2" s="1"/>
  <c r="D46" i="2"/>
  <c r="D47" i="2"/>
  <c r="E48" i="2" s="1"/>
  <c r="D48" i="2"/>
  <c r="D49" i="2"/>
  <c r="D50" i="2"/>
  <c r="E51" i="2" s="1"/>
  <c r="D51" i="2"/>
  <c r="D52" i="2"/>
  <c r="E53" i="2" s="1"/>
  <c r="D53" i="2"/>
  <c r="D54" i="2"/>
  <c r="D55" i="2"/>
  <c r="D56" i="2"/>
  <c r="D57" i="2"/>
  <c r="E58" i="2" s="1"/>
  <c r="D58" i="2"/>
  <c r="D59" i="2"/>
  <c r="E60" i="2" s="1"/>
  <c r="D60" i="2"/>
  <c r="E61" i="2" s="1"/>
  <c r="D61" i="2"/>
  <c r="E62" i="2" s="1"/>
  <c r="D62" i="2"/>
  <c r="D63" i="2"/>
  <c r="D64" i="2"/>
  <c r="E65" i="2" s="1"/>
  <c r="D65" i="2"/>
  <c r="D66" i="2"/>
  <c r="D67" i="2"/>
  <c r="E68" i="2" s="1"/>
  <c r="D68" i="2"/>
  <c r="D69" i="2"/>
  <c r="E70" i="2" s="1"/>
  <c r="D70" i="2"/>
  <c r="D71" i="2"/>
  <c r="D72" i="2"/>
  <c r="E73" i="2" s="1"/>
  <c r="D73" i="2"/>
  <c r="E74" i="2" s="1"/>
  <c r="D74" i="2"/>
  <c r="E75" i="2" s="1"/>
  <c r="D75" i="2"/>
  <c r="D76" i="2"/>
  <c r="E77" i="2" s="1"/>
  <c r="D77" i="2"/>
  <c r="E78" i="2" s="1"/>
  <c r="D78" i="2"/>
  <c r="D79" i="2"/>
  <c r="E80" i="2" s="1"/>
  <c r="D80" i="2"/>
  <c r="E81" i="2" s="1"/>
  <c r="D81" i="2"/>
  <c r="E82" i="2" s="1"/>
  <c r="D82" i="2"/>
  <c r="E83" i="2" s="1"/>
  <c r="D83" i="2"/>
  <c r="D84" i="2"/>
  <c r="D85" i="2"/>
  <c r="E86" i="2" s="1"/>
  <c r="D86" i="2"/>
  <c r="D87" i="2"/>
  <c r="E88" i="2" s="1"/>
  <c r="D88" i="2"/>
  <c r="D89" i="2"/>
  <c r="D90" i="2"/>
  <c r="E91" i="2" s="1"/>
  <c r="D91" i="2"/>
  <c r="D92" i="2"/>
  <c r="D93" i="2"/>
  <c r="D94" i="2"/>
  <c r="E95" i="2" s="1"/>
  <c r="D95" i="2"/>
  <c r="E96" i="2" s="1"/>
  <c r="D96" i="2"/>
  <c r="E97" i="2" s="1"/>
  <c r="D97" i="2"/>
  <c r="D98" i="2"/>
  <c r="D99" i="2"/>
  <c r="E100" i="2" s="1"/>
  <c r="D100" i="2"/>
  <c r="E101" i="2" s="1"/>
  <c r="D101" i="2"/>
  <c r="E102" i="2" s="1"/>
  <c r="D102" i="2"/>
  <c r="E103" i="2" s="1"/>
  <c r="D103" i="2"/>
  <c r="E104" i="2" s="1"/>
  <c r="D104" i="2"/>
  <c r="E105" i="2" s="1"/>
  <c r="D105" i="2"/>
  <c r="D106" i="2"/>
  <c r="E107" i="2" s="1"/>
  <c r="D107" i="2"/>
  <c r="E108" i="2" s="1"/>
  <c r="D108" i="2"/>
  <c r="D109" i="2"/>
  <c r="E110" i="2" s="1"/>
  <c r="D110" i="2"/>
  <c r="D111" i="2"/>
  <c r="E112" i="2" s="1"/>
  <c r="D112" i="2"/>
  <c r="D113" i="2"/>
  <c r="E114" i="2" s="1"/>
  <c r="D114" i="2"/>
  <c r="D115" i="2"/>
  <c r="E116" i="2" s="1"/>
  <c r="D116" i="2"/>
  <c r="E117" i="2" s="1"/>
  <c r="D117" i="2"/>
  <c r="E118" i="2" s="1"/>
  <c r="D118" i="2"/>
  <c r="E119" i="2" s="1"/>
  <c r="D119" i="2"/>
  <c r="D120" i="2"/>
  <c r="D121" i="2"/>
  <c r="E122" i="2" s="1"/>
  <c r="D122" i="2"/>
  <c r="D123" i="2"/>
  <c r="D124" i="2"/>
  <c r="E125" i="2" s="1"/>
  <c r="D125" i="2"/>
  <c r="E126" i="2" s="1"/>
  <c r="D126" i="2"/>
  <c r="E127" i="2" s="1"/>
  <c r="D127" i="2"/>
  <c r="E128" i="2" s="1"/>
  <c r="D128" i="2"/>
  <c r="E129" i="2" s="1"/>
  <c r="D129" i="2"/>
  <c r="D130" i="2"/>
  <c r="E131" i="2" s="1"/>
  <c r="D131" i="2"/>
  <c r="D132" i="2"/>
  <c r="E133" i="2" s="1"/>
  <c r="D133" i="2"/>
  <c r="D134" i="2"/>
  <c r="D135" i="2"/>
  <c r="E136" i="2" s="1"/>
  <c r="D136" i="2"/>
  <c r="E137" i="2" s="1"/>
  <c r="D137" i="2"/>
  <c r="E138" i="2" s="1"/>
  <c r="D138" i="2"/>
  <c r="E139" i="2" s="1"/>
  <c r="D139" i="2"/>
  <c r="D140" i="2"/>
  <c r="E141" i="2" s="1"/>
  <c r="D141" i="2"/>
  <c r="D142" i="2"/>
  <c r="D143" i="2"/>
  <c r="E144" i="2" s="1"/>
  <c r="D144" i="2"/>
  <c r="D145" i="2"/>
  <c r="D146" i="2"/>
  <c r="D147" i="2"/>
  <c r="D148" i="2"/>
  <c r="E149" i="2" s="1"/>
  <c r="D149" i="2"/>
  <c r="D150" i="2"/>
  <c r="E151" i="2" s="1"/>
  <c r="D151" i="2"/>
  <c r="D152" i="2"/>
  <c r="E153" i="2" s="1"/>
  <c r="D153" i="2"/>
  <c r="E154" i="2" s="1"/>
  <c r="D154" i="2"/>
  <c r="D155" i="2"/>
  <c r="D156" i="2"/>
  <c r="D157" i="2"/>
  <c r="E158" i="2" s="1"/>
  <c r="D158" i="2"/>
  <c r="E159" i="2" s="1"/>
  <c r="D159" i="2"/>
  <c r="E160" i="2" s="1"/>
  <c r="D160" i="2"/>
  <c r="D161" i="2"/>
  <c r="E162" i="2" s="1"/>
  <c r="D162" i="2"/>
  <c r="E163" i="2" s="1"/>
  <c r="D163" i="2"/>
  <c r="E164" i="2" s="1"/>
  <c r="D164" i="2"/>
  <c r="E165" i="2" s="1"/>
  <c r="D165" i="2"/>
  <c r="E166" i="2" s="1"/>
  <c r="D166" i="2"/>
  <c r="E167" i="2" s="1"/>
  <c r="D167" i="2"/>
  <c r="D168" i="2"/>
  <c r="E169" i="2" s="1"/>
  <c r="D169" i="2"/>
  <c r="E170" i="2" s="1"/>
  <c r="D170" i="2"/>
  <c r="D171" i="2"/>
  <c r="D172" i="2"/>
  <c r="E173" i="2" s="1"/>
  <c r="D173" i="2"/>
  <c r="D174" i="2"/>
  <c r="D175" i="2"/>
  <c r="E176" i="2" s="1"/>
  <c r="D176" i="2"/>
  <c r="D177" i="2"/>
  <c r="D178" i="2"/>
  <c r="E179" i="2" s="1"/>
  <c r="D179" i="2"/>
  <c r="E180" i="2" s="1"/>
  <c r="D180" i="2"/>
  <c r="D181" i="2"/>
  <c r="D182" i="2"/>
  <c r="D183" i="2"/>
  <c r="D184" i="2"/>
  <c r="D185" i="2"/>
  <c r="D186" i="2"/>
  <c r="E187" i="2" s="1"/>
  <c r="D187" i="2"/>
  <c r="E188" i="2" s="1"/>
  <c r="D188" i="2"/>
  <c r="D189" i="2"/>
  <c r="E190" i="2" s="1"/>
  <c r="D190" i="2"/>
  <c r="E191" i="2" s="1"/>
  <c r="D191" i="2"/>
  <c r="E192" i="2" s="1"/>
  <c r="D192" i="2"/>
  <c r="E193" i="2" s="1"/>
  <c r="D193" i="2"/>
  <c r="E194" i="2" s="1"/>
  <c r="D194" i="2"/>
  <c r="E195" i="2" s="1"/>
  <c r="D195" i="2"/>
  <c r="E196" i="2" s="1"/>
  <c r="D196" i="2"/>
  <c r="E197" i="2" s="1"/>
  <c r="D197" i="2"/>
  <c r="D198" i="2"/>
  <c r="E199" i="2" s="1"/>
  <c r="D199" i="2"/>
  <c r="D200" i="2"/>
  <c r="E201" i="2" s="1"/>
  <c r="D201" i="2"/>
  <c r="E202" i="2" s="1"/>
  <c r="D202" i="2"/>
  <c r="E203" i="2" s="1"/>
  <c r="D203" i="2"/>
  <c r="E204" i="2" s="1"/>
  <c r="D204" i="2"/>
  <c r="D205" i="2"/>
  <c r="E206" i="2" s="1"/>
  <c r="D206" i="2"/>
  <c r="D207" i="2"/>
  <c r="E208" i="2" s="1"/>
  <c r="D208" i="2"/>
  <c r="D209" i="2"/>
  <c r="D210" i="2"/>
  <c r="D211" i="2"/>
  <c r="E212" i="2" s="1"/>
  <c r="D212" i="2"/>
  <c r="E213" i="2" s="1"/>
  <c r="D213" i="2"/>
  <c r="E214" i="2" s="1"/>
  <c r="D214" i="2"/>
  <c r="E215" i="2" s="1"/>
  <c r="D215" i="2"/>
  <c r="E216" i="2" s="1"/>
  <c r="D216" i="2"/>
  <c r="E217" i="2" s="1"/>
  <c r="D217" i="2"/>
  <c r="E218" i="2" s="1"/>
  <c r="D218" i="2"/>
  <c r="E219" i="2" s="1"/>
  <c r="D219" i="2"/>
  <c r="D220" i="2"/>
  <c r="E221" i="2" s="1"/>
  <c r="D221" i="2"/>
  <c r="E222" i="2" s="1"/>
  <c r="D222" i="2"/>
  <c r="E223" i="2" s="1"/>
  <c r="D223" i="2"/>
  <c r="E224" i="2" s="1"/>
  <c r="D224" i="2"/>
  <c r="D225" i="2"/>
  <c r="E226" i="2" s="1"/>
  <c r="D226" i="2"/>
  <c r="E227" i="2" s="1"/>
  <c r="D227" i="2"/>
  <c r="E228" i="2" s="1"/>
  <c r="D228" i="2"/>
  <c r="D229" i="2"/>
  <c r="E230" i="2" s="1"/>
  <c r="D230" i="2"/>
  <c r="D231" i="2"/>
  <c r="E232" i="2" s="1"/>
  <c r="D232" i="2"/>
  <c r="D233" i="2"/>
  <c r="D234" i="2"/>
  <c r="E235" i="2" s="1"/>
  <c r="D235" i="2"/>
  <c r="E236" i="2" s="1"/>
  <c r="D236" i="2"/>
  <c r="E237" i="2" s="1"/>
  <c r="D237" i="2"/>
  <c r="E238" i="2" s="1"/>
  <c r="D238" i="2"/>
  <c r="D239" i="2"/>
  <c r="E240" i="2" s="1"/>
  <c r="D240" i="2"/>
  <c r="E241" i="2" s="1"/>
  <c r="D241" i="2"/>
  <c r="D242" i="2"/>
  <c r="E243" i="2" s="1"/>
  <c r="D243" i="2"/>
  <c r="E244" i="2" s="1"/>
  <c r="D244" i="2"/>
  <c r="E245" i="2" s="1"/>
  <c r="D245" i="2"/>
  <c r="D246" i="2"/>
  <c r="E247" i="2" s="1"/>
  <c r="D247" i="2"/>
  <c r="E248" i="2" s="1"/>
  <c r="D248" i="2"/>
  <c r="E249" i="2" s="1"/>
  <c r="D249" i="2"/>
  <c r="E250" i="2" s="1"/>
  <c r="D250" i="2"/>
  <c r="E251" i="2" s="1"/>
  <c r="D251" i="2"/>
  <c r="E252" i="2" s="1"/>
  <c r="D252" i="2"/>
  <c r="D253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E34" i="2" s="1"/>
  <c r="C34" i="2"/>
  <c r="E35" i="2" s="1"/>
  <c r="C35" i="2"/>
  <c r="C36" i="2"/>
  <c r="C37" i="2"/>
  <c r="C38" i="2"/>
  <c r="C39" i="2"/>
  <c r="C40" i="2"/>
  <c r="C41" i="2"/>
  <c r="E42" i="2" s="1"/>
  <c r="C42" i="2"/>
  <c r="E43" i="2" s="1"/>
  <c r="C43" i="2"/>
  <c r="C44" i="2"/>
  <c r="C45" i="2"/>
  <c r="C46" i="2"/>
  <c r="C47" i="2"/>
  <c r="C48" i="2"/>
  <c r="C49" i="2"/>
  <c r="E50" i="2" s="1"/>
  <c r="C50" i="2"/>
  <c r="C51" i="2"/>
  <c r="C52" i="2"/>
  <c r="C53" i="2"/>
  <c r="C54" i="2"/>
  <c r="C55" i="2"/>
  <c r="C56" i="2"/>
  <c r="C57" i="2"/>
  <c r="C58" i="2"/>
  <c r="E59" i="2" s="1"/>
  <c r="C59" i="2"/>
  <c r="C60" i="2"/>
  <c r="C61" i="2"/>
  <c r="C62" i="2"/>
  <c r="C63" i="2"/>
  <c r="C64" i="2"/>
  <c r="C65" i="2"/>
  <c r="E66" i="2" s="1"/>
  <c r="C66" i="2"/>
  <c r="E67" i="2" s="1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E90" i="2" s="1"/>
  <c r="C90" i="2"/>
  <c r="C91" i="2"/>
  <c r="C92" i="2"/>
  <c r="C93" i="2"/>
  <c r="C94" i="2"/>
  <c r="C95" i="2"/>
  <c r="C96" i="2"/>
  <c r="C97" i="2"/>
  <c r="E98" i="2" s="1"/>
  <c r="C98" i="2"/>
  <c r="E99" i="2" s="1"/>
  <c r="C99" i="2"/>
  <c r="C100" i="2"/>
  <c r="C101" i="2"/>
  <c r="C102" i="2"/>
  <c r="C103" i="2"/>
  <c r="C104" i="2"/>
  <c r="C105" i="2"/>
  <c r="E106" i="2" s="1"/>
  <c r="C106" i="2"/>
  <c r="C107" i="2"/>
  <c r="C108" i="2"/>
  <c r="C109" i="2"/>
  <c r="C110" i="2"/>
  <c r="C111" i="2"/>
  <c r="C112" i="2"/>
  <c r="C113" i="2"/>
  <c r="C114" i="2"/>
  <c r="E115" i="2" s="1"/>
  <c r="C115" i="2"/>
  <c r="C116" i="2"/>
  <c r="C117" i="2"/>
  <c r="C118" i="2"/>
  <c r="C119" i="2"/>
  <c r="C120" i="2"/>
  <c r="C121" i="2"/>
  <c r="C122" i="2"/>
  <c r="E123" i="2" s="1"/>
  <c r="C123" i="2"/>
  <c r="C124" i="2"/>
  <c r="C125" i="2"/>
  <c r="C126" i="2"/>
  <c r="C127" i="2"/>
  <c r="C128" i="2"/>
  <c r="C129" i="2"/>
  <c r="E130" i="2" s="1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E146" i="2" s="1"/>
  <c r="C146" i="2"/>
  <c r="E147" i="2" s="1"/>
  <c r="C147" i="2"/>
  <c r="C148" i="2"/>
  <c r="C149" i="2"/>
  <c r="C150" i="2"/>
  <c r="C151" i="2"/>
  <c r="C152" i="2"/>
  <c r="C153" i="2"/>
  <c r="C154" i="2"/>
  <c r="E155" i="2" s="1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E171" i="2" s="1"/>
  <c r="C171" i="2"/>
  <c r="C172" i="2"/>
  <c r="C173" i="2"/>
  <c r="C174" i="2"/>
  <c r="C175" i="2"/>
  <c r="C176" i="2"/>
  <c r="C177" i="2"/>
  <c r="E178" i="2" s="1"/>
  <c r="C178" i="2"/>
  <c r="C179" i="2"/>
  <c r="C180" i="2"/>
  <c r="C181" i="2"/>
  <c r="C182" i="2"/>
  <c r="C183" i="2"/>
  <c r="C184" i="2"/>
  <c r="C185" i="2"/>
  <c r="E186" i="2" s="1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E210" i="2" s="1"/>
  <c r="C210" i="2"/>
  <c r="E211" i="2" s="1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E234" i="2" s="1"/>
  <c r="C234" i="2"/>
  <c r="C235" i="2"/>
  <c r="C236" i="2"/>
  <c r="C237" i="2"/>
  <c r="C238" i="2"/>
  <c r="C239" i="2"/>
  <c r="C240" i="2"/>
  <c r="C241" i="2"/>
  <c r="E242" i="2" s="1"/>
  <c r="C242" i="2"/>
  <c r="C243" i="2"/>
  <c r="C244" i="2"/>
  <c r="C245" i="2"/>
  <c r="C246" i="2"/>
  <c r="C247" i="2"/>
  <c r="C248" i="2"/>
  <c r="C249" i="2"/>
  <c r="C250" i="2"/>
  <c r="C251" i="2"/>
  <c r="C252" i="2"/>
  <c r="C253" i="2"/>
  <c r="E7" i="4" l="1"/>
  <c r="E15" i="4"/>
  <c r="E23" i="4"/>
  <c r="E31" i="4"/>
  <c r="E35" i="4"/>
  <c r="E39" i="4"/>
  <c r="E43" i="4"/>
  <c r="E47" i="4"/>
  <c r="E55" i="4"/>
  <c r="E59" i="4"/>
  <c r="E63" i="4"/>
  <c r="E67" i="4"/>
  <c r="E71" i="4"/>
  <c r="E79" i="4"/>
  <c r="E254" i="2"/>
  <c r="F254" i="2" s="1"/>
  <c r="E124" i="4"/>
  <c r="E132" i="4"/>
  <c r="E140" i="4"/>
  <c r="E168" i="4"/>
  <c r="E172" i="4"/>
  <c r="E184" i="4"/>
  <c r="E200" i="4"/>
  <c r="E220" i="4"/>
  <c r="Y28" i="2" a="1"/>
  <c r="F242" i="4"/>
  <c r="F211" i="4"/>
  <c r="F171" i="4"/>
  <c r="V171" i="3"/>
  <c r="F155" i="4"/>
  <c r="F147" i="4"/>
  <c r="F123" i="4"/>
  <c r="F115" i="4"/>
  <c r="F99" i="4"/>
  <c r="G99" i="4" s="1"/>
  <c r="F67" i="4"/>
  <c r="F59" i="4"/>
  <c r="F43" i="4"/>
  <c r="F35" i="4"/>
  <c r="CB35" i="4" s="1"/>
  <c r="F251" i="4"/>
  <c r="F249" i="4"/>
  <c r="F247" i="4"/>
  <c r="AG249" i="3"/>
  <c r="F245" i="4"/>
  <c r="F243" i="4"/>
  <c r="F241" i="4"/>
  <c r="G243" i="3"/>
  <c r="F237" i="4"/>
  <c r="F235" i="4"/>
  <c r="G237" i="4" s="1"/>
  <c r="F227" i="4"/>
  <c r="F223" i="4"/>
  <c r="F221" i="4"/>
  <c r="AF223" i="3"/>
  <c r="F219" i="4"/>
  <c r="F217" i="4"/>
  <c r="F215" i="4"/>
  <c r="F213" i="4"/>
  <c r="I213" i="3"/>
  <c r="F203" i="4"/>
  <c r="F201" i="4"/>
  <c r="F199" i="4"/>
  <c r="F197" i="4"/>
  <c r="AD197" i="3"/>
  <c r="F195" i="4"/>
  <c r="F193" i="4"/>
  <c r="F191" i="4"/>
  <c r="F187" i="4"/>
  <c r="P188" i="3"/>
  <c r="F179" i="4"/>
  <c r="F173" i="4"/>
  <c r="F169" i="4"/>
  <c r="F167" i="4"/>
  <c r="F165" i="4"/>
  <c r="F163" i="4"/>
  <c r="F159" i="4"/>
  <c r="F153" i="4"/>
  <c r="F151" i="4"/>
  <c r="F149" i="4"/>
  <c r="F141" i="4"/>
  <c r="F139" i="4"/>
  <c r="Z139" i="3"/>
  <c r="F137" i="4"/>
  <c r="F133" i="4"/>
  <c r="F131" i="4"/>
  <c r="G131" i="4" s="1"/>
  <c r="F129" i="4"/>
  <c r="O131" i="3"/>
  <c r="F127" i="4"/>
  <c r="F125" i="4"/>
  <c r="F119" i="4"/>
  <c r="F117" i="4"/>
  <c r="F107" i="4"/>
  <c r="F105" i="4"/>
  <c r="F103" i="4"/>
  <c r="F101" i="4"/>
  <c r="G103" i="3"/>
  <c r="F97" i="4"/>
  <c r="F95" i="4"/>
  <c r="F91" i="4"/>
  <c r="F83" i="4"/>
  <c r="AD83" i="3"/>
  <c r="F81" i="4"/>
  <c r="F77" i="4"/>
  <c r="F75" i="4"/>
  <c r="F73" i="4"/>
  <c r="F65" i="4"/>
  <c r="CC68" i="4" s="1"/>
  <c r="F61" i="4"/>
  <c r="F53" i="4"/>
  <c r="F51" i="4"/>
  <c r="F33" i="4"/>
  <c r="F29" i="4"/>
  <c r="F27" i="4"/>
  <c r="CB29" i="4" s="1"/>
  <c r="F19" i="4"/>
  <c r="F13" i="4"/>
  <c r="F11" i="4"/>
  <c r="F9" i="4"/>
  <c r="BP11" i="4" s="1"/>
  <c r="F3" i="4"/>
  <c r="F234" i="4"/>
  <c r="F210" i="4"/>
  <c r="F186" i="4"/>
  <c r="F178" i="4"/>
  <c r="F146" i="4"/>
  <c r="F130" i="4"/>
  <c r="F106" i="4"/>
  <c r="F98" i="4"/>
  <c r="F90" i="4"/>
  <c r="F66" i="4"/>
  <c r="F50" i="4"/>
  <c r="F42" i="4"/>
  <c r="F34" i="4"/>
  <c r="AY35" i="4" s="1"/>
  <c r="F252" i="4"/>
  <c r="F250" i="4"/>
  <c r="G251" i="3"/>
  <c r="F248" i="4"/>
  <c r="L250" i="3"/>
  <c r="F244" i="4"/>
  <c r="F240" i="4"/>
  <c r="F238" i="4"/>
  <c r="F236" i="4"/>
  <c r="AB236" i="3"/>
  <c r="F232" i="4"/>
  <c r="F230" i="4"/>
  <c r="F228" i="4"/>
  <c r="F226" i="4"/>
  <c r="W228" i="3"/>
  <c r="F224" i="4"/>
  <c r="O224" i="3"/>
  <c r="F222" i="4"/>
  <c r="F218" i="4"/>
  <c r="F216" i="4"/>
  <c r="AA217" i="3"/>
  <c r="F214" i="4"/>
  <c r="F212" i="4"/>
  <c r="F208" i="4"/>
  <c r="F206" i="4"/>
  <c r="F204" i="4"/>
  <c r="AE204" i="3"/>
  <c r="F202" i="4"/>
  <c r="F196" i="4"/>
  <c r="F194" i="4"/>
  <c r="S194" i="3"/>
  <c r="F192" i="4"/>
  <c r="G193" i="4" s="1"/>
  <c r="AG192" i="3"/>
  <c r="F190" i="4"/>
  <c r="F188" i="4"/>
  <c r="F180" i="4"/>
  <c r="F176" i="4"/>
  <c r="F170" i="4"/>
  <c r="F166" i="4"/>
  <c r="F164" i="4"/>
  <c r="V165" i="3"/>
  <c r="F162" i="4"/>
  <c r="F160" i="4"/>
  <c r="F158" i="4"/>
  <c r="F154" i="4"/>
  <c r="F144" i="4"/>
  <c r="F138" i="4"/>
  <c r="F136" i="4"/>
  <c r="F128" i="4"/>
  <c r="F126" i="4"/>
  <c r="F122" i="4"/>
  <c r="F118" i="4"/>
  <c r="F116" i="4"/>
  <c r="G116" i="3"/>
  <c r="F114" i="4"/>
  <c r="F112" i="4"/>
  <c r="F110" i="4"/>
  <c r="F108" i="4"/>
  <c r="F104" i="4"/>
  <c r="AA106" i="3"/>
  <c r="F102" i="4"/>
  <c r="F100" i="4"/>
  <c r="G101" i="4" s="1"/>
  <c r="F96" i="4"/>
  <c r="F88" i="4"/>
  <c r="F86" i="4"/>
  <c r="F82" i="4"/>
  <c r="CG83" i="4" s="1"/>
  <c r="F80" i="4"/>
  <c r="AF82" i="3"/>
  <c r="F78" i="4"/>
  <c r="F74" i="4"/>
  <c r="F70" i="4"/>
  <c r="F68" i="4"/>
  <c r="AE68" i="3"/>
  <c r="F62" i="4"/>
  <c r="CE62" i="4" s="1"/>
  <c r="F60" i="4"/>
  <c r="F58" i="4"/>
  <c r="CF61" i="4" s="1"/>
  <c r="F48" i="4"/>
  <c r="F46" i="4"/>
  <c r="F38" i="4"/>
  <c r="F32" i="4"/>
  <c r="F28" i="4"/>
  <c r="J29" i="3"/>
  <c r="F26" i="4"/>
  <c r="H29" i="4" s="1"/>
  <c r="F22" i="4"/>
  <c r="F18" i="4"/>
  <c r="F10" i="4"/>
  <c r="CC11" i="4" s="1"/>
  <c r="J11" i="3"/>
  <c r="F8" i="4"/>
  <c r="F6" i="4"/>
  <c r="F2" i="4"/>
  <c r="E84" i="4"/>
  <c r="E92" i="4"/>
  <c r="E109" i="4"/>
  <c r="E155" i="4"/>
  <c r="E189" i="4"/>
  <c r="E253" i="4"/>
  <c r="E4" i="4"/>
  <c r="E12" i="4"/>
  <c r="E14" i="4"/>
  <c r="E16" i="4"/>
  <c r="E20" i="4"/>
  <c r="E24" i="4"/>
  <c r="E30" i="4"/>
  <c r="E34" i="4"/>
  <c r="E36" i="4"/>
  <c r="E40" i="4"/>
  <c r="E42" i="4"/>
  <c r="E44" i="4"/>
  <c r="E50" i="4"/>
  <c r="E52" i="4"/>
  <c r="E54" i="4"/>
  <c r="E56" i="4"/>
  <c r="E64" i="4"/>
  <c r="E66" i="4"/>
  <c r="E72" i="4"/>
  <c r="E76" i="4"/>
  <c r="E94" i="4"/>
  <c r="E148" i="4"/>
  <c r="E150" i="4"/>
  <c r="E156" i="4"/>
  <c r="E186" i="4"/>
  <c r="E246" i="4"/>
  <c r="G252" i="3"/>
  <c r="E85" i="4"/>
  <c r="E93" i="4"/>
  <c r="G117" i="4"/>
  <c r="E123" i="4"/>
  <c r="E157" i="4"/>
  <c r="G165" i="4"/>
  <c r="E177" i="4"/>
  <c r="E181" i="4"/>
  <c r="G197" i="4"/>
  <c r="E205" i="4"/>
  <c r="E209" i="4"/>
  <c r="G213" i="4"/>
  <c r="G217" i="4"/>
  <c r="E225" i="4"/>
  <c r="E229" i="4"/>
  <c r="G245" i="4"/>
  <c r="CB11" i="4"/>
  <c r="CF11" i="4"/>
  <c r="CH11" i="4"/>
  <c r="CJ11" i="4"/>
  <c r="CG11" i="4"/>
  <c r="CI11" i="4"/>
  <c r="BV11" i="4"/>
  <c r="BX11" i="4"/>
  <c r="BZ11" i="4"/>
  <c r="BW11" i="4"/>
  <c r="BY11" i="4"/>
  <c r="BJ11" i="4"/>
  <c r="BL11" i="4"/>
  <c r="BN11" i="4"/>
  <c r="BK11" i="4"/>
  <c r="BO11" i="4"/>
  <c r="AW11" i="4"/>
  <c r="AY11" i="4"/>
  <c r="BA11" i="4"/>
  <c r="BG11" i="4"/>
  <c r="BI11" i="4"/>
  <c r="BQ11" i="4"/>
  <c r="AV11" i="4"/>
  <c r="AZ11" i="4"/>
  <c r="AX11" i="4"/>
  <c r="BB11" i="4"/>
  <c r="AM11" i="4"/>
  <c r="AO11" i="4"/>
  <c r="AQ11" i="4"/>
  <c r="AF11" i="4"/>
  <c r="AH11" i="4"/>
  <c r="AB11" i="4"/>
  <c r="AA11" i="4"/>
  <c r="AL11" i="4"/>
  <c r="AR11" i="4"/>
  <c r="AT11" i="4"/>
  <c r="AK11" i="4"/>
  <c r="AG11" i="4"/>
  <c r="AC11" i="4"/>
  <c r="U11" i="4"/>
  <c r="T11" i="4"/>
  <c r="R11" i="4"/>
  <c r="Q11" i="4"/>
  <c r="N11" i="4"/>
  <c r="Z11" i="4"/>
  <c r="Y11" i="4"/>
  <c r="W11" i="4"/>
  <c r="P11" i="4"/>
  <c r="O11" i="4"/>
  <c r="J11" i="4"/>
  <c r="H11" i="4"/>
  <c r="CE29" i="4"/>
  <c r="CG29" i="4"/>
  <c r="CI29" i="4"/>
  <c r="CF29" i="4"/>
  <c r="CH29" i="4"/>
  <c r="BT29" i="4"/>
  <c r="BV29" i="4"/>
  <c r="BX29" i="4"/>
  <c r="BU29" i="4"/>
  <c r="BW29" i="4"/>
  <c r="CA29" i="4"/>
  <c r="BJ29" i="4"/>
  <c r="BL29" i="4"/>
  <c r="BR29" i="4"/>
  <c r="BM29" i="4"/>
  <c r="AU29" i="4"/>
  <c r="AW29" i="4"/>
  <c r="AY29" i="4"/>
  <c r="BE29" i="4"/>
  <c r="BG29" i="4"/>
  <c r="BK29" i="4"/>
  <c r="BO29" i="4"/>
  <c r="AX29" i="4"/>
  <c r="AV29" i="4"/>
  <c r="AZ29" i="4"/>
  <c r="BH29" i="4"/>
  <c r="AM29" i="4"/>
  <c r="AO29" i="4"/>
  <c r="AJ29" i="4"/>
  <c r="AF29" i="4"/>
  <c r="AD29" i="4"/>
  <c r="AB29" i="4"/>
  <c r="AA29" i="4"/>
  <c r="AP29" i="4"/>
  <c r="AR29" i="4"/>
  <c r="AI29" i="4"/>
  <c r="AK29" i="4"/>
  <c r="AG29" i="4"/>
  <c r="V29" i="4"/>
  <c r="U29" i="4"/>
  <c r="S29" i="4"/>
  <c r="R29" i="4"/>
  <c r="Q29" i="4"/>
  <c r="I29" i="4"/>
  <c r="Z29" i="4"/>
  <c r="X29" i="4"/>
  <c r="W29" i="4"/>
  <c r="P29" i="4"/>
  <c r="K29" i="4"/>
  <c r="J29" i="4"/>
  <c r="CC35" i="4"/>
  <c r="CE35" i="4"/>
  <c r="CG35" i="4"/>
  <c r="CF35" i="4"/>
  <c r="CH35" i="4"/>
  <c r="CI35" i="4"/>
  <c r="BT35" i="4"/>
  <c r="BV35" i="4"/>
  <c r="BS35" i="4"/>
  <c r="BU35" i="4"/>
  <c r="BY35" i="4"/>
  <c r="CA35" i="4"/>
  <c r="BJ35" i="4"/>
  <c r="BP35" i="4"/>
  <c r="BR35" i="4"/>
  <c r="BO35" i="4"/>
  <c r="AU35" i="4"/>
  <c r="AW35" i="4"/>
  <c r="BC35" i="4"/>
  <c r="BE35" i="4"/>
  <c r="BI35" i="4"/>
  <c r="BM35" i="4"/>
  <c r="BQ35" i="4"/>
  <c r="BD35" i="4"/>
  <c r="BH35" i="4"/>
  <c r="BB35" i="4"/>
  <c r="BF35" i="4"/>
  <c r="AM35" i="4"/>
  <c r="AS35" i="4"/>
  <c r="AJ35" i="4"/>
  <c r="AH35" i="4"/>
  <c r="AD35" i="4"/>
  <c r="AB35" i="4"/>
  <c r="AN35" i="4"/>
  <c r="AP35" i="4"/>
  <c r="AT35" i="4"/>
  <c r="AI35" i="4"/>
  <c r="AK35" i="4"/>
  <c r="AE35" i="4"/>
  <c r="V35" i="4"/>
  <c r="T35" i="4"/>
  <c r="S35" i="4"/>
  <c r="R35" i="4"/>
  <c r="M35" i="4"/>
  <c r="Z35" i="4"/>
  <c r="X35" i="4"/>
  <c r="W35" i="4"/>
  <c r="P35" i="4"/>
  <c r="K35" i="4"/>
  <c r="J35" i="4"/>
  <c r="I35" i="4"/>
  <c r="CB61" i="4"/>
  <c r="CD61" i="4"/>
  <c r="CJ61" i="4"/>
  <c r="CC61" i="4"/>
  <c r="CE61" i="4"/>
  <c r="CI61" i="4"/>
  <c r="BT61" i="4"/>
  <c r="BZ61" i="4"/>
  <c r="BS61" i="4"/>
  <c r="CA61" i="4"/>
  <c r="BU61" i="4"/>
  <c r="BY61" i="4"/>
  <c r="BN61" i="4"/>
  <c r="BP61" i="4"/>
  <c r="BK61" i="4"/>
  <c r="BM61" i="4"/>
  <c r="BO61" i="4"/>
  <c r="AX61" i="4"/>
  <c r="AZ61" i="4"/>
  <c r="BD61" i="4"/>
  <c r="BF61" i="4"/>
  <c r="BH61" i="4"/>
  <c r="AY61" i="4"/>
  <c r="BA61" i="4"/>
  <c r="BE61" i="4"/>
  <c r="BG61" i="4"/>
  <c r="BI61" i="4"/>
  <c r="AQ61" i="4"/>
  <c r="AS61" i="4"/>
  <c r="AF61" i="4"/>
  <c r="AH61" i="4"/>
  <c r="AD61" i="4"/>
  <c r="AL61" i="4"/>
  <c r="AN61" i="4"/>
  <c r="AR61" i="4"/>
  <c r="AT61" i="4"/>
  <c r="AI61" i="4"/>
  <c r="AC61" i="4"/>
  <c r="AE61" i="4"/>
  <c r="U61" i="4"/>
  <c r="T61" i="4"/>
  <c r="S61" i="4"/>
  <c r="N61" i="4"/>
  <c r="M61" i="4"/>
  <c r="Z61" i="4"/>
  <c r="Y61" i="4"/>
  <c r="X61" i="4"/>
  <c r="O61" i="4"/>
  <c r="L61" i="4"/>
  <c r="J61" i="4"/>
  <c r="H61" i="4"/>
  <c r="CC62" i="4"/>
  <c r="CI62" i="4"/>
  <c r="CB62" i="4"/>
  <c r="CJ62" i="4"/>
  <c r="CD62" i="4"/>
  <c r="CH62" i="4"/>
  <c r="BW62" i="4"/>
  <c r="BY62" i="4"/>
  <c r="BV62" i="4"/>
  <c r="BZ62" i="4"/>
  <c r="BT62" i="4"/>
  <c r="BM62" i="4"/>
  <c r="BO62" i="4"/>
  <c r="BJ62" i="4"/>
  <c r="BL62" i="4"/>
  <c r="BN62" i="4"/>
  <c r="AU62" i="4"/>
  <c r="AW62" i="4"/>
  <c r="BA62" i="4"/>
  <c r="BC62" i="4"/>
  <c r="BE62" i="4"/>
  <c r="AV62" i="4"/>
  <c r="AX62" i="4"/>
  <c r="BB62" i="4"/>
  <c r="BD62" i="4"/>
  <c r="BF62" i="4"/>
  <c r="AN62" i="4"/>
  <c r="AP62" i="4"/>
  <c r="AT62" i="4"/>
  <c r="AI62" i="4"/>
  <c r="AK62" i="4"/>
  <c r="AE62" i="4"/>
  <c r="AM62" i="4"/>
  <c r="AQ62" i="4"/>
  <c r="AS62" i="4"/>
  <c r="AJ62" i="4"/>
  <c r="AD62" i="4"/>
  <c r="Z62" i="4"/>
  <c r="X62" i="4"/>
  <c r="W62" i="4"/>
  <c r="P62" i="4"/>
  <c r="K62" i="4"/>
  <c r="J62" i="4"/>
  <c r="AB62" i="4"/>
  <c r="AA62" i="4"/>
  <c r="V62" i="4"/>
  <c r="S62" i="4"/>
  <c r="R62" i="4"/>
  <c r="N62" i="4"/>
  <c r="M62" i="4"/>
  <c r="I62" i="4"/>
  <c r="CG68" i="4"/>
  <c r="CI68" i="4"/>
  <c r="CD68" i="4"/>
  <c r="CH68" i="4"/>
  <c r="CB68" i="4"/>
  <c r="CF68" i="4"/>
  <c r="BU68" i="4"/>
  <c r="BW68" i="4"/>
  <c r="BY68" i="4"/>
  <c r="CA68" i="4"/>
  <c r="BT68" i="4"/>
  <c r="BX68" i="4"/>
  <c r="BK68" i="4"/>
  <c r="BM68" i="4"/>
  <c r="BO68" i="4"/>
  <c r="BQ68" i="4"/>
  <c r="BJ68" i="4"/>
  <c r="BL68" i="4"/>
  <c r="BR68" i="4"/>
  <c r="AU68" i="4"/>
  <c r="AW68" i="4"/>
  <c r="AY68" i="4"/>
  <c r="BA68" i="4"/>
  <c r="BC68" i="4"/>
  <c r="BI68" i="4"/>
  <c r="AV68" i="4"/>
  <c r="AX68" i="4"/>
  <c r="AZ68" i="4"/>
  <c r="BB68" i="4"/>
  <c r="BD68" i="4"/>
  <c r="AL68" i="4"/>
  <c r="AN68" i="4"/>
  <c r="AP68" i="4"/>
  <c r="AR68" i="4"/>
  <c r="AT68" i="4"/>
  <c r="AI68" i="4"/>
  <c r="AC68" i="4"/>
  <c r="AE68" i="4"/>
  <c r="AM68" i="4"/>
  <c r="AO68" i="4"/>
  <c r="AQ68" i="4"/>
  <c r="AS68" i="4"/>
  <c r="AH68" i="4"/>
  <c r="AD68" i="4"/>
  <c r="AB68" i="4"/>
  <c r="AA68" i="4"/>
  <c r="Z68" i="4"/>
  <c r="Y68" i="4"/>
  <c r="P68" i="4"/>
  <c r="O68" i="4"/>
  <c r="L68" i="4"/>
  <c r="K68" i="4"/>
  <c r="J68" i="4"/>
  <c r="V68" i="4"/>
  <c r="S68" i="4"/>
  <c r="R68" i="4"/>
  <c r="Q68" i="4"/>
  <c r="N68" i="4"/>
  <c r="M68" i="4"/>
  <c r="I68" i="4"/>
  <c r="CD83" i="4"/>
  <c r="CF83" i="4"/>
  <c r="CH83" i="4"/>
  <c r="CJ83" i="4"/>
  <c r="CC83" i="4"/>
  <c r="CE83" i="4"/>
  <c r="BT83" i="4"/>
  <c r="BV83" i="4"/>
  <c r="BX83" i="4"/>
  <c r="BZ83" i="4"/>
  <c r="BU83" i="4"/>
  <c r="BY83" i="4"/>
  <c r="CA83" i="4"/>
  <c r="BJ83" i="4"/>
  <c r="BL83" i="4"/>
  <c r="BN83" i="4"/>
  <c r="BP83" i="4"/>
  <c r="BR83" i="4"/>
  <c r="BO83" i="4"/>
  <c r="BQ83" i="4"/>
  <c r="AV83" i="4"/>
  <c r="AX83" i="4"/>
  <c r="AZ83" i="4"/>
  <c r="BB83" i="4"/>
  <c r="BH83" i="4"/>
  <c r="AU83" i="4"/>
  <c r="AW83" i="4"/>
  <c r="AY83" i="4"/>
  <c r="BA83" i="4"/>
  <c r="BC83" i="4"/>
  <c r="BI83" i="4"/>
  <c r="AM83" i="4"/>
  <c r="AO83" i="4"/>
  <c r="AQ83" i="4"/>
  <c r="AS83" i="4"/>
  <c r="AJ83" i="4"/>
  <c r="AD83" i="4"/>
  <c r="AB83" i="4"/>
  <c r="AA83" i="4"/>
  <c r="AL83" i="4"/>
  <c r="AN83" i="4"/>
  <c r="AP83" i="4"/>
  <c r="AI83" i="4"/>
  <c r="AK83" i="4"/>
  <c r="AG83" i="4"/>
  <c r="AC83" i="4"/>
  <c r="AE83" i="4"/>
  <c r="V83" i="4"/>
  <c r="S83" i="4"/>
  <c r="R83" i="4"/>
  <c r="Q83" i="4"/>
  <c r="N83" i="4"/>
  <c r="M83" i="4"/>
  <c r="I83" i="4"/>
  <c r="X83" i="4"/>
  <c r="W83" i="4"/>
  <c r="P83" i="4"/>
  <c r="O83" i="4"/>
  <c r="L83" i="4"/>
  <c r="K83" i="4"/>
  <c r="CB98" i="4"/>
  <c r="CD98" i="4"/>
  <c r="CF98" i="4"/>
  <c r="CH98" i="4"/>
  <c r="CJ98" i="4"/>
  <c r="CC98" i="4"/>
  <c r="CE98" i="4"/>
  <c r="CG98" i="4"/>
  <c r="CI98" i="4"/>
  <c r="BS98" i="4"/>
  <c r="BU98" i="4"/>
  <c r="BW98" i="4"/>
  <c r="BY98" i="4"/>
  <c r="CA98" i="4"/>
  <c r="BV98" i="4"/>
  <c r="BZ98" i="4"/>
  <c r="BT98" i="4"/>
  <c r="BX98" i="4"/>
  <c r="BK98" i="4"/>
  <c r="BM98" i="4"/>
  <c r="BO98" i="4"/>
  <c r="BQ98" i="4"/>
  <c r="BJ98" i="4"/>
  <c r="BL98" i="4"/>
  <c r="BN98" i="4"/>
  <c r="BP98" i="4"/>
  <c r="BR98" i="4"/>
  <c r="AU98" i="4"/>
  <c r="AW98" i="4"/>
  <c r="AY98" i="4"/>
  <c r="BA98" i="4"/>
  <c r="BC98" i="4"/>
  <c r="BE98" i="4"/>
  <c r="BG98" i="4"/>
  <c r="BI98" i="4"/>
  <c r="AV98" i="4"/>
  <c r="AX98" i="4"/>
  <c r="AZ98" i="4"/>
  <c r="BB98" i="4"/>
  <c r="BD98" i="4"/>
  <c r="BF98" i="4"/>
  <c r="BH98" i="4"/>
  <c r="AL98" i="4"/>
  <c r="AN98" i="4"/>
  <c r="AP98" i="4"/>
  <c r="AR98" i="4"/>
  <c r="AT98" i="4"/>
  <c r="AI98" i="4"/>
  <c r="AK98" i="4"/>
  <c r="AG98" i="4"/>
  <c r="AC98" i="4"/>
  <c r="AE98" i="4"/>
  <c r="AM98" i="4"/>
  <c r="AO98" i="4"/>
  <c r="AQ98" i="4"/>
  <c r="AS98" i="4"/>
  <c r="AJ98" i="4"/>
  <c r="AF98" i="4"/>
  <c r="AH98" i="4"/>
  <c r="AD98" i="4"/>
  <c r="Z98" i="4"/>
  <c r="Y98" i="4"/>
  <c r="X98" i="4"/>
  <c r="W98" i="4"/>
  <c r="P98" i="4"/>
  <c r="O98" i="4"/>
  <c r="L98" i="4"/>
  <c r="K98" i="4"/>
  <c r="H98" i="4"/>
  <c r="AB98" i="4"/>
  <c r="AA98" i="4"/>
  <c r="V98" i="4"/>
  <c r="U98" i="4"/>
  <c r="T98" i="4"/>
  <c r="S98" i="4"/>
  <c r="R98" i="4"/>
  <c r="Q98" i="4"/>
  <c r="N98" i="4"/>
  <c r="M98" i="4"/>
  <c r="I98" i="4"/>
  <c r="J98" i="4"/>
  <c r="CB100" i="4"/>
  <c r="CD100" i="4"/>
  <c r="CF100" i="4"/>
  <c r="CH100" i="4"/>
  <c r="CJ100" i="4"/>
  <c r="CC100" i="4"/>
  <c r="CE100" i="4"/>
  <c r="CG100" i="4"/>
  <c r="CI100" i="4"/>
  <c r="BS100" i="4"/>
  <c r="BU100" i="4"/>
  <c r="BW100" i="4"/>
  <c r="BY100" i="4"/>
  <c r="CA100" i="4"/>
  <c r="BT100" i="4"/>
  <c r="BX100" i="4"/>
  <c r="BV100" i="4"/>
  <c r="BZ100" i="4"/>
  <c r="BK100" i="4"/>
  <c r="BM100" i="4"/>
  <c r="BO100" i="4"/>
  <c r="BQ100" i="4"/>
  <c r="BJ100" i="4"/>
  <c r="BL100" i="4"/>
  <c r="BN100" i="4"/>
  <c r="BP100" i="4"/>
  <c r="BR100" i="4"/>
  <c r="AU100" i="4"/>
  <c r="AW100" i="4"/>
  <c r="AY100" i="4"/>
  <c r="BA100" i="4"/>
  <c r="BC100" i="4"/>
  <c r="BE100" i="4"/>
  <c r="BG100" i="4"/>
  <c r="BI100" i="4"/>
  <c r="AV100" i="4"/>
  <c r="AX100" i="4"/>
  <c r="AZ100" i="4"/>
  <c r="BB100" i="4"/>
  <c r="BD100" i="4"/>
  <c r="BF100" i="4"/>
  <c r="BH100" i="4"/>
  <c r="AL100" i="4"/>
  <c r="AN100" i="4"/>
  <c r="AP100" i="4"/>
  <c r="AR100" i="4"/>
  <c r="AT100" i="4"/>
  <c r="AI100" i="4"/>
  <c r="AK100" i="4"/>
  <c r="AG100" i="4"/>
  <c r="AC100" i="4"/>
  <c r="AE100" i="4"/>
  <c r="AM100" i="4"/>
  <c r="AO100" i="4"/>
  <c r="AQ100" i="4"/>
  <c r="AS100" i="4"/>
  <c r="AJ100" i="4"/>
  <c r="AF100" i="4"/>
  <c r="AH100" i="4"/>
  <c r="AD100" i="4"/>
  <c r="AB100" i="4"/>
  <c r="AA100" i="4"/>
  <c r="Z100" i="4"/>
  <c r="Y100" i="4"/>
  <c r="X100" i="4"/>
  <c r="W100" i="4"/>
  <c r="P100" i="4"/>
  <c r="O100" i="4"/>
  <c r="L100" i="4"/>
  <c r="K100" i="4"/>
  <c r="J100" i="4"/>
  <c r="V100" i="4"/>
  <c r="U100" i="4"/>
  <c r="T100" i="4"/>
  <c r="S100" i="4"/>
  <c r="R100" i="4"/>
  <c r="Q100" i="4"/>
  <c r="N100" i="4"/>
  <c r="M100" i="4"/>
  <c r="I100" i="4"/>
  <c r="H100" i="4"/>
  <c r="CC103" i="4"/>
  <c r="CE103" i="4"/>
  <c r="CG103" i="4"/>
  <c r="CI103" i="4"/>
  <c r="CB103" i="4"/>
  <c r="CD103" i="4"/>
  <c r="CF103" i="4"/>
  <c r="CH103" i="4"/>
  <c r="CJ103" i="4"/>
  <c r="BT103" i="4"/>
  <c r="BV103" i="4"/>
  <c r="BX103" i="4"/>
  <c r="BZ103" i="4"/>
  <c r="BU103" i="4"/>
  <c r="BY103" i="4"/>
  <c r="BS103" i="4"/>
  <c r="BW103" i="4"/>
  <c r="CA103" i="4"/>
  <c r="BJ103" i="4"/>
  <c r="BL103" i="4"/>
  <c r="BN103" i="4"/>
  <c r="BP103" i="4"/>
  <c r="BR103" i="4"/>
  <c r="BK103" i="4"/>
  <c r="BM103" i="4"/>
  <c r="BO103" i="4"/>
  <c r="BQ103" i="4"/>
  <c r="AV103" i="4"/>
  <c r="AX103" i="4"/>
  <c r="AZ103" i="4"/>
  <c r="BB103" i="4"/>
  <c r="BD103" i="4"/>
  <c r="BF103" i="4"/>
  <c r="BH103" i="4"/>
  <c r="AU103" i="4"/>
  <c r="AW103" i="4"/>
  <c r="AY103" i="4"/>
  <c r="BA103" i="4"/>
  <c r="BC103" i="4"/>
  <c r="BE103" i="4"/>
  <c r="BG103" i="4"/>
  <c r="BI103" i="4"/>
  <c r="AM103" i="4"/>
  <c r="AO103" i="4"/>
  <c r="AQ103" i="4"/>
  <c r="AS103" i="4"/>
  <c r="AJ103" i="4"/>
  <c r="AF103" i="4"/>
  <c r="AH103" i="4"/>
  <c r="AD103" i="4"/>
  <c r="AB103" i="4"/>
  <c r="AA103" i="4"/>
  <c r="AL103" i="4"/>
  <c r="AN103" i="4"/>
  <c r="AP103" i="4"/>
  <c r="AR103" i="4"/>
  <c r="AT103" i="4"/>
  <c r="AI103" i="4"/>
  <c r="AK103" i="4"/>
  <c r="AG103" i="4"/>
  <c r="AC103" i="4"/>
  <c r="AE103" i="4"/>
  <c r="V103" i="4"/>
  <c r="U103" i="4"/>
  <c r="T103" i="4"/>
  <c r="S103" i="4"/>
  <c r="R103" i="4"/>
  <c r="Q103" i="4"/>
  <c r="N103" i="4"/>
  <c r="M103" i="4"/>
  <c r="Z103" i="4"/>
  <c r="Y103" i="4"/>
  <c r="X103" i="4"/>
  <c r="W103" i="4"/>
  <c r="P103" i="4"/>
  <c r="O103" i="4"/>
  <c r="L103" i="4"/>
  <c r="K103" i="4"/>
  <c r="J103" i="4"/>
  <c r="H103" i="4"/>
  <c r="I103" i="4"/>
  <c r="CC105" i="4"/>
  <c r="CE105" i="4"/>
  <c r="CG105" i="4"/>
  <c r="CI105" i="4"/>
  <c r="CB105" i="4"/>
  <c r="CD105" i="4"/>
  <c r="CF105" i="4"/>
  <c r="CH105" i="4"/>
  <c r="CJ105" i="4"/>
  <c r="BT105" i="4"/>
  <c r="BV105" i="4"/>
  <c r="BX105" i="4"/>
  <c r="BZ105" i="4"/>
  <c r="BS105" i="4"/>
  <c r="BW105" i="4"/>
  <c r="CA105" i="4"/>
  <c r="BU105" i="4"/>
  <c r="BY105" i="4"/>
  <c r="BJ105" i="4"/>
  <c r="BL105" i="4"/>
  <c r="BN105" i="4"/>
  <c r="BP105" i="4"/>
  <c r="BR105" i="4"/>
  <c r="BK105" i="4"/>
  <c r="BM105" i="4"/>
  <c r="BO105" i="4"/>
  <c r="BQ105" i="4"/>
  <c r="AV105" i="4"/>
  <c r="AX105" i="4"/>
  <c r="AZ105" i="4"/>
  <c r="BB105" i="4"/>
  <c r="BD105" i="4"/>
  <c r="BF105" i="4"/>
  <c r="BH105" i="4"/>
  <c r="AU105" i="4"/>
  <c r="AW105" i="4"/>
  <c r="AY105" i="4"/>
  <c r="BA105" i="4"/>
  <c r="BC105" i="4"/>
  <c r="BE105" i="4"/>
  <c r="BG105" i="4"/>
  <c r="BI105" i="4"/>
  <c r="AM105" i="4"/>
  <c r="AO105" i="4"/>
  <c r="AQ105" i="4"/>
  <c r="AS105" i="4"/>
  <c r="AJ105" i="4"/>
  <c r="AF105" i="4"/>
  <c r="AH105" i="4"/>
  <c r="AD105" i="4"/>
  <c r="AB105" i="4"/>
  <c r="AA105" i="4"/>
  <c r="AL105" i="4"/>
  <c r="AN105" i="4"/>
  <c r="AP105" i="4"/>
  <c r="AR105" i="4"/>
  <c r="AT105" i="4"/>
  <c r="AI105" i="4"/>
  <c r="AK105" i="4"/>
  <c r="AG105" i="4"/>
  <c r="AC105" i="4"/>
  <c r="AE105" i="4"/>
  <c r="V105" i="4"/>
  <c r="U105" i="4"/>
  <c r="T105" i="4"/>
  <c r="S105" i="4"/>
  <c r="R105" i="4"/>
  <c r="Q105" i="4"/>
  <c r="N105" i="4"/>
  <c r="M105" i="4"/>
  <c r="I105" i="4"/>
  <c r="Z105" i="4"/>
  <c r="Y105" i="4"/>
  <c r="X105" i="4"/>
  <c r="W105" i="4"/>
  <c r="P105" i="4"/>
  <c r="O105" i="4"/>
  <c r="L105" i="4"/>
  <c r="K105" i="4"/>
  <c r="J105" i="4"/>
  <c r="H105" i="4"/>
  <c r="CC107" i="4"/>
  <c r="CE107" i="4"/>
  <c r="CG107" i="4"/>
  <c r="CI107" i="4"/>
  <c r="CB107" i="4"/>
  <c r="CD107" i="4"/>
  <c r="CF107" i="4"/>
  <c r="CH107" i="4"/>
  <c r="CJ107" i="4"/>
  <c r="BT107" i="4"/>
  <c r="BV107" i="4"/>
  <c r="BX107" i="4"/>
  <c r="BZ107" i="4"/>
  <c r="BU107" i="4"/>
  <c r="BY107" i="4"/>
  <c r="BS107" i="4"/>
  <c r="BW107" i="4"/>
  <c r="CA107" i="4"/>
  <c r="BJ107" i="4"/>
  <c r="BL107" i="4"/>
  <c r="BN107" i="4"/>
  <c r="BP107" i="4"/>
  <c r="BR107" i="4"/>
  <c r="BK107" i="4"/>
  <c r="BM107" i="4"/>
  <c r="BO107" i="4"/>
  <c r="BQ107" i="4"/>
  <c r="AV107" i="4"/>
  <c r="AX107" i="4"/>
  <c r="AZ107" i="4"/>
  <c r="BB107" i="4"/>
  <c r="BD107" i="4"/>
  <c r="BF107" i="4"/>
  <c r="BH107" i="4"/>
  <c r="AU107" i="4"/>
  <c r="AW107" i="4"/>
  <c r="AY107" i="4"/>
  <c r="BA107" i="4"/>
  <c r="BC107" i="4"/>
  <c r="BE107" i="4"/>
  <c r="BG107" i="4"/>
  <c r="BI107" i="4"/>
  <c r="AM107" i="4"/>
  <c r="AO107" i="4"/>
  <c r="AQ107" i="4"/>
  <c r="AS107" i="4"/>
  <c r="AJ107" i="4"/>
  <c r="AF107" i="4"/>
  <c r="AH107" i="4"/>
  <c r="AD107" i="4"/>
  <c r="AB107" i="4"/>
  <c r="AA107" i="4"/>
  <c r="AL107" i="4"/>
  <c r="AN107" i="4"/>
  <c r="AP107" i="4"/>
  <c r="AR107" i="4"/>
  <c r="AT107" i="4"/>
  <c r="AI107" i="4"/>
  <c r="AK107" i="4"/>
  <c r="AG107" i="4"/>
  <c r="AC107" i="4"/>
  <c r="AE107" i="4"/>
  <c r="V107" i="4"/>
  <c r="U107" i="4"/>
  <c r="T107" i="4"/>
  <c r="S107" i="4"/>
  <c r="R107" i="4"/>
  <c r="Q107" i="4"/>
  <c r="N107" i="4"/>
  <c r="M107" i="4"/>
  <c r="Z107" i="4"/>
  <c r="Y107" i="4"/>
  <c r="X107" i="4"/>
  <c r="W107" i="4"/>
  <c r="P107" i="4"/>
  <c r="O107" i="4"/>
  <c r="L107" i="4"/>
  <c r="K107" i="4"/>
  <c r="J107" i="4"/>
  <c r="H107" i="4"/>
  <c r="I107" i="4"/>
  <c r="CB108" i="4"/>
  <c r="CD108" i="4"/>
  <c r="CF108" i="4"/>
  <c r="CH108" i="4"/>
  <c r="CJ108" i="4"/>
  <c r="CC108" i="4"/>
  <c r="CE108" i="4"/>
  <c r="CG108" i="4"/>
  <c r="CI108" i="4"/>
  <c r="BS108" i="4"/>
  <c r="BU108" i="4"/>
  <c r="BW108" i="4"/>
  <c r="BY108" i="4"/>
  <c r="CA108" i="4"/>
  <c r="BT108" i="4"/>
  <c r="BX108" i="4"/>
  <c r="BV108" i="4"/>
  <c r="BZ108" i="4"/>
  <c r="BK108" i="4"/>
  <c r="BM108" i="4"/>
  <c r="BO108" i="4"/>
  <c r="BQ108" i="4"/>
  <c r="BJ108" i="4"/>
  <c r="BL108" i="4"/>
  <c r="BN108" i="4"/>
  <c r="BP108" i="4"/>
  <c r="BR108" i="4"/>
  <c r="AU108" i="4"/>
  <c r="AW108" i="4"/>
  <c r="AY108" i="4"/>
  <c r="BA108" i="4"/>
  <c r="BC108" i="4"/>
  <c r="BE108" i="4"/>
  <c r="BG108" i="4"/>
  <c r="BI108" i="4"/>
  <c r="AV108" i="4"/>
  <c r="AX108" i="4"/>
  <c r="AZ108" i="4"/>
  <c r="BB108" i="4"/>
  <c r="BD108" i="4"/>
  <c r="BF108" i="4"/>
  <c r="BH108" i="4"/>
  <c r="AL108" i="4"/>
  <c r="AN108" i="4"/>
  <c r="AP108" i="4"/>
  <c r="AR108" i="4"/>
  <c r="AT108" i="4"/>
  <c r="AI108" i="4"/>
  <c r="AK108" i="4"/>
  <c r="AG108" i="4"/>
  <c r="AC108" i="4"/>
  <c r="AE108" i="4"/>
  <c r="AM108" i="4"/>
  <c r="AO108" i="4"/>
  <c r="AQ108" i="4"/>
  <c r="AS108" i="4"/>
  <c r="AJ108" i="4"/>
  <c r="AF108" i="4"/>
  <c r="AH108" i="4"/>
  <c r="AD108" i="4"/>
  <c r="AB108" i="4"/>
  <c r="AA108" i="4"/>
  <c r="Z108" i="4"/>
  <c r="Y108" i="4"/>
  <c r="X108" i="4"/>
  <c r="W108" i="4"/>
  <c r="P108" i="4"/>
  <c r="O108" i="4"/>
  <c r="L108" i="4"/>
  <c r="K108" i="4"/>
  <c r="J108" i="4"/>
  <c r="V108" i="4"/>
  <c r="U108" i="4"/>
  <c r="T108" i="4"/>
  <c r="S108" i="4"/>
  <c r="R108" i="4"/>
  <c r="Q108" i="4"/>
  <c r="N108" i="4"/>
  <c r="M108" i="4"/>
  <c r="I108" i="4"/>
  <c r="H108" i="4"/>
  <c r="CC119" i="4"/>
  <c r="CE119" i="4"/>
  <c r="CG119" i="4"/>
  <c r="CI119" i="4"/>
  <c r="CB119" i="4"/>
  <c r="CD119" i="4"/>
  <c r="CF119" i="4"/>
  <c r="CH119" i="4"/>
  <c r="CJ119" i="4"/>
  <c r="BT119" i="4"/>
  <c r="BV119" i="4"/>
  <c r="BX119" i="4"/>
  <c r="BZ119" i="4"/>
  <c r="BU119" i="4"/>
  <c r="BY119" i="4"/>
  <c r="BS119" i="4"/>
  <c r="BW119" i="4"/>
  <c r="CA119" i="4"/>
  <c r="BJ119" i="4"/>
  <c r="BL119" i="4"/>
  <c r="BN119" i="4"/>
  <c r="BP119" i="4"/>
  <c r="BR119" i="4"/>
  <c r="BK119" i="4"/>
  <c r="BM119" i="4"/>
  <c r="BO119" i="4"/>
  <c r="BQ119" i="4"/>
  <c r="AV119" i="4"/>
  <c r="AX119" i="4"/>
  <c r="AZ119" i="4"/>
  <c r="BB119" i="4"/>
  <c r="BD119" i="4"/>
  <c r="BF119" i="4"/>
  <c r="BH119" i="4"/>
  <c r="AU119" i="4"/>
  <c r="AW119" i="4"/>
  <c r="AY119" i="4"/>
  <c r="BA119" i="4"/>
  <c r="BC119" i="4"/>
  <c r="BE119" i="4"/>
  <c r="BG119" i="4"/>
  <c r="BI119" i="4"/>
  <c r="AM119" i="4"/>
  <c r="AO119" i="4"/>
  <c r="AQ119" i="4"/>
  <c r="AS119" i="4"/>
  <c r="AJ119" i="4"/>
  <c r="AF119" i="4"/>
  <c r="AH119" i="4"/>
  <c r="AD119" i="4"/>
  <c r="AB119" i="4"/>
  <c r="AA119" i="4"/>
  <c r="AL119" i="4"/>
  <c r="AN119" i="4"/>
  <c r="AP119" i="4"/>
  <c r="AR119" i="4"/>
  <c r="AT119" i="4"/>
  <c r="AI119" i="4"/>
  <c r="AK119" i="4"/>
  <c r="AG119" i="4"/>
  <c r="AC119" i="4"/>
  <c r="AE119" i="4"/>
  <c r="V119" i="4"/>
  <c r="U119" i="4"/>
  <c r="T119" i="4"/>
  <c r="S119" i="4"/>
  <c r="R119" i="4"/>
  <c r="Q119" i="4"/>
  <c r="N119" i="4"/>
  <c r="M119" i="4"/>
  <c r="Z119" i="4"/>
  <c r="Y119" i="4"/>
  <c r="X119" i="4"/>
  <c r="W119" i="4"/>
  <c r="P119" i="4"/>
  <c r="O119" i="4"/>
  <c r="L119" i="4"/>
  <c r="K119" i="4"/>
  <c r="J119" i="4"/>
  <c r="H119" i="4"/>
  <c r="I119" i="4"/>
  <c r="CC129" i="4"/>
  <c r="CE129" i="4"/>
  <c r="CG129" i="4"/>
  <c r="CI129" i="4"/>
  <c r="CB129" i="4"/>
  <c r="CD129" i="4"/>
  <c r="CF129" i="4"/>
  <c r="CH129" i="4"/>
  <c r="CJ129" i="4"/>
  <c r="BT129" i="4"/>
  <c r="BV129" i="4"/>
  <c r="BX129" i="4"/>
  <c r="BZ129" i="4"/>
  <c r="BS129" i="4"/>
  <c r="BW129" i="4"/>
  <c r="CA129" i="4"/>
  <c r="BU129" i="4"/>
  <c r="BY129" i="4"/>
  <c r="BJ129" i="4"/>
  <c r="BL129" i="4"/>
  <c r="BN129" i="4"/>
  <c r="BP129" i="4"/>
  <c r="BR129" i="4"/>
  <c r="BK129" i="4"/>
  <c r="BM129" i="4"/>
  <c r="BO129" i="4"/>
  <c r="BQ129" i="4"/>
  <c r="AV129" i="4"/>
  <c r="AX129" i="4"/>
  <c r="AZ129" i="4"/>
  <c r="BB129" i="4"/>
  <c r="BD129" i="4"/>
  <c r="BF129" i="4"/>
  <c r="BH129" i="4"/>
  <c r="AU129" i="4"/>
  <c r="AW129" i="4"/>
  <c r="AY129" i="4"/>
  <c r="BA129" i="4"/>
  <c r="BC129" i="4"/>
  <c r="BE129" i="4"/>
  <c r="BG129" i="4"/>
  <c r="BI129" i="4"/>
  <c r="AM129" i="4"/>
  <c r="AO129" i="4"/>
  <c r="AQ129" i="4"/>
  <c r="AS129" i="4"/>
  <c r="AJ129" i="4"/>
  <c r="AF129" i="4"/>
  <c r="AH129" i="4"/>
  <c r="AD129" i="4"/>
  <c r="AB129" i="4"/>
  <c r="AA129" i="4"/>
  <c r="AL129" i="4"/>
  <c r="AN129" i="4"/>
  <c r="AP129" i="4"/>
  <c r="AR129" i="4"/>
  <c r="AT129" i="4"/>
  <c r="AI129" i="4"/>
  <c r="AK129" i="4"/>
  <c r="AG129" i="4"/>
  <c r="AC129" i="4"/>
  <c r="AE129" i="4"/>
  <c r="V129" i="4"/>
  <c r="U129" i="4"/>
  <c r="T129" i="4"/>
  <c r="S129" i="4"/>
  <c r="R129" i="4"/>
  <c r="Q129" i="4"/>
  <c r="N129" i="4"/>
  <c r="M129" i="4"/>
  <c r="I129" i="4"/>
  <c r="Z129" i="4"/>
  <c r="Y129" i="4"/>
  <c r="X129" i="4"/>
  <c r="W129" i="4"/>
  <c r="P129" i="4"/>
  <c r="O129" i="4"/>
  <c r="L129" i="4"/>
  <c r="K129" i="4"/>
  <c r="J129" i="4"/>
  <c r="H129" i="4"/>
  <c r="CB130" i="4"/>
  <c r="CD130" i="4"/>
  <c r="CF130" i="4"/>
  <c r="CH130" i="4"/>
  <c r="CJ130" i="4"/>
  <c r="CC130" i="4"/>
  <c r="CE130" i="4"/>
  <c r="CG130" i="4"/>
  <c r="CI130" i="4"/>
  <c r="BS130" i="4"/>
  <c r="BU130" i="4"/>
  <c r="BW130" i="4"/>
  <c r="BY130" i="4"/>
  <c r="CA130" i="4"/>
  <c r="BV130" i="4"/>
  <c r="BZ130" i="4"/>
  <c r="BT130" i="4"/>
  <c r="BX130" i="4"/>
  <c r="BK130" i="4"/>
  <c r="BM130" i="4"/>
  <c r="BO130" i="4"/>
  <c r="BQ130" i="4"/>
  <c r="BJ130" i="4"/>
  <c r="BL130" i="4"/>
  <c r="BN130" i="4"/>
  <c r="BP130" i="4"/>
  <c r="BR130" i="4"/>
  <c r="AU130" i="4"/>
  <c r="AW130" i="4"/>
  <c r="AY130" i="4"/>
  <c r="BA130" i="4"/>
  <c r="BC130" i="4"/>
  <c r="BE130" i="4"/>
  <c r="BG130" i="4"/>
  <c r="BI130" i="4"/>
  <c r="AV130" i="4"/>
  <c r="AX130" i="4"/>
  <c r="AZ130" i="4"/>
  <c r="BB130" i="4"/>
  <c r="BD130" i="4"/>
  <c r="BF130" i="4"/>
  <c r="BH130" i="4"/>
  <c r="AL130" i="4"/>
  <c r="AN130" i="4"/>
  <c r="AP130" i="4"/>
  <c r="AR130" i="4"/>
  <c r="AT130" i="4"/>
  <c r="AI130" i="4"/>
  <c r="AK130" i="4"/>
  <c r="AG130" i="4"/>
  <c r="AC130" i="4"/>
  <c r="AE130" i="4"/>
  <c r="AM130" i="4"/>
  <c r="AO130" i="4"/>
  <c r="AQ130" i="4"/>
  <c r="AS130" i="4"/>
  <c r="AJ130" i="4"/>
  <c r="AF130" i="4"/>
  <c r="AH130" i="4"/>
  <c r="AD130" i="4"/>
  <c r="Z130" i="4"/>
  <c r="Y130" i="4"/>
  <c r="X130" i="4"/>
  <c r="W130" i="4"/>
  <c r="P130" i="4"/>
  <c r="O130" i="4"/>
  <c r="L130" i="4"/>
  <c r="K130" i="4"/>
  <c r="AB130" i="4"/>
  <c r="AA130" i="4"/>
  <c r="V130" i="4"/>
  <c r="U130" i="4"/>
  <c r="T130" i="4"/>
  <c r="S130" i="4"/>
  <c r="R130" i="4"/>
  <c r="Q130" i="4"/>
  <c r="N130" i="4"/>
  <c r="M130" i="4"/>
  <c r="I130" i="4"/>
  <c r="J130" i="4"/>
  <c r="H130" i="4"/>
  <c r="CC139" i="4"/>
  <c r="CE139" i="4"/>
  <c r="CG139" i="4"/>
  <c r="CI139" i="4"/>
  <c r="CB139" i="4"/>
  <c r="CD139" i="4"/>
  <c r="CF139" i="4"/>
  <c r="CH139" i="4"/>
  <c r="CJ139" i="4"/>
  <c r="BT139" i="4"/>
  <c r="BV139" i="4"/>
  <c r="BX139" i="4"/>
  <c r="BZ139" i="4"/>
  <c r="BU139" i="4"/>
  <c r="BY139" i="4"/>
  <c r="BS139" i="4"/>
  <c r="BW139" i="4"/>
  <c r="CA139" i="4"/>
  <c r="BJ139" i="4"/>
  <c r="BL139" i="4"/>
  <c r="BN139" i="4"/>
  <c r="BP139" i="4"/>
  <c r="BR139" i="4"/>
  <c r="BK139" i="4"/>
  <c r="BM139" i="4"/>
  <c r="BO139" i="4"/>
  <c r="BQ139" i="4"/>
  <c r="AV139" i="4"/>
  <c r="AX139" i="4"/>
  <c r="AZ139" i="4"/>
  <c r="BB139" i="4"/>
  <c r="BD139" i="4"/>
  <c r="BF139" i="4"/>
  <c r="BH139" i="4"/>
  <c r="AU139" i="4"/>
  <c r="AW139" i="4"/>
  <c r="AY139" i="4"/>
  <c r="BA139" i="4"/>
  <c r="BC139" i="4"/>
  <c r="BE139" i="4"/>
  <c r="BG139" i="4"/>
  <c r="BI139" i="4"/>
  <c r="AM139" i="4"/>
  <c r="AO139" i="4"/>
  <c r="AQ139" i="4"/>
  <c r="AS139" i="4"/>
  <c r="AJ139" i="4"/>
  <c r="AF139" i="4"/>
  <c r="AH139" i="4"/>
  <c r="AD139" i="4"/>
  <c r="AB139" i="4"/>
  <c r="AA139" i="4"/>
  <c r="AL139" i="4"/>
  <c r="AN139" i="4"/>
  <c r="AP139" i="4"/>
  <c r="AR139" i="4"/>
  <c r="AT139" i="4"/>
  <c r="AI139" i="4"/>
  <c r="AK139" i="4"/>
  <c r="AG139" i="4"/>
  <c r="AC139" i="4"/>
  <c r="AE139" i="4"/>
  <c r="V139" i="4"/>
  <c r="U139" i="4"/>
  <c r="T139" i="4"/>
  <c r="S139" i="4"/>
  <c r="R139" i="4"/>
  <c r="Q139" i="4"/>
  <c r="N139" i="4"/>
  <c r="M139" i="4"/>
  <c r="Z139" i="4"/>
  <c r="Y139" i="4"/>
  <c r="X139" i="4"/>
  <c r="W139" i="4"/>
  <c r="P139" i="4"/>
  <c r="O139" i="4"/>
  <c r="L139" i="4"/>
  <c r="K139" i="4"/>
  <c r="J139" i="4"/>
  <c r="H139" i="4"/>
  <c r="I139" i="4"/>
  <c r="CC167" i="4"/>
  <c r="CE167" i="4"/>
  <c r="CG167" i="4"/>
  <c r="CI167" i="4"/>
  <c r="CB167" i="4"/>
  <c r="CD167" i="4"/>
  <c r="CF167" i="4"/>
  <c r="CH167" i="4"/>
  <c r="CJ167" i="4"/>
  <c r="BS167" i="4"/>
  <c r="BU167" i="4"/>
  <c r="BW167" i="4"/>
  <c r="BY167" i="4"/>
  <c r="CA167" i="4"/>
  <c r="BT167" i="4"/>
  <c r="BV167" i="4"/>
  <c r="BX167" i="4"/>
  <c r="BZ167" i="4"/>
  <c r="BJ167" i="4"/>
  <c r="BL167" i="4"/>
  <c r="BN167" i="4"/>
  <c r="BP167" i="4"/>
  <c r="BR167" i="4"/>
  <c r="BK167" i="4"/>
  <c r="BM167" i="4"/>
  <c r="BO167" i="4"/>
  <c r="BQ167" i="4"/>
  <c r="AV167" i="4"/>
  <c r="AX167" i="4"/>
  <c r="AZ167" i="4"/>
  <c r="BB167" i="4"/>
  <c r="BD167" i="4"/>
  <c r="BF167" i="4"/>
  <c r="BH167" i="4"/>
  <c r="AU167" i="4"/>
  <c r="AW167" i="4"/>
  <c r="AY167" i="4"/>
  <c r="BA167" i="4"/>
  <c r="BC167" i="4"/>
  <c r="BE167" i="4"/>
  <c r="BG167" i="4"/>
  <c r="BI167" i="4"/>
  <c r="AM167" i="4"/>
  <c r="AO167" i="4"/>
  <c r="AQ167" i="4"/>
  <c r="AS167" i="4"/>
  <c r="AJ167" i="4"/>
  <c r="AF167" i="4"/>
  <c r="AH167" i="4"/>
  <c r="AD167" i="4"/>
  <c r="AB167" i="4"/>
  <c r="AA167" i="4"/>
  <c r="AL167" i="4"/>
  <c r="AN167" i="4"/>
  <c r="AP167" i="4"/>
  <c r="AR167" i="4"/>
  <c r="AT167" i="4"/>
  <c r="AI167" i="4"/>
  <c r="AK167" i="4"/>
  <c r="AG167" i="4"/>
  <c r="AC167" i="4"/>
  <c r="AE167" i="4"/>
  <c r="V167" i="4"/>
  <c r="U167" i="4"/>
  <c r="T167" i="4"/>
  <c r="S167" i="4"/>
  <c r="R167" i="4"/>
  <c r="Q167" i="4"/>
  <c r="N167" i="4"/>
  <c r="M167" i="4"/>
  <c r="Z167" i="4"/>
  <c r="Y167" i="4"/>
  <c r="X167" i="4"/>
  <c r="W167" i="4"/>
  <c r="P167" i="4"/>
  <c r="O167" i="4"/>
  <c r="L167" i="4"/>
  <c r="K167" i="4"/>
  <c r="J167" i="4"/>
  <c r="H167" i="4"/>
  <c r="I167" i="4"/>
  <c r="CC195" i="4"/>
  <c r="CE195" i="4"/>
  <c r="CG195" i="4"/>
  <c r="CI195" i="4"/>
  <c r="CB195" i="4"/>
  <c r="CD195" i="4"/>
  <c r="CF195" i="4"/>
  <c r="CH195" i="4"/>
  <c r="CJ195" i="4"/>
  <c r="BS195" i="4"/>
  <c r="BU195" i="4"/>
  <c r="BW195" i="4"/>
  <c r="BY195" i="4"/>
  <c r="CA195" i="4"/>
  <c r="BT195" i="4"/>
  <c r="BV195" i="4"/>
  <c r="BX195" i="4"/>
  <c r="BZ195" i="4"/>
  <c r="BJ195" i="4"/>
  <c r="BL195" i="4"/>
  <c r="BN195" i="4"/>
  <c r="BP195" i="4"/>
  <c r="BR195" i="4"/>
  <c r="BK195" i="4"/>
  <c r="BM195" i="4"/>
  <c r="BO195" i="4"/>
  <c r="BQ195" i="4"/>
  <c r="AV195" i="4"/>
  <c r="AX195" i="4"/>
  <c r="AZ195" i="4"/>
  <c r="BB195" i="4"/>
  <c r="BD195" i="4"/>
  <c r="BF195" i="4"/>
  <c r="BH195" i="4"/>
  <c r="AU195" i="4"/>
  <c r="AW195" i="4"/>
  <c r="AY195" i="4"/>
  <c r="BA195" i="4"/>
  <c r="BC195" i="4"/>
  <c r="BE195" i="4"/>
  <c r="BG195" i="4"/>
  <c r="BI195" i="4"/>
  <c r="AM195" i="4"/>
  <c r="AO195" i="4"/>
  <c r="AQ195" i="4"/>
  <c r="AS195" i="4"/>
  <c r="AJ195" i="4"/>
  <c r="AF195" i="4"/>
  <c r="AH195" i="4"/>
  <c r="AD195" i="4"/>
  <c r="AB195" i="4"/>
  <c r="AL195" i="4"/>
  <c r="AN195" i="4"/>
  <c r="AP195" i="4"/>
  <c r="AR195" i="4"/>
  <c r="AT195" i="4"/>
  <c r="AI195" i="4"/>
  <c r="AK195" i="4"/>
  <c r="AG195" i="4"/>
  <c r="AE195" i="4"/>
  <c r="V195" i="4"/>
  <c r="U195" i="4"/>
  <c r="T195" i="4"/>
  <c r="S195" i="4"/>
  <c r="R195" i="4"/>
  <c r="Q195" i="4"/>
  <c r="N195" i="4"/>
  <c r="M195" i="4"/>
  <c r="AC195" i="4"/>
  <c r="AA195" i="4"/>
  <c r="Z195" i="4"/>
  <c r="Y195" i="4"/>
  <c r="X195" i="4"/>
  <c r="W195" i="4"/>
  <c r="P195" i="4"/>
  <c r="O195" i="4"/>
  <c r="L195" i="4"/>
  <c r="K195" i="4"/>
  <c r="J195" i="4"/>
  <c r="H195" i="4"/>
  <c r="I195" i="4"/>
  <c r="CB196" i="4"/>
  <c r="CD196" i="4"/>
  <c r="CF196" i="4"/>
  <c r="CH196" i="4"/>
  <c r="CJ196" i="4"/>
  <c r="CC196" i="4"/>
  <c r="CE196" i="4"/>
  <c r="CG196" i="4"/>
  <c r="CI196" i="4"/>
  <c r="BT196" i="4"/>
  <c r="BV196" i="4"/>
  <c r="BX196" i="4"/>
  <c r="BZ196" i="4"/>
  <c r="BS196" i="4"/>
  <c r="BU196" i="4"/>
  <c r="BW196" i="4"/>
  <c r="BY196" i="4"/>
  <c r="CA196" i="4"/>
  <c r="BK196" i="4"/>
  <c r="BM196" i="4"/>
  <c r="BO196" i="4"/>
  <c r="BQ196" i="4"/>
  <c r="BJ196" i="4"/>
  <c r="BL196" i="4"/>
  <c r="BN196" i="4"/>
  <c r="BP196" i="4"/>
  <c r="BR196" i="4"/>
  <c r="AU196" i="4"/>
  <c r="AW196" i="4"/>
  <c r="AY196" i="4"/>
  <c r="BA196" i="4"/>
  <c r="BC196" i="4"/>
  <c r="BE196" i="4"/>
  <c r="BG196" i="4"/>
  <c r="BI196" i="4"/>
  <c r="AV196" i="4"/>
  <c r="AX196" i="4"/>
  <c r="AZ196" i="4"/>
  <c r="BB196" i="4"/>
  <c r="BD196" i="4"/>
  <c r="BF196" i="4"/>
  <c r="BH196" i="4"/>
  <c r="AL196" i="4"/>
  <c r="AN196" i="4"/>
  <c r="AP196" i="4"/>
  <c r="AR196" i="4"/>
  <c r="AT196" i="4"/>
  <c r="AI196" i="4"/>
  <c r="AK196" i="4"/>
  <c r="AG196" i="4"/>
  <c r="AC196" i="4"/>
  <c r="AE196" i="4"/>
  <c r="AM196" i="4"/>
  <c r="AO196" i="4"/>
  <c r="AQ196" i="4"/>
  <c r="AS196" i="4"/>
  <c r="AJ196" i="4"/>
  <c r="AF196" i="4"/>
  <c r="AH196" i="4"/>
  <c r="AB196" i="4"/>
  <c r="AA196" i="4"/>
  <c r="Z196" i="4"/>
  <c r="Y196" i="4"/>
  <c r="X196" i="4"/>
  <c r="W196" i="4"/>
  <c r="P196" i="4"/>
  <c r="O196" i="4"/>
  <c r="L196" i="4"/>
  <c r="AD196" i="4"/>
  <c r="V196" i="4"/>
  <c r="U196" i="4"/>
  <c r="T196" i="4"/>
  <c r="S196" i="4"/>
  <c r="R196" i="4"/>
  <c r="Q196" i="4"/>
  <c r="N196" i="4"/>
  <c r="M196" i="4"/>
  <c r="I196" i="4"/>
  <c r="K196" i="4"/>
  <c r="J196" i="4"/>
  <c r="H196" i="4"/>
  <c r="CB204" i="4"/>
  <c r="CD204" i="4"/>
  <c r="CF204" i="4"/>
  <c r="CH204" i="4"/>
  <c r="CJ204" i="4"/>
  <c r="CC204" i="4"/>
  <c r="CE204" i="4"/>
  <c r="CG204" i="4"/>
  <c r="CI204" i="4"/>
  <c r="BT204" i="4"/>
  <c r="BV204" i="4"/>
  <c r="BX204" i="4"/>
  <c r="BZ204" i="4"/>
  <c r="BS204" i="4"/>
  <c r="BU204" i="4"/>
  <c r="BW204" i="4"/>
  <c r="BY204" i="4"/>
  <c r="CA204" i="4"/>
  <c r="BK204" i="4"/>
  <c r="BM204" i="4"/>
  <c r="BO204" i="4"/>
  <c r="BQ204" i="4"/>
  <c r="BJ204" i="4"/>
  <c r="BL204" i="4"/>
  <c r="BN204" i="4"/>
  <c r="BP204" i="4"/>
  <c r="BR204" i="4"/>
  <c r="AU204" i="4"/>
  <c r="AW204" i="4"/>
  <c r="AY204" i="4"/>
  <c r="BA204" i="4"/>
  <c r="BC204" i="4"/>
  <c r="BE204" i="4"/>
  <c r="BG204" i="4"/>
  <c r="BI204" i="4"/>
  <c r="AV204" i="4"/>
  <c r="AX204" i="4"/>
  <c r="AZ204" i="4"/>
  <c r="BB204" i="4"/>
  <c r="BD204" i="4"/>
  <c r="BF204" i="4"/>
  <c r="BH204" i="4"/>
  <c r="AL204" i="4"/>
  <c r="AN204" i="4"/>
  <c r="AP204" i="4"/>
  <c r="AR204" i="4"/>
  <c r="AT204" i="4"/>
  <c r="AI204" i="4"/>
  <c r="AK204" i="4"/>
  <c r="AG204" i="4"/>
  <c r="AC204" i="4"/>
  <c r="AE204" i="4"/>
  <c r="AM204" i="4"/>
  <c r="AO204" i="4"/>
  <c r="AQ204" i="4"/>
  <c r="AS204" i="4"/>
  <c r="AJ204" i="4"/>
  <c r="AF204" i="4"/>
  <c r="AH204" i="4"/>
  <c r="AB204" i="4"/>
  <c r="AA204" i="4"/>
  <c r="Z204" i="4"/>
  <c r="Y204" i="4"/>
  <c r="X204" i="4"/>
  <c r="W204" i="4"/>
  <c r="P204" i="4"/>
  <c r="O204" i="4"/>
  <c r="L204" i="4"/>
  <c r="K204" i="4"/>
  <c r="AD204" i="4"/>
  <c r="V204" i="4"/>
  <c r="U204" i="4"/>
  <c r="T204" i="4"/>
  <c r="S204" i="4"/>
  <c r="R204" i="4"/>
  <c r="Q204" i="4"/>
  <c r="N204" i="4"/>
  <c r="M204" i="4"/>
  <c r="I204" i="4"/>
  <c r="J204" i="4"/>
  <c r="H204" i="4"/>
  <c r="CC215" i="4"/>
  <c r="CE215" i="4"/>
  <c r="CG215" i="4"/>
  <c r="CI215" i="4"/>
  <c r="CB215" i="4"/>
  <c r="CD215" i="4"/>
  <c r="CF215" i="4"/>
  <c r="CH215" i="4"/>
  <c r="CJ215" i="4"/>
  <c r="BS215" i="4"/>
  <c r="BU215" i="4"/>
  <c r="BW215" i="4"/>
  <c r="BY215" i="4"/>
  <c r="CA215" i="4"/>
  <c r="BT215" i="4"/>
  <c r="BV215" i="4"/>
  <c r="BX215" i="4"/>
  <c r="BZ215" i="4"/>
  <c r="BJ215" i="4"/>
  <c r="BL215" i="4"/>
  <c r="BN215" i="4"/>
  <c r="BP215" i="4"/>
  <c r="BR215" i="4"/>
  <c r="BK215" i="4"/>
  <c r="BM215" i="4"/>
  <c r="BO215" i="4"/>
  <c r="BQ215" i="4"/>
  <c r="AV215" i="4"/>
  <c r="AX215" i="4"/>
  <c r="AZ215" i="4"/>
  <c r="BB215" i="4"/>
  <c r="BD215" i="4"/>
  <c r="BF215" i="4"/>
  <c r="BH215" i="4"/>
  <c r="AW215" i="4"/>
  <c r="BA215" i="4"/>
  <c r="BE215" i="4"/>
  <c r="BI215" i="4"/>
  <c r="AM215" i="4"/>
  <c r="AO215" i="4"/>
  <c r="AQ215" i="4"/>
  <c r="AS215" i="4"/>
  <c r="AJ215" i="4"/>
  <c r="AF215" i="4"/>
  <c r="AH215" i="4"/>
  <c r="AD215" i="4"/>
  <c r="AB215" i="4"/>
  <c r="AU215" i="4"/>
  <c r="AY215" i="4"/>
  <c r="BC215" i="4"/>
  <c r="BG215" i="4"/>
  <c r="AL215" i="4"/>
  <c r="AN215" i="4"/>
  <c r="AP215" i="4"/>
  <c r="AR215" i="4"/>
  <c r="AT215" i="4"/>
  <c r="AI215" i="4"/>
  <c r="AK215" i="4"/>
  <c r="AG215" i="4"/>
  <c r="AE215" i="4"/>
  <c r="V215" i="4"/>
  <c r="U215" i="4"/>
  <c r="T215" i="4"/>
  <c r="S215" i="4"/>
  <c r="R215" i="4"/>
  <c r="Q215" i="4"/>
  <c r="N215" i="4"/>
  <c r="M215" i="4"/>
  <c r="AC215" i="4"/>
  <c r="AA215" i="4"/>
  <c r="Z215" i="4"/>
  <c r="Y215" i="4"/>
  <c r="X215" i="4"/>
  <c r="W215" i="4"/>
  <c r="P215" i="4"/>
  <c r="O215" i="4"/>
  <c r="L215" i="4"/>
  <c r="K215" i="4"/>
  <c r="J215" i="4"/>
  <c r="H215" i="4"/>
  <c r="I215" i="4"/>
  <c r="CB216" i="4"/>
  <c r="CD216" i="4"/>
  <c r="CF216" i="4"/>
  <c r="CH216" i="4"/>
  <c r="CJ216" i="4"/>
  <c r="CC216" i="4"/>
  <c r="CE216" i="4"/>
  <c r="CG216" i="4"/>
  <c r="CI216" i="4"/>
  <c r="BT216" i="4"/>
  <c r="BV216" i="4"/>
  <c r="BX216" i="4"/>
  <c r="BZ216" i="4"/>
  <c r="BS216" i="4"/>
  <c r="BU216" i="4"/>
  <c r="BW216" i="4"/>
  <c r="BY216" i="4"/>
  <c r="CA216" i="4"/>
  <c r="BK216" i="4"/>
  <c r="BM216" i="4"/>
  <c r="BO216" i="4"/>
  <c r="BQ216" i="4"/>
  <c r="BJ216" i="4"/>
  <c r="BL216" i="4"/>
  <c r="BN216" i="4"/>
  <c r="BP216" i="4"/>
  <c r="BR216" i="4"/>
  <c r="AU216" i="4"/>
  <c r="AW216" i="4"/>
  <c r="AY216" i="4"/>
  <c r="BA216" i="4"/>
  <c r="BC216" i="4"/>
  <c r="BE216" i="4"/>
  <c r="BG216" i="4"/>
  <c r="BI216" i="4"/>
  <c r="AX216" i="4"/>
  <c r="BB216" i="4"/>
  <c r="BF216" i="4"/>
  <c r="AL216" i="4"/>
  <c r="AN216" i="4"/>
  <c r="AP216" i="4"/>
  <c r="AR216" i="4"/>
  <c r="AT216" i="4"/>
  <c r="AI216" i="4"/>
  <c r="AK216" i="4"/>
  <c r="AG216" i="4"/>
  <c r="AC216" i="4"/>
  <c r="AE216" i="4"/>
  <c r="AV216" i="4"/>
  <c r="AZ216" i="4"/>
  <c r="BD216" i="4"/>
  <c r="BH216" i="4"/>
  <c r="AM216" i="4"/>
  <c r="AO216" i="4"/>
  <c r="AQ216" i="4"/>
  <c r="AS216" i="4"/>
  <c r="AJ216" i="4"/>
  <c r="AF216" i="4"/>
  <c r="AH216" i="4"/>
  <c r="AB216" i="4"/>
  <c r="AA216" i="4"/>
  <c r="Z216" i="4"/>
  <c r="Y216" i="4"/>
  <c r="X216" i="4"/>
  <c r="W216" i="4"/>
  <c r="P216" i="4"/>
  <c r="O216" i="4"/>
  <c r="L216" i="4"/>
  <c r="K216" i="4"/>
  <c r="AD216" i="4"/>
  <c r="V216" i="4"/>
  <c r="U216" i="4"/>
  <c r="T216" i="4"/>
  <c r="S216" i="4"/>
  <c r="R216" i="4"/>
  <c r="Q216" i="4"/>
  <c r="N216" i="4"/>
  <c r="M216" i="4"/>
  <c r="I216" i="4"/>
  <c r="J216" i="4"/>
  <c r="H216" i="4"/>
  <c r="CC219" i="4"/>
  <c r="CE219" i="4"/>
  <c r="CG219" i="4"/>
  <c r="CI219" i="4"/>
  <c r="CB219" i="4"/>
  <c r="CD219" i="4"/>
  <c r="CF219" i="4"/>
  <c r="CH219" i="4"/>
  <c r="CJ219" i="4"/>
  <c r="BS219" i="4"/>
  <c r="BU219" i="4"/>
  <c r="BW219" i="4"/>
  <c r="BY219" i="4"/>
  <c r="CA219" i="4"/>
  <c r="BT219" i="4"/>
  <c r="BV219" i="4"/>
  <c r="BX219" i="4"/>
  <c r="BZ219" i="4"/>
  <c r="BJ219" i="4"/>
  <c r="BL219" i="4"/>
  <c r="BN219" i="4"/>
  <c r="BP219" i="4"/>
  <c r="BR219" i="4"/>
  <c r="BK219" i="4"/>
  <c r="BM219" i="4"/>
  <c r="BO219" i="4"/>
  <c r="BQ219" i="4"/>
  <c r="AV219" i="4"/>
  <c r="AX219" i="4"/>
  <c r="AZ219" i="4"/>
  <c r="BB219" i="4"/>
  <c r="BD219" i="4"/>
  <c r="BF219" i="4"/>
  <c r="BH219" i="4"/>
  <c r="AW219" i="4"/>
  <c r="BA219" i="4"/>
  <c r="BE219" i="4"/>
  <c r="BI219" i="4"/>
  <c r="AM219" i="4"/>
  <c r="AO219" i="4"/>
  <c r="AQ219" i="4"/>
  <c r="AS219" i="4"/>
  <c r="AJ219" i="4"/>
  <c r="AF219" i="4"/>
  <c r="AH219" i="4"/>
  <c r="AD219" i="4"/>
  <c r="AB219" i="4"/>
  <c r="AU219" i="4"/>
  <c r="AY219" i="4"/>
  <c r="BC219" i="4"/>
  <c r="BG219" i="4"/>
  <c r="AL219" i="4"/>
  <c r="AN219" i="4"/>
  <c r="AP219" i="4"/>
  <c r="AR219" i="4"/>
  <c r="AT219" i="4"/>
  <c r="AI219" i="4"/>
  <c r="AK219" i="4"/>
  <c r="AG219" i="4"/>
  <c r="AE219" i="4"/>
  <c r="V219" i="4"/>
  <c r="U219" i="4"/>
  <c r="T219" i="4"/>
  <c r="S219" i="4"/>
  <c r="R219" i="4"/>
  <c r="Q219" i="4"/>
  <c r="N219" i="4"/>
  <c r="M219" i="4"/>
  <c r="AC219" i="4"/>
  <c r="AA219" i="4"/>
  <c r="Z219" i="4"/>
  <c r="Y219" i="4"/>
  <c r="X219" i="4"/>
  <c r="W219" i="4"/>
  <c r="P219" i="4"/>
  <c r="O219" i="4"/>
  <c r="L219" i="4"/>
  <c r="K219" i="4"/>
  <c r="J219" i="4"/>
  <c r="H219" i="4"/>
  <c r="I219" i="4"/>
  <c r="CB224" i="4"/>
  <c r="CD224" i="4"/>
  <c r="CF224" i="4"/>
  <c r="CH224" i="4"/>
  <c r="CJ224" i="4"/>
  <c r="CC224" i="4"/>
  <c r="CE224" i="4"/>
  <c r="CG224" i="4"/>
  <c r="CI224" i="4"/>
  <c r="BT224" i="4"/>
  <c r="BV224" i="4"/>
  <c r="BX224" i="4"/>
  <c r="BZ224" i="4"/>
  <c r="BS224" i="4"/>
  <c r="BU224" i="4"/>
  <c r="BW224" i="4"/>
  <c r="BY224" i="4"/>
  <c r="CA224" i="4"/>
  <c r="BK224" i="4"/>
  <c r="BM224" i="4"/>
  <c r="BO224" i="4"/>
  <c r="BQ224" i="4"/>
  <c r="BJ224" i="4"/>
  <c r="BL224" i="4"/>
  <c r="BN224" i="4"/>
  <c r="BP224" i="4"/>
  <c r="BR224" i="4"/>
  <c r="AU224" i="4"/>
  <c r="AW224" i="4"/>
  <c r="AY224" i="4"/>
  <c r="BA224" i="4"/>
  <c r="BC224" i="4"/>
  <c r="BE224" i="4"/>
  <c r="BG224" i="4"/>
  <c r="BI224" i="4"/>
  <c r="AX224" i="4"/>
  <c r="BB224" i="4"/>
  <c r="BF224" i="4"/>
  <c r="AL224" i="4"/>
  <c r="AN224" i="4"/>
  <c r="AP224" i="4"/>
  <c r="AR224" i="4"/>
  <c r="AT224" i="4"/>
  <c r="AI224" i="4"/>
  <c r="AK224" i="4"/>
  <c r="AG224" i="4"/>
  <c r="AC224" i="4"/>
  <c r="AE224" i="4"/>
  <c r="AV224" i="4"/>
  <c r="AZ224" i="4"/>
  <c r="BD224" i="4"/>
  <c r="BH224" i="4"/>
  <c r="AM224" i="4"/>
  <c r="AO224" i="4"/>
  <c r="AQ224" i="4"/>
  <c r="AS224" i="4"/>
  <c r="AJ224" i="4"/>
  <c r="AF224" i="4"/>
  <c r="AH224" i="4"/>
  <c r="AB224" i="4"/>
  <c r="AA224" i="4"/>
  <c r="Z224" i="4"/>
  <c r="Y224" i="4"/>
  <c r="X224" i="4"/>
  <c r="W224" i="4"/>
  <c r="P224" i="4"/>
  <c r="O224" i="4"/>
  <c r="L224" i="4"/>
  <c r="K224" i="4"/>
  <c r="AD224" i="4"/>
  <c r="V224" i="4"/>
  <c r="U224" i="4"/>
  <c r="T224" i="4"/>
  <c r="S224" i="4"/>
  <c r="R224" i="4"/>
  <c r="Q224" i="4"/>
  <c r="N224" i="4"/>
  <c r="M224" i="4"/>
  <c r="I224" i="4"/>
  <c r="J224" i="4"/>
  <c r="H224" i="4"/>
  <c r="CC243" i="4"/>
  <c r="CE243" i="4"/>
  <c r="CG243" i="4"/>
  <c r="CI243" i="4"/>
  <c r="CB243" i="4"/>
  <c r="CD243" i="4"/>
  <c r="CF243" i="4"/>
  <c r="CH243" i="4"/>
  <c r="CJ243" i="4"/>
  <c r="BS243" i="4"/>
  <c r="BU243" i="4"/>
  <c r="BW243" i="4"/>
  <c r="BY243" i="4"/>
  <c r="CA243" i="4"/>
  <c r="BT243" i="4"/>
  <c r="BV243" i="4"/>
  <c r="BX243" i="4"/>
  <c r="BZ243" i="4"/>
  <c r="BJ243" i="4"/>
  <c r="BL243" i="4"/>
  <c r="BN243" i="4"/>
  <c r="BP243" i="4"/>
  <c r="BR243" i="4"/>
  <c r="BK243" i="4"/>
  <c r="BM243" i="4"/>
  <c r="BO243" i="4"/>
  <c r="BQ243" i="4"/>
  <c r="AV243" i="4"/>
  <c r="AX243" i="4"/>
  <c r="AZ243" i="4"/>
  <c r="BB243" i="4"/>
  <c r="BD243" i="4"/>
  <c r="BF243" i="4"/>
  <c r="BH243" i="4"/>
  <c r="AM243" i="4"/>
  <c r="AO243" i="4"/>
  <c r="AQ243" i="4"/>
  <c r="AS243" i="4"/>
  <c r="AJ243" i="4"/>
  <c r="AF243" i="4"/>
  <c r="AH243" i="4"/>
  <c r="AD243" i="4"/>
  <c r="AB243" i="4"/>
  <c r="AU243" i="4"/>
  <c r="AW243" i="4"/>
  <c r="AY243" i="4"/>
  <c r="BA243" i="4"/>
  <c r="BC243" i="4"/>
  <c r="BE243" i="4"/>
  <c r="BG243" i="4"/>
  <c r="BI243" i="4"/>
  <c r="AL243" i="4"/>
  <c r="AN243" i="4"/>
  <c r="AP243" i="4"/>
  <c r="AR243" i="4"/>
  <c r="AT243" i="4"/>
  <c r="AI243" i="4"/>
  <c r="AK243" i="4"/>
  <c r="AG243" i="4"/>
  <c r="AE243" i="4"/>
  <c r="V243" i="4"/>
  <c r="U243" i="4"/>
  <c r="T243" i="4"/>
  <c r="S243" i="4"/>
  <c r="R243" i="4"/>
  <c r="Q243" i="4"/>
  <c r="N243" i="4"/>
  <c r="M243" i="4"/>
  <c r="I243" i="4"/>
  <c r="AC243" i="4"/>
  <c r="AA243" i="4"/>
  <c r="Z243" i="4"/>
  <c r="Y243" i="4"/>
  <c r="X243" i="4"/>
  <c r="W243" i="4"/>
  <c r="P243" i="4"/>
  <c r="O243" i="4"/>
  <c r="L243" i="4"/>
  <c r="K243" i="4"/>
  <c r="J243" i="4"/>
  <c r="H243" i="4"/>
  <c r="CB244" i="4"/>
  <c r="CD244" i="4"/>
  <c r="CF244" i="4"/>
  <c r="CH244" i="4"/>
  <c r="CJ244" i="4"/>
  <c r="CC244" i="4"/>
  <c r="CE244" i="4"/>
  <c r="CG244" i="4"/>
  <c r="CI244" i="4"/>
  <c r="BT244" i="4"/>
  <c r="BV244" i="4"/>
  <c r="BX244" i="4"/>
  <c r="BZ244" i="4"/>
  <c r="BS244" i="4"/>
  <c r="BU244" i="4"/>
  <c r="BW244" i="4"/>
  <c r="BY244" i="4"/>
  <c r="CA244" i="4"/>
  <c r="BK244" i="4"/>
  <c r="BM244" i="4"/>
  <c r="BO244" i="4"/>
  <c r="BQ244" i="4"/>
  <c r="BJ244" i="4"/>
  <c r="BL244" i="4"/>
  <c r="BN244" i="4"/>
  <c r="BP244" i="4"/>
  <c r="BR244" i="4"/>
  <c r="AU244" i="4"/>
  <c r="AW244" i="4"/>
  <c r="AY244" i="4"/>
  <c r="BA244" i="4"/>
  <c r="BC244" i="4"/>
  <c r="BE244" i="4"/>
  <c r="BG244" i="4"/>
  <c r="BI244" i="4"/>
  <c r="AL244" i="4"/>
  <c r="AN244" i="4"/>
  <c r="AP244" i="4"/>
  <c r="AR244" i="4"/>
  <c r="AT244" i="4"/>
  <c r="AI244" i="4"/>
  <c r="AK244" i="4"/>
  <c r="AG244" i="4"/>
  <c r="AC244" i="4"/>
  <c r="AE244" i="4"/>
  <c r="AV244" i="4"/>
  <c r="AX244" i="4"/>
  <c r="AZ244" i="4"/>
  <c r="BB244" i="4"/>
  <c r="BD244" i="4"/>
  <c r="BF244" i="4"/>
  <c r="BH244" i="4"/>
  <c r="AM244" i="4"/>
  <c r="AO244" i="4"/>
  <c r="AQ244" i="4"/>
  <c r="AS244" i="4"/>
  <c r="AJ244" i="4"/>
  <c r="AF244" i="4"/>
  <c r="AH244" i="4"/>
  <c r="AB244" i="4"/>
  <c r="AA244" i="4"/>
  <c r="Z244" i="4"/>
  <c r="Y244" i="4"/>
  <c r="X244" i="4"/>
  <c r="W244" i="4"/>
  <c r="P244" i="4"/>
  <c r="O244" i="4"/>
  <c r="L244" i="4"/>
  <c r="K244" i="4"/>
  <c r="AD244" i="4"/>
  <c r="V244" i="4"/>
  <c r="U244" i="4"/>
  <c r="T244" i="4"/>
  <c r="S244" i="4"/>
  <c r="R244" i="4"/>
  <c r="Q244" i="4"/>
  <c r="N244" i="4"/>
  <c r="M244" i="4"/>
  <c r="I244" i="4"/>
  <c r="J244" i="4"/>
  <c r="H244" i="4"/>
  <c r="CB251" i="4"/>
  <c r="CD251" i="4"/>
  <c r="CF251" i="4"/>
  <c r="CH251" i="4"/>
  <c r="CJ251" i="4"/>
  <c r="CC251" i="4"/>
  <c r="CE251" i="4"/>
  <c r="CG251" i="4"/>
  <c r="CI251" i="4"/>
  <c r="BS251" i="4"/>
  <c r="BU251" i="4"/>
  <c r="BW251" i="4"/>
  <c r="BY251" i="4"/>
  <c r="CA251" i="4"/>
  <c r="BT251" i="4"/>
  <c r="BV251" i="4"/>
  <c r="BX251" i="4"/>
  <c r="BZ251" i="4"/>
  <c r="BJ251" i="4"/>
  <c r="BL251" i="4"/>
  <c r="BN251" i="4"/>
  <c r="BP251" i="4"/>
  <c r="BR251" i="4"/>
  <c r="BM251" i="4"/>
  <c r="BQ251" i="4"/>
  <c r="BK251" i="4"/>
  <c r="BO251" i="4"/>
  <c r="AV251" i="4"/>
  <c r="AX251" i="4"/>
  <c r="AZ251" i="4"/>
  <c r="BB251" i="4"/>
  <c r="BD251" i="4"/>
  <c r="BF251" i="4"/>
  <c r="BH251" i="4"/>
  <c r="AM251" i="4"/>
  <c r="AO251" i="4"/>
  <c r="AQ251" i="4"/>
  <c r="AS251" i="4"/>
  <c r="AJ251" i="4"/>
  <c r="AF251" i="4"/>
  <c r="AH251" i="4"/>
  <c r="AD251" i="4"/>
  <c r="AB251" i="4"/>
  <c r="AU251" i="4"/>
  <c r="AW251" i="4"/>
  <c r="AY251" i="4"/>
  <c r="BA251" i="4"/>
  <c r="BC251" i="4"/>
  <c r="BE251" i="4"/>
  <c r="BG251" i="4"/>
  <c r="BI251" i="4"/>
  <c r="AL251" i="4"/>
  <c r="AN251" i="4"/>
  <c r="AP251" i="4"/>
  <c r="AR251" i="4"/>
  <c r="AT251" i="4"/>
  <c r="AI251" i="4"/>
  <c r="AK251" i="4"/>
  <c r="AG251" i="4"/>
  <c r="AE251" i="4"/>
  <c r="V251" i="4"/>
  <c r="U251" i="4"/>
  <c r="T251" i="4"/>
  <c r="S251" i="4"/>
  <c r="R251" i="4"/>
  <c r="Q251" i="4"/>
  <c r="N251" i="4"/>
  <c r="M251" i="4"/>
  <c r="AC251" i="4"/>
  <c r="AA251" i="4"/>
  <c r="Z251" i="4"/>
  <c r="Y251" i="4"/>
  <c r="X251" i="4"/>
  <c r="W251" i="4"/>
  <c r="P251" i="4"/>
  <c r="O251" i="4"/>
  <c r="L251" i="4"/>
  <c r="K251" i="4"/>
  <c r="J251" i="4"/>
  <c r="H251" i="4"/>
  <c r="I251" i="4"/>
  <c r="CC252" i="4"/>
  <c r="CE252" i="4"/>
  <c r="CG252" i="4"/>
  <c r="CI252" i="4"/>
  <c r="CB252" i="4"/>
  <c r="CD252" i="4"/>
  <c r="CF252" i="4"/>
  <c r="CH252" i="4"/>
  <c r="CJ252" i="4"/>
  <c r="BT252" i="4"/>
  <c r="BV252" i="4"/>
  <c r="BX252" i="4"/>
  <c r="BZ252" i="4"/>
  <c r="BS252" i="4"/>
  <c r="BU252" i="4"/>
  <c r="BW252" i="4"/>
  <c r="BY252" i="4"/>
  <c r="CA252" i="4"/>
  <c r="BK252" i="4"/>
  <c r="BM252" i="4"/>
  <c r="BO252" i="4"/>
  <c r="BQ252" i="4"/>
  <c r="BL252" i="4"/>
  <c r="BP252" i="4"/>
  <c r="BJ252" i="4"/>
  <c r="BN252" i="4"/>
  <c r="BR252" i="4"/>
  <c r="AU252" i="4"/>
  <c r="AW252" i="4"/>
  <c r="AY252" i="4"/>
  <c r="BA252" i="4"/>
  <c r="BC252" i="4"/>
  <c r="BE252" i="4"/>
  <c r="BG252" i="4"/>
  <c r="BI252" i="4"/>
  <c r="AL252" i="4"/>
  <c r="AN252" i="4"/>
  <c r="AP252" i="4"/>
  <c r="AR252" i="4"/>
  <c r="AT252" i="4"/>
  <c r="AI252" i="4"/>
  <c r="AK252" i="4"/>
  <c r="AG252" i="4"/>
  <c r="AC252" i="4"/>
  <c r="AE252" i="4"/>
  <c r="AV252" i="4"/>
  <c r="AX252" i="4"/>
  <c r="AZ252" i="4"/>
  <c r="BB252" i="4"/>
  <c r="BD252" i="4"/>
  <c r="BF252" i="4"/>
  <c r="BH252" i="4"/>
  <c r="AM252" i="4"/>
  <c r="AO252" i="4"/>
  <c r="AQ252" i="4"/>
  <c r="AS252" i="4"/>
  <c r="AJ252" i="4"/>
  <c r="AF252" i="4"/>
  <c r="AH252" i="4"/>
  <c r="AB252" i="4"/>
  <c r="AA252" i="4"/>
  <c r="Z252" i="4"/>
  <c r="Y252" i="4"/>
  <c r="X252" i="4"/>
  <c r="W252" i="4"/>
  <c r="P252" i="4"/>
  <c r="O252" i="4"/>
  <c r="L252" i="4"/>
  <c r="K252" i="4"/>
  <c r="J252" i="4"/>
  <c r="AD252" i="4"/>
  <c r="V252" i="4"/>
  <c r="U252" i="4"/>
  <c r="T252" i="4"/>
  <c r="S252" i="4"/>
  <c r="R252" i="4"/>
  <c r="Q252" i="4"/>
  <c r="N252" i="4"/>
  <c r="M252" i="4"/>
  <c r="I252" i="4"/>
  <c r="H252" i="4"/>
  <c r="G251" i="4"/>
  <c r="G243" i="4"/>
  <c r="G219" i="4"/>
  <c r="G215" i="4"/>
  <c r="G195" i="4"/>
  <c r="G167" i="4"/>
  <c r="G139" i="4"/>
  <c r="G129" i="4"/>
  <c r="G119" i="4"/>
  <c r="G107" i="4"/>
  <c r="G105" i="4"/>
  <c r="G103" i="4"/>
  <c r="G83" i="4"/>
  <c r="G61" i="4"/>
  <c r="G35" i="4"/>
  <c r="G29" i="4"/>
  <c r="G11" i="4"/>
  <c r="E90" i="4"/>
  <c r="CC99" i="4"/>
  <c r="CE99" i="4"/>
  <c r="CG99" i="4"/>
  <c r="CI99" i="4"/>
  <c r="CB99" i="4"/>
  <c r="CD99" i="4"/>
  <c r="CF99" i="4"/>
  <c r="CH99" i="4"/>
  <c r="CJ99" i="4"/>
  <c r="BT99" i="4"/>
  <c r="BV99" i="4"/>
  <c r="BX99" i="4"/>
  <c r="BZ99" i="4"/>
  <c r="BU99" i="4"/>
  <c r="BY99" i="4"/>
  <c r="BS99" i="4"/>
  <c r="BW99" i="4"/>
  <c r="CA99" i="4"/>
  <c r="BJ99" i="4"/>
  <c r="BL99" i="4"/>
  <c r="BN99" i="4"/>
  <c r="BP99" i="4"/>
  <c r="BR99" i="4"/>
  <c r="BK99" i="4"/>
  <c r="BM99" i="4"/>
  <c r="BO99" i="4"/>
  <c r="BQ99" i="4"/>
  <c r="AV99" i="4"/>
  <c r="AX99" i="4"/>
  <c r="AZ99" i="4"/>
  <c r="BB99" i="4"/>
  <c r="BD99" i="4"/>
  <c r="BF99" i="4"/>
  <c r="BH99" i="4"/>
  <c r="AU99" i="4"/>
  <c r="AW99" i="4"/>
  <c r="AY99" i="4"/>
  <c r="BA99" i="4"/>
  <c r="BC99" i="4"/>
  <c r="BE99" i="4"/>
  <c r="BG99" i="4"/>
  <c r="BI99" i="4"/>
  <c r="AM99" i="4"/>
  <c r="AO99" i="4"/>
  <c r="AQ99" i="4"/>
  <c r="AS99" i="4"/>
  <c r="AJ99" i="4"/>
  <c r="AF99" i="4"/>
  <c r="AH99" i="4"/>
  <c r="AD99" i="4"/>
  <c r="AB99" i="4"/>
  <c r="AA99" i="4"/>
  <c r="AL99" i="4"/>
  <c r="AN99" i="4"/>
  <c r="AP99" i="4"/>
  <c r="AR99" i="4"/>
  <c r="AT99" i="4"/>
  <c r="AI99" i="4"/>
  <c r="AK99" i="4"/>
  <c r="AG99" i="4"/>
  <c r="AC99" i="4"/>
  <c r="AE99" i="4"/>
  <c r="V99" i="4"/>
  <c r="U99" i="4"/>
  <c r="T99" i="4"/>
  <c r="S99" i="4"/>
  <c r="R99" i="4"/>
  <c r="Q99" i="4"/>
  <c r="N99" i="4"/>
  <c r="M99" i="4"/>
  <c r="I99" i="4"/>
  <c r="Z99" i="4"/>
  <c r="Y99" i="4"/>
  <c r="X99" i="4"/>
  <c r="W99" i="4"/>
  <c r="P99" i="4"/>
  <c r="O99" i="4"/>
  <c r="L99" i="4"/>
  <c r="K99" i="4"/>
  <c r="J99" i="4"/>
  <c r="H99" i="4"/>
  <c r="CC101" i="4"/>
  <c r="CE101" i="4"/>
  <c r="CG101" i="4"/>
  <c r="CI101" i="4"/>
  <c r="CB101" i="4"/>
  <c r="CD101" i="4"/>
  <c r="CF101" i="4"/>
  <c r="CH101" i="4"/>
  <c r="CJ101" i="4"/>
  <c r="BT101" i="4"/>
  <c r="BV101" i="4"/>
  <c r="BX101" i="4"/>
  <c r="BZ101" i="4"/>
  <c r="BS101" i="4"/>
  <c r="BW101" i="4"/>
  <c r="CA101" i="4"/>
  <c r="BU101" i="4"/>
  <c r="BY101" i="4"/>
  <c r="BJ101" i="4"/>
  <c r="BL101" i="4"/>
  <c r="BN101" i="4"/>
  <c r="BP101" i="4"/>
  <c r="BR101" i="4"/>
  <c r="BK101" i="4"/>
  <c r="BM101" i="4"/>
  <c r="BO101" i="4"/>
  <c r="BQ101" i="4"/>
  <c r="AV101" i="4"/>
  <c r="AX101" i="4"/>
  <c r="AZ101" i="4"/>
  <c r="BB101" i="4"/>
  <c r="BD101" i="4"/>
  <c r="BF101" i="4"/>
  <c r="BH101" i="4"/>
  <c r="AU101" i="4"/>
  <c r="AW101" i="4"/>
  <c r="AY101" i="4"/>
  <c r="BA101" i="4"/>
  <c r="BC101" i="4"/>
  <c r="BE101" i="4"/>
  <c r="BG101" i="4"/>
  <c r="BI101" i="4"/>
  <c r="AM101" i="4"/>
  <c r="AO101" i="4"/>
  <c r="AQ101" i="4"/>
  <c r="AS101" i="4"/>
  <c r="AJ101" i="4"/>
  <c r="AF101" i="4"/>
  <c r="AH101" i="4"/>
  <c r="AD101" i="4"/>
  <c r="AB101" i="4"/>
  <c r="AA101" i="4"/>
  <c r="AL101" i="4"/>
  <c r="AN101" i="4"/>
  <c r="AP101" i="4"/>
  <c r="AR101" i="4"/>
  <c r="AT101" i="4"/>
  <c r="AI101" i="4"/>
  <c r="AK101" i="4"/>
  <c r="AG101" i="4"/>
  <c r="AC101" i="4"/>
  <c r="AE101" i="4"/>
  <c r="V101" i="4"/>
  <c r="U101" i="4"/>
  <c r="T101" i="4"/>
  <c r="S101" i="4"/>
  <c r="R101" i="4"/>
  <c r="Q101" i="4"/>
  <c r="N101" i="4"/>
  <c r="M101" i="4"/>
  <c r="I101" i="4"/>
  <c r="Z101" i="4"/>
  <c r="Y101" i="4"/>
  <c r="X101" i="4"/>
  <c r="W101" i="4"/>
  <c r="P101" i="4"/>
  <c r="O101" i="4"/>
  <c r="L101" i="4"/>
  <c r="K101" i="4"/>
  <c r="J101" i="4"/>
  <c r="H101" i="4"/>
  <c r="CB102" i="4"/>
  <c r="CD102" i="4"/>
  <c r="CF102" i="4"/>
  <c r="CH102" i="4"/>
  <c r="CJ102" i="4"/>
  <c r="CC102" i="4"/>
  <c r="CE102" i="4"/>
  <c r="CG102" i="4"/>
  <c r="CI102" i="4"/>
  <c r="BS102" i="4"/>
  <c r="BU102" i="4"/>
  <c r="BW102" i="4"/>
  <c r="BY102" i="4"/>
  <c r="CA102" i="4"/>
  <c r="BV102" i="4"/>
  <c r="BZ102" i="4"/>
  <c r="BT102" i="4"/>
  <c r="BX102" i="4"/>
  <c r="BK102" i="4"/>
  <c r="BM102" i="4"/>
  <c r="BO102" i="4"/>
  <c r="BQ102" i="4"/>
  <c r="BJ102" i="4"/>
  <c r="BL102" i="4"/>
  <c r="BN102" i="4"/>
  <c r="BP102" i="4"/>
  <c r="BR102" i="4"/>
  <c r="AU102" i="4"/>
  <c r="AW102" i="4"/>
  <c r="AY102" i="4"/>
  <c r="BA102" i="4"/>
  <c r="BC102" i="4"/>
  <c r="BE102" i="4"/>
  <c r="BG102" i="4"/>
  <c r="BI102" i="4"/>
  <c r="AV102" i="4"/>
  <c r="AX102" i="4"/>
  <c r="AZ102" i="4"/>
  <c r="BB102" i="4"/>
  <c r="BD102" i="4"/>
  <c r="BF102" i="4"/>
  <c r="BH102" i="4"/>
  <c r="AL102" i="4"/>
  <c r="AN102" i="4"/>
  <c r="AP102" i="4"/>
  <c r="AR102" i="4"/>
  <c r="AT102" i="4"/>
  <c r="AI102" i="4"/>
  <c r="AK102" i="4"/>
  <c r="AG102" i="4"/>
  <c r="AC102" i="4"/>
  <c r="AE102" i="4"/>
  <c r="AM102" i="4"/>
  <c r="AO102" i="4"/>
  <c r="AQ102" i="4"/>
  <c r="AS102" i="4"/>
  <c r="AJ102" i="4"/>
  <c r="AF102" i="4"/>
  <c r="AH102" i="4"/>
  <c r="AD102" i="4"/>
  <c r="Z102" i="4"/>
  <c r="Y102" i="4"/>
  <c r="X102" i="4"/>
  <c r="W102" i="4"/>
  <c r="P102" i="4"/>
  <c r="O102" i="4"/>
  <c r="L102" i="4"/>
  <c r="K102" i="4"/>
  <c r="H102" i="4"/>
  <c r="AB102" i="4"/>
  <c r="AA102" i="4"/>
  <c r="V102" i="4"/>
  <c r="U102" i="4"/>
  <c r="T102" i="4"/>
  <c r="S102" i="4"/>
  <c r="R102" i="4"/>
  <c r="Q102" i="4"/>
  <c r="N102" i="4"/>
  <c r="M102" i="4"/>
  <c r="I102" i="4"/>
  <c r="J102" i="4"/>
  <c r="CB104" i="4"/>
  <c r="CD104" i="4"/>
  <c r="CF104" i="4"/>
  <c r="CH104" i="4"/>
  <c r="CJ104" i="4"/>
  <c r="CC104" i="4"/>
  <c r="CE104" i="4"/>
  <c r="CG104" i="4"/>
  <c r="CI104" i="4"/>
  <c r="BS104" i="4"/>
  <c r="BU104" i="4"/>
  <c r="BW104" i="4"/>
  <c r="BY104" i="4"/>
  <c r="CA104" i="4"/>
  <c r="BT104" i="4"/>
  <c r="BX104" i="4"/>
  <c r="BV104" i="4"/>
  <c r="BZ104" i="4"/>
  <c r="BK104" i="4"/>
  <c r="BM104" i="4"/>
  <c r="BO104" i="4"/>
  <c r="BQ104" i="4"/>
  <c r="BJ104" i="4"/>
  <c r="BL104" i="4"/>
  <c r="BN104" i="4"/>
  <c r="BP104" i="4"/>
  <c r="BR104" i="4"/>
  <c r="AU104" i="4"/>
  <c r="AW104" i="4"/>
  <c r="AY104" i="4"/>
  <c r="BA104" i="4"/>
  <c r="BC104" i="4"/>
  <c r="BE104" i="4"/>
  <c r="BG104" i="4"/>
  <c r="BI104" i="4"/>
  <c r="AV104" i="4"/>
  <c r="AX104" i="4"/>
  <c r="AZ104" i="4"/>
  <c r="BB104" i="4"/>
  <c r="BD104" i="4"/>
  <c r="BF104" i="4"/>
  <c r="BH104" i="4"/>
  <c r="AL104" i="4"/>
  <c r="AN104" i="4"/>
  <c r="AP104" i="4"/>
  <c r="AR104" i="4"/>
  <c r="AT104" i="4"/>
  <c r="AI104" i="4"/>
  <c r="AK104" i="4"/>
  <c r="AG104" i="4"/>
  <c r="AC104" i="4"/>
  <c r="AE104" i="4"/>
  <c r="AM104" i="4"/>
  <c r="AO104" i="4"/>
  <c r="AQ104" i="4"/>
  <c r="AS104" i="4"/>
  <c r="AJ104" i="4"/>
  <c r="AF104" i="4"/>
  <c r="AH104" i="4"/>
  <c r="AD104" i="4"/>
  <c r="AB104" i="4"/>
  <c r="AA104" i="4"/>
  <c r="Z104" i="4"/>
  <c r="Y104" i="4"/>
  <c r="X104" i="4"/>
  <c r="W104" i="4"/>
  <c r="P104" i="4"/>
  <c r="O104" i="4"/>
  <c r="L104" i="4"/>
  <c r="K104" i="4"/>
  <c r="J104" i="4"/>
  <c r="V104" i="4"/>
  <c r="U104" i="4"/>
  <c r="T104" i="4"/>
  <c r="S104" i="4"/>
  <c r="R104" i="4"/>
  <c r="Q104" i="4"/>
  <c r="N104" i="4"/>
  <c r="M104" i="4"/>
  <c r="I104" i="4"/>
  <c r="H104" i="4"/>
  <c r="E106" i="4"/>
  <c r="CB106" i="4"/>
  <c r="CD106" i="4"/>
  <c r="CF106" i="4"/>
  <c r="CH106" i="4"/>
  <c r="CJ106" i="4"/>
  <c r="CC106" i="4"/>
  <c r="CE106" i="4"/>
  <c r="CG106" i="4"/>
  <c r="CI106" i="4"/>
  <c r="BS106" i="4"/>
  <c r="BU106" i="4"/>
  <c r="BW106" i="4"/>
  <c r="BY106" i="4"/>
  <c r="CA106" i="4"/>
  <c r="BV106" i="4"/>
  <c r="BZ106" i="4"/>
  <c r="BT106" i="4"/>
  <c r="BX106" i="4"/>
  <c r="BK106" i="4"/>
  <c r="BM106" i="4"/>
  <c r="BO106" i="4"/>
  <c r="BQ106" i="4"/>
  <c r="BJ106" i="4"/>
  <c r="BL106" i="4"/>
  <c r="BN106" i="4"/>
  <c r="BP106" i="4"/>
  <c r="BR106" i="4"/>
  <c r="AU106" i="4"/>
  <c r="AW106" i="4"/>
  <c r="AY106" i="4"/>
  <c r="BA106" i="4"/>
  <c r="BC106" i="4"/>
  <c r="BE106" i="4"/>
  <c r="BG106" i="4"/>
  <c r="BI106" i="4"/>
  <c r="AV106" i="4"/>
  <c r="AX106" i="4"/>
  <c r="AZ106" i="4"/>
  <c r="BB106" i="4"/>
  <c r="BD106" i="4"/>
  <c r="BF106" i="4"/>
  <c r="BH106" i="4"/>
  <c r="AL106" i="4"/>
  <c r="AN106" i="4"/>
  <c r="AP106" i="4"/>
  <c r="AR106" i="4"/>
  <c r="AT106" i="4"/>
  <c r="AI106" i="4"/>
  <c r="AK106" i="4"/>
  <c r="AG106" i="4"/>
  <c r="AC106" i="4"/>
  <c r="AE106" i="4"/>
  <c r="AM106" i="4"/>
  <c r="AO106" i="4"/>
  <c r="AQ106" i="4"/>
  <c r="AS106" i="4"/>
  <c r="AJ106" i="4"/>
  <c r="AF106" i="4"/>
  <c r="AH106" i="4"/>
  <c r="AD106" i="4"/>
  <c r="Z106" i="4"/>
  <c r="Y106" i="4"/>
  <c r="X106" i="4"/>
  <c r="W106" i="4"/>
  <c r="P106" i="4"/>
  <c r="O106" i="4"/>
  <c r="L106" i="4"/>
  <c r="K106" i="4"/>
  <c r="H106" i="4"/>
  <c r="AB106" i="4"/>
  <c r="AA106" i="4"/>
  <c r="V106" i="4"/>
  <c r="U106" i="4"/>
  <c r="T106" i="4"/>
  <c r="S106" i="4"/>
  <c r="R106" i="4"/>
  <c r="Q106" i="4"/>
  <c r="N106" i="4"/>
  <c r="M106" i="4"/>
  <c r="I106" i="4"/>
  <c r="J106" i="4"/>
  <c r="E113" i="4"/>
  <c r="CC117" i="4"/>
  <c r="CE117" i="4"/>
  <c r="CG117" i="4"/>
  <c r="CI117" i="4"/>
  <c r="CB117" i="4"/>
  <c r="CD117" i="4"/>
  <c r="CF117" i="4"/>
  <c r="CH117" i="4"/>
  <c r="CJ117" i="4"/>
  <c r="BT117" i="4"/>
  <c r="BV117" i="4"/>
  <c r="BX117" i="4"/>
  <c r="BZ117" i="4"/>
  <c r="BS117" i="4"/>
  <c r="BW117" i="4"/>
  <c r="CA117" i="4"/>
  <c r="BU117" i="4"/>
  <c r="BY117" i="4"/>
  <c r="BJ117" i="4"/>
  <c r="BL117" i="4"/>
  <c r="BN117" i="4"/>
  <c r="BP117" i="4"/>
  <c r="BR117" i="4"/>
  <c r="BK117" i="4"/>
  <c r="BM117" i="4"/>
  <c r="BO117" i="4"/>
  <c r="BQ117" i="4"/>
  <c r="AV117" i="4"/>
  <c r="AX117" i="4"/>
  <c r="AZ117" i="4"/>
  <c r="BB117" i="4"/>
  <c r="BD117" i="4"/>
  <c r="BF117" i="4"/>
  <c r="BH117" i="4"/>
  <c r="AU117" i="4"/>
  <c r="AW117" i="4"/>
  <c r="AY117" i="4"/>
  <c r="BA117" i="4"/>
  <c r="BC117" i="4"/>
  <c r="BE117" i="4"/>
  <c r="BG117" i="4"/>
  <c r="BI117" i="4"/>
  <c r="AM117" i="4"/>
  <c r="AO117" i="4"/>
  <c r="AQ117" i="4"/>
  <c r="AS117" i="4"/>
  <c r="AJ117" i="4"/>
  <c r="AF117" i="4"/>
  <c r="AH117" i="4"/>
  <c r="AD117" i="4"/>
  <c r="AB117" i="4"/>
  <c r="AA117" i="4"/>
  <c r="AL117" i="4"/>
  <c r="AN117" i="4"/>
  <c r="AP117" i="4"/>
  <c r="AR117" i="4"/>
  <c r="AT117" i="4"/>
  <c r="AI117" i="4"/>
  <c r="AK117" i="4"/>
  <c r="AG117" i="4"/>
  <c r="AC117" i="4"/>
  <c r="AE117" i="4"/>
  <c r="V117" i="4"/>
  <c r="U117" i="4"/>
  <c r="T117" i="4"/>
  <c r="S117" i="4"/>
  <c r="R117" i="4"/>
  <c r="Q117" i="4"/>
  <c r="N117" i="4"/>
  <c r="M117" i="4"/>
  <c r="I117" i="4"/>
  <c r="Z117" i="4"/>
  <c r="Y117" i="4"/>
  <c r="X117" i="4"/>
  <c r="W117" i="4"/>
  <c r="P117" i="4"/>
  <c r="O117" i="4"/>
  <c r="L117" i="4"/>
  <c r="K117" i="4"/>
  <c r="J117" i="4"/>
  <c r="H117" i="4"/>
  <c r="CB118" i="4"/>
  <c r="CD118" i="4"/>
  <c r="CF118" i="4"/>
  <c r="CH118" i="4"/>
  <c r="CJ118" i="4"/>
  <c r="CC118" i="4"/>
  <c r="CE118" i="4"/>
  <c r="CG118" i="4"/>
  <c r="CI118" i="4"/>
  <c r="BS118" i="4"/>
  <c r="BU118" i="4"/>
  <c r="BW118" i="4"/>
  <c r="BY118" i="4"/>
  <c r="CA118" i="4"/>
  <c r="BV118" i="4"/>
  <c r="BZ118" i="4"/>
  <c r="BT118" i="4"/>
  <c r="BX118" i="4"/>
  <c r="BK118" i="4"/>
  <c r="BM118" i="4"/>
  <c r="BO118" i="4"/>
  <c r="BQ118" i="4"/>
  <c r="BJ118" i="4"/>
  <c r="BL118" i="4"/>
  <c r="BN118" i="4"/>
  <c r="BP118" i="4"/>
  <c r="BR118" i="4"/>
  <c r="AU118" i="4"/>
  <c r="AW118" i="4"/>
  <c r="AY118" i="4"/>
  <c r="BA118" i="4"/>
  <c r="BC118" i="4"/>
  <c r="BE118" i="4"/>
  <c r="BG118" i="4"/>
  <c r="BI118" i="4"/>
  <c r="AV118" i="4"/>
  <c r="AX118" i="4"/>
  <c r="AZ118" i="4"/>
  <c r="BB118" i="4"/>
  <c r="BD118" i="4"/>
  <c r="BF118" i="4"/>
  <c r="BH118" i="4"/>
  <c r="AL118" i="4"/>
  <c r="AN118" i="4"/>
  <c r="AP118" i="4"/>
  <c r="AR118" i="4"/>
  <c r="AT118" i="4"/>
  <c r="AI118" i="4"/>
  <c r="AK118" i="4"/>
  <c r="AG118" i="4"/>
  <c r="AC118" i="4"/>
  <c r="AE118" i="4"/>
  <c r="AM118" i="4"/>
  <c r="AO118" i="4"/>
  <c r="AQ118" i="4"/>
  <c r="AS118" i="4"/>
  <c r="AJ118" i="4"/>
  <c r="AF118" i="4"/>
  <c r="AH118" i="4"/>
  <c r="AD118" i="4"/>
  <c r="Z118" i="4"/>
  <c r="Y118" i="4"/>
  <c r="X118" i="4"/>
  <c r="W118" i="4"/>
  <c r="P118" i="4"/>
  <c r="O118" i="4"/>
  <c r="L118" i="4"/>
  <c r="K118" i="4"/>
  <c r="H118" i="4"/>
  <c r="AB118" i="4"/>
  <c r="AA118" i="4"/>
  <c r="V118" i="4"/>
  <c r="U118" i="4"/>
  <c r="T118" i="4"/>
  <c r="S118" i="4"/>
  <c r="R118" i="4"/>
  <c r="Q118" i="4"/>
  <c r="N118" i="4"/>
  <c r="M118" i="4"/>
  <c r="I118" i="4"/>
  <c r="J118" i="4"/>
  <c r="E120" i="4"/>
  <c r="CB128" i="4"/>
  <c r="CD128" i="4"/>
  <c r="CF128" i="4"/>
  <c r="CH128" i="4"/>
  <c r="CJ128" i="4"/>
  <c r="CC128" i="4"/>
  <c r="CE128" i="4"/>
  <c r="CG128" i="4"/>
  <c r="CI128" i="4"/>
  <c r="BS128" i="4"/>
  <c r="BU128" i="4"/>
  <c r="BW128" i="4"/>
  <c r="BY128" i="4"/>
  <c r="CA128" i="4"/>
  <c r="BT128" i="4"/>
  <c r="BX128" i="4"/>
  <c r="BV128" i="4"/>
  <c r="BZ128" i="4"/>
  <c r="BK128" i="4"/>
  <c r="BM128" i="4"/>
  <c r="BO128" i="4"/>
  <c r="BQ128" i="4"/>
  <c r="BJ128" i="4"/>
  <c r="BL128" i="4"/>
  <c r="BN128" i="4"/>
  <c r="BP128" i="4"/>
  <c r="BR128" i="4"/>
  <c r="AU128" i="4"/>
  <c r="AW128" i="4"/>
  <c r="AY128" i="4"/>
  <c r="BA128" i="4"/>
  <c r="BC128" i="4"/>
  <c r="BE128" i="4"/>
  <c r="BG128" i="4"/>
  <c r="BI128" i="4"/>
  <c r="AV128" i="4"/>
  <c r="AX128" i="4"/>
  <c r="AZ128" i="4"/>
  <c r="BB128" i="4"/>
  <c r="BD128" i="4"/>
  <c r="BF128" i="4"/>
  <c r="BH128" i="4"/>
  <c r="AL128" i="4"/>
  <c r="AN128" i="4"/>
  <c r="AP128" i="4"/>
  <c r="AR128" i="4"/>
  <c r="AT128" i="4"/>
  <c r="AI128" i="4"/>
  <c r="AK128" i="4"/>
  <c r="AG128" i="4"/>
  <c r="AC128" i="4"/>
  <c r="AE128" i="4"/>
  <c r="AM128" i="4"/>
  <c r="AO128" i="4"/>
  <c r="AQ128" i="4"/>
  <c r="AS128" i="4"/>
  <c r="AJ128" i="4"/>
  <c r="AF128" i="4"/>
  <c r="AH128" i="4"/>
  <c r="AD128" i="4"/>
  <c r="AB128" i="4"/>
  <c r="AA128" i="4"/>
  <c r="Z128" i="4"/>
  <c r="Y128" i="4"/>
  <c r="X128" i="4"/>
  <c r="W128" i="4"/>
  <c r="P128" i="4"/>
  <c r="O128" i="4"/>
  <c r="L128" i="4"/>
  <c r="K128" i="4"/>
  <c r="V128" i="4"/>
  <c r="U128" i="4"/>
  <c r="T128" i="4"/>
  <c r="S128" i="4"/>
  <c r="R128" i="4"/>
  <c r="Q128" i="4"/>
  <c r="N128" i="4"/>
  <c r="M128" i="4"/>
  <c r="I128" i="4"/>
  <c r="J128" i="4"/>
  <c r="H128" i="4"/>
  <c r="CC131" i="4"/>
  <c r="CE131" i="4"/>
  <c r="CG131" i="4"/>
  <c r="CI131" i="4"/>
  <c r="CB131" i="4"/>
  <c r="CD131" i="4"/>
  <c r="CF131" i="4"/>
  <c r="CH131" i="4"/>
  <c r="CJ131" i="4"/>
  <c r="BT131" i="4"/>
  <c r="BV131" i="4"/>
  <c r="BX131" i="4"/>
  <c r="BZ131" i="4"/>
  <c r="BU131" i="4"/>
  <c r="BY131" i="4"/>
  <c r="BS131" i="4"/>
  <c r="BW131" i="4"/>
  <c r="CA131" i="4"/>
  <c r="BJ131" i="4"/>
  <c r="BL131" i="4"/>
  <c r="BN131" i="4"/>
  <c r="BP131" i="4"/>
  <c r="BR131" i="4"/>
  <c r="BK131" i="4"/>
  <c r="BM131" i="4"/>
  <c r="BO131" i="4"/>
  <c r="BQ131" i="4"/>
  <c r="AV131" i="4"/>
  <c r="AX131" i="4"/>
  <c r="AZ131" i="4"/>
  <c r="BB131" i="4"/>
  <c r="BD131" i="4"/>
  <c r="BF131" i="4"/>
  <c r="BH131" i="4"/>
  <c r="AU131" i="4"/>
  <c r="AW131" i="4"/>
  <c r="AY131" i="4"/>
  <c r="BA131" i="4"/>
  <c r="BC131" i="4"/>
  <c r="BE131" i="4"/>
  <c r="BG131" i="4"/>
  <c r="BI131" i="4"/>
  <c r="AM131" i="4"/>
  <c r="AO131" i="4"/>
  <c r="AQ131" i="4"/>
  <c r="AS131" i="4"/>
  <c r="AJ131" i="4"/>
  <c r="AF131" i="4"/>
  <c r="AH131" i="4"/>
  <c r="AD131" i="4"/>
  <c r="AB131" i="4"/>
  <c r="AA131" i="4"/>
  <c r="AL131" i="4"/>
  <c r="AN131" i="4"/>
  <c r="AP131" i="4"/>
  <c r="AR131" i="4"/>
  <c r="AT131" i="4"/>
  <c r="AI131" i="4"/>
  <c r="AK131" i="4"/>
  <c r="AG131" i="4"/>
  <c r="AC131" i="4"/>
  <c r="AE131" i="4"/>
  <c r="V131" i="4"/>
  <c r="U131" i="4"/>
  <c r="T131" i="4"/>
  <c r="S131" i="4"/>
  <c r="R131" i="4"/>
  <c r="Q131" i="4"/>
  <c r="N131" i="4"/>
  <c r="M131" i="4"/>
  <c r="Z131" i="4"/>
  <c r="Y131" i="4"/>
  <c r="X131" i="4"/>
  <c r="W131" i="4"/>
  <c r="P131" i="4"/>
  <c r="O131" i="4"/>
  <c r="L131" i="4"/>
  <c r="K131" i="4"/>
  <c r="J131" i="4"/>
  <c r="H131" i="4"/>
  <c r="I131" i="4"/>
  <c r="E145" i="4"/>
  <c r="E152" i="4"/>
  <c r="E161" i="4"/>
  <c r="CC165" i="4"/>
  <c r="CE165" i="4"/>
  <c r="CG165" i="4"/>
  <c r="CI165" i="4"/>
  <c r="CB165" i="4"/>
  <c r="CD165" i="4"/>
  <c r="CF165" i="4"/>
  <c r="CH165" i="4"/>
  <c r="CJ165" i="4"/>
  <c r="BS165" i="4"/>
  <c r="BU165" i="4"/>
  <c r="BW165" i="4"/>
  <c r="BY165" i="4"/>
  <c r="CA165" i="4"/>
  <c r="BT165" i="4"/>
  <c r="BV165" i="4"/>
  <c r="BX165" i="4"/>
  <c r="BZ165" i="4"/>
  <c r="BJ165" i="4"/>
  <c r="BL165" i="4"/>
  <c r="BN165" i="4"/>
  <c r="BP165" i="4"/>
  <c r="BR165" i="4"/>
  <c r="BK165" i="4"/>
  <c r="BM165" i="4"/>
  <c r="BO165" i="4"/>
  <c r="BQ165" i="4"/>
  <c r="AV165" i="4"/>
  <c r="AX165" i="4"/>
  <c r="AZ165" i="4"/>
  <c r="BB165" i="4"/>
  <c r="BD165" i="4"/>
  <c r="BF165" i="4"/>
  <c r="BH165" i="4"/>
  <c r="AU165" i="4"/>
  <c r="AW165" i="4"/>
  <c r="AY165" i="4"/>
  <c r="BA165" i="4"/>
  <c r="BC165" i="4"/>
  <c r="BE165" i="4"/>
  <c r="BG165" i="4"/>
  <c r="BI165" i="4"/>
  <c r="AM165" i="4"/>
  <c r="AO165" i="4"/>
  <c r="AQ165" i="4"/>
  <c r="AS165" i="4"/>
  <c r="AJ165" i="4"/>
  <c r="AF165" i="4"/>
  <c r="AH165" i="4"/>
  <c r="AD165" i="4"/>
  <c r="AB165" i="4"/>
  <c r="AA165" i="4"/>
  <c r="AL165" i="4"/>
  <c r="AN165" i="4"/>
  <c r="AP165" i="4"/>
  <c r="AR165" i="4"/>
  <c r="AT165" i="4"/>
  <c r="AI165" i="4"/>
  <c r="AK165" i="4"/>
  <c r="AG165" i="4"/>
  <c r="AC165" i="4"/>
  <c r="AE165" i="4"/>
  <c r="V165" i="4"/>
  <c r="U165" i="4"/>
  <c r="T165" i="4"/>
  <c r="S165" i="4"/>
  <c r="R165" i="4"/>
  <c r="Q165" i="4"/>
  <c r="N165" i="4"/>
  <c r="M165" i="4"/>
  <c r="I165" i="4"/>
  <c r="Z165" i="4"/>
  <c r="Y165" i="4"/>
  <c r="X165" i="4"/>
  <c r="W165" i="4"/>
  <c r="P165" i="4"/>
  <c r="O165" i="4"/>
  <c r="L165" i="4"/>
  <c r="K165" i="4"/>
  <c r="J165" i="4"/>
  <c r="H165" i="4"/>
  <c r="CB166" i="4"/>
  <c r="CD166" i="4"/>
  <c r="CF166" i="4"/>
  <c r="CH166" i="4"/>
  <c r="CJ166" i="4"/>
  <c r="CC166" i="4"/>
  <c r="CE166" i="4"/>
  <c r="CG166" i="4"/>
  <c r="CI166" i="4"/>
  <c r="BT166" i="4"/>
  <c r="BV166" i="4"/>
  <c r="BX166" i="4"/>
  <c r="BZ166" i="4"/>
  <c r="BS166" i="4"/>
  <c r="BU166" i="4"/>
  <c r="BW166" i="4"/>
  <c r="BY166" i="4"/>
  <c r="CA166" i="4"/>
  <c r="BK166" i="4"/>
  <c r="BM166" i="4"/>
  <c r="BO166" i="4"/>
  <c r="BQ166" i="4"/>
  <c r="BJ166" i="4"/>
  <c r="BL166" i="4"/>
  <c r="BN166" i="4"/>
  <c r="BP166" i="4"/>
  <c r="BR166" i="4"/>
  <c r="AU166" i="4"/>
  <c r="AW166" i="4"/>
  <c r="AY166" i="4"/>
  <c r="BA166" i="4"/>
  <c r="BC166" i="4"/>
  <c r="BE166" i="4"/>
  <c r="BG166" i="4"/>
  <c r="BI166" i="4"/>
  <c r="AV166" i="4"/>
  <c r="AX166" i="4"/>
  <c r="AZ166" i="4"/>
  <c r="BB166" i="4"/>
  <c r="BD166" i="4"/>
  <c r="BF166" i="4"/>
  <c r="BH166" i="4"/>
  <c r="AL166" i="4"/>
  <c r="AN166" i="4"/>
  <c r="AP166" i="4"/>
  <c r="AR166" i="4"/>
  <c r="AT166" i="4"/>
  <c r="AI166" i="4"/>
  <c r="AK166" i="4"/>
  <c r="AG166" i="4"/>
  <c r="AC166" i="4"/>
  <c r="AE166" i="4"/>
  <c r="AM166" i="4"/>
  <c r="AO166" i="4"/>
  <c r="AQ166" i="4"/>
  <c r="AS166" i="4"/>
  <c r="AJ166" i="4"/>
  <c r="AF166" i="4"/>
  <c r="AH166" i="4"/>
  <c r="AD166" i="4"/>
  <c r="Z166" i="4"/>
  <c r="Y166" i="4"/>
  <c r="X166" i="4"/>
  <c r="W166" i="4"/>
  <c r="P166" i="4"/>
  <c r="O166" i="4"/>
  <c r="L166" i="4"/>
  <c r="K166" i="4"/>
  <c r="AB166" i="4"/>
  <c r="AA166" i="4"/>
  <c r="V166" i="4"/>
  <c r="U166" i="4"/>
  <c r="T166" i="4"/>
  <c r="S166" i="4"/>
  <c r="R166" i="4"/>
  <c r="Q166" i="4"/>
  <c r="N166" i="4"/>
  <c r="M166" i="4"/>
  <c r="I166" i="4"/>
  <c r="J166" i="4"/>
  <c r="H166" i="4"/>
  <c r="E171" i="4"/>
  <c r="CC193" i="4"/>
  <c r="CE193" i="4"/>
  <c r="CG193" i="4"/>
  <c r="CI193" i="4"/>
  <c r="CB193" i="4"/>
  <c r="CD193" i="4"/>
  <c r="CF193" i="4"/>
  <c r="CH193" i="4"/>
  <c r="CJ193" i="4"/>
  <c r="BS193" i="4"/>
  <c r="BU193" i="4"/>
  <c r="BW193" i="4"/>
  <c r="BY193" i="4"/>
  <c r="CA193" i="4"/>
  <c r="BT193" i="4"/>
  <c r="BV193" i="4"/>
  <c r="BX193" i="4"/>
  <c r="BZ193" i="4"/>
  <c r="BJ193" i="4"/>
  <c r="BL193" i="4"/>
  <c r="BN193" i="4"/>
  <c r="BP193" i="4"/>
  <c r="BR193" i="4"/>
  <c r="BK193" i="4"/>
  <c r="BM193" i="4"/>
  <c r="BO193" i="4"/>
  <c r="BQ193" i="4"/>
  <c r="AV193" i="4"/>
  <c r="AX193" i="4"/>
  <c r="AZ193" i="4"/>
  <c r="BB193" i="4"/>
  <c r="BD193" i="4"/>
  <c r="BF193" i="4"/>
  <c r="BH193" i="4"/>
  <c r="AU193" i="4"/>
  <c r="AW193" i="4"/>
  <c r="AY193" i="4"/>
  <c r="BA193" i="4"/>
  <c r="BC193" i="4"/>
  <c r="BE193" i="4"/>
  <c r="BG193" i="4"/>
  <c r="BI193" i="4"/>
  <c r="AM193" i="4"/>
  <c r="AO193" i="4"/>
  <c r="AQ193" i="4"/>
  <c r="AS193" i="4"/>
  <c r="AJ193" i="4"/>
  <c r="AF193" i="4"/>
  <c r="AH193" i="4"/>
  <c r="AD193" i="4"/>
  <c r="AB193" i="4"/>
  <c r="AL193" i="4"/>
  <c r="AN193" i="4"/>
  <c r="AP193" i="4"/>
  <c r="AR193" i="4"/>
  <c r="AT193" i="4"/>
  <c r="AI193" i="4"/>
  <c r="AK193" i="4"/>
  <c r="AG193" i="4"/>
  <c r="AC193" i="4"/>
  <c r="V193" i="4"/>
  <c r="U193" i="4"/>
  <c r="T193" i="4"/>
  <c r="S193" i="4"/>
  <c r="R193" i="4"/>
  <c r="Q193" i="4"/>
  <c r="N193" i="4"/>
  <c r="M193" i="4"/>
  <c r="I193" i="4"/>
  <c r="AE193" i="4"/>
  <c r="AA193" i="4"/>
  <c r="Z193" i="4"/>
  <c r="Y193" i="4"/>
  <c r="X193" i="4"/>
  <c r="W193" i="4"/>
  <c r="P193" i="4"/>
  <c r="O193" i="4"/>
  <c r="L193" i="4"/>
  <c r="K193" i="4"/>
  <c r="J193" i="4"/>
  <c r="H193" i="4"/>
  <c r="CB194" i="4"/>
  <c r="CD194" i="4"/>
  <c r="CF194" i="4"/>
  <c r="CH194" i="4"/>
  <c r="CJ194" i="4"/>
  <c r="CC194" i="4"/>
  <c r="CE194" i="4"/>
  <c r="CG194" i="4"/>
  <c r="CI194" i="4"/>
  <c r="BT194" i="4"/>
  <c r="BV194" i="4"/>
  <c r="BX194" i="4"/>
  <c r="BZ194" i="4"/>
  <c r="BS194" i="4"/>
  <c r="BU194" i="4"/>
  <c r="BW194" i="4"/>
  <c r="BY194" i="4"/>
  <c r="CA194" i="4"/>
  <c r="BK194" i="4"/>
  <c r="BM194" i="4"/>
  <c r="BO194" i="4"/>
  <c r="BQ194" i="4"/>
  <c r="BJ194" i="4"/>
  <c r="BL194" i="4"/>
  <c r="BN194" i="4"/>
  <c r="BP194" i="4"/>
  <c r="BR194" i="4"/>
  <c r="AU194" i="4"/>
  <c r="AW194" i="4"/>
  <c r="AY194" i="4"/>
  <c r="BA194" i="4"/>
  <c r="BC194" i="4"/>
  <c r="BE194" i="4"/>
  <c r="BG194" i="4"/>
  <c r="BI194" i="4"/>
  <c r="AV194" i="4"/>
  <c r="AX194" i="4"/>
  <c r="AZ194" i="4"/>
  <c r="BB194" i="4"/>
  <c r="BD194" i="4"/>
  <c r="BF194" i="4"/>
  <c r="BH194" i="4"/>
  <c r="AL194" i="4"/>
  <c r="AN194" i="4"/>
  <c r="AP194" i="4"/>
  <c r="AR194" i="4"/>
  <c r="AT194" i="4"/>
  <c r="AI194" i="4"/>
  <c r="AK194" i="4"/>
  <c r="AG194" i="4"/>
  <c r="AC194" i="4"/>
  <c r="AE194" i="4"/>
  <c r="AM194" i="4"/>
  <c r="AO194" i="4"/>
  <c r="AQ194" i="4"/>
  <c r="AS194" i="4"/>
  <c r="AJ194" i="4"/>
  <c r="AF194" i="4"/>
  <c r="AH194" i="4"/>
  <c r="AD194" i="4"/>
  <c r="AA194" i="4"/>
  <c r="Z194" i="4"/>
  <c r="Y194" i="4"/>
  <c r="X194" i="4"/>
  <c r="W194" i="4"/>
  <c r="P194" i="4"/>
  <c r="O194" i="4"/>
  <c r="L194" i="4"/>
  <c r="K194" i="4"/>
  <c r="J194" i="4"/>
  <c r="AB194" i="4"/>
  <c r="V194" i="4"/>
  <c r="U194" i="4"/>
  <c r="T194" i="4"/>
  <c r="S194" i="4"/>
  <c r="R194" i="4"/>
  <c r="Q194" i="4"/>
  <c r="N194" i="4"/>
  <c r="M194" i="4"/>
  <c r="I194" i="4"/>
  <c r="H194" i="4"/>
  <c r="CC197" i="4"/>
  <c r="CE197" i="4"/>
  <c r="CG197" i="4"/>
  <c r="CI197" i="4"/>
  <c r="CB197" i="4"/>
  <c r="CD197" i="4"/>
  <c r="CF197" i="4"/>
  <c r="CH197" i="4"/>
  <c r="CJ197" i="4"/>
  <c r="BS197" i="4"/>
  <c r="BU197" i="4"/>
  <c r="BW197" i="4"/>
  <c r="BY197" i="4"/>
  <c r="CA197" i="4"/>
  <c r="BT197" i="4"/>
  <c r="BV197" i="4"/>
  <c r="BX197" i="4"/>
  <c r="BZ197" i="4"/>
  <c r="BJ197" i="4"/>
  <c r="BL197" i="4"/>
  <c r="BN197" i="4"/>
  <c r="BP197" i="4"/>
  <c r="BR197" i="4"/>
  <c r="BK197" i="4"/>
  <c r="BM197" i="4"/>
  <c r="BO197" i="4"/>
  <c r="BQ197" i="4"/>
  <c r="AV197" i="4"/>
  <c r="AX197" i="4"/>
  <c r="AZ197" i="4"/>
  <c r="BB197" i="4"/>
  <c r="BD197" i="4"/>
  <c r="BF197" i="4"/>
  <c r="BH197" i="4"/>
  <c r="AU197" i="4"/>
  <c r="AW197" i="4"/>
  <c r="AY197" i="4"/>
  <c r="BA197" i="4"/>
  <c r="BC197" i="4"/>
  <c r="BE197" i="4"/>
  <c r="BG197" i="4"/>
  <c r="BI197" i="4"/>
  <c r="AM197" i="4"/>
  <c r="AO197" i="4"/>
  <c r="AQ197" i="4"/>
  <c r="AS197" i="4"/>
  <c r="AJ197" i="4"/>
  <c r="AF197" i="4"/>
  <c r="AH197" i="4"/>
  <c r="AD197" i="4"/>
  <c r="AB197" i="4"/>
  <c r="AL197" i="4"/>
  <c r="AN197" i="4"/>
  <c r="AP197" i="4"/>
  <c r="AR197" i="4"/>
  <c r="AT197" i="4"/>
  <c r="AI197" i="4"/>
  <c r="AK197" i="4"/>
  <c r="AG197" i="4"/>
  <c r="AC197" i="4"/>
  <c r="V197" i="4"/>
  <c r="U197" i="4"/>
  <c r="T197" i="4"/>
  <c r="S197" i="4"/>
  <c r="R197" i="4"/>
  <c r="Q197" i="4"/>
  <c r="N197" i="4"/>
  <c r="M197" i="4"/>
  <c r="I197" i="4"/>
  <c r="AE197" i="4"/>
  <c r="AA197" i="4"/>
  <c r="Z197" i="4"/>
  <c r="Y197" i="4"/>
  <c r="X197" i="4"/>
  <c r="W197" i="4"/>
  <c r="P197" i="4"/>
  <c r="O197" i="4"/>
  <c r="L197" i="4"/>
  <c r="K197" i="4"/>
  <c r="J197" i="4"/>
  <c r="H197" i="4"/>
  <c r="CC213" i="4"/>
  <c r="CE213" i="4"/>
  <c r="CG213" i="4"/>
  <c r="CI213" i="4"/>
  <c r="CB213" i="4"/>
  <c r="CD213" i="4"/>
  <c r="CF213" i="4"/>
  <c r="CH213" i="4"/>
  <c r="CJ213" i="4"/>
  <c r="BS213" i="4"/>
  <c r="BU213" i="4"/>
  <c r="BW213" i="4"/>
  <c r="BY213" i="4"/>
  <c r="CA213" i="4"/>
  <c r="BT213" i="4"/>
  <c r="BV213" i="4"/>
  <c r="BX213" i="4"/>
  <c r="BZ213" i="4"/>
  <c r="BJ213" i="4"/>
  <c r="BL213" i="4"/>
  <c r="BN213" i="4"/>
  <c r="BP213" i="4"/>
  <c r="BR213" i="4"/>
  <c r="BK213" i="4"/>
  <c r="BM213" i="4"/>
  <c r="BO213" i="4"/>
  <c r="BQ213" i="4"/>
  <c r="AV213" i="4"/>
  <c r="AX213" i="4"/>
  <c r="AZ213" i="4"/>
  <c r="BB213" i="4"/>
  <c r="BD213" i="4"/>
  <c r="BF213" i="4"/>
  <c r="BH213" i="4"/>
  <c r="AU213" i="4"/>
  <c r="AY213" i="4"/>
  <c r="BC213" i="4"/>
  <c r="BG213" i="4"/>
  <c r="AM213" i="4"/>
  <c r="AO213" i="4"/>
  <c r="AQ213" i="4"/>
  <c r="AS213" i="4"/>
  <c r="AJ213" i="4"/>
  <c r="AF213" i="4"/>
  <c r="AH213" i="4"/>
  <c r="AD213" i="4"/>
  <c r="AB213" i="4"/>
  <c r="AW213" i="4"/>
  <c r="BA213" i="4"/>
  <c r="BE213" i="4"/>
  <c r="BI213" i="4"/>
  <c r="AL213" i="4"/>
  <c r="AN213" i="4"/>
  <c r="AP213" i="4"/>
  <c r="AR213" i="4"/>
  <c r="AT213" i="4"/>
  <c r="AI213" i="4"/>
  <c r="AK213" i="4"/>
  <c r="AG213" i="4"/>
  <c r="AC213" i="4"/>
  <c r="V213" i="4"/>
  <c r="U213" i="4"/>
  <c r="T213" i="4"/>
  <c r="S213" i="4"/>
  <c r="R213" i="4"/>
  <c r="Q213" i="4"/>
  <c r="N213" i="4"/>
  <c r="M213" i="4"/>
  <c r="I213" i="4"/>
  <c r="AE213" i="4"/>
  <c r="AA213" i="4"/>
  <c r="Z213" i="4"/>
  <c r="Y213" i="4"/>
  <c r="X213" i="4"/>
  <c r="W213" i="4"/>
  <c r="P213" i="4"/>
  <c r="O213" i="4"/>
  <c r="L213" i="4"/>
  <c r="K213" i="4"/>
  <c r="J213" i="4"/>
  <c r="H213" i="4"/>
  <c r="CB214" i="4"/>
  <c r="CD214" i="4"/>
  <c r="CF214" i="4"/>
  <c r="CH214" i="4"/>
  <c r="CJ214" i="4"/>
  <c r="CC214" i="4"/>
  <c r="CE214" i="4"/>
  <c r="CG214" i="4"/>
  <c r="CI214" i="4"/>
  <c r="BT214" i="4"/>
  <c r="BV214" i="4"/>
  <c r="BX214" i="4"/>
  <c r="BZ214" i="4"/>
  <c r="BS214" i="4"/>
  <c r="BU214" i="4"/>
  <c r="BW214" i="4"/>
  <c r="BY214" i="4"/>
  <c r="CA214" i="4"/>
  <c r="BK214" i="4"/>
  <c r="BM214" i="4"/>
  <c r="BO214" i="4"/>
  <c r="BQ214" i="4"/>
  <c r="BJ214" i="4"/>
  <c r="BL214" i="4"/>
  <c r="BN214" i="4"/>
  <c r="BP214" i="4"/>
  <c r="BR214" i="4"/>
  <c r="AU214" i="4"/>
  <c r="AW214" i="4"/>
  <c r="AY214" i="4"/>
  <c r="BA214" i="4"/>
  <c r="BC214" i="4"/>
  <c r="BE214" i="4"/>
  <c r="BG214" i="4"/>
  <c r="BI214" i="4"/>
  <c r="AV214" i="4"/>
  <c r="AZ214" i="4"/>
  <c r="BD214" i="4"/>
  <c r="BH214" i="4"/>
  <c r="AL214" i="4"/>
  <c r="AN214" i="4"/>
  <c r="AP214" i="4"/>
  <c r="AR214" i="4"/>
  <c r="AT214" i="4"/>
  <c r="AI214" i="4"/>
  <c r="AK214" i="4"/>
  <c r="AG214" i="4"/>
  <c r="AC214" i="4"/>
  <c r="AE214" i="4"/>
  <c r="AX214" i="4"/>
  <c r="BB214" i="4"/>
  <c r="BF214" i="4"/>
  <c r="AM214" i="4"/>
  <c r="AO214" i="4"/>
  <c r="AQ214" i="4"/>
  <c r="AS214" i="4"/>
  <c r="AJ214" i="4"/>
  <c r="AF214" i="4"/>
  <c r="AH214" i="4"/>
  <c r="AD214" i="4"/>
  <c r="AA214" i="4"/>
  <c r="Z214" i="4"/>
  <c r="Y214" i="4"/>
  <c r="X214" i="4"/>
  <c r="W214" i="4"/>
  <c r="P214" i="4"/>
  <c r="O214" i="4"/>
  <c r="L214" i="4"/>
  <c r="J214" i="4"/>
  <c r="AB214" i="4"/>
  <c r="V214" i="4"/>
  <c r="U214" i="4"/>
  <c r="T214" i="4"/>
  <c r="S214" i="4"/>
  <c r="R214" i="4"/>
  <c r="Q214" i="4"/>
  <c r="N214" i="4"/>
  <c r="M214" i="4"/>
  <c r="I214" i="4"/>
  <c r="K214" i="4"/>
  <c r="H214" i="4"/>
  <c r="CC217" i="4"/>
  <c r="CE217" i="4"/>
  <c r="CG217" i="4"/>
  <c r="CI217" i="4"/>
  <c r="CB217" i="4"/>
  <c r="CD217" i="4"/>
  <c r="CF217" i="4"/>
  <c r="CH217" i="4"/>
  <c r="CJ217" i="4"/>
  <c r="BS217" i="4"/>
  <c r="BU217" i="4"/>
  <c r="BW217" i="4"/>
  <c r="BY217" i="4"/>
  <c r="CA217" i="4"/>
  <c r="BT217" i="4"/>
  <c r="BV217" i="4"/>
  <c r="BX217" i="4"/>
  <c r="BZ217" i="4"/>
  <c r="BJ217" i="4"/>
  <c r="BL217" i="4"/>
  <c r="BN217" i="4"/>
  <c r="BP217" i="4"/>
  <c r="BR217" i="4"/>
  <c r="BK217" i="4"/>
  <c r="BM217" i="4"/>
  <c r="BO217" i="4"/>
  <c r="BQ217" i="4"/>
  <c r="AV217" i="4"/>
  <c r="AX217" i="4"/>
  <c r="AZ217" i="4"/>
  <c r="BB217" i="4"/>
  <c r="BD217" i="4"/>
  <c r="BF217" i="4"/>
  <c r="BH217" i="4"/>
  <c r="AU217" i="4"/>
  <c r="AY217" i="4"/>
  <c r="BC217" i="4"/>
  <c r="BG217" i="4"/>
  <c r="AM217" i="4"/>
  <c r="AO217" i="4"/>
  <c r="AQ217" i="4"/>
  <c r="AS217" i="4"/>
  <c r="AJ217" i="4"/>
  <c r="AF217" i="4"/>
  <c r="AH217" i="4"/>
  <c r="AD217" i="4"/>
  <c r="AB217" i="4"/>
  <c r="AW217" i="4"/>
  <c r="BA217" i="4"/>
  <c r="BE217" i="4"/>
  <c r="BI217" i="4"/>
  <c r="AL217" i="4"/>
  <c r="AN217" i="4"/>
  <c r="AP217" i="4"/>
  <c r="AR217" i="4"/>
  <c r="AT217" i="4"/>
  <c r="AI217" i="4"/>
  <c r="AK217" i="4"/>
  <c r="AG217" i="4"/>
  <c r="AC217" i="4"/>
  <c r="V217" i="4"/>
  <c r="U217" i="4"/>
  <c r="T217" i="4"/>
  <c r="S217" i="4"/>
  <c r="R217" i="4"/>
  <c r="Q217" i="4"/>
  <c r="N217" i="4"/>
  <c r="M217" i="4"/>
  <c r="I217" i="4"/>
  <c r="AE217" i="4"/>
  <c r="AA217" i="4"/>
  <c r="Z217" i="4"/>
  <c r="Y217" i="4"/>
  <c r="X217" i="4"/>
  <c r="W217" i="4"/>
  <c r="P217" i="4"/>
  <c r="O217" i="4"/>
  <c r="L217" i="4"/>
  <c r="K217" i="4"/>
  <c r="J217" i="4"/>
  <c r="H217" i="4"/>
  <c r="CB218" i="4"/>
  <c r="CD218" i="4"/>
  <c r="CF218" i="4"/>
  <c r="CH218" i="4"/>
  <c r="CJ218" i="4"/>
  <c r="CC218" i="4"/>
  <c r="CE218" i="4"/>
  <c r="CG218" i="4"/>
  <c r="CI218" i="4"/>
  <c r="BT218" i="4"/>
  <c r="BV218" i="4"/>
  <c r="BX218" i="4"/>
  <c r="BZ218" i="4"/>
  <c r="BS218" i="4"/>
  <c r="BU218" i="4"/>
  <c r="BW218" i="4"/>
  <c r="BY218" i="4"/>
  <c r="CA218" i="4"/>
  <c r="BK218" i="4"/>
  <c r="BM218" i="4"/>
  <c r="BO218" i="4"/>
  <c r="BQ218" i="4"/>
  <c r="BJ218" i="4"/>
  <c r="BL218" i="4"/>
  <c r="BN218" i="4"/>
  <c r="BP218" i="4"/>
  <c r="BR218" i="4"/>
  <c r="AU218" i="4"/>
  <c r="AW218" i="4"/>
  <c r="AY218" i="4"/>
  <c r="BA218" i="4"/>
  <c r="BC218" i="4"/>
  <c r="BE218" i="4"/>
  <c r="BG218" i="4"/>
  <c r="BI218" i="4"/>
  <c r="AV218" i="4"/>
  <c r="AZ218" i="4"/>
  <c r="BD218" i="4"/>
  <c r="BH218" i="4"/>
  <c r="AL218" i="4"/>
  <c r="AN218" i="4"/>
  <c r="AP218" i="4"/>
  <c r="AR218" i="4"/>
  <c r="AT218" i="4"/>
  <c r="AI218" i="4"/>
  <c r="AK218" i="4"/>
  <c r="AG218" i="4"/>
  <c r="AC218" i="4"/>
  <c r="AE218" i="4"/>
  <c r="AX218" i="4"/>
  <c r="BB218" i="4"/>
  <c r="BF218" i="4"/>
  <c r="AM218" i="4"/>
  <c r="AO218" i="4"/>
  <c r="AQ218" i="4"/>
  <c r="AS218" i="4"/>
  <c r="AJ218" i="4"/>
  <c r="AF218" i="4"/>
  <c r="AH218" i="4"/>
  <c r="AD218" i="4"/>
  <c r="AA218" i="4"/>
  <c r="Z218" i="4"/>
  <c r="Y218" i="4"/>
  <c r="X218" i="4"/>
  <c r="W218" i="4"/>
  <c r="P218" i="4"/>
  <c r="O218" i="4"/>
  <c r="L218" i="4"/>
  <c r="J218" i="4"/>
  <c r="AB218" i="4"/>
  <c r="V218" i="4"/>
  <c r="U218" i="4"/>
  <c r="T218" i="4"/>
  <c r="S218" i="4"/>
  <c r="R218" i="4"/>
  <c r="Q218" i="4"/>
  <c r="N218" i="4"/>
  <c r="M218" i="4"/>
  <c r="I218" i="4"/>
  <c r="K218" i="4"/>
  <c r="H218" i="4"/>
  <c r="CC237" i="4"/>
  <c r="CE237" i="4"/>
  <c r="CG237" i="4"/>
  <c r="CI237" i="4"/>
  <c r="CB237" i="4"/>
  <c r="CD237" i="4"/>
  <c r="CF237" i="4"/>
  <c r="CH237" i="4"/>
  <c r="CJ237" i="4"/>
  <c r="BS237" i="4"/>
  <c r="BU237" i="4"/>
  <c r="BW237" i="4"/>
  <c r="BY237" i="4"/>
  <c r="CA237" i="4"/>
  <c r="BT237" i="4"/>
  <c r="BV237" i="4"/>
  <c r="BX237" i="4"/>
  <c r="BZ237" i="4"/>
  <c r="BJ237" i="4"/>
  <c r="BL237" i="4"/>
  <c r="BN237" i="4"/>
  <c r="BP237" i="4"/>
  <c r="BR237" i="4"/>
  <c r="BK237" i="4"/>
  <c r="BM237" i="4"/>
  <c r="BO237" i="4"/>
  <c r="BQ237" i="4"/>
  <c r="AV237" i="4"/>
  <c r="AX237" i="4"/>
  <c r="AZ237" i="4"/>
  <c r="BB237" i="4"/>
  <c r="BD237" i="4"/>
  <c r="BF237" i="4"/>
  <c r="BH237" i="4"/>
  <c r="AM237" i="4"/>
  <c r="AO237" i="4"/>
  <c r="AQ237" i="4"/>
  <c r="AS237" i="4"/>
  <c r="AJ237" i="4"/>
  <c r="AF237" i="4"/>
  <c r="AH237" i="4"/>
  <c r="AD237" i="4"/>
  <c r="AB237" i="4"/>
  <c r="AU237" i="4"/>
  <c r="AW237" i="4"/>
  <c r="AY237" i="4"/>
  <c r="BA237" i="4"/>
  <c r="BC237" i="4"/>
  <c r="BE237" i="4"/>
  <c r="BG237" i="4"/>
  <c r="BI237" i="4"/>
  <c r="AL237" i="4"/>
  <c r="AN237" i="4"/>
  <c r="AP237" i="4"/>
  <c r="AR237" i="4"/>
  <c r="AT237" i="4"/>
  <c r="AI237" i="4"/>
  <c r="AK237" i="4"/>
  <c r="AG237" i="4"/>
  <c r="AC237" i="4"/>
  <c r="V237" i="4"/>
  <c r="U237" i="4"/>
  <c r="T237" i="4"/>
  <c r="S237" i="4"/>
  <c r="R237" i="4"/>
  <c r="Q237" i="4"/>
  <c r="N237" i="4"/>
  <c r="M237" i="4"/>
  <c r="I237" i="4"/>
  <c r="AE237" i="4"/>
  <c r="AA237" i="4"/>
  <c r="Z237" i="4"/>
  <c r="Y237" i="4"/>
  <c r="X237" i="4"/>
  <c r="W237" i="4"/>
  <c r="P237" i="4"/>
  <c r="O237" i="4"/>
  <c r="L237" i="4"/>
  <c r="K237" i="4"/>
  <c r="J237" i="4"/>
  <c r="H237" i="4"/>
  <c r="CB238" i="4"/>
  <c r="CD238" i="4"/>
  <c r="CF238" i="4"/>
  <c r="CH238" i="4"/>
  <c r="CJ238" i="4"/>
  <c r="CC238" i="4"/>
  <c r="CE238" i="4"/>
  <c r="CG238" i="4"/>
  <c r="CI238" i="4"/>
  <c r="BT238" i="4"/>
  <c r="BV238" i="4"/>
  <c r="BX238" i="4"/>
  <c r="BZ238" i="4"/>
  <c r="BS238" i="4"/>
  <c r="BU238" i="4"/>
  <c r="BW238" i="4"/>
  <c r="BY238" i="4"/>
  <c r="CA238" i="4"/>
  <c r="BK238" i="4"/>
  <c r="BM238" i="4"/>
  <c r="BO238" i="4"/>
  <c r="BQ238" i="4"/>
  <c r="BJ238" i="4"/>
  <c r="BL238" i="4"/>
  <c r="BN238" i="4"/>
  <c r="BP238" i="4"/>
  <c r="BR238" i="4"/>
  <c r="AU238" i="4"/>
  <c r="AW238" i="4"/>
  <c r="AY238" i="4"/>
  <c r="BA238" i="4"/>
  <c r="BC238" i="4"/>
  <c r="BE238" i="4"/>
  <c r="BG238" i="4"/>
  <c r="BI238" i="4"/>
  <c r="AL238" i="4"/>
  <c r="AN238" i="4"/>
  <c r="AP238" i="4"/>
  <c r="AR238" i="4"/>
  <c r="AT238" i="4"/>
  <c r="AI238" i="4"/>
  <c r="AK238" i="4"/>
  <c r="AG238" i="4"/>
  <c r="AC238" i="4"/>
  <c r="AE238" i="4"/>
  <c r="AV238" i="4"/>
  <c r="AX238" i="4"/>
  <c r="AZ238" i="4"/>
  <c r="BB238" i="4"/>
  <c r="BD238" i="4"/>
  <c r="BF238" i="4"/>
  <c r="BH238" i="4"/>
  <c r="AM238" i="4"/>
  <c r="AO238" i="4"/>
  <c r="AQ238" i="4"/>
  <c r="AS238" i="4"/>
  <c r="AJ238" i="4"/>
  <c r="AF238" i="4"/>
  <c r="AH238" i="4"/>
  <c r="AD238" i="4"/>
  <c r="AA238" i="4"/>
  <c r="Z238" i="4"/>
  <c r="Y238" i="4"/>
  <c r="X238" i="4"/>
  <c r="W238" i="4"/>
  <c r="P238" i="4"/>
  <c r="O238" i="4"/>
  <c r="L238" i="4"/>
  <c r="AB238" i="4"/>
  <c r="V238" i="4"/>
  <c r="U238" i="4"/>
  <c r="T238" i="4"/>
  <c r="S238" i="4"/>
  <c r="R238" i="4"/>
  <c r="Q238" i="4"/>
  <c r="N238" i="4"/>
  <c r="M238" i="4"/>
  <c r="I238" i="4"/>
  <c r="K238" i="4"/>
  <c r="J238" i="4"/>
  <c r="H238" i="4"/>
  <c r="CC245" i="4"/>
  <c r="CE245" i="4"/>
  <c r="CG245" i="4"/>
  <c r="CB245" i="4"/>
  <c r="CD245" i="4"/>
  <c r="CF245" i="4"/>
  <c r="CH245" i="4"/>
  <c r="CJ245" i="4"/>
  <c r="CI245" i="4"/>
  <c r="BS245" i="4"/>
  <c r="BU245" i="4"/>
  <c r="BW245" i="4"/>
  <c r="BY245" i="4"/>
  <c r="CA245" i="4"/>
  <c r="BT245" i="4"/>
  <c r="BV245" i="4"/>
  <c r="BX245" i="4"/>
  <c r="BZ245" i="4"/>
  <c r="BJ245" i="4"/>
  <c r="BL245" i="4"/>
  <c r="BN245" i="4"/>
  <c r="BP245" i="4"/>
  <c r="BR245" i="4"/>
  <c r="BK245" i="4"/>
  <c r="BO245" i="4"/>
  <c r="BM245" i="4"/>
  <c r="BQ245" i="4"/>
  <c r="AV245" i="4"/>
  <c r="AX245" i="4"/>
  <c r="AZ245" i="4"/>
  <c r="BB245" i="4"/>
  <c r="BD245" i="4"/>
  <c r="BF245" i="4"/>
  <c r="BH245" i="4"/>
  <c r="AM245" i="4"/>
  <c r="AO245" i="4"/>
  <c r="AQ245" i="4"/>
  <c r="AS245" i="4"/>
  <c r="AJ245" i="4"/>
  <c r="AF245" i="4"/>
  <c r="AH245" i="4"/>
  <c r="AD245" i="4"/>
  <c r="AB245" i="4"/>
  <c r="AU245" i="4"/>
  <c r="AW245" i="4"/>
  <c r="AY245" i="4"/>
  <c r="BA245" i="4"/>
  <c r="BC245" i="4"/>
  <c r="BE245" i="4"/>
  <c r="BG245" i="4"/>
  <c r="BI245" i="4"/>
  <c r="AL245" i="4"/>
  <c r="AN245" i="4"/>
  <c r="AP245" i="4"/>
  <c r="AR245" i="4"/>
  <c r="AT245" i="4"/>
  <c r="AI245" i="4"/>
  <c r="AK245" i="4"/>
  <c r="AG245" i="4"/>
  <c r="AC245" i="4"/>
  <c r="V245" i="4"/>
  <c r="U245" i="4"/>
  <c r="T245" i="4"/>
  <c r="S245" i="4"/>
  <c r="R245" i="4"/>
  <c r="Q245" i="4"/>
  <c r="N245" i="4"/>
  <c r="M245" i="4"/>
  <c r="AE245" i="4"/>
  <c r="AA245" i="4"/>
  <c r="Z245" i="4"/>
  <c r="Y245" i="4"/>
  <c r="X245" i="4"/>
  <c r="W245" i="4"/>
  <c r="P245" i="4"/>
  <c r="O245" i="4"/>
  <c r="L245" i="4"/>
  <c r="K245" i="4"/>
  <c r="J245" i="4"/>
  <c r="H245" i="4"/>
  <c r="I245" i="4"/>
  <c r="CC250" i="4"/>
  <c r="CE250" i="4"/>
  <c r="CG250" i="4"/>
  <c r="CI250" i="4"/>
  <c r="CB250" i="4"/>
  <c r="CD250" i="4"/>
  <c r="CF250" i="4"/>
  <c r="CH250" i="4"/>
  <c r="CJ250" i="4"/>
  <c r="BT250" i="4"/>
  <c r="BV250" i="4"/>
  <c r="BX250" i="4"/>
  <c r="BZ250" i="4"/>
  <c r="BS250" i="4"/>
  <c r="BU250" i="4"/>
  <c r="BW250" i="4"/>
  <c r="BY250" i="4"/>
  <c r="CA250" i="4"/>
  <c r="BK250" i="4"/>
  <c r="BM250" i="4"/>
  <c r="BO250" i="4"/>
  <c r="BQ250" i="4"/>
  <c r="BJ250" i="4"/>
  <c r="BN250" i="4"/>
  <c r="BR250" i="4"/>
  <c r="BL250" i="4"/>
  <c r="BP250" i="4"/>
  <c r="AU250" i="4"/>
  <c r="AW250" i="4"/>
  <c r="AY250" i="4"/>
  <c r="BA250" i="4"/>
  <c r="BC250" i="4"/>
  <c r="BE250" i="4"/>
  <c r="BG250" i="4"/>
  <c r="BI250" i="4"/>
  <c r="AL250" i="4"/>
  <c r="AN250" i="4"/>
  <c r="AP250" i="4"/>
  <c r="AR250" i="4"/>
  <c r="AT250" i="4"/>
  <c r="AI250" i="4"/>
  <c r="AK250" i="4"/>
  <c r="AG250" i="4"/>
  <c r="AC250" i="4"/>
  <c r="AE250" i="4"/>
  <c r="AV250" i="4"/>
  <c r="AX250" i="4"/>
  <c r="AZ250" i="4"/>
  <c r="BB250" i="4"/>
  <c r="BD250" i="4"/>
  <c r="BF250" i="4"/>
  <c r="BH250" i="4"/>
  <c r="AM250" i="4"/>
  <c r="AO250" i="4"/>
  <c r="AQ250" i="4"/>
  <c r="AS250" i="4"/>
  <c r="AJ250" i="4"/>
  <c r="AF250" i="4"/>
  <c r="AH250" i="4"/>
  <c r="AD250" i="4"/>
  <c r="AA250" i="4"/>
  <c r="Z250" i="4"/>
  <c r="Y250" i="4"/>
  <c r="X250" i="4"/>
  <c r="W250" i="4"/>
  <c r="P250" i="4"/>
  <c r="O250" i="4"/>
  <c r="L250" i="4"/>
  <c r="AB250" i="4"/>
  <c r="V250" i="4"/>
  <c r="U250" i="4"/>
  <c r="T250" i="4"/>
  <c r="S250" i="4"/>
  <c r="R250" i="4"/>
  <c r="Q250" i="4"/>
  <c r="N250" i="4"/>
  <c r="M250" i="4"/>
  <c r="I250" i="4"/>
  <c r="K250" i="4"/>
  <c r="J250" i="4"/>
  <c r="H250" i="4"/>
  <c r="G252" i="4"/>
  <c r="G250" i="4"/>
  <c r="G244" i="4"/>
  <c r="G238" i="4"/>
  <c r="G224" i="4"/>
  <c r="G218" i="4"/>
  <c r="G216" i="4"/>
  <c r="G214" i="4"/>
  <c r="G204" i="4"/>
  <c r="G196" i="4"/>
  <c r="G194" i="4"/>
  <c r="G166" i="4"/>
  <c r="G130" i="4"/>
  <c r="G128" i="4"/>
  <c r="G118" i="4"/>
  <c r="G108" i="4"/>
  <c r="G106" i="4"/>
  <c r="G104" i="4"/>
  <c r="G102" i="4"/>
  <c r="G100" i="4"/>
  <c r="G98" i="4"/>
  <c r="G68" i="4"/>
  <c r="G62" i="4"/>
  <c r="E111" i="4"/>
  <c r="E143" i="4"/>
  <c r="E175" i="4"/>
  <c r="E207" i="4"/>
  <c r="E239" i="4"/>
  <c r="E89" i="4"/>
  <c r="E121" i="4"/>
  <c r="E185" i="4"/>
  <c r="E233" i="4"/>
  <c r="E87" i="4"/>
  <c r="E135" i="4"/>
  <c r="E183" i="4"/>
  <c r="E231" i="4"/>
  <c r="E99" i="4"/>
  <c r="E115" i="4"/>
  <c r="E147" i="4"/>
  <c r="E211" i="4"/>
  <c r="J67" i="3"/>
  <c r="J75" i="3"/>
  <c r="G75" i="3"/>
  <c r="G67" i="3"/>
  <c r="I83" i="3"/>
  <c r="AF252" i="3"/>
  <c r="AG252" i="3"/>
  <c r="AD252" i="3"/>
  <c r="AE252" i="3"/>
  <c r="AC252" i="3"/>
  <c r="AA252" i="3"/>
  <c r="AB252" i="3"/>
  <c r="X252" i="3"/>
  <c r="Y252" i="3"/>
  <c r="Z252" i="3"/>
  <c r="U252" i="3"/>
  <c r="W252" i="3"/>
  <c r="V252" i="3"/>
  <c r="T252" i="3"/>
  <c r="S252" i="3"/>
  <c r="R252" i="3"/>
  <c r="N252" i="3"/>
  <c r="Q252" i="3"/>
  <c r="M252" i="3"/>
  <c r="P252" i="3"/>
  <c r="J252" i="3"/>
  <c r="O252" i="3"/>
  <c r="I252" i="3"/>
  <c r="L252" i="3"/>
  <c r="H252" i="3"/>
  <c r="K252" i="3"/>
  <c r="AF212" i="3"/>
  <c r="AG212" i="3"/>
  <c r="AD212" i="3"/>
  <c r="AE212" i="3"/>
  <c r="AC212" i="3"/>
  <c r="AA212" i="3"/>
  <c r="AB212" i="3"/>
  <c r="X212" i="3"/>
  <c r="W212" i="3"/>
  <c r="Y212" i="3"/>
  <c r="Z212" i="3"/>
  <c r="U212" i="3"/>
  <c r="V212" i="3"/>
  <c r="T212" i="3"/>
  <c r="S212" i="3"/>
  <c r="R212" i="3"/>
  <c r="N212" i="3"/>
  <c r="Q212" i="3"/>
  <c r="M212" i="3"/>
  <c r="P212" i="3"/>
  <c r="J212" i="3"/>
  <c r="I212" i="3"/>
  <c r="L212" i="3"/>
  <c r="H212" i="3"/>
  <c r="O212" i="3"/>
  <c r="K212" i="3"/>
  <c r="AG61" i="3"/>
  <c r="AF61" i="3"/>
  <c r="AE61" i="3"/>
  <c r="AD61" i="3"/>
  <c r="AA61" i="3"/>
  <c r="AC61" i="3"/>
  <c r="Y61" i="3"/>
  <c r="AB61" i="3"/>
  <c r="Z61" i="3"/>
  <c r="X61" i="3"/>
  <c r="V61" i="3"/>
  <c r="W61" i="3"/>
  <c r="U61" i="3"/>
  <c r="S61" i="3"/>
  <c r="R61" i="3"/>
  <c r="T61" i="3"/>
  <c r="O61" i="3"/>
  <c r="N61" i="3"/>
  <c r="Q61" i="3"/>
  <c r="M61" i="3"/>
  <c r="P61" i="3"/>
  <c r="L61" i="3"/>
  <c r="J61" i="3"/>
  <c r="I61" i="3"/>
  <c r="H61" i="3"/>
  <c r="X171" i="3"/>
  <c r="Q188" i="3"/>
  <c r="AG242" i="3"/>
  <c r="AF242" i="3"/>
  <c r="AE242" i="3"/>
  <c r="AC242" i="3"/>
  <c r="AD242" i="3"/>
  <c r="Z242" i="3"/>
  <c r="AA242" i="3"/>
  <c r="Y242" i="3"/>
  <c r="AB242" i="3"/>
  <c r="X242" i="3"/>
  <c r="W242" i="3"/>
  <c r="V242" i="3"/>
  <c r="U242" i="3"/>
  <c r="S242" i="3"/>
  <c r="T242" i="3"/>
  <c r="Q242" i="3"/>
  <c r="M242" i="3"/>
  <c r="P242" i="3"/>
  <c r="O242" i="3"/>
  <c r="N242" i="3"/>
  <c r="I242" i="3"/>
  <c r="L242" i="3"/>
  <c r="H242" i="3"/>
  <c r="R242" i="3"/>
  <c r="K242" i="3"/>
  <c r="J242" i="3"/>
  <c r="AG160" i="3"/>
  <c r="AE160" i="3"/>
  <c r="AF160" i="3"/>
  <c r="AD160" i="3"/>
  <c r="AC160" i="3"/>
  <c r="Z160" i="3"/>
  <c r="AB160" i="3"/>
  <c r="Y160" i="3"/>
  <c r="AA160" i="3"/>
  <c r="X160" i="3"/>
  <c r="W160" i="3"/>
  <c r="V160" i="3"/>
  <c r="U160" i="3"/>
  <c r="R160" i="3"/>
  <c r="T160" i="3"/>
  <c r="S160" i="3"/>
  <c r="P160" i="3"/>
  <c r="O160" i="3"/>
  <c r="N160" i="3"/>
  <c r="Q160" i="3"/>
  <c r="L160" i="3"/>
  <c r="H160" i="3"/>
  <c r="K160" i="3"/>
  <c r="J160" i="3"/>
  <c r="M160" i="3"/>
  <c r="I160" i="3"/>
  <c r="I102" i="3"/>
  <c r="G160" i="3"/>
  <c r="K61" i="3"/>
  <c r="V131" i="3"/>
  <c r="AF243" i="3"/>
  <c r="AG243" i="3"/>
  <c r="AE243" i="3"/>
  <c r="AC243" i="3"/>
  <c r="AB243" i="3"/>
  <c r="AA243" i="3"/>
  <c r="AD243" i="3"/>
  <c r="Z243" i="3"/>
  <c r="Y243" i="3"/>
  <c r="X243" i="3"/>
  <c r="U243" i="3"/>
  <c r="W243" i="3"/>
  <c r="V243" i="3"/>
  <c r="T243" i="3"/>
  <c r="S243" i="3"/>
  <c r="R243" i="3"/>
  <c r="N243" i="3"/>
  <c r="Q243" i="3"/>
  <c r="M243" i="3"/>
  <c r="P243" i="3"/>
  <c r="O243" i="3"/>
  <c r="I243" i="3"/>
  <c r="L243" i="3"/>
  <c r="H243" i="3"/>
  <c r="K243" i="3"/>
  <c r="AF251" i="3"/>
  <c r="AG251" i="3"/>
  <c r="AC251" i="3"/>
  <c r="AB251" i="3"/>
  <c r="AE251" i="3"/>
  <c r="AA251" i="3"/>
  <c r="AD251" i="3"/>
  <c r="Z251" i="3"/>
  <c r="Y251" i="3"/>
  <c r="X251" i="3"/>
  <c r="U251" i="3"/>
  <c r="W251" i="3"/>
  <c r="V251" i="3"/>
  <c r="T251" i="3"/>
  <c r="S251" i="3"/>
  <c r="R251" i="3"/>
  <c r="N251" i="3"/>
  <c r="Q251" i="3"/>
  <c r="M251" i="3"/>
  <c r="P251" i="3"/>
  <c r="O251" i="3"/>
  <c r="I251" i="3"/>
  <c r="L251" i="3"/>
  <c r="H251" i="3"/>
  <c r="K251" i="3"/>
  <c r="J251" i="3"/>
  <c r="AF60" i="3"/>
  <c r="AE60" i="3"/>
  <c r="AG60" i="3"/>
  <c r="AD60" i="3"/>
  <c r="AB60" i="3"/>
  <c r="AC60" i="3"/>
  <c r="X60" i="3"/>
  <c r="AA60" i="3"/>
  <c r="W60" i="3"/>
  <c r="Y60" i="3"/>
  <c r="Z60" i="3"/>
  <c r="U60" i="3"/>
  <c r="V60" i="3"/>
  <c r="S60" i="3"/>
  <c r="R60" i="3"/>
  <c r="T60" i="3"/>
  <c r="N60" i="3"/>
  <c r="Q60" i="3"/>
  <c r="M60" i="3"/>
  <c r="P60" i="3"/>
  <c r="L60" i="3"/>
  <c r="J60" i="3"/>
  <c r="O60" i="3"/>
  <c r="I60" i="3"/>
  <c r="H60" i="3"/>
  <c r="K60" i="3"/>
  <c r="AF67" i="3"/>
  <c r="AE67" i="3"/>
  <c r="AG67" i="3"/>
  <c r="AD67" i="3"/>
  <c r="AC67" i="3"/>
  <c r="AA67" i="3"/>
  <c r="AB67" i="3"/>
  <c r="Z67" i="3"/>
  <c r="W67" i="3"/>
  <c r="Y67" i="3"/>
  <c r="X67" i="3"/>
  <c r="U67" i="3"/>
  <c r="T67" i="3"/>
  <c r="V67" i="3"/>
  <c r="S67" i="3"/>
  <c r="R67" i="3"/>
  <c r="N67" i="3"/>
  <c r="Q67" i="3"/>
  <c r="M67" i="3"/>
  <c r="P67" i="3"/>
  <c r="O67" i="3"/>
  <c r="I67" i="3"/>
  <c r="H67" i="3"/>
  <c r="L67" i="3"/>
  <c r="K67" i="3"/>
  <c r="AF75" i="3"/>
  <c r="AE75" i="3"/>
  <c r="AG75" i="3"/>
  <c r="AD75" i="3"/>
  <c r="AC75" i="3"/>
  <c r="AB75" i="3"/>
  <c r="AA75" i="3"/>
  <c r="Z75" i="3"/>
  <c r="W75" i="3"/>
  <c r="Y75" i="3"/>
  <c r="X75" i="3"/>
  <c r="U75" i="3"/>
  <c r="T75" i="3"/>
  <c r="V75" i="3"/>
  <c r="S75" i="3"/>
  <c r="R75" i="3"/>
  <c r="N75" i="3"/>
  <c r="Q75" i="3"/>
  <c r="M75" i="3"/>
  <c r="P75" i="3"/>
  <c r="O75" i="3"/>
  <c r="I75" i="3"/>
  <c r="L75" i="3"/>
  <c r="H75" i="3"/>
  <c r="K75" i="3"/>
  <c r="N194" i="3"/>
  <c r="N214" i="3"/>
  <c r="Z219" i="3"/>
  <c r="G61" i="3"/>
  <c r="J243" i="3"/>
  <c r="K98" i="3"/>
  <c r="O217" i="3"/>
  <c r="G212" i="3"/>
  <c r="G188" i="3"/>
  <c r="G60" i="3"/>
  <c r="J107" i="3"/>
  <c r="E225" i="2"/>
  <c r="E209" i="2"/>
  <c r="E177" i="2"/>
  <c r="E233" i="2"/>
  <c r="E185" i="2"/>
  <c r="E161" i="2"/>
  <c r="E145" i="2"/>
  <c r="E200" i="2"/>
  <c r="E184" i="2"/>
  <c r="E168" i="2"/>
  <c r="E152" i="2"/>
  <c r="E120" i="2"/>
  <c r="E72" i="2"/>
  <c r="E64" i="2"/>
  <c r="E56" i="2"/>
  <c r="E40" i="2"/>
  <c r="E24" i="2"/>
  <c r="E16" i="2"/>
  <c r="E239" i="2"/>
  <c r="E231" i="2"/>
  <c r="E207" i="2"/>
  <c r="E183" i="2"/>
  <c r="E175" i="2"/>
  <c r="E143" i="2"/>
  <c r="E135" i="2"/>
  <c r="E246" i="2"/>
  <c r="E220" i="2"/>
  <c r="E172" i="2"/>
  <c r="E156" i="2"/>
  <c r="E148" i="2"/>
  <c r="E140" i="2"/>
  <c r="E132" i="2"/>
  <c r="E124" i="2"/>
  <c r="E92" i="2"/>
  <c r="E84" i="2"/>
  <c r="E76" i="2"/>
  <c r="E52" i="2"/>
  <c r="E44" i="2"/>
  <c r="E36" i="2"/>
  <c r="E20" i="2"/>
  <c r="E12" i="2"/>
  <c r="E4" i="2"/>
  <c r="E198" i="2"/>
  <c r="E134" i="2"/>
  <c r="E111" i="2"/>
  <c r="E87" i="2"/>
  <c r="E79" i="2"/>
  <c r="E71" i="2"/>
  <c r="E63" i="2"/>
  <c r="E55" i="2"/>
  <c r="E47" i="2"/>
  <c r="E39" i="2"/>
  <c r="E31" i="2"/>
  <c r="E23" i="2"/>
  <c r="E15" i="2"/>
  <c r="E7" i="2"/>
  <c r="E182" i="2"/>
  <c r="E150" i="2"/>
  <c r="E142" i="2"/>
  <c r="E94" i="2"/>
  <c r="E54" i="2"/>
  <c r="E30" i="2"/>
  <c r="E14" i="2"/>
  <c r="E174" i="2"/>
  <c r="E121" i="2"/>
  <c r="E113" i="2"/>
  <c r="E89" i="2"/>
  <c r="E57" i="2"/>
  <c r="E49" i="2"/>
  <c r="E41" i="2"/>
  <c r="E25" i="2"/>
  <c r="E17" i="2"/>
  <c r="E253" i="2"/>
  <c r="E229" i="2"/>
  <c r="E205" i="2"/>
  <c r="E189" i="2"/>
  <c r="E181" i="2"/>
  <c r="E157" i="2"/>
  <c r="E109" i="2"/>
  <c r="E93" i="2"/>
  <c r="E85" i="2"/>
  <c r="E69" i="2"/>
  <c r="E45" i="2"/>
  <c r="E37" i="2"/>
  <c r="E21" i="2"/>
  <c r="E5" i="2"/>
  <c r="AE82" i="3" l="1"/>
  <c r="P238" i="3"/>
  <c r="P29" i="3"/>
  <c r="AG10" i="3"/>
  <c r="AD28" i="3"/>
  <c r="X116" i="3"/>
  <c r="G164" i="3"/>
  <c r="AE214" i="3"/>
  <c r="U97" i="3"/>
  <c r="G108" i="3"/>
  <c r="Q139" i="3"/>
  <c r="R166" i="3"/>
  <c r="AA180" i="3"/>
  <c r="AF219" i="3"/>
  <c r="AA100" i="3"/>
  <c r="AF249" i="3"/>
  <c r="N129" i="3"/>
  <c r="W29" i="3"/>
  <c r="R102" i="3"/>
  <c r="Y188" i="3"/>
  <c r="H255" i="2"/>
  <c r="J255" i="2"/>
  <c r="K255" i="2"/>
  <c r="O255" i="2"/>
  <c r="G255" i="2"/>
  <c r="I255" i="2"/>
  <c r="L255" i="2"/>
  <c r="M255" i="2"/>
  <c r="N255" i="2"/>
  <c r="T98" i="3"/>
  <c r="Z117" i="3"/>
  <c r="AD130" i="3"/>
  <c r="AA238" i="3"/>
  <c r="J249" i="3"/>
  <c r="M217" i="3"/>
  <c r="W98" i="3"/>
  <c r="Z194" i="3"/>
  <c r="AB117" i="3"/>
  <c r="K218" i="3"/>
  <c r="AG171" i="3"/>
  <c r="T83" i="3"/>
  <c r="Q62" i="4"/>
  <c r="H62" i="4"/>
  <c r="Y62" i="4"/>
  <c r="AO62" i="4"/>
  <c r="AR62" i="4"/>
  <c r="AZ62" i="4"/>
  <c r="AY62" i="4"/>
  <c r="BQ62" i="4"/>
  <c r="CA62" i="4"/>
  <c r="CF62" i="4"/>
  <c r="K61" i="4"/>
  <c r="I61" i="4"/>
  <c r="V61" i="4"/>
  <c r="AP61" i="4"/>
  <c r="AJ61" i="4"/>
  <c r="BC61" i="4"/>
  <c r="BB61" i="4"/>
  <c r="BR61" i="4"/>
  <c r="BW61" i="4"/>
  <c r="CG61" i="4"/>
  <c r="H35" i="4"/>
  <c r="Y35" i="4"/>
  <c r="U35" i="4"/>
  <c r="AR35" i="4"/>
  <c r="AF35" i="4"/>
  <c r="AX35" i="4"/>
  <c r="BG35" i="4"/>
  <c r="BK35" i="4"/>
  <c r="BW35" i="4"/>
  <c r="CJ35" i="4"/>
  <c r="Y29" i="4"/>
  <c r="T29" i="4"/>
  <c r="AT29" i="4"/>
  <c r="AH29" i="4"/>
  <c r="BD29" i="4"/>
  <c r="BI29" i="4"/>
  <c r="BQ29" i="4"/>
  <c r="BY29" i="4"/>
  <c r="CJ29" i="4"/>
  <c r="CC29" i="4"/>
  <c r="X11" i="4"/>
  <c r="S11" i="4"/>
  <c r="AI11" i="4"/>
  <c r="AD11" i="4"/>
  <c r="BF11" i="4"/>
  <c r="BM11" i="4"/>
  <c r="AU11" i="4"/>
  <c r="CA11" i="4"/>
  <c r="BT11" i="4"/>
  <c r="CD11" i="4"/>
  <c r="S119" i="3"/>
  <c r="Q218" i="3"/>
  <c r="Z130" i="3"/>
  <c r="V217" i="3"/>
  <c r="M249" i="3"/>
  <c r="AA119" i="3"/>
  <c r="Y228" i="3"/>
  <c r="Z250" i="3"/>
  <c r="W249" i="3"/>
  <c r="AD217" i="3"/>
  <c r="G101" i="3"/>
  <c r="AA103" i="3"/>
  <c r="AF228" i="3"/>
  <c r="Z213" i="3"/>
  <c r="H83" i="4"/>
  <c r="Y83" i="4"/>
  <c r="T83" i="4"/>
  <c r="AT83" i="4"/>
  <c r="AH83" i="4"/>
  <c r="BG83" i="4"/>
  <c r="BF83" i="4"/>
  <c r="BM83" i="4"/>
  <c r="BW83" i="4"/>
  <c r="CI83" i="4"/>
  <c r="CB83" i="4"/>
  <c r="T68" i="4"/>
  <c r="W68" i="4"/>
  <c r="AF68" i="4"/>
  <c r="AG68" i="4"/>
  <c r="BH68" i="4"/>
  <c r="BG68" i="4"/>
  <c r="BP68" i="4"/>
  <c r="BZ68" i="4"/>
  <c r="BS68" i="4"/>
  <c r="CE68" i="4"/>
  <c r="T62" i="4"/>
  <c r="L62" i="4"/>
  <c r="AH62" i="4"/>
  <c r="AC62" i="4"/>
  <c r="AL62" i="4"/>
  <c r="BI62" i="4"/>
  <c r="BR62" i="4"/>
  <c r="BK62" i="4"/>
  <c r="BU62" i="4"/>
  <c r="CG62" i="4"/>
  <c r="P61" i="4"/>
  <c r="Q61" i="4"/>
  <c r="AG61" i="4"/>
  <c r="AA61" i="4"/>
  <c r="AO61" i="4"/>
  <c r="AW61" i="4"/>
  <c r="AV61" i="4"/>
  <c r="BL61" i="4"/>
  <c r="BX61" i="4"/>
  <c r="CH61" i="4"/>
  <c r="L35" i="4"/>
  <c r="N35" i="4"/>
  <c r="AC35" i="4"/>
  <c r="AL35" i="4"/>
  <c r="AQ35" i="4"/>
  <c r="AZ35" i="4"/>
  <c r="BA35" i="4"/>
  <c r="BN35" i="4"/>
  <c r="BZ35" i="4"/>
  <c r="CD35" i="4"/>
  <c r="L29" i="4"/>
  <c r="M29" i="4"/>
  <c r="AE29" i="4"/>
  <c r="AN29" i="4"/>
  <c r="AS29" i="4"/>
  <c r="BF29" i="4"/>
  <c r="BC29" i="4"/>
  <c r="BP29" i="4"/>
  <c r="BS29" i="4"/>
  <c r="CD29" i="4"/>
  <c r="K11" i="4"/>
  <c r="I11" i="4"/>
  <c r="V11" i="4"/>
  <c r="AP11" i="4"/>
  <c r="AJ11" i="4"/>
  <c r="BH11" i="4"/>
  <c r="BE11" i="4"/>
  <c r="BR11" i="4"/>
  <c r="BU11" i="4"/>
  <c r="CE11" i="4"/>
  <c r="H223" i="3"/>
  <c r="G242" i="3"/>
  <c r="O249" i="3"/>
  <c r="Q250" i="3"/>
  <c r="R11" i="3"/>
  <c r="Y217" i="3"/>
  <c r="O213" i="3"/>
  <c r="Y249" i="3"/>
  <c r="AE217" i="3"/>
  <c r="G213" i="3"/>
  <c r="K82" i="3"/>
  <c r="AG223" i="3"/>
  <c r="P118" i="3"/>
  <c r="J83" i="4"/>
  <c r="Z83" i="4"/>
  <c r="U83" i="4"/>
  <c r="AR83" i="4"/>
  <c r="AF83" i="4"/>
  <c r="BE83" i="4"/>
  <c r="BD83" i="4"/>
  <c r="BK83" i="4"/>
  <c r="BS83" i="4"/>
  <c r="H68" i="4"/>
  <c r="U68" i="4"/>
  <c r="X68" i="4"/>
  <c r="AJ68" i="4"/>
  <c r="AK68" i="4"/>
  <c r="BF68" i="4"/>
  <c r="BE68" i="4"/>
  <c r="BN68" i="4"/>
  <c r="BV68" i="4"/>
  <c r="CJ68" i="4"/>
  <c r="U62" i="4"/>
  <c r="O62" i="4"/>
  <c r="AF62" i="4"/>
  <c r="AG62" i="4"/>
  <c r="BH62" i="4"/>
  <c r="BG62" i="4"/>
  <c r="BP62" i="4"/>
  <c r="BX62" i="4"/>
  <c r="BS62" i="4"/>
  <c r="W61" i="4"/>
  <c r="R61" i="4"/>
  <c r="AK61" i="4"/>
  <c r="AB61" i="4"/>
  <c r="AM61" i="4"/>
  <c r="AU61" i="4"/>
  <c r="BQ61" i="4"/>
  <c r="BJ61" i="4"/>
  <c r="BV61" i="4"/>
  <c r="O35" i="4"/>
  <c r="Q35" i="4"/>
  <c r="AG35" i="4"/>
  <c r="AA35" i="4"/>
  <c r="AO35" i="4"/>
  <c r="AV35" i="4"/>
  <c r="BL35" i="4"/>
  <c r="BX35" i="4"/>
  <c r="O29" i="4"/>
  <c r="N29" i="4"/>
  <c r="AC29" i="4"/>
  <c r="AL29" i="4"/>
  <c r="AQ29" i="4"/>
  <c r="BB29" i="4"/>
  <c r="BA29" i="4"/>
  <c r="BN29" i="4"/>
  <c r="BZ29" i="4"/>
  <c r="L11" i="4"/>
  <c r="M11" i="4"/>
  <c r="AE11" i="4"/>
  <c r="AN11" i="4"/>
  <c r="AS11" i="4"/>
  <c r="BD11" i="4"/>
  <c r="BC11" i="4"/>
  <c r="BS11" i="4"/>
  <c r="X127" i="3"/>
  <c r="Z236" i="3"/>
  <c r="Y155" i="3"/>
  <c r="L223" i="3"/>
  <c r="P249" i="3"/>
  <c r="X249" i="3"/>
  <c r="AE249" i="3"/>
  <c r="P217" i="3"/>
  <c r="W217" i="3"/>
  <c r="AG217" i="3"/>
  <c r="AD165" i="3"/>
  <c r="G117" i="3"/>
  <c r="H214" i="3"/>
  <c r="X119" i="3"/>
  <c r="AG103" i="3"/>
  <c r="I238" i="3"/>
  <c r="M131" i="3"/>
  <c r="AG117" i="3"/>
  <c r="AD228" i="3"/>
  <c r="R29" i="3"/>
  <c r="L218" i="3"/>
  <c r="S213" i="3"/>
  <c r="I118" i="3"/>
  <c r="N102" i="3"/>
  <c r="S250" i="3"/>
  <c r="U188" i="3"/>
  <c r="AC171" i="3"/>
  <c r="P83" i="3"/>
  <c r="H11" i="3"/>
  <c r="J171" i="3"/>
  <c r="K249" i="3"/>
  <c r="Q249" i="3"/>
  <c r="Z249" i="3"/>
  <c r="J217" i="3"/>
  <c r="Q217" i="3"/>
  <c r="X217" i="3"/>
  <c r="AF217" i="3"/>
  <c r="U129" i="3"/>
  <c r="O100" i="3"/>
  <c r="I236" i="3"/>
  <c r="X214" i="3"/>
  <c r="L155" i="3"/>
  <c r="AG119" i="3"/>
  <c r="P82" i="3"/>
  <c r="O238" i="3"/>
  <c r="X131" i="3"/>
  <c r="H117" i="3"/>
  <c r="G119" i="3"/>
  <c r="N223" i="3"/>
  <c r="AA29" i="3"/>
  <c r="S218" i="3"/>
  <c r="AA213" i="3"/>
  <c r="R118" i="3"/>
  <c r="Z102" i="3"/>
  <c r="AA250" i="3"/>
  <c r="AE188" i="3"/>
  <c r="H130" i="3"/>
  <c r="U83" i="3"/>
  <c r="AE11" i="3"/>
  <c r="H119" i="3"/>
  <c r="H249" i="3"/>
  <c r="T249" i="3"/>
  <c r="AB249" i="3"/>
  <c r="K217" i="3"/>
  <c r="T217" i="3"/>
  <c r="Z217" i="3"/>
  <c r="Q197" i="3"/>
  <c r="AD129" i="3"/>
  <c r="L103" i="3"/>
  <c r="S236" i="3"/>
  <c r="AF214" i="3"/>
  <c r="S155" i="3"/>
  <c r="J103" i="3"/>
  <c r="Q82" i="3"/>
  <c r="U238" i="3"/>
  <c r="AC131" i="3"/>
  <c r="I117" i="3"/>
  <c r="K228" i="3"/>
  <c r="O223" i="3"/>
  <c r="AD29" i="3"/>
  <c r="W218" i="3"/>
  <c r="AG213" i="3"/>
  <c r="S118" i="3"/>
  <c r="Y102" i="3"/>
  <c r="AG188" i="3"/>
  <c r="N130" i="3"/>
  <c r="AA83" i="3"/>
  <c r="G250" i="3"/>
  <c r="L249" i="3"/>
  <c r="S249" i="3"/>
  <c r="AD249" i="3"/>
  <c r="H217" i="3"/>
  <c r="R217" i="3"/>
  <c r="AB217" i="3"/>
  <c r="V197" i="3"/>
  <c r="L106" i="3"/>
  <c r="P204" i="3"/>
  <c r="AB155" i="3"/>
  <c r="P103" i="3"/>
  <c r="W82" i="3"/>
  <c r="Z238" i="3"/>
  <c r="AG131" i="3"/>
  <c r="O117" i="3"/>
  <c r="M228" i="3"/>
  <c r="W223" i="3"/>
  <c r="Z218" i="3"/>
  <c r="Y118" i="3"/>
  <c r="AF102" i="3"/>
  <c r="O171" i="3"/>
  <c r="T130" i="3"/>
  <c r="G68" i="3"/>
  <c r="N249" i="3"/>
  <c r="U249" i="3"/>
  <c r="AC249" i="3"/>
  <c r="L217" i="3"/>
  <c r="S217" i="3"/>
  <c r="AC217" i="3"/>
  <c r="S106" i="3"/>
  <c r="G29" i="3"/>
  <c r="H219" i="3"/>
  <c r="U204" i="3"/>
  <c r="J119" i="3"/>
  <c r="T103" i="3"/>
  <c r="Y82" i="3"/>
  <c r="G102" i="3"/>
  <c r="S117" i="3"/>
  <c r="N228" i="3"/>
  <c r="X223" i="3"/>
  <c r="H213" i="3"/>
  <c r="AD118" i="3"/>
  <c r="R250" i="3"/>
  <c r="K188" i="3"/>
  <c r="M171" i="3"/>
  <c r="S130" i="3"/>
  <c r="J68" i="3"/>
  <c r="R249" i="3"/>
  <c r="V249" i="3"/>
  <c r="AA249" i="3"/>
  <c r="N217" i="3"/>
  <c r="U217" i="3"/>
  <c r="M165" i="3"/>
  <c r="AB106" i="3"/>
  <c r="R219" i="3"/>
  <c r="AC204" i="3"/>
  <c r="P119" i="3"/>
  <c r="X103" i="3"/>
  <c r="H102" i="3"/>
  <c r="Y68" i="3"/>
  <c r="U196" i="3"/>
  <c r="M195" i="3"/>
  <c r="N197" i="3"/>
  <c r="X197" i="3"/>
  <c r="AF197" i="3"/>
  <c r="Q165" i="3"/>
  <c r="W165" i="3"/>
  <c r="AE165" i="3"/>
  <c r="O129" i="3"/>
  <c r="V129" i="3"/>
  <c r="AA129" i="3"/>
  <c r="I106" i="3"/>
  <c r="U106" i="3"/>
  <c r="AC106" i="3"/>
  <c r="H98" i="3"/>
  <c r="R98" i="3"/>
  <c r="Y98" i="3"/>
  <c r="J236" i="3"/>
  <c r="T236" i="3"/>
  <c r="AA236" i="3"/>
  <c r="L219" i="3"/>
  <c r="S219" i="3"/>
  <c r="AE219" i="3"/>
  <c r="L214" i="3"/>
  <c r="O214" i="3"/>
  <c r="Z214" i="3"/>
  <c r="AG214" i="3"/>
  <c r="M204" i="3"/>
  <c r="Z204" i="3"/>
  <c r="AG204" i="3"/>
  <c r="I194" i="3"/>
  <c r="U194" i="3"/>
  <c r="AD194" i="3"/>
  <c r="I155" i="3"/>
  <c r="T155" i="3"/>
  <c r="AF155" i="3"/>
  <c r="H10" i="3"/>
  <c r="G166" i="3"/>
  <c r="AE139" i="3"/>
  <c r="M116" i="3"/>
  <c r="AE62" i="3"/>
  <c r="M62" i="3"/>
  <c r="G62" i="3"/>
  <c r="H62" i="3"/>
  <c r="AC62" i="3"/>
  <c r="AD62" i="3"/>
  <c r="W62" i="3"/>
  <c r="G34" i="3"/>
  <c r="P34" i="3"/>
  <c r="L34" i="3"/>
  <c r="AF34" i="3"/>
  <c r="I34" i="3"/>
  <c r="AC34" i="3"/>
  <c r="AB34" i="3"/>
  <c r="T34" i="3"/>
  <c r="K245" i="3"/>
  <c r="W245" i="3"/>
  <c r="G180" i="3"/>
  <c r="AG197" i="3"/>
  <c r="V106" i="3"/>
  <c r="Z98" i="3"/>
  <c r="I219" i="3"/>
  <c r="AB214" i="3"/>
  <c r="Q204" i="3"/>
  <c r="AD204" i="3"/>
  <c r="O194" i="3"/>
  <c r="AC194" i="3"/>
  <c r="Q10" i="3"/>
  <c r="I167" i="3"/>
  <c r="U116" i="3"/>
  <c r="N62" i="3"/>
  <c r="N237" i="3"/>
  <c r="G10" i="3"/>
  <c r="G11" i="3"/>
  <c r="AG11" i="3"/>
  <c r="Y11" i="3"/>
  <c r="M11" i="3"/>
  <c r="AB10" i="3"/>
  <c r="K10" i="3"/>
  <c r="AC11" i="3"/>
  <c r="U11" i="3"/>
  <c r="P11" i="3"/>
  <c r="Z10" i="3"/>
  <c r="AD11" i="3"/>
  <c r="T11" i="3"/>
  <c r="L11" i="3"/>
  <c r="W10" i="3"/>
  <c r="AB11" i="3"/>
  <c r="V11" i="3"/>
  <c r="O11" i="3"/>
  <c r="U10" i="3"/>
  <c r="AA11" i="3"/>
  <c r="S11" i="3"/>
  <c r="I11" i="3"/>
  <c r="S10" i="3"/>
  <c r="AF11" i="3"/>
  <c r="X11" i="3"/>
  <c r="N11" i="3"/>
  <c r="K11" i="3"/>
  <c r="I10" i="3"/>
  <c r="Y29" i="3"/>
  <c r="T29" i="3"/>
  <c r="I29" i="3"/>
  <c r="AA28" i="3"/>
  <c r="K29" i="3"/>
  <c r="AG29" i="3"/>
  <c r="Z29" i="3"/>
  <c r="O29" i="3"/>
  <c r="H29" i="3"/>
  <c r="W28" i="3"/>
  <c r="AF29" i="3"/>
  <c r="X29" i="3"/>
  <c r="N29" i="3"/>
  <c r="T28" i="3"/>
  <c r="AC29" i="3"/>
  <c r="V29" i="3"/>
  <c r="Q29" i="3"/>
  <c r="N28" i="3"/>
  <c r="AE29" i="3"/>
  <c r="U29" i="3"/>
  <c r="M29" i="3"/>
  <c r="M28" i="3"/>
  <c r="AB29" i="3"/>
  <c r="S29" i="3"/>
  <c r="L29" i="3"/>
  <c r="AE28" i="3"/>
  <c r="O28" i="3"/>
  <c r="AF68" i="3"/>
  <c r="Z68" i="3"/>
  <c r="N68" i="3"/>
  <c r="H68" i="3"/>
  <c r="AD68" i="3"/>
  <c r="W68" i="3"/>
  <c r="Q68" i="3"/>
  <c r="K68" i="3"/>
  <c r="AG68" i="3"/>
  <c r="AA68" i="3"/>
  <c r="M68" i="3"/>
  <c r="AB68" i="3"/>
  <c r="U68" i="3"/>
  <c r="P68" i="3"/>
  <c r="AC68" i="3"/>
  <c r="V68" i="3"/>
  <c r="L68" i="3"/>
  <c r="X68" i="3"/>
  <c r="S68" i="3"/>
  <c r="I68" i="3"/>
  <c r="AD82" i="3"/>
  <c r="V82" i="3"/>
  <c r="O82" i="3"/>
  <c r="AC82" i="3"/>
  <c r="U82" i="3"/>
  <c r="I82" i="3"/>
  <c r="AB82" i="3"/>
  <c r="S82" i="3"/>
  <c r="L82" i="3"/>
  <c r="AA82" i="3"/>
  <c r="R82" i="3"/>
  <c r="H82" i="3"/>
  <c r="Z82" i="3"/>
  <c r="T82" i="3"/>
  <c r="N82" i="3"/>
  <c r="G82" i="3"/>
  <c r="AG82" i="3"/>
  <c r="X82" i="3"/>
  <c r="M82" i="3"/>
  <c r="J82" i="3"/>
  <c r="AB108" i="3"/>
  <c r="L108" i="3"/>
  <c r="AC108" i="3"/>
  <c r="Z108" i="3"/>
  <c r="V108" i="3"/>
  <c r="T108" i="3"/>
  <c r="O108" i="3"/>
  <c r="P116" i="3"/>
  <c r="AE116" i="3"/>
  <c r="O116" i="3"/>
  <c r="AD116" i="3"/>
  <c r="AC116" i="3"/>
  <c r="AA116" i="3"/>
  <c r="T116" i="3"/>
  <c r="I128" i="3"/>
  <c r="O164" i="3"/>
  <c r="AD180" i="3"/>
  <c r="AG218" i="3"/>
  <c r="AB218" i="3"/>
  <c r="M218" i="3"/>
  <c r="N218" i="3"/>
  <c r="AF218" i="3"/>
  <c r="AA218" i="3"/>
  <c r="P218" i="3"/>
  <c r="J218" i="3"/>
  <c r="AC218" i="3"/>
  <c r="X218" i="3"/>
  <c r="O218" i="3"/>
  <c r="G217" i="3"/>
  <c r="AE218" i="3"/>
  <c r="V218" i="3"/>
  <c r="R218" i="3"/>
  <c r="AD218" i="3"/>
  <c r="U218" i="3"/>
  <c r="I218" i="3"/>
  <c r="I216" i="3"/>
  <c r="I217" i="3"/>
  <c r="Y218" i="3"/>
  <c r="T218" i="3"/>
  <c r="H218" i="3"/>
  <c r="AE228" i="3"/>
  <c r="U228" i="3"/>
  <c r="P228" i="3"/>
  <c r="AC228" i="3"/>
  <c r="V228" i="3"/>
  <c r="J228" i="3"/>
  <c r="O228" i="3"/>
  <c r="AA228" i="3"/>
  <c r="T228" i="3"/>
  <c r="I228" i="3"/>
  <c r="G228" i="3"/>
  <c r="AB228" i="3"/>
  <c r="S228" i="3"/>
  <c r="L228" i="3"/>
  <c r="X228" i="3"/>
  <c r="R228" i="3"/>
  <c r="H228" i="3"/>
  <c r="AG228" i="3"/>
  <c r="Z228" i="3"/>
  <c r="Q228" i="3"/>
  <c r="AG250" i="3"/>
  <c r="Y250" i="3"/>
  <c r="M250" i="3"/>
  <c r="K250" i="3"/>
  <c r="AF250" i="3"/>
  <c r="X250" i="3"/>
  <c r="P250" i="3"/>
  <c r="J250" i="3"/>
  <c r="AD250" i="3"/>
  <c r="W250" i="3"/>
  <c r="O250" i="3"/>
  <c r="G249" i="3"/>
  <c r="I249" i="3"/>
  <c r="AC250" i="3"/>
  <c r="V250" i="3"/>
  <c r="I250" i="3"/>
  <c r="AE250" i="3"/>
  <c r="U250" i="3"/>
  <c r="N250" i="3"/>
  <c r="AB250" i="3"/>
  <c r="T250" i="3"/>
  <c r="H250" i="3"/>
  <c r="AB83" i="3"/>
  <c r="S83" i="3"/>
  <c r="L83" i="3"/>
  <c r="Z83" i="3"/>
  <c r="R83" i="3"/>
  <c r="H83" i="3"/>
  <c r="AF83" i="3"/>
  <c r="X83" i="3"/>
  <c r="N83" i="3"/>
  <c r="K83" i="3"/>
  <c r="AE83" i="3"/>
  <c r="W83" i="3"/>
  <c r="Q83" i="3"/>
  <c r="AG83" i="3"/>
  <c r="Y83" i="3"/>
  <c r="M83" i="3"/>
  <c r="J83" i="3"/>
  <c r="AC83" i="3"/>
  <c r="V83" i="3"/>
  <c r="O83" i="3"/>
  <c r="AE102" i="3"/>
  <c r="W102" i="3"/>
  <c r="Q102" i="3"/>
  <c r="AE103" i="3"/>
  <c r="W103" i="3"/>
  <c r="O103" i="3"/>
  <c r="AC102" i="3"/>
  <c r="V102" i="3"/>
  <c r="M102" i="3"/>
  <c r="AD103" i="3"/>
  <c r="Z103" i="3"/>
  <c r="N103" i="3"/>
  <c r="H103" i="3"/>
  <c r="AB102" i="3"/>
  <c r="U102" i="3"/>
  <c r="P102" i="3"/>
  <c r="U101" i="3"/>
  <c r="AF103" i="3"/>
  <c r="V103" i="3"/>
  <c r="Q103" i="3"/>
  <c r="AD102" i="3"/>
  <c r="T102" i="3"/>
  <c r="K102" i="3"/>
  <c r="T101" i="3"/>
  <c r="AC103" i="3"/>
  <c r="R103" i="3"/>
  <c r="M103" i="3"/>
  <c r="AA102" i="3"/>
  <c r="S102" i="3"/>
  <c r="J102" i="3"/>
  <c r="R101" i="3"/>
  <c r="AB103" i="3"/>
  <c r="U103" i="3"/>
  <c r="K103" i="3"/>
  <c r="AG102" i="3"/>
  <c r="X102" i="3"/>
  <c r="O102" i="3"/>
  <c r="L102" i="3"/>
  <c r="L101" i="3"/>
  <c r="Y103" i="3"/>
  <c r="S103" i="3"/>
  <c r="I103" i="3"/>
  <c r="L119" i="3"/>
  <c r="AG118" i="3"/>
  <c r="X118" i="3"/>
  <c r="O118" i="3"/>
  <c r="L118" i="3"/>
  <c r="AF117" i="3"/>
  <c r="X117" i="3"/>
  <c r="N117" i="3"/>
  <c r="AE119" i="3"/>
  <c r="Z119" i="3"/>
  <c r="O119" i="3"/>
  <c r="AF118" i="3"/>
  <c r="Z118" i="3"/>
  <c r="N118" i="3"/>
  <c r="H118" i="3"/>
  <c r="AE117" i="3"/>
  <c r="V117" i="3"/>
  <c r="Q117" i="3"/>
  <c r="AD119" i="3"/>
  <c r="W119" i="3"/>
  <c r="N119" i="3"/>
  <c r="AE118" i="3"/>
  <c r="V118" i="3"/>
  <c r="Q118" i="3"/>
  <c r="AD117" i="3"/>
  <c r="U117" i="3"/>
  <c r="M117" i="3"/>
  <c r="AF119" i="3"/>
  <c r="V119" i="3"/>
  <c r="Q119" i="3"/>
  <c r="AC118" i="3"/>
  <c r="W118" i="3"/>
  <c r="M118" i="3"/>
  <c r="AC117" i="3"/>
  <c r="W117" i="3"/>
  <c r="P117" i="3"/>
  <c r="K117" i="3"/>
  <c r="AC119" i="3"/>
  <c r="R119" i="3"/>
  <c r="M119" i="3"/>
  <c r="AB118" i="3"/>
  <c r="T118" i="3"/>
  <c r="K118" i="3"/>
  <c r="AA117" i="3"/>
  <c r="T117" i="3"/>
  <c r="J117" i="3"/>
  <c r="AB119" i="3"/>
  <c r="T119" i="3"/>
  <c r="K119" i="3"/>
  <c r="AA118" i="3"/>
  <c r="U118" i="3"/>
  <c r="J118" i="3"/>
  <c r="Y117" i="3"/>
  <c r="R117" i="3"/>
  <c r="L117" i="3"/>
  <c r="G118" i="3"/>
  <c r="Y119" i="3"/>
  <c r="U119" i="3"/>
  <c r="I119" i="3"/>
  <c r="G131" i="3"/>
  <c r="AE130" i="3"/>
  <c r="Y130" i="3"/>
  <c r="Q130" i="3"/>
  <c r="K130" i="3"/>
  <c r="AB131" i="3"/>
  <c r="T131" i="3"/>
  <c r="I131" i="3"/>
  <c r="AG130" i="3"/>
  <c r="W130" i="3"/>
  <c r="M130" i="3"/>
  <c r="J130" i="3"/>
  <c r="AA131" i="3"/>
  <c r="S131" i="3"/>
  <c r="L131" i="3"/>
  <c r="AF130" i="3"/>
  <c r="X130" i="3"/>
  <c r="P130" i="3"/>
  <c r="Z131" i="3"/>
  <c r="R131" i="3"/>
  <c r="H131" i="3"/>
  <c r="AC130" i="3"/>
  <c r="V130" i="3"/>
  <c r="O130" i="3"/>
  <c r="AF131" i="3"/>
  <c r="W131" i="3"/>
  <c r="N131" i="3"/>
  <c r="K131" i="3"/>
  <c r="J131" i="3"/>
  <c r="AB130" i="3"/>
  <c r="U130" i="3"/>
  <c r="I130" i="3"/>
  <c r="AE131" i="3"/>
  <c r="Y131" i="3"/>
  <c r="Q131" i="3"/>
  <c r="AA130" i="3"/>
  <c r="R130" i="3"/>
  <c r="L130" i="3"/>
  <c r="AD131" i="3"/>
  <c r="U131" i="3"/>
  <c r="P131" i="3"/>
  <c r="W139" i="3"/>
  <c r="K139" i="3"/>
  <c r="Y139" i="3"/>
  <c r="S139" i="3"/>
  <c r="R139" i="3"/>
  <c r="AF139" i="3"/>
  <c r="N139" i="3"/>
  <c r="AB139" i="3"/>
  <c r="L139" i="3"/>
  <c r="U167" i="3"/>
  <c r="AG167" i="3"/>
  <c r="T167" i="3"/>
  <c r="AE167" i="3"/>
  <c r="S167" i="3"/>
  <c r="AB167" i="3"/>
  <c r="P167" i="3"/>
  <c r="AA167" i="3"/>
  <c r="Q167" i="3"/>
  <c r="X167" i="3"/>
  <c r="J167" i="3"/>
  <c r="AC188" i="3"/>
  <c r="V188" i="3"/>
  <c r="J188" i="3"/>
  <c r="AA188" i="3"/>
  <c r="T188" i="3"/>
  <c r="O188" i="3"/>
  <c r="AB188" i="3"/>
  <c r="S188" i="3"/>
  <c r="I188" i="3"/>
  <c r="X188" i="3"/>
  <c r="R188" i="3"/>
  <c r="L188" i="3"/>
  <c r="AF188" i="3"/>
  <c r="W188" i="3"/>
  <c r="N188" i="3"/>
  <c r="H188" i="3"/>
  <c r="AD188" i="3"/>
  <c r="Z188" i="3"/>
  <c r="M188" i="3"/>
  <c r="AF213" i="3"/>
  <c r="X213" i="3"/>
  <c r="N213" i="3"/>
  <c r="AD213" i="3"/>
  <c r="V213" i="3"/>
  <c r="Q213" i="3"/>
  <c r="AE213" i="3"/>
  <c r="W213" i="3"/>
  <c r="M213" i="3"/>
  <c r="AC213" i="3"/>
  <c r="U213" i="3"/>
  <c r="P213" i="3"/>
  <c r="AB213" i="3"/>
  <c r="T213" i="3"/>
  <c r="J213" i="3"/>
  <c r="Y213" i="3"/>
  <c r="R213" i="3"/>
  <c r="L213" i="3"/>
  <c r="AE223" i="3"/>
  <c r="V223" i="3"/>
  <c r="Q223" i="3"/>
  <c r="AB223" i="3"/>
  <c r="U223" i="3"/>
  <c r="M223" i="3"/>
  <c r="AC223" i="3"/>
  <c r="T223" i="3"/>
  <c r="K223" i="3"/>
  <c r="AA223" i="3"/>
  <c r="S223" i="3"/>
  <c r="J223" i="3"/>
  <c r="Y223" i="3"/>
  <c r="P223" i="3"/>
  <c r="I223" i="3"/>
  <c r="AD223" i="3"/>
  <c r="Z223" i="3"/>
  <c r="R223" i="3"/>
  <c r="G223" i="3"/>
  <c r="AG238" i="3"/>
  <c r="X238" i="3"/>
  <c r="R238" i="3"/>
  <c r="L238" i="3"/>
  <c r="AE238" i="3"/>
  <c r="AB238" i="3"/>
  <c r="N238" i="3"/>
  <c r="H238" i="3"/>
  <c r="AC238" i="3"/>
  <c r="W238" i="3"/>
  <c r="Q238" i="3"/>
  <c r="AD238" i="3"/>
  <c r="V238" i="3"/>
  <c r="M238" i="3"/>
  <c r="AF238" i="3"/>
  <c r="T238" i="3"/>
  <c r="K238" i="3"/>
  <c r="G238" i="3"/>
  <c r="Y238" i="3"/>
  <c r="S238" i="3"/>
  <c r="J238" i="3"/>
  <c r="AA171" i="3"/>
  <c r="T171" i="3"/>
  <c r="I171" i="3"/>
  <c r="G171" i="3"/>
  <c r="Z171" i="3"/>
  <c r="S171" i="3"/>
  <c r="L171" i="3"/>
  <c r="AB171" i="3"/>
  <c r="R171" i="3"/>
  <c r="H171" i="3"/>
  <c r="AF171" i="3"/>
  <c r="W171" i="3"/>
  <c r="N171" i="3"/>
  <c r="K171" i="3"/>
  <c r="AE171" i="3"/>
  <c r="Y171" i="3"/>
  <c r="Q171" i="3"/>
  <c r="AD171" i="3"/>
  <c r="U171" i="3"/>
  <c r="P171" i="3"/>
  <c r="H197" i="3"/>
  <c r="N165" i="3"/>
  <c r="AG129" i="3"/>
  <c r="L167" i="3"/>
  <c r="V194" i="3"/>
  <c r="R197" i="3"/>
  <c r="Y197" i="3"/>
  <c r="H165" i="3"/>
  <c r="O165" i="3"/>
  <c r="Z165" i="3"/>
  <c r="AG165" i="3"/>
  <c r="M129" i="3"/>
  <c r="Y129" i="3"/>
  <c r="AF129" i="3"/>
  <c r="P106" i="3"/>
  <c r="X106" i="3"/>
  <c r="AF106" i="3"/>
  <c r="I98" i="3"/>
  <c r="U98" i="3"/>
  <c r="AC98" i="3"/>
  <c r="K237" i="3"/>
  <c r="G237" i="3"/>
  <c r="P236" i="3"/>
  <c r="W236" i="3"/>
  <c r="AE236" i="3"/>
  <c r="O219" i="3"/>
  <c r="V219" i="3"/>
  <c r="AA219" i="3"/>
  <c r="I214" i="3"/>
  <c r="U214" i="3"/>
  <c r="Y214" i="3"/>
  <c r="H204" i="3"/>
  <c r="N204" i="3"/>
  <c r="AA204" i="3"/>
  <c r="AF204" i="3"/>
  <c r="P194" i="3"/>
  <c r="X194" i="3"/>
  <c r="AE194" i="3"/>
  <c r="P155" i="3"/>
  <c r="U155" i="3"/>
  <c r="AE10" i="3"/>
  <c r="K167" i="3"/>
  <c r="J108" i="3"/>
  <c r="Z62" i="3"/>
  <c r="X128" i="3"/>
  <c r="O107" i="3"/>
  <c r="AD195" i="3"/>
  <c r="G138" i="3"/>
  <c r="P129" i="3"/>
  <c r="AD219" i="3"/>
  <c r="Y204" i="3"/>
  <c r="L197" i="3"/>
  <c r="G204" i="3"/>
  <c r="I197" i="3"/>
  <c r="S197" i="3"/>
  <c r="AA197" i="3"/>
  <c r="L165" i="3"/>
  <c r="R165" i="3"/>
  <c r="Y165" i="3"/>
  <c r="J129" i="3"/>
  <c r="Q129" i="3"/>
  <c r="X129" i="3"/>
  <c r="AE129" i="3"/>
  <c r="M106" i="3"/>
  <c r="W106" i="3"/>
  <c r="AG106" i="3"/>
  <c r="O98" i="3"/>
  <c r="V98" i="3"/>
  <c r="AD98" i="3"/>
  <c r="G245" i="3"/>
  <c r="M236" i="3"/>
  <c r="U236" i="3"/>
  <c r="AG236" i="3"/>
  <c r="P219" i="3"/>
  <c r="U219" i="3"/>
  <c r="AB219" i="3"/>
  <c r="J214" i="3"/>
  <c r="S214" i="3"/>
  <c r="AA214" i="3"/>
  <c r="L204" i="3"/>
  <c r="R204" i="3"/>
  <c r="W204" i="3"/>
  <c r="J194" i="3"/>
  <c r="M194" i="3"/>
  <c r="W194" i="3"/>
  <c r="AF194" i="3"/>
  <c r="M155" i="3"/>
  <c r="X155" i="3"/>
  <c r="H28" i="3"/>
  <c r="V167" i="3"/>
  <c r="R108" i="3"/>
  <c r="U34" i="3"/>
  <c r="O68" i="3"/>
  <c r="Q11" i="3"/>
  <c r="I105" i="3"/>
  <c r="G218" i="3"/>
  <c r="T100" i="3"/>
  <c r="S100" i="3"/>
  <c r="R100" i="3"/>
  <c r="AF100" i="3"/>
  <c r="N100" i="3"/>
  <c r="AC100" i="3"/>
  <c r="I100" i="3"/>
  <c r="X100" i="3"/>
  <c r="H100" i="3"/>
  <c r="Z197" i="3"/>
  <c r="AF165" i="3"/>
  <c r="AD106" i="3"/>
  <c r="O236" i="3"/>
  <c r="T219" i="3"/>
  <c r="K204" i="3"/>
  <c r="V155" i="3"/>
  <c r="G28" i="3"/>
  <c r="J197" i="3"/>
  <c r="T197" i="3"/>
  <c r="AB197" i="3"/>
  <c r="I165" i="3"/>
  <c r="S165" i="3"/>
  <c r="AA165" i="3"/>
  <c r="K129" i="3"/>
  <c r="T129" i="3"/>
  <c r="AC129" i="3"/>
  <c r="J106" i="3"/>
  <c r="Q106" i="3"/>
  <c r="Y106" i="3"/>
  <c r="AE106" i="3"/>
  <c r="P98" i="3"/>
  <c r="X98" i="3"/>
  <c r="AF98" i="3"/>
  <c r="H127" i="3"/>
  <c r="K236" i="3"/>
  <c r="Q236" i="3"/>
  <c r="Y236" i="3"/>
  <c r="AD236" i="3"/>
  <c r="M219" i="3"/>
  <c r="X219" i="3"/>
  <c r="AC219" i="3"/>
  <c r="K214" i="3"/>
  <c r="T214" i="3"/>
  <c r="AD214" i="3"/>
  <c r="O204" i="3"/>
  <c r="S204" i="3"/>
  <c r="X204" i="3"/>
  <c r="K194" i="3"/>
  <c r="Q194" i="3"/>
  <c r="Y194" i="3"/>
  <c r="AG194" i="3"/>
  <c r="Q155" i="3"/>
  <c r="W155" i="3"/>
  <c r="AC28" i="3"/>
  <c r="Y167" i="3"/>
  <c r="K100" i="3"/>
  <c r="AA34" i="3"/>
  <c r="AD244" i="3"/>
  <c r="M244" i="3"/>
  <c r="O197" i="3"/>
  <c r="W129" i="3"/>
  <c r="L98" i="3"/>
  <c r="V236" i="3"/>
  <c r="P214" i="3"/>
  <c r="K101" i="3"/>
  <c r="G100" i="3"/>
  <c r="G236" i="3"/>
  <c r="P197" i="3"/>
  <c r="W197" i="3"/>
  <c r="AC197" i="3"/>
  <c r="J165" i="3"/>
  <c r="T165" i="3"/>
  <c r="AB165" i="3"/>
  <c r="H129" i="3"/>
  <c r="R129" i="3"/>
  <c r="Z129" i="3"/>
  <c r="K106" i="3"/>
  <c r="T106" i="3"/>
  <c r="Z106" i="3"/>
  <c r="J98" i="3"/>
  <c r="M98" i="3"/>
  <c r="AA98" i="3"/>
  <c r="AG98" i="3"/>
  <c r="H236" i="3"/>
  <c r="N236" i="3"/>
  <c r="X236" i="3"/>
  <c r="AF236" i="3"/>
  <c r="Q219" i="3"/>
  <c r="W219" i="3"/>
  <c r="AG219" i="3"/>
  <c r="M214" i="3"/>
  <c r="W214" i="3"/>
  <c r="AC214" i="3"/>
  <c r="I204" i="3"/>
  <c r="T204" i="3"/>
  <c r="AB204" i="3"/>
  <c r="H194" i="3"/>
  <c r="R194" i="3"/>
  <c r="AB194" i="3"/>
  <c r="K155" i="3"/>
  <c r="N155" i="3"/>
  <c r="AF28" i="3"/>
  <c r="H139" i="3"/>
  <c r="L100" i="3"/>
  <c r="W193" i="3"/>
  <c r="R68" i="3"/>
  <c r="W11" i="3"/>
  <c r="G130" i="3"/>
  <c r="AE155" i="3"/>
  <c r="AG155" i="3"/>
  <c r="AC155" i="3"/>
  <c r="AA155" i="3"/>
  <c r="AD155" i="3"/>
  <c r="X165" i="3"/>
  <c r="O106" i="3"/>
  <c r="S98" i="3"/>
  <c r="AC236" i="3"/>
  <c r="R214" i="3"/>
  <c r="O155" i="3"/>
  <c r="K165" i="3"/>
  <c r="G244" i="3"/>
  <c r="M197" i="3"/>
  <c r="U197" i="3"/>
  <c r="AE197" i="3"/>
  <c r="P165" i="3"/>
  <c r="U165" i="3"/>
  <c r="AC165" i="3"/>
  <c r="L129" i="3"/>
  <c r="S129" i="3"/>
  <c r="AB129" i="3"/>
  <c r="H106" i="3"/>
  <c r="R106" i="3"/>
  <c r="N98" i="3"/>
  <c r="Q98" i="3"/>
  <c r="AB98" i="3"/>
  <c r="AE98" i="3"/>
  <c r="L236" i="3"/>
  <c r="R236" i="3"/>
  <c r="K219" i="3"/>
  <c r="N219" i="3"/>
  <c r="Y219" i="3"/>
  <c r="Q214" i="3"/>
  <c r="V214" i="3"/>
  <c r="J204" i="3"/>
  <c r="V204" i="3"/>
  <c r="L194" i="3"/>
  <c r="T194" i="3"/>
  <c r="AA194" i="3"/>
  <c r="H155" i="3"/>
  <c r="R155" i="3"/>
  <c r="Z155" i="3"/>
  <c r="W100" i="3"/>
  <c r="I101" i="3"/>
  <c r="T68" i="3"/>
  <c r="Z11" i="3"/>
  <c r="G83" i="3"/>
  <c r="K213" i="3"/>
  <c r="N106" i="3"/>
  <c r="AA104" i="3"/>
  <c r="S104" i="3"/>
  <c r="J104" i="3"/>
  <c r="AA105" i="3"/>
  <c r="V105" i="3"/>
  <c r="O105" i="3"/>
  <c r="AG104" i="3"/>
  <c r="Y104" i="3"/>
  <c r="P104" i="3"/>
  <c r="M104" i="3"/>
  <c r="G106" i="3"/>
  <c r="AD105" i="3"/>
  <c r="U105" i="3"/>
  <c r="N105" i="3"/>
  <c r="AE104" i="3"/>
  <c r="X104" i="3"/>
  <c r="O104" i="3"/>
  <c r="I104" i="3"/>
  <c r="AC105" i="3"/>
  <c r="S105" i="3"/>
  <c r="L105" i="3"/>
  <c r="AC104" i="3"/>
  <c r="W104" i="3"/>
  <c r="N104" i="3"/>
  <c r="AB105" i="3"/>
  <c r="R105" i="3"/>
  <c r="H105" i="3"/>
  <c r="AF104" i="3"/>
  <c r="V104" i="3"/>
  <c r="L104" i="3"/>
  <c r="Z105" i="3"/>
  <c r="T105" i="3"/>
  <c r="K105" i="3"/>
  <c r="AD104" i="3"/>
  <c r="U104" i="3"/>
  <c r="H104" i="3"/>
  <c r="AE105" i="3"/>
  <c r="Y105" i="3"/>
  <c r="Q105" i="3"/>
  <c r="J105" i="3"/>
  <c r="G105" i="3"/>
  <c r="Z104" i="3"/>
  <c r="R104" i="3"/>
  <c r="Q104" i="3"/>
  <c r="AF105" i="3"/>
  <c r="X105" i="3"/>
  <c r="M105" i="3"/>
  <c r="AB164" i="3"/>
  <c r="S164" i="3"/>
  <c r="L164" i="3"/>
  <c r="X164" i="3"/>
  <c r="R164" i="3"/>
  <c r="H164" i="3"/>
  <c r="AF164" i="3"/>
  <c r="W164" i="3"/>
  <c r="N164" i="3"/>
  <c r="K164" i="3"/>
  <c r="AG164" i="3"/>
  <c r="Y164" i="3"/>
  <c r="Q164" i="3"/>
  <c r="AD164" i="3"/>
  <c r="Z164" i="3"/>
  <c r="M164" i="3"/>
  <c r="AE164" i="3"/>
  <c r="U164" i="3"/>
  <c r="P164" i="3"/>
  <c r="AC164" i="3"/>
  <c r="V164" i="3"/>
  <c r="J164" i="3"/>
  <c r="AD193" i="3"/>
  <c r="V193" i="3"/>
  <c r="O193" i="3"/>
  <c r="AF192" i="3"/>
  <c r="X192" i="3"/>
  <c r="O192" i="3"/>
  <c r="I192" i="3"/>
  <c r="AA193" i="3"/>
  <c r="U193" i="3"/>
  <c r="N193" i="3"/>
  <c r="AE192" i="3"/>
  <c r="W192" i="3"/>
  <c r="N192" i="3"/>
  <c r="AB193" i="3"/>
  <c r="S193" i="3"/>
  <c r="L193" i="3"/>
  <c r="AC192" i="3"/>
  <c r="V192" i="3"/>
  <c r="L192" i="3"/>
  <c r="G193" i="3"/>
  <c r="Z193" i="3"/>
  <c r="R193" i="3"/>
  <c r="H193" i="3"/>
  <c r="AD192" i="3"/>
  <c r="U192" i="3"/>
  <c r="H192" i="3"/>
  <c r="G192" i="3"/>
  <c r="G194" i="3"/>
  <c r="AC193" i="3"/>
  <c r="T193" i="3"/>
  <c r="K193" i="3"/>
  <c r="AB192" i="3"/>
  <c r="R192" i="3"/>
  <c r="M192" i="3"/>
  <c r="AF193" i="3"/>
  <c r="X193" i="3"/>
  <c r="Q193" i="3"/>
  <c r="J193" i="3"/>
  <c r="Z192" i="3"/>
  <c r="T192" i="3"/>
  <c r="K192" i="3"/>
  <c r="AE193" i="3"/>
  <c r="Y193" i="3"/>
  <c r="M193" i="3"/>
  <c r="AA192" i="3"/>
  <c r="S192" i="3"/>
  <c r="Q192" i="3"/>
  <c r="AF215" i="3"/>
  <c r="W215" i="3"/>
  <c r="N215" i="3"/>
  <c r="H215" i="3"/>
  <c r="AE216" i="3"/>
  <c r="X216" i="3"/>
  <c r="N216" i="3"/>
  <c r="Q216" i="3"/>
  <c r="AE215" i="3"/>
  <c r="V215" i="3"/>
  <c r="Q215" i="3"/>
  <c r="AF216" i="3"/>
  <c r="W216" i="3"/>
  <c r="R216" i="3"/>
  <c r="AC215" i="3"/>
  <c r="R215" i="3"/>
  <c r="M215" i="3"/>
  <c r="AC216" i="3"/>
  <c r="V216" i="3"/>
  <c r="L216" i="3"/>
  <c r="G215" i="3"/>
  <c r="L215" i="3"/>
  <c r="AB215" i="3"/>
  <c r="T215" i="3"/>
  <c r="K215" i="3"/>
  <c r="AD216" i="3"/>
  <c r="U216" i="3"/>
  <c r="H216" i="3"/>
  <c r="AA215" i="3"/>
  <c r="S215" i="3"/>
  <c r="J215" i="3"/>
  <c r="AB216" i="3"/>
  <c r="T216" i="3"/>
  <c r="K216" i="3"/>
  <c r="G214" i="3"/>
  <c r="Y215" i="3"/>
  <c r="U215" i="3"/>
  <c r="I215" i="3"/>
  <c r="G216" i="3"/>
  <c r="Z216" i="3"/>
  <c r="S216" i="3"/>
  <c r="M216" i="3"/>
  <c r="AG215" i="3"/>
  <c r="Z215" i="3"/>
  <c r="P215" i="3"/>
  <c r="AA216" i="3"/>
  <c r="P216" i="3"/>
  <c r="J216" i="3"/>
  <c r="AF224" i="3"/>
  <c r="AA224" i="3"/>
  <c r="R224" i="3"/>
  <c r="I224" i="3"/>
  <c r="AE224" i="3"/>
  <c r="W224" i="3"/>
  <c r="N224" i="3"/>
  <c r="AC224" i="3"/>
  <c r="V224" i="3"/>
  <c r="Q224" i="3"/>
  <c r="AB224" i="3"/>
  <c r="U224" i="3"/>
  <c r="L224" i="3"/>
  <c r="AD224" i="3"/>
  <c r="T224" i="3"/>
  <c r="H224" i="3"/>
  <c r="G224" i="3"/>
  <c r="Z224" i="3"/>
  <c r="S224" i="3"/>
  <c r="K224" i="3"/>
  <c r="Y224" i="3"/>
  <c r="P224" i="3"/>
  <c r="J224" i="3"/>
  <c r="AE244" i="3"/>
  <c r="W244" i="3"/>
  <c r="P244" i="3"/>
  <c r="AC244" i="3"/>
  <c r="V244" i="3"/>
  <c r="J244" i="3"/>
  <c r="AB244" i="3"/>
  <c r="T244" i="3"/>
  <c r="O244" i="3"/>
  <c r="AA244" i="3"/>
  <c r="S244" i="3"/>
  <c r="I244" i="3"/>
  <c r="X244" i="3"/>
  <c r="R244" i="3"/>
  <c r="L244" i="3"/>
  <c r="AF244" i="3"/>
  <c r="Y244" i="3"/>
  <c r="N244" i="3"/>
  <c r="H244" i="3"/>
  <c r="AG244" i="3"/>
  <c r="Z244" i="3"/>
  <c r="Q244" i="3"/>
  <c r="K244" i="3"/>
  <c r="AA97" i="3"/>
  <c r="W97" i="3"/>
  <c r="N97" i="3"/>
  <c r="AB97" i="3"/>
  <c r="S97" i="3"/>
  <c r="L97" i="3"/>
  <c r="Z97" i="3"/>
  <c r="R97" i="3"/>
  <c r="H97" i="3"/>
  <c r="AC97" i="3"/>
  <c r="T97" i="3"/>
  <c r="K97" i="3"/>
  <c r="G98" i="3"/>
  <c r="I97" i="3"/>
  <c r="AE97" i="3"/>
  <c r="Y97" i="3"/>
  <c r="Q97" i="3"/>
  <c r="J97" i="3"/>
  <c r="G97" i="3"/>
  <c r="AF97" i="3"/>
  <c r="X97" i="3"/>
  <c r="M97" i="3"/>
  <c r="AD97" i="3"/>
  <c r="V97" i="3"/>
  <c r="P97" i="3"/>
  <c r="G107" i="3"/>
  <c r="AA107" i="3"/>
  <c r="T107" i="3"/>
  <c r="I107" i="3"/>
  <c r="AB107" i="3"/>
  <c r="S107" i="3"/>
  <c r="L107" i="3"/>
  <c r="Z107" i="3"/>
  <c r="R107" i="3"/>
  <c r="H107" i="3"/>
  <c r="AF107" i="3"/>
  <c r="W107" i="3"/>
  <c r="N107" i="3"/>
  <c r="K107" i="3"/>
  <c r="AE107" i="3"/>
  <c r="Y107" i="3"/>
  <c r="Q107" i="3"/>
  <c r="AG107" i="3"/>
  <c r="X107" i="3"/>
  <c r="M107" i="3"/>
  <c r="AD107" i="3"/>
  <c r="U107" i="3"/>
  <c r="P107" i="3"/>
  <c r="AF127" i="3"/>
  <c r="W127" i="3"/>
  <c r="N127" i="3"/>
  <c r="AE128" i="3"/>
  <c r="W128" i="3"/>
  <c r="N128" i="3"/>
  <c r="AE127" i="3"/>
  <c r="V127" i="3"/>
  <c r="Q127" i="3"/>
  <c r="AC128" i="3"/>
  <c r="V128" i="3"/>
  <c r="L128" i="3"/>
  <c r="AB127" i="3"/>
  <c r="R127" i="3"/>
  <c r="M127" i="3"/>
  <c r="AD128" i="3"/>
  <c r="U128" i="3"/>
  <c r="H128" i="3"/>
  <c r="AC127" i="3"/>
  <c r="U127" i="3"/>
  <c r="K127" i="3"/>
  <c r="AB128" i="3"/>
  <c r="R128" i="3"/>
  <c r="M128" i="3"/>
  <c r="G127" i="3"/>
  <c r="G129" i="3"/>
  <c r="AA127" i="3"/>
  <c r="T127" i="3"/>
  <c r="J127" i="3"/>
  <c r="L127" i="3"/>
  <c r="Z128" i="3"/>
  <c r="T128" i="3"/>
  <c r="K128" i="3"/>
  <c r="G128" i="3"/>
  <c r="Y127" i="3"/>
  <c r="S127" i="3"/>
  <c r="I127" i="3"/>
  <c r="AA128" i="3"/>
  <c r="S128" i="3"/>
  <c r="Q128" i="3"/>
  <c r="AG127" i="3"/>
  <c r="Z127" i="3"/>
  <c r="P127" i="3"/>
  <c r="AG128" i="3"/>
  <c r="Y128" i="3"/>
  <c r="P128" i="3"/>
  <c r="J128" i="3"/>
  <c r="AE138" i="3"/>
  <c r="X138" i="3"/>
  <c r="P138" i="3"/>
  <c r="AD138" i="3"/>
  <c r="V138" i="3"/>
  <c r="O138" i="3"/>
  <c r="AC138" i="3"/>
  <c r="U138" i="3"/>
  <c r="I138" i="3"/>
  <c r="AB138" i="3"/>
  <c r="S138" i="3"/>
  <c r="L138" i="3"/>
  <c r="Z138" i="3"/>
  <c r="R138" i="3"/>
  <c r="H138" i="3"/>
  <c r="G139" i="3"/>
  <c r="Y138" i="3"/>
  <c r="T138" i="3"/>
  <c r="N138" i="3"/>
  <c r="J139" i="3"/>
  <c r="AG138" i="3"/>
  <c r="W138" i="3"/>
  <c r="Q138" i="3"/>
  <c r="K138" i="3"/>
  <c r="AG166" i="3"/>
  <c r="X166" i="3"/>
  <c r="O166" i="3"/>
  <c r="L166" i="3"/>
  <c r="AF166" i="3"/>
  <c r="Z166" i="3"/>
  <c r="N166" i="3"/>
  <c r="H166" i="3"/>
  <c r="G165" i="3"/>
  <c r="H167" i="3"/>
  <c r="AC166" i="3"/>
  <c r="W166" i="3"/>
  <c r="Q166" i="3"/>
  <c r="G167" i="3"/>
  <c r="AB166" i="3"/>
  <c r="V166" i="3"/>
  <c r="M166" i="3"/>
  <c r="AE166" i="3"/>
  <c r="U166" i="3"/>
  <c r="P166" i="3"/>
  <c r="AD166" i="3"/>
  <c r="T166" i="3"/>
  <c r="K166" i="3"/>
  <c r="AA166" i="3"/>
  <c r="S166" i="3"/>
  <c r="J166" i="3"/>
  <c r="AE180" i="3"/>
  <c r="U180" i="3"/>
  <c r="P180" i="3"/>
  <c r="AC180" i="3"/>
  <c r="V180" i="3"/>
  <c r="J180" i="3"/>
  <c r="AB180" i="3"/>
  <c r="T180" i="3"/>
  <c r="O180" i="3"/>
  <c r="X180" i="3"/>
  <c r="S180" i="3"/>
  <c r="I180" i="3"/>
  <c r="Y180" i="3"/>
  <c r="R180" i="3"/>
  <c r="L180" i="3"/>
  <c r="AF180" i="3"/>
  <c r="W180" i="3"/>
  <c r="N180" i="3"/>
  <c r="H180" i="3"/>
  <c r="AG180" i="3"/>
  <c r="Z180" i="3"/>
  <c r="Q180" i="3"/>
  <c r="K180" i="3"/>
  <c r="AE195" i="3"/>
  <c r="U195" i="3"/>
  <c r="P195" i="3"/>
  <c r="AC196" i="3"/>
  <c r="V196" i="3"/>
  <c r="J196" i="3"/>
  <c r="G197" i="3"/>
  <c r="AC195" i="3"/>
  <c r="V195" i="3"/>
  <c r="O195" i="3"/>
  <c r="Y196" i="3"/>
  <c r="T196" i="3"/>
  <c r="I196" i="3"/>
  <c r="AB195" i="3"/>
  <c r="T195" i="3"/>
  <c r="I195" i="3"/>
  <c r="X196" i="3"/>
  <c r="S196" i="3"/>
  <c r="O196" i="3"/>
  <c r="AA195" i="3"/>
  <c r="S195" i="3"/>
  <c r="L195" i="3"/>
  <c r="K197" i="3"/>
  <c r="AA196" i="3"/>
  <c r="R196" i="3"/>
  <c r="L196" i="3"/>
  <c r="Z195" i="3"/>
  <c r="R195" i="3"/>
  <c r="H195" i="3"/>
  <c r="AF196" i="3"/>
  <c r="Z196" i="3"/>
  <c r="N196" i="3"/>
  <c r="H196" i="3"/>
  <c r="G196" i="3"/>
  <c r="AF195" i="3"/>
  <c r="W195" i="3"/>
  <c r="N195" i="3"/>
  <c r="K195" i="3"/>
  <c r="AD196" i="3"/>
  <c r="W196" i="3"/>
  <c r="Q196" i="3"/>
  <c r="K196" i="3"/>
  <c r="J195" i="3"/>
  <c r="AG195" i="3"/>
  <c r="Y195" i="3"/>
  <c r="Q195" i="3"/>
  <c r="AG196" i="3"/>
  <c r="AB196" i="3"/>
  <c r="M196" i="3"/>
  <c r="AC203" i="3"/>
  <c r="U203" i="3"/>
  <c r="P203" i="3"/>
  <c r="AB203" i="3"/>
  <c r="V203" i="3"/>
  <c r="O203" i="3"/>
  <c r="J203" i="3"/>
  <c r="AA203" i="3"/>
  <c r="T203" i="3"/>
  <c r="I203" i="3"/>
  <c r="AE203" i="3"/>
  <c r="S203" i="3"/>
  <c r="L203" i="3"/>
  <c r="Z203" i="3"/>
  <c r="N203" i="3"/>
  <c r="H203" i="3"/>
  <c r="AF203" i="3"/>
  <c r="W203" i="3"/>
  <c r="R203" i="3"/>
  <c r="K203" i="3"/>
  <c r="G203" i="3"/>
  <c r="AG203" i="3"/>
  <c r="Y203" i="3"/>
  <c r="Q203" i="3"/>
  <c r="G219" i="3"/>
  <c r="J219" i="3"/>
  <c r="AD237" i="3"/>
  <c r="V237" i="3"/>
  <c r="Q237" i="3"/>
  <c r="AE237" i="3"/>
  <c r="U237" i="3"/>
  <c r="M237" i="3"/>
  <c r="AB237" i="3"/>
  <c r="W237" i="3"/>
  <c r="P237" i="3"/>
  <c r="AA237" i="3"/>
  <c r="T237" i="3"/>
  <c r="J237" i="3"/>
  <c r="AC237" i="3"/>
  <c r="S237" i="3"/>
  <c r="I237" i="3"/>
  <c r="Y237" i="3"/>
  <c r="O237" i="3"/>
  <c r="L237" i="3"/>
  <c r="AG237" i="3"/>
  <c r="Z237" i="3"/>
  <c r="R237" i="3"/>
  <c r="H237" i="3"/>
  <c r="AB245" i="3"/>
  <c r="T245" i="3"/>
  <c r="J245" i="3"/>
  <c r="AA245" i="3"/>
  <c r="S245" i="3"/>
  <c r="I245" i="3"/>
  <c r="Y245" i="3"/>
  <c r="O245" i="3"/>
  <c r="L245" i="3"/>
  <c r="AG245" i="3"/>
  <c r="Z245" i="3"/>
  <c r="R245" i="3"/>
  <c r="H245" i="3"/>
  <c r="AF245" i="3"/>
  <c r="X245" i="3"/>
  <c r="N245" i="3"/>
  <c r="AD245" i="3"/>
  <c r="V245" i="3"/>
  <c r="Q245" i="3"/>
  <c r="AE245" i="3"/>
  <c r="U245" i="3"/>
  <c r="M245" i="3"/>
  <c r="AD35" i="3"/>
  <c r="T35" i="3"/>
  <c r="L35" i="3"/>
  <c r="AA35" i="3"/>
  <c r="V35" i="3"/>
  <c r="O35" i="3"/>
  <c r="G35" i="3"/>
  <c r="Z35" i="3"/>
  <c r="S35" i="3"/>
  <c r="I35" i="3"/>
  <c r="J35" i="3"/>
  <c r="AB35" i="3"/>
  <c r="R35" i="3"/>
  <c r="H35" i="3"/>
  <c r="AF35" i="3"/>
  <c r="W35" i="3"/>
  <c r="N35" i="3"/>
  <c r="K35" i="3"/>
  <c r="AE35" i="3"/>
  <c r="Y35" i="3"/>
  <c r="Q35" i="3"/>
  <c r="AG35" i="3"/>
  <c r="X35" i="3"/>
  <c r="M35" i="3"/>
  <c r="AA99" i="3"/>
  <c r="S99" i="3"/>
  <c r="L99" i="3"/>
  <c r="Y101" i="3"/>
  <c r="Z99" i="3"/>
  <c r="R99" i="3"/>
  <c r="H99" i="3"/>
  <c r="AG101" i="3"/>
  <c r="Z101" i="3"/>
  <c r="AF99" i="3"/>
  <c r="W99" i="3"/>
  <c r="N99" i="3"/>
  <c r="K99" i="3"/>
  <c r="AF101" i="3"/>
  <c r="X101" i="3"/>
  <c r="N101" i="3"/>
  <c r="AE99" i="3"/>
  <c r="Y99" i="3"/>
  <c r="Q99" i="3"/>
  <c r="AE101" i="3"/>
  <c r="W101" i="3"/>
  <c r="Q101" i="3"/>
  <c r="AG99" i="3"/>
  <c r="X99" i="3"/>
  <c r="M99" i="3"/>
  <c r="AD101" i="3"/>
  <c r="V101" i="3"/>
  <c r="AD99" i="3"/>
  <c r="U99" i="3"/>
  <c r="P99" i="3"/>
  <c r="AC101" i="3"/>
  <c r="G99" i="3"/>
  <c r="J99" i="3"/>
  <c r="AC99" i="3"/>
  <c r="V99" i="3"/>
  <c r="O99" i="3"/>
  <c r="AA101" i="3"/>
  <c r="J155" i="3"/>
  <c r="G155" i="3"/>
  <c r="N10" i="3"/>
  <c r="R10" i="3"/>
  <c r="Y10" i="3"/>
  <c r="K28" i="3"/>
  <c r="Q28" i="3"/>
  <c r="Y28" i="3"/>
  <c r="AG28" i="3"/>
  <c r="J116" i="3"/>
  <c r="V116" i="3"/>
  <c r="AB116" i="3"/>
  <c r="I108" i="3"/>
  <c r="S108" i="3"/>
  <c r="AA108" i="3"/>
  <c r="Q62" i="3"/>
  <c r="V62" i="3"/>
  <c r="AB62" i="3"/>
  <c r="O34" i="3"/>
  <c r="V34" i="3"/>
  <c r="AD34" i="3"/>
  <c r="H101" i="3"/>
  <c r="S101" i="3"/>
  <c r="AE196" i="3"/>
  <c r="O128" i="3"/>
  <c r="AG97" i="3"/>
  <c r="M180" i="3"/>
  <c r="AC245" i="3"/>
  <c r="AG193" i="3"/>
  <c r="O127" i="3"/>
  <c r="I166" i="3"/>
  <c r="M224" i="3"/>
  <c r="X195" i="3"/>
  <c r="U244" i="3"/>
  <c r="I62" i="3"/>
  <c r="O62" i="3"/>
  <c r="X62" i="3"/>
  <c r="AG62" i="3"/>
  <c r="O216" i="3"/>
  <c r="I164" i="3"/>
  <c r="AF128" i="3"/>
  <c r="AD127" i="3"/>
  <c r="M203" i="3"/>
  <c r="Y166" i="3"/>
  <c r="V107" i="3"/>
  <c r="X224" i="3"/>
  <c r="X237" i="3"/>
  <c r="P35" i="3"/>
  <c r="O10" i="3"/>
  <c r="V10" i="3"/>
  <c r="AD10" i="3"/>
  <c r="I28" i="3"/>
  <c r="R28" i="3"/>
  <c r="X28" i="3"/>
  <c r="M167" i="3"/>
  <c r="R167" i="3"/>
  <c r="AC167" i="3"/>
  <c r="I139" i="3"/>
  <c r="T139" i="3"/>
  <c r="AA139" i="3"/>
  <c r="K116" i="3"/>
  <c r="Q116" i="3"/>
  <c r="Z116" i="3"/>
  <c r="AG116" i="3"/>
  <c r="P108" i="3"/>
  <c r="U108" i="3"/>
  <c r="AG108" i="3"/>
  <c r="J100" i="3"/>
  <c r="V100" i="3"/>
  <c r="AE100" i="3"/>
  <c r="P62" i="3"/>
  <c r="R62" i="3"/>
  <c r="Y62" i="3"/>
  <c r="J34" i="3"/>
  <c r="M34" i="3"/>
  <c r="X34" i="3"/>
  <c r="AG34" i="3"/>
  <c r="J101" i="3"/>
  <c r="AB101" i="3"/>
  <c r="Y216" i="3"/>
  <c r="T164" i="3"/>
  <c r="P105" i="3"/>
  <c r="X203" i="3"/>
  <c r="J138" i="3"/>
  <c r="AC107" i="3"/>
  <c r="AG224" i="3"/>
  <c r="AF237" i="3"/>
  <c r="U35" i="3"/>
  <c r="L10" i="3"/>
  <c r="T10" i="3"/>
  <c r="AF10" i="3"/>
  <c r="J28" i="3"/>
  <c r="S28" i="3"/>
  <c r="Z28" i="3"/>
  <c r="O139" i="3"/>
  <c r="V139" i="3"/>
  <c r="AC139" i="3"/>
  <c r="H116" i="3"/>
  <c r="N116" i="3"/>
  <c r="W116" i="3"/>
  <c r="AF116" i="3"/>
  <c r="M108" i="3"/>
  <c r="Y108" i="3"/>
  <c r="AD108" i="3"/>
  <c r="P100" i="3"/>
  <c r="U100" i="3"/>
  <c r="AB100" i="3"/>
  <c r="J62" i="3"/>
  <c r="S62" i="3"/>
  <c r="AA62" i="3"/>
  <c r="N34" i="3"/>
  <c r="Q34" i="3"/>
  <c r="W34" i="3"/>
  <c r="AE34" i="3"/>
  <c r="P101" i="3"/>
  <c r="AG216" i="3"/>
  <c r="AA164" i="3"/>
  <c r="W105" i="3"/>
  <c r="J192" i="3"/>
  <c r="G104" i="3"/>
  <c r="AD203" i="3"/>
  <c r="M138" i="3"/>
  <c r="I99" i="3"/>
  <c r="O215" i="3"/>
  <c r="K104" i="3"/>
  <c r="AC35" i="3"/>
  <c r="P10" i="3"/>
  <c r="X10" i="3"/>
  <c r="AC10" i="3"/>
  <c r="L28" i="3"/>
  <c r="V28" i="3"/>
  <c r="AB28" i="3"/>
  <c r="N167" i="3"/>
  <c r="Z167" i="3"/>
  <c r="AF167" i="3"/>
  <c r="P139" i="3"/>
  <c r="U139" i="3"/>
  <c r="AD139" i="3"/>
  <c r="L116" i="3"/>
  <c r="R116" i="3"/>
  <c r="Y116" i="3"/>
  <c r="K108" i="3"/>
  <c r="Q108" i="3"/>
  <c r="W108" i="3"/>
  <c r="AE108" i="3"/>
  <c r="M100" i="3"/>
  <c r="Z100" i="3"/>
  <c r="AD100" i="3"/>
  <c r="L62" i="3"/>
  <c r="T62" i="3"/>
  <c r="AF62" i="3"/>
  <c r="K34" i="3"/>
  <c r="R34" i="3"/>
  <c r="Y34" i="3"/>
  <c r="M101" i="3"/>
  <c r="AG105" i="3"/>
  <c r="P192" i="3"/>
  <c r="AA138" i="3"/>
  <c r="T99" i="3"/>
  <c r="X215" i="3"/>
  <c r="T104" i="3"/>
  <c r="J10" i="3"/>
  <c r="M10" i="3"/>
  <c r="AA10" i="3"/>
  <c r="P28" i="3"/>
  <c r="U28" i="3"/>
  <c r="I193" i="3"/>
  <c r="O167" i="3"/>
  <c r="W167" i="3"/>
  <c r="AD167" i="3"/>
  <c r="M139" i="3"/>
  <c r="X139" i="3"/>
  <c r="AG139" i="3"/>
  <c r="I116" i="3"/>
  <c r="S116" i="3"/>
  <c r="H108" i="3"/>
  <c r="N108" i="3"/>
  <c r="X108" i="3"/>
  <c r="AF108" i="3"/>
  <c r="Q100" i="3"/>
  <c r="Y100" i="3"/>
  <c r="AG100" i="3"/>
  <c r="K62" i="3"/>
  <c r="U62" i="3"/>
  <c r="H34" i="3"/>
  <c r="S34" i="3"/>
  <c r="Z34" i="3"/>
  <c r="O101" i="3"/>
  <c r="P196" i="3"/>
  <c r="O97" i="3"/>
  <c r="Y192" i="3"/>
  <c r="P245" i="3"/>
  <c r="P193" i="3"/>
  <c r="AF138" i="3"/>
  <c r="AB99" i="3"/>
  <c r="AD215" i="3"/>
  <c r="AB104" i="3"/>
  <c r="I129" i="3"/>
  <c r="Y28" i="2"/>
  <c r="Z30" i="2"/>
  <c r="Y29" i="2"/>
  <c r="AA30" i="2"/>
  <c r="Z29" i="2"/>
  <c r="AA29" i="2"/>
  <c r="Z28" i="2"/>
  <c r="Y30" i="2"/>
  <c r="AA28" i="2"/>
  <c r="F21" i="4"/>
  <c r="F45" i="4"/>
  <c r="F85" i="4"/>
  <c r="F109" i="4"/>
  <c r="F181" i="4"/>
  <c r="F205" i="4"/>
  <c r="F253" i="4"/>
  <c r="F25" i="4"/>
  <c r="F49" i="4"/>
  <c r="F89" i="4"/>
  <c r="F121" i="4"/>
  <c r="F14" i="4"/>
  <c r="F54" i="4"/>
  <c r="F142" i="4"/>
  <c r="F182" i="4"/>
  <c r="F15" i="4"/>
  <c r="F31" i="4"/>
  <c r="F47" i="4"/>
  <c r="F63" i="4"/>
  <c r="F79" i="4"/>
  <c r="F111" i="4"/>
  <c r="F198" i="4"/>
  <c r="F12" i="4"/>
  <c r="F36" i="4"/>
  <c r="F52" i="4"/>
  <c r="F84" i="4"/>
  <c r="F124" i="4"/>
  <c r="F140" i="4"/>
  <c r="F156" i="4"/>
  <c r="F220" i="4"/>
  <c r="F135" i="4"/>
  <c r="F175" i="4"/>
  <c r="F207" i="4"/>
  <c r="F239" i="4"/>
  <c r="F24" i="4"/>
  <c r="F56" i="4"/>
  <c r="F72" i="4"/>
  <c r="F152" i="4"/>
  <c r="F184" i="4"/>
  <c r="F145" i="4"/>
  <c r="J147" i="3"/>
  <c r="F185" i="4"/>
  <c r="F177" i="4"/>
  <c r="F225" i="4"/>
  <c r="F5" i="4"/>
  <c r="F37" i="4"/>
  <c r="F69" i="4"/>
  <c r="F93" i="4"/>
  <c r="F157" i="4"/>
  <c r="F189" i="4"/>
  <c r="L191" i="3"/>
  <c r="F229" i="4"/>
  <c r="F17" i="4"/>
  <c r="F41" i="4"/>
  <c r="F57" i="4"/>
  <c r="F113" i="4"/>
  <c r="F174" i="4"/>
  <c r="F30" i="4"/>
  <c r="F94" i="4"/>
  <c r="F150" i="4"/>
  <c r="F7" i="4"/>
  <c r="F23" i="4"/>
  <c r="F39" i="4"/>
  <c r="F55" i="4"/>
  <c r="F71" i="4"/>
  <c r="F87" i="4"/>
  <c r="F134" i="4"/>
  <c r="F4" i="4"/>
  <c r="F20" i="4"/>
  <c r="F44" i="4"/>
  <c r="F76" i="4"/>
  <c r="F92" i="4"/>
  <c r="F132" i="4"/>
  <c r="F148" i="4"/>
  <c r="F172" i="4"/>
  <c r="F246" i="4"/>
  <c r="G248" i="3"/>
  <c r="F143" i="4"/>
  <c r="F183" i="4"/>
  <c r="F231" i="4"/>
  <c r="F16" i="4"/>
  <c r="F40" i="4"/>
  <c r="F64" i="4"/>
  <c r="F120" i="4"/>
  <c r="F168" i="4"/>
  <c r="F200" i="4"/>
  <c r="F161" i="4"/>
  <c r="F233" i="4"/>
  <c r="F209" i="4"/>
  <c r="G195" i="3"/>
  <c r="F143" i="2"/>
  <c r="F249" i="2"/>
  <c r="F241" i="2"/>
  <c r="F233" i="2"/>
  <c r="F225" i="2"/>
  <c r="F217" i="2"/>
  <c r="F209" i="2"/>
  <c r="F201" i="2"/>
  <c r="F193" i="2"/>
  <c r="F185" i="2"/>
  <c r="F177" i="2"/>
  <c r="F169" i="2"/>
  <c r="F161" i="2"/>
  <c r="F153" i="2"/>
  <c r="F145" i="2"/>
  <c r="F137" i="2"/>
  <c r="F129" i="2"/>
  <c r="F121" i="2"/>
  <c r="F113" i="2"/>
  <c r="F105" i="2"/>
  <c r="F97" i="2"/>
  <c r="F89" i="2"/>
  <c r="F81" i="2"/>
  <c r="F73" i="2"/>
  <c r="F65" i="2"/>
  <c r="F49" i="2"/>
  <c r="F41" i="2"/>
  <c r="F33" i="2"/>
  <c r="F25" i="2"/>
  <c r="F17" i="2"/>
  <c r="F9" i="2"/>
  <c r="F248" i="2"/>
  <c r="F232" i="2"/>
  <c r="F224" i="2"/>
  <c r="F208" i="2"/>
  <c r="F200" i="2"/>
  <c r="F184" i="2"/>
  <c r="F176" i="2"/>
  <c r="F168" i="2"/>
  <c r="F160" i="2"/>
  <c r="F152" i="2"/>
  <c r="F128" i="2"/>
  <c r="F112" i="2"/>
  <c r="F104" i="2"/>
  <c r="F88" i="2"/>
  <c r="F72" i="2"/>
  <c r="F56" i="2"/>
  <c r="F48" i="2"/>
  <c r="F40" i="2"/>
  <c r="F32" i="2"/>
  <c r="F24" i="2"/>
  <c r="F16" i="2"/>
  <c r="F8" i="2"/>
  <c r="F239" i="2"/>
  <c r="F207" i="2"/>
  <c r="F191" i="2"/>
  <c r="F175" i="2"/>
  <c r="F151" i="2"/>
  <c r="F119" i="2"/>
  <c r="F95" i="2"/>
  <c r="F71" i="2"/>
  <c r="F39" i="2"/>
  <c r="F7" i="2"/>
  <c r="F230" i="2"/>
  <c r="F206" i="2"/>
  <c r="F182" i="2"/>
  <c r="F150" i="2"/>
  <c r="F134" i="2"/>
  <c r="F118" i="2"/>
  <c r="F102" i="2"/>
  <c r="F86" i="2"/>
  <c r="F70" i="2"/>
  <c r="F62" i="2"/>
  <c r="F38" i="2"/>
  <c r="F14" i="2"/>
  <c r="F192" i="2"/>
  <c r="F96" i="2"/>
  <c r="F253" i="2"/>
  <c r="F245" i="2"/>
  <c r="F237" i="2"/>
  <c r="F229" i="2"/>
  <c r="F221" i="2"/>
  <c r="F213" i="2"/>
  <c r="F205" i="2"/>
  <c r="F197" i="2"/>
  <c r="F181" i="2"/>
  <c r="F173" i="2"/>
  <c r="F165" i="2"/>
  <c r="F157" i="2"/>
  <c r="F149" i="2"/>
  <c r="F141" i="2"/>
  <c r="F133" i="2"/>
  <c r="F125" i="2"/>
  <c r="F117" i="2"/>
  <c r="F109" i="2"/>
  <c r="F93" i="2"/>
  <c r="F85" i="2"/>
  <c r="F77" i="2"/>
  <c r="F69" i="2"/>
  <c r="F53" i="2"/>
  <c r="F45" i="2"/>
  <c r="F37" i="2"/>
  <c r="F29" i="2"/>
  <c r="F13" i="2"/>
  <c r="F5" i="2"/>
  <c r="F144" i="2"/>
  <c r="F247" i="2"/>
  <c r="F231" i="2"/>
  <c r="F199" i="2"/>
  <c r="F167" i="2"/>
  <c r="F135" i="2"/>
  <c r="F111" i="2"/>
  <c r="F103" i="2"/>
  <c r="F79" i="2"/>
  <c r="F63" i="2"/>
  <c r="F47" i="2"/>
  <c r="F15" i="2"/>
  <c r="F216" i="2"/>
  <c r="F238" i="2"/>
  <c r="F222" i="2"/>
  <c r="F198" i="2"/>
  <c r="F174" i="2"/>
  <c r="F158" i="2"/>
  <c r="F142" i="2"/>
  <c r="F126" i="2"/>
  <c r="F110" i="2"/>
  <c r="F94" i="2"/>
  <c r="F78" i="2"/>
  <c r="F54" i="2"/>
  <c r="F46" i="2"/>
  <c r="F6" i="2"/>
  <c r="F136" i="2"/>
  <c r="F101" i="2"/>
  <c r="F252" i="2"/>
  <c r="F244" i="2"/>
  <c r="F236" i="2"/>
  <c r="F228" i="2"/>
  <c r="F220" i="2"/>
  <c r="F212" i="2"/>
  <c r="F204" i="2"/>
  <c r="F196" i="2"/>
  <c r="F188" i="2"/>
  <c r="F180" i="2"/>
  <c r="F172" i="2"/>
  <c r="F164" i="2"/>
  <c r="F156" i="2"/>
  <c r="F148" i="2"/>
  <c r="F140" i="2"/>
  <c r="F132" i="2"/>
  <c r="F124" i="2"/>
  <c r="F116" i="2"/>
  <c r="F108" i="2"/>
  <c r="F100" i="2"/>
  <c r="F92" i="2"/>
  <c r="F84" i="2"/>
  <c r="F76" i="2"/>
  <c r="F68" i="2"/>
  <c r="F52" i="2"/>
  <c r="F44" i="2"/>
  <c r="F36" i="2"/>
  <c r="F28" i="2"/>
  <c r="F4" i="2"/>
  <c r="F20" i="2"/>
  <c r="F215" i="2"/>
  <c r="F31" i="2"/>
  <c r="F60" i="2"/>
  <c r="F246" i="2"/>
  <c r="F190" i="2"/>
  <c r="F22" i="2"/>
  <c r="F189" i="2"/>
  <c r="F80" i="2"/>
  <c r="F61" i="2"/>
  <c r="F251" i="2"/>
  <c r="F243" i="2"/>
  <c r="F235" i="2"/>
  <c r="F227" i="2"/>
  <c r="F219" i="2"/>
  <c r="F211" i="2"/>
  <c r="F203" i="2"/>
  <c r="F195" i="2"/>
  <c r="F187" i="2"/>
  <c r="F179" i="2"/>
  <c r="F171" i="2"/>
  <c r="F163" i="2"/>
  <c r="F155" i="2"/>
  <c r="F147" i="2"/>
  <c r="F139" i="2"/>
  <c r="F131" i="2"/>
  <c r="F123" i="2"/>
  <c r="F107" i="2"/>
  <c r="F99" i="2"/>
  <c r="F91" i="2"/>
  <c r="F83" i="2"/>
  <c r="F75" i="2"/>
  <c r="F67" i="2"/>
  <c r="F59" i="2"/>
  <c r="F51" i="2"/>
  <c r="F43" i="2"/>
  <c r="F35" i="2"/>
  <c r="F19" i="2"/>
  <c r="F11" i="2"/>
  <c r="F240" i="2"/>
  <c r="F21" i="2"/>
  <c r="F223" i="2"/>
  <c r="F183" i="2"/>
  <c r="F159" i="2"/>
  <c r="F127" i="2"/>
  <c r="F87" i="2"/>
  <c r="F55" i="2"/>
  <c r="F23" i="2"/>
  <c r="F120" i="2"/>
  <c r="F3" i="2"/>
  <c r="F214" i="2"/>
  <c r="F166" i="2"/>
  <c r="F30" i="2"/>
  <c r="F115" i="2"/>
  <c r="F12" i="2"/>
  <c r="F64" i="2"/>
  <c r="F27" i="2"/>
  <c r="F57" i="2"/>
  <c r="F250" i="2"/>
  <c r="F242" i="2"/>
  <c r="F234" i="2"/>
  <c r="F226" i="2"/>
  <c r="F218" i="2"/>
  <c r="F210" i="2"/>
  <c r="F202" i="2"/>
  <c r="F194" i="2"/>
  <c r="F186" i="2"/>
  <c r="F178" i="2"/>
  <c r="F170" i="2"/>
  <c r="F162" i="2"/>
  <c r="F154" i="2"/>
  <c r="F146" i="2"/>
  <c r="F138" i="2"/>
  <c r="F130" i="2"/>
  <c r="F122" i="2"/>
  <c r="F114" i="2"/>
  <c r="F106" i="2"/>
  <c r="F98" i="2"/>
  <c r="F90" i="2"/>
  <c r="F82" i="2"/>
  <c r="F74" i="2"/>
  <c r="F66" i="2"/>
  <c r="F58" i="2"/>
  <c r="F50" i="2"/>
  <c r="F42" i="2"/>
  <c r="F34" i="2"/>
  <c r="F26" i="2"/>
  <c r="F18" i="2"/>
  <c r="F10" i="2"/>
  <c r="F2" i="2"/>
  <c r="G254" i="2" l="1"/>
  <c r="I254" i="2"/>
  <c r="N254" i="2"/>
  <c r="H254" i="2"/>
  <c r="J254" i="2"/>
  <c r="O254" i="2"/>
  <c r="L254" i="2"/>
  <c r="M254" i="2"/>
  <c r="K254" i="2"/>
  <c r="Y32" i="2" a="1"/>
  <c r="O2" i="2"/>
  <c r="N2" i="2"/>
  <c r="O3" i="2"/>
  <c r="N3" i="2"/>
  <c r="M2" i="2"/>
  <c r="M3" i="2"/>
  <c r="L3" i="2"/>
  <c r="K3" i="2"/>
  <c r="J3" i="2"/>
  <c r="I3" i="2"/>
  <c r="H3" i="2"/>
  <c r="L2" i="2"/>
  <c r="K2" i="2"/>
  <c r="J2" i="2"/>
  <c r="I2" i="2"/>
  <c r="H2" i="2"/>
  <c r="G2" i="2"/>
  <c r="G3" i="2"/>
  <c r="O11" i="2"/>
  <c r="N11" i="2"/>
  <c r="M11" i="2"/>
  <c r="L11" i="2"/>
  <c r="K11" i="2"/>
  <c r="J11" i="2"/>
  <c r="I11" i="2"/>
  <c r="H11" i="2"/>
  <c r="G11" i="2"/>
  <c r="O27" i="2"/>
  <c r="N27" i="2"/>
  <c r="M27" i="2"/>
  <c r="L27" i="2"/>
  <c r="K27" i="2"/>
  <c r="J27" i="2"/>
  <c r="I27" i="2"/>
  <c r="H27" i="2"/>
  <c r="G27" i="2"/>
  <c r="O43" i="2"/>
  <c r="N43" i="2"/>
  <c r="M43" i="2"/>
  <c r="L43" i="2"/>
  <c r="K43" i="2"/>
  <c r="J43" i="2"/>
  <c r="I43" i="2"/>
  <c r="H43" i="2"/>
  <c r="G43" i="2"/>
  <c r="O59" i="2"/>
  <c r="N59" i="2"/>
  <c r="M59" i="2"/>
  <c r="L59" i="2"/>
  <c r="K59" i="2"/>
  <c r="J59" i="2"/>
  <c r="I59" i="2"/>
  <c r="H59" i="2"/>
  <c r="G59" i="2"/>
  <c r="O75" i="2"/>
  <c r="N75" i="2"/>
  <c r="M75" i="2"/>
  <c r="L75" i="2"/>
  <c r="K75" i="2"/>
  <c r="J75" i="2"/>
  <c r="I75" i="2"/>
  <c r="H75" i="2"/>
  <c r="G75" i="2"/>
  <c r="O91" i="2"/>
  <c r="N91" i="2"/>
  <c r="M91" i="2"/>
  <c r="L91" i="2"/>
  <c r="K91" i="2"/>
  <c r="J91" i="2"/>
  <c r="I91" i="2"/>
  <c r="H91" i="2"/>
  <c r="G91" i="2"/>
  <c r="O107" i="2"/>
  <c r="N107" i="2"/>
  <c r="M107" i="2"/>
  <c r="L107" i="2"/>
  <c r="K107" i="2"/>
  <c r="J107" i="2"/>
  <c r="I107" i="2"/>
  <c r="H107" i="2"/>
  <c r="G107" i="2"/>
  <c r="O123" i="2"/>
  <c r="N123" i="2"/>
  <c r="M123" i="2"/>
  <c r="L123" i="2"/>
  <c r="K123" i="2"/>
  <c r="J123" i="2"/>
  <c r="I123" i="2"/>
  <c r="H123" i="2"/>
  <c r="G123" i="2"/>
  <c r="O139" i="2"/>
  <c r="N139" i="2"/>
  <c r="M139" i="2"/>
  <c r="L139" i="2"/>
  <c r="K139" i="2"/>
  <c r="J139" i="2"/>
  <c r="I139" i="2"/>
  <c r="H139" i="2"/>
  <c r="G139" i="2"/>
  <c r="O155" i="2"/>
  <c r="N155" i="2"/>
  <c r="M155" i="2"/>
  <c r="L155" i="2"/>
  <c r="K155" i="2"/>
  <c r="J155" i="2"/>
  <c r="I155" i="2"/>
  <c r="H155" i="2"/>
  <c r="G155" i="2"/>
  <c r="O171" i="2"/>
  <c r="N171" i="2"/>
  <c r="M171" i="2"/>
  <c r="L171" i="2"/>
  <c r="K171" i="2"/>
  <c r="J171" i="2"/>
  <c r="I171" i="2"/>
  <c r="H171" i="2"/>
  <c r="G171" i="2"/>
  <c r="O187" i="2"/>
  <c r="N187" i="2"/>
  <c r="M187" i="2"/>
  <c r="L187" i="2"/>
  <c r="K187" i="2"/>
  <c r="J187" i="2"/>
  <c r="I187" i="2"/>
  <c r="H187" i="2"/>
  <c r="G187" i="2"/>
  <c r="O203" i="2"/>
  <c r="N203" i="2"/>
  <c r="M203" i="2"/>
  <c r="L203" i="2"/>
  <c r="K203" i="2"/>
  <c r="J203" i="2"/>
  <c r="I203" i="2"/>
  <c r="H203" i="2"/>
  <c r="G203" i="2"/>
  <c r="O219" i="2"/>
  <c r="N219" i="2"/>
  <c r="M219" i="2"/>
  <c r="L219" i="2"/>
  <c r="K219" i="2"/>
  <c r="J219" i="2"/>
  <c r="I219" i="2"/>
  <c r="H219" i="2"/>
  <c r="G219" i="2"/>
  <c r="O235" i="2"/>
  <c r="N235" i="2"/>
  <c r="M235" i="2"/>
  <c r="L235" i="2"/>
  <c r="K235" i="2"/>
  <c r="J235" i="2"/>
  <c r="I235" i="2"/>
  <c r="H235" i="2"/>
  <c r="G235" i="2"/>
  <c r="O251" i="2"/>
  <c r="N251" i="2"/>
  <c r="M251" i="2"/>
  <c r="L251" i="2"/>
  <c r="K251" i="2"/>
  <c r="J251" i="2"/>
  <c r="I251" i="2"/>
  <c r="H251" i="2"/>
  <c r="G251" i="2"/>
  <c r="O28" i="2"/>
  <c r="N28" i="2"/>
  <c r="M28" i="2"/>
  <c r="L28" i="2"/>
  <c r="G28" i="2"/>
  <c r="K28" i="2"/>
  <c r="J28" i="2"/>
  <c r="I28" i="2"/>
  <c r="H28" i="2"/>
  <c r="O13" i="2"/>
  <c r="N13" i="2"/>
  <c r="M13" i="2"/>
  <c r="L13" i="2"/>
  <c r="K13" i="2"/>
  <c r="J13" i="2"/>
  <c r="I13" i="2"/>
  <c r="H13" i="2"/>
  <c r="G13" i="2"/>
  <c r="O31" i="2"/>
  <c r="N31" i="2"/>
  <c r="M31" i="2"/>
  <c r="L31" i="2"/>
  <c r="K31" i="2"/>
  <c r="J31" i="2"/>
  <c r="I31" i="2"/>
  <c r="H31" i="2"/>
  <c r="G31" i="2"/>
  <c r="O215" i="2"/>
  <c r="N215" i="2"/>
  <c r="M215" i="2"/>
  <c r="L215" i="2"/>
  <c r="K215" i="2"/>
  <c r="J215" i="2"/>
  <c r="I215" i="2"/>
  <c r="H215" i="2"/>
  <c r="G215" i="2"/>
  <c r="O121" i="2"/>
  <c r="N121" i="2"/>
  <c r="M121" i="2"/>
  <c r="L121" i="2"/>
  <c r="K121" i="2"/>
  <c r="J121" i="2"/>
  <c r="I121" i="2"/>
  <c r="H121" i="2"/>
  <c r="G121" i="2"/>
  <c r="O56" i="2"/>
  <c r="N56" i="2"/>
  <c r="M56" i="2"/>
  <c r="L56" i="2"/>
  <c r="G56" i="2"/>
  <c r="K56" i="2"/>
  <c r="J56" i="2"/>
  <c r="I56" i="2"/>
  <c r="H56" i="2"/>
  <c r="O128" i="2"/>
  <c r="N128" i="2"/>
  <c r="M128" i="2"/>
  <c r="L128" i="2"/>
  <c r="K128" i="2"/>
  <c r="J128" i="2"/>
  <c r="I128" i="2"/>
  <c r="H128" i="2"/>
  <c r="G128" i="2"/>
  <c r="O184" i="2"/>
  <c r="N184" i="2"/>
  <c r="M184" i="2"/>
  <c r="L184" i="2"/>
  <c r="K184" i="2"/>
  <c r="J184" i="2"/>
  <c r="I184" i="2"/>
  <c r="H184" i="2"/>
  <c r="G184" i="2"/>
  <c r="O22" i="2"/>
  <c r="N22" i="2"/>
  <c r="M22" i="2"/>
  <c r="L22" i="2"/>
  <c r="K22" i="2"/>
  <c r="J22" i="2"/>
  <c r="I22" i="2"/>
  <c r="H22" i="2"/>
  <c r="G22" i="2"/>
  <c r="O12" i="2"/>
  <c r="N12" i="2"/>
  <c r="M12" i="2"/>
  <c r="L12" i="2"/>
  <c r="G12" i="2"/>
  <c r="K12" i="2"/>
  <c r="J12" i="2"/>
  <c r="I12" i="2"/>
  <c r="H12" i="2"/>
  <c r="O36" i="2"/>
  <c r="N36" i="2"/>
  <c r="M36" i="2"/>
  <c r="L36" i="2"/>
  <c r="G36" i="2"/>
  <c r="K36" i="2"/>
  <c r="J36" i="2"/>
  <c r="I36" i="2"/>
  <c r="H36" i="2"/>
  <c r="O52" i="2"/>
  <c r="N52" i="2"/>
  <c r="M52" i="2"/>
  <c r="L52" i="2"/>
  <c r="G52" i="2"/>
  <c r="K52" i="2"/>
  <c r="J52" i="2"/>
  <c r="I52" i="2"/>
  <c r="H52" i="2"/>
  <c r="O68" i="2"/>
  <c r="N68" i="2"/>
  <c r="M68" i="2"/>
  <c r="L68" i="2"/>
  <c r="G68" i="2"/>
  <c r="K68" i="2"/>
  <c r="J68" i="2"/>
  <c r="I68" i="2"/>
  <c r="H68" i="2"/>
  <c r="O84" i="2"/>
  <c r="N84" i="2"/>
  <c r="M84" i="2"/>
  <c r="L84" i="2"/>
  <c r="G84" i="2"/>
  <c r="K84" i="2"/>
  <c r="J84" i="2"/>
  <c r="I84" i="2"/>
  <c r="H84" i="2"/>
  <c r="O100" i="2"/>
  <c r="N100" i="2"/>
  <c r="M100" i="2"/>
  <c r="L100" i="2"/>
  <c r="G100" i="2"/>
  <c r="K100" i="2"/>
  <c r="J100" i="2"/>
  <c r="I100" i="2"/>
  <c r="H100" i="2"/>
  <c r="O124" i="2"/>
  <c r="N124" i="2"/>
  <c r="M124" i="2"/>
  <c r="L124" i="2"/>
  <c r="K124" i="2"/>
  <c r="J124" i="2"/>
  <c r="I124" i="2"/>
  <c r="H124" i="2"/>
  <c r="G124" i="2"/>
  <c r="O140" i="2"/>
  <c r="N140" i="2"/>
  <c r="M140" i="2"/>
  <c r="L140" i="2"/>
  <c r="K140" i="2"/>
  <c r="J140" i="2"/>
  <c r="I140" i="2"/>
  <c r="H140" i="2"/>
  <c r="G140" i="2"/>
  <c r="O156" i="2"/>
  <c r="N156" i="2"/>
  <c r="M156" i="2"/>
  <c r="L156" i="2"/>
  <c r="K156" i="2"/>
  <c r="J156" i="2"/>
  <c r="I156" i="2"/>
  <c r="H156" i="2"/>
  <c r="G156" i="2"/>
  <c r="O172" i="2"/>
  <c r="N172" i="2"/>
  <c r="M172" i="2"/>
  <c r="L172" i="2"/>
  <c r="K172" i="2"/>
  <c r="J172" i="2"/>
  <c r="I172" i="2"/>
  <c r="H172" i="2"/>
  <c r="G172" i="2"/>
  <c r="O188" i="2"/>
  <c r="N188" i="2"/>
  <c r="M188" i="2"/>
  <c r="L188" i="2"/>
  <c r="K188" i="2"/>
  <c r="J188" i="2"/>
  <c r="I188" i="2"/>
  <c r="H188" i="2"/>
  <c r="G188" i="2"/>
  <c r="O204" i="2"/>
  <c r="N204" i="2"/>
  <c r="M204" i="2"/>
  <c r="L204" i="2"/>
  <c r="K204" i="2"/>
  <c r="J204" i="2"/>
  <c r="I204" i="2"/>
  <c r="H204" i="2"/>
  <c r="G204" i="2"/>
  <c r="O220" i="2"/>
  <c r="N220" i="2"/>
  <c r="M220" i="2"/>
  <c r="H220" i="2"/>
  <c r="L220" i="2"/>
  <c r="K220" i="2"/>
  <c r="J220" i="2"/>
  <c r="I220" i="2"/>
  <c r="G220" i="2"/>
  <c r="O236" i="2"/>
  <c r="N236" i="2"/>
  <c r="M236" i="2"/>
  <c r="H236" i="2"/>
  <c r="L236" i="2"/>
  <c r="K236" i="2"/>
  <c r="J236" i="2"/>
  <c r="I236" i="2"/>
  <c r="G236" i="2"/>
  <c r="O252" i="2"/>
  <c r="N252" i="2"/>
  <c r="M252" i="2"/>
  <c r="H252" i="2"/>
  <c r="L252" i="2"/>
  <c r="K252" i="2"/>
  <c r="J252" i="2"/>
  <c r="I252" i="2"/>
  <c r="G252" i="2"/>
  <c r="O81" i="2"/>
  <c r="N81" i="2"/>
  <c r="M81" i="2"/>
  <c r="L81" i="2"/>
  <c r="K81" i="2"/>
  <c r="J81" i="2"/>
  <c r="I81" i="2"/>
  <c r="H81" i="2"/>
  <c r="G81" i="2"/>
  <c r="O23" i="2"/>
  <c r="N23" i="2"/>
  <c r="M23" i="2"/>
  <c r="L23" i="2"/>
  <c r="K23" i="2"/>
  <c r="J23" i="2"/>
  <c r="I23" i="2"/>
  <c r="H23" i="2"/>
  <c r="G23" i="2"/>
  <c r="O247" i="2"/>
  <c r="N247" i="2"/>
  <c r="M247" i="2"/>
  <c r="L247" i="2"/>
  <c r="K247" i="2"/>
  <c r="J247" i="2"/>
  <c r="I247" i="2"/>
  <c r="H247" i="2"/>
  <c r="G247" i="2"/>
  <c r="O32" i="2"/>
  <c r="N32" i="2"/>
  <c r="M32" i="2"/>
  <c r="L32" i="2"/>
  <c r="G32" i="2"/>
  <c r="K32" i="2"/>
  <c r="J32" i="2"/>
  <c r="I32" i="2"/>
  <c r="H32" i="2"/>
  <c r="O21" i="2"/>
  <c r="N21" i="2"/>
  <c r="M21" i="2"/>
  <c r="L21" i="2"/>
  <c r="K21" i="2"/>
  <c r="J21" i="2"/>
  <c r="I21" i="2"/>
  <c r="H21" i="2"/>
  <c r="G21" i="2"/>
  <c r="O29" i="2"/>
  <c r="N29" i="2"/>
  <c r="M29" i="2"/>
  <c r="L29" i="2"/>
  <c r="K29" i="2"/>
  <c r="J29" i="2"/>
  <c r="I29" i="2"/>
  <c r="H29" i="2"/>
  <c r="G29" i="2"/>
  <c r="O45" i="2"/>
  <c r="N45" i="2"/>
  <c r="M45" i="2"/>
  <c r="L45" i="2"/>
  <c r="K45" i="2"/>
  <c r="J45" i="2"/>
  <c r="I45" i="2"/>
  <c r="H45" i="2"/>
  <c r="G45" i="2"/>
  <c r="O69" i="2"/>
  <c r="N69" i="2"/>
  <c r="M69" i="2"/>
  <c r="L69" i="2"/>
  <c r="K69" i="2"/>
  <c r="J69" i="2"/>
  <c r="I69" i="2"/>
  <c r="H69" i="2"/>
  <c r="G69" i="2"/>
  <c r="O85" i="2"/>
  <c r="N85" i="2"/>
  <c r="M85" i="2"/>
  <c r="L85" i="2"/>
  <c r="K85" i="2"/>
  <c r="J85" i="2"/>
  <c r="I85" i="2"/>
  <c r="H85" i="2"/>
  <c r="G85" i="2"/>
  <c r="O101" i="2"/>
  <c r="N101" i="2"/>
  <c r="M101" i="2"/>
  <c r="L101" i="2"/>
  <c r="K101" i="2"/>
  <c r="J101" i="2"/>
  <c r="I101" i="2"/>
  <c r="H101" i="2"/>
  <c r="G101" i="2"/>
  <c r="O117" i="2"/>
  <c r="N117" i="2"/>
  <c r="M117" i="2"/>
  <c r="L117" i="2"/>
  <c r="K117" i="2"/>
  <c r="J117" i="2"/>
  <c r="I117" i="2"/>
  <c r="H117" i="2"/>
  <c r="G117" i="2"/>
  <c r="O133" i="2"/>
  <c r="N133" i="2"/>
  <c r="M133" i="2"/>
  <c r="L133" i="2"/>
  <c r="K133" i="2"/>
  <c r="J133" i="2"/>
  <c r="I133" i="2"/>
  <c r="H133" i="2"/>
  <c r="G133" i="2"/>
  <c r="O149" i="2"/>
  <c r="N149" i="2"/>
  <c r="M149" i="2"/>
  <c r="L149" i="2"/>
  <c r="K149" i="2"/>
  <c r="J149" i="2"/>
  <c r="I149" i="2"/>
  <c r="H149" i="2"/>
  <c r="G149" i="2"/>
  <c r="O165" i="2"/>
  <c r="N165" i="2"/>
  <c r="M165" i="2"/>
  <c r="L165" i="2"/>
  <c r="K165" i="2"/>
  <c r="J165" i="2"/>
  <c r="I165" i="2"/>
  <c r="H165" i="2"/>
  <c r="G165" i="2"/>
  <c r="O181" i="2"/>
  <c r="N181" i="2"/>
  <c r="M181" i="2"/>
  <c r="L181" i="2"/>
  <c r="K181" i="2"/>
  <c r="J181" i="2"/>
  <c r="I181" i="2"/>
  <c r="H181" i="2"/>
  <c r="G181" i="2"/>
  <c r="O197" i="2"/>
  <c r="N197" i="2"/>
  <c r="M197" i="2"/>
  <c r="L197" i="2"/>
  <c r="K197" i="2"/>
  <c r="J197" i="2"/>
  <c r="I197" i="2"/>
  <c r="H197" i="2"/>
  <c r="G197" i="2"/>
  <c r="O213" i="2"/>
  <c r="N213" i="2"/>
  <c r="M213" i="2"/>
  <c r="L213" i="2"/>
  <c r="K213" i="2"/>
  <c r="J213" i="2"/>
  <c r="I213" i="2"/>
  <c r="H213" i="2"/>
  <c r="G213" i="2"/>
  <c r="O229" i="2"/>
  <c r="N229" i="2"/>
  <c r="M229" i="2"/>
  <c r="L229" i="2"/>
  <c r="K229" i="2"/>
  <c r="J229" i="2"/>
  <c r="I229" i="2"/>
  <c r="H229" i="2"/>
  <c r="G229" i="2"/>
  <c r="O245" i="2"/>
  <c r="N245" i="2"/>
  <c r="M245" i="2"/>
  <c r="L245" i="2"/>
  <c r="K245" i="2"/>
  <c r="J245" i="2"/>
  <c r="I245" i="2"/>
  <c r="H245" i="2"/>
  <c r="G245" i="2"/>
  <c r="O102" i="2"/>
  <c r="N102" i="2"/>
  <c r="M102" i="2"/>
  <c r="L102" i="2"/>
  <c r="K102" i="2"/>
  <c r="J102" i="2"/>
  <c r="I102" i="2"/>
  <c r="H102" i="2"/>
  <c r="G102" i="2"/>
  <c r="O7" i="2"/>
  <c r="N7" i="2"/>
  <c r="M7" i="2"/>
  <c r="L7" i="2"/>
  <c r="K7" i="2"/>
  <c r="J7" i="2"/>
  <c r="I7" i="2"/>
  <c r="H7" i="2"/>
  <c r="G7" i="2"/>
  <c r="O55" i="2"/>
  <c r="N55" i="2"/>
  <c r="M55" i="2"/>
  <c r="L55" i="2"/>
  <c r="K55" i="2"/>
  <c r="J55" i="2"/>
  <c r="I55" i="2"/>
  <c r="H55" i="2"/>
  <c r="G55" i="2"/>
  <c r="O95" i="2"/>
  <c r="N95" i="2"/>
  <c r="M95" i="2"/>
  <c r="L95" i="2"/>
  <c r="K95" i="2"/>
  <c r="J95" i="2"/>
  <c r="I95" i="2"/>
  <c r="H95" i="2"/>
  <c r="G95" i="2"/>
  <c r="N127" i="2"/>
  <c r="O127" i="2"/>
  <c r="M127" i="2"/>
  <c r="L127" i="2"/>
  <c r="K127" i="2"/>
  <c r="J127" i="2"/>
  <c r="I127" i="2"/>
  <c r="H127" i="2"/>
  <c r="G127" i="2"/>
  <c r="O159" i="2"/>
  <c r="N159" i="2"/>
  <c r="M159" i="2"/>
  <c r="L159" i="2"/>
  <c r="K159" i="2"/>
  <c r="J159" i="2"/>
  <c r="I159" i="2"/>
  <c r="H159" i="2"/>
  <c r="G159" i="2"/>
  <c r="O199" i="2"/>
  <c r="N199" i="2"/>
  <c r="M199" i="2"/>
  <c r="L199" i="2"/>
  <c r="K199" i="2"/>
  <c r="J199" i="2"/>
  <c r="I199" i="2"/>
  <c r="H199" i="2"/>
  <c r="G199" i="2"/>
  <c r="O239" i="2"/>
  <c r="N239" i="2"/>
  <c r="M239" i="2"/>
  <c r="L239" i="2"/>
  <c r="K239" i="2"/>
  <c r="J239" i="2"/>
  <c r="I239" i="2"/>
  <c r="H239" i="2"/>
  <c r="G239" i="2"/>
  <c r="O16" i="2"/>
  <c r="N16" i="2"/>
  <c r="M16" i="2"/>
  <c r="L16" i="2"/>
  <c r="G16" i="2"/>
  <c r="K16" i="2"/>
  <c r="J16" i="2"/>
  <c r="I16" i="2"/>
  <c r="H16" i="2"/>
  <c r="O64" i="2"/>
  <c r="N64" i="2"/>
  <c r="M64" i="2"/>
  <c r="L64" i="2"/>
  <c r="G64" i="2"/>
  <c r="K64" i="2"/>
  <c r="J64" i="2"/>
  <c r="I64" i="2"/>
  <c r="H64" i="2"/>
  <c r="O104" i="2"/>
  <c r="N104" i="2"/>
  <c r="M104" i="2"/>
  <c r="L104" i="2"/>
  <c r="K104" i="2"/>
  <c r="J104" i="2"/>
  <c r="I104" i="2"/>
  <c r="H104" i="2"/>
  <c r="G104" i="2"/>
  <c r="O136" i="2"/>
  <c r="N136" i="2"/>
  <c r="M136" i="2"/>
  <c r="L136" i="2"/>
  <c r="K136" i="2"/>
  <c r="J136" i="2"/>
  <c r="I136" i="2"/>
  <c r="H136" i="2"/>
  <c r="G136" i="2"/>
  <c r="O200" i="2"/>
  <c r="N200" i="2"/>
  <c r="M200" i="2"/>
  <c r="L200" i="2"/>
  <c r="K200" i="2"/>
  <c r="J200" i="2"/>
  <c r="I200" i="2"/>
  <c r="H200" i="2"/>
  <c r="G200" i="2"/>
  <c r="O248" i="2"/>
  <c r="N248" i="2"/>
  <c r="M248" i="2"/>
  <c r="H248" i="2"/>
  <c r="L248" i="2"/>
  <c r="K248" i="2"/>
  <c r="J248" i="2"/>
  <c r="I248" i="2"/>
  <c r="G248" i="2"/>
  <c r="O6" i="2"/>
  <c r="N6" i="2"/>
  <c r="M6" i="2"/>
  <c r="L6" i="2"/>
  <c r="K6" i="2"/>
  <c r="J6" i="2"/>
  <c r="I6" i="2"/>
  <c r="H6" i="2"/>
  <c r="G6" i="2"/>
  <c r="O30" i="2"/>
  <c r="N30" i="2"/>
  <c r="M30" i="2"/>
  <c r="L30" i="2"/>
  <c r="K30" i="2"/>
  <c r="J30" i="2"/>
  <c r="I30" i="2"/>
  <c r="H30" i="2"/>
  <c r="G30" i="2"/>
  <c r="O46" i="2"/>
  <c r="N46" i="2"/>
  <c r="M46" i="2"/>
  <c r="L46" i="2"/>
  <c r="K46" i="2"/>
  <c r="J46" i="2"/>
  <c r="I46" i="2"/>
  <c r="H46" i="2"/>
  <c r="G46" i="2"/>
  <c r="O70" i="2"/>
  <c r="N70" i="2"/>
  <c r="M70" i="2"/>
  <c r="L70" i="2"/>
  <c r="K70" i="2"/>
  <c r="J70" i="2"/>
  <c r="I70" i="2"/>
  <c r="H70" i="2"/>
  <c r="G70" i="2"/>
  <c r="O86" i="2"/>
  <c r="N86" i="2"/>
  <c r="M86" i="2"/>
  <c r="L86" i="2"/>
  <c r="K86" i="2"/>
  <c r="J86" i="2"/>
  <c r="I86" i="2"/>
  <c r="H86" i="2"/>
  <c r="G86" i="2"/>
  <c r="O110" i="2"/>
  <c r="N110" i="2"/>
  <c r="M110" i="2"/>
  <c r="L110" i="2"/>
  <c r="K110" i="2"/>
  <c r="J110" i="2"/>
  <c r="I110" i="2"/>
  <c r="H110" i="2"/>
  <c r="G110" i="2"/>
  <c r="O126" i="2"/>
  <c r="N126" i="2"/>
  <c r="M126" i="2"/>
  <c r="L126" i="2"/>
  <c r="K126" i="2"/>
  <c r="J126" i="2"/>
  <c r="I126" i="2"/>
  <c r="H126" i="2"/>
  <c r="G126" i="2"/>
  <c r="O142" i="2"/>
  <c r="N142" i="2"/>
  <c r="M142" i="2"/>
  <c r="L142" i="2"/>
  <c r="K142" i="2"/>
  <c r="J142" i="2"/>
  <c r="I142" i="2"/>
  <c r="H142" i="2"/>
  <c r="G142" i="2"/>
  <c r="O158" i="2"/>
  <c r="N158" i="2"/>
  <c r="M158" i="2"/>
  <c r="L158" i="2"/>
  <c r="K158" i="2"/>
  <c r="J158" i="2"/>
  <c r="I158" i="2"/>
  <c r="H158" i="2"/>
  <c r="G158" i="2"/>
  <c r="O174" i="2"/>
  <c r="N174" i="2"/>
  <c r="M174" i="2"/>
  <c r="L174" i="2"/>
  <c r="K174" i="2"/>
  <c r="J174" i="2"/>
  <c r="I174" i="2"/>
  <c r="H174" i="2"/>
  <c r="G174" i="2"/>
  <c r="O198" i="2"/>
  <c r="N198" i="2"/>
  <c r="M198" i="2"/>
  <c r="L198" i="2"/>
  <c r="K198" i="2"/>
  <c r="J198" i="2"/>
  <c r="I198" i="2"/>
  <c r="H198" i="2"/>
  <c r="G198" i="2"/>
  <c r="O214" i="2"/>
  <c r="N214" i="2"/>
  <c r="M214" i="2"/>
  <c r="L214" i="2"/>
  <c r="K214" i="2"/>
  <c r="J214" i="2"/>
  <c r="I214" i="2"/>
  <c r="H214" i="2"/>
  <c r="G214" i="2"/>
  <c r="O230" i="2"/>
  <c r="N230" i="2"/>
  <c r="M230" i="2"/>
  <c r="L230" i="2"/>
  <c r="K230" i="2"/>
  <c r="J230" i="2"/>
  <c r="I230" i="2"/>
  <c r="H230" i="2"/>
  <c r="G230" i="2"/>
  <c r="O246" i="2"/>
  <c r="N246" i="2"/>
  <c r="M246" i="2"/>
  <c r="L246" i="2"/>
  <c r="K246" i="2"/>
  <c r="J246" i="2"/>
  <c r="I246" i="2"/>
  <c r="H246" i="2"/>
  <c r="G246" i="2"/>
  <c r="O97" i="2"/>
  <c r="N97" i="2"/>
  <c r="M97" i="2"/>
  <c r="L97" i="2"/>
  <c r="K97" i="2"/>
  <c r="J97" i="2"/>
  <c r="I97" i="2"/>
  <c r="H97" i="2"/>
  <c r="G97" i="2"/>
  <c r="O15" i="2"/>
  <c r="N15" i="2"/>
  <c r="M15" i="2"/>
  <c r="L15" i="2"/>
  <c r="K15" i="2"/>
  <c r="J15" i="2"/>
  <c r="I15" i="2"/>
  <c r="H15" i="2"/>
  <c r="G15" i="2"/>
  <c r="O63" i="2"/>
  <c r="N63" i="2"/>
  <c r="M63" i="2"/>
  <c r="L63" i="2"/>
  <c r="K63" i="2"/>
  <c r="J63" i="2"/>
  <c r="I63" i="2"/>
  <c r="H63" i="2"/>
  <c r="G63" i="2"/>
  <c r="O87" i="2"/>
  <c r="N87" i="2"/>
  <c r="M87" i="2"/>
  <c r="L87" i="2"/>
  <c r="K87" i="2"/>
  <c r="J87" i="2"/>
  <c r="I87" i="2"/>
  <c r="H87" i="2"/>
  <c r="G87" i="2"/>
  <c r="O119" i="2"/>
  <c r="N119" i="2"/>
  <c r="M119" i="2"/>
  <c r="L119" i="2"/>
  <c r="K119" i="2"/>
  <c r="J119" i="2"/>
  <c r="I119" i="2"/>
  <c r="H119" i="2"/>
  <c r="G119" i="2"/>
  <c r="O151" i="2"/>
  <c r="N151" i="2"/>
  <c r="M151" i="2"/>
  <c r="L151" i="2"/>
  <c r="K151" i="2"/>
  <c r="J151" i="2"/>
  <c r="I151" i="2"/>
  <c r="H151" i="2"/>
  <c r="G151" i="2"/>
  <c r="O207" i="2"/>
  <c r="N207" i="2"/>
  <c r="M207" i="2"/>
  <c r="L207" i="2"/>
  <c r="K207" i="2"/>
  <c r="J207" i="2"/>
  <c r="I207" i="2"/>
  <c r="H207" i="2"/>
  <c r="G207" i="2"/>
  <c r="O8" i="2"/>
  <c r="N8" i="2"/>
  <c r="M8" i="2"/>
  <c r="L8" i="2"/>
  <c r="G8" i="2"/>
  <c r="K8" i="2"/>
  <c r="J8" i="2"/>
  <c r="I8" i="2"/>
  <c r="H8" i="2"/>
  <c r="O72" i="2"/>
  <c r="N72" i="2"/>
  <c r="M72" i="2"/>
  <c r="L72" i="2"/>
  <c r="G72" i="2"/>
  <c r="K72" i="2"/>
  <c r="J72" i="2"/>
  <c r="I72" i="2"/>
  <c r="H72" i="2"/>
  <c r="O120" i="2"/>
  <c r="N120" i="2"/>
  <c r="M120" i="2"/>
  <c r="L120" i="2"/>
  <c r="K120" i="2"/>
  <c r="J120" i="2"/>
  <c r="I120" i="2"/>
  <c r="H120" i="2"/>
  <c r="G120" i="2"/>
  <c r="O176" i="2"/>
  <c r="N176" i="2"/>
  <c r="M176" i="2"/>
  <c r="L176" i="2"/>
  <c r="K176" i="2"/>
  <c r="J176" i="2"/>
  <c r="I176" i="2"/>
  <c r="H176" i="2"/>
  <c r="G176" i="2"/>
  <c r="O208" i="2"/>
  <c r="N208" i="2"/>
  <c r="M208" i="2"/>
  <c r="H208" i="2"/>
  <c r="L208" i="2"/>
  <c r="K208" i="2"/>
  <c r="J208" i="2"/>
  <c r="I208" i="2"/>
  <c r="G208" i="2"/>
  <c r="O9" i="2"/>
  <c r="N9" i="2"/>
  <c r="M9" i="2"/>
  <c r="L9" i="2"/>
  <c r="K9" i="2"/>
  <c r="J9" i="2"/>
  <c r="I9" i="2"/>
  <c r="H9" i="2"/>
  <c r="G9" i="2"/>
  <c r="O25" i="2"/>
  <c r="N25" i="2"/>
  <c r="M25" i="2"/>
  <c r="L25" i="2"/>
  <c r="K25" i="2"/>
  <c r="J25" i="2"/>
  <c r="I25" i="2"/>
  <c r="H25" i="2"/>
  <c r="G25" i="2"/>
  <c r="O41" i="2"/>
  <c r="N41" i="2"/>
  <c r="M41" i="2"/>
  <c r="L41" i="2"/>
  <c r="K41" i="2"/>
  <c r="J41" i="2"/>
  <c r="I41" i="2"/>
  <c r="H41" i="2"/>
  <c r="G41" i="2"/>
  <c r="O57" i="2"/>
  <c r="N57" i="2"/>
  <c r="M57" i="2"/>
  <c r="L57" i="2"/>
  <c r="K57" i="2"/>
  <c r="J57" i="2"/>
  <c r="I57" i="2"/>
  <c r="H57" i="2"/>
  <c r="G57" i="2"/>
  <c r="O89" i="2"/>
  <c r="N89" i="2"/>
  <c r="M89" i="2"/>
  <c r="L89" i="2"/>
  <c r="K89" i="2"/>
  <c r="J89" i="2"/>
  <c r="I89" i="2"/>
  <c r="H89" i="2"/>
  <c r="G89" i="2"/>
  <c r="O113" i="2"/>
  <c r="N113" i="2"/>
  <c r="M113" i="2"/>
  <c r="L113" i="2"/>
  <c r="K113" i="2"/>
  <c r="J113" i="2"/>
  <c r="I113" i="2"/>
  <c r="H113" i="2"/>
  <c r="G113" i="2"/>
  <c r="O153" i="2"/>
  <c r="N153" i="2"/>
  <c r="M153" i="2"/>
  <c r="L153" i="2"/>
  <c r="K153" i="2"/>
  <c r="J153" i="2"/>
  <c r="I153" i="2"/>
  <c r="H153" i="2"/>
  <c r="G153" i="2"/>
  <c r="O169" i="2"/>
  <c r="N169" i="2"/>
  <c r="M169" i="2"/>
  <c r="L169" i="2"/>
  <c r="K169" i="2"/>
  <c r="J169" i="2"/>
  <c r="I169" i="2"/>
  <c r="H169" i="2"/>
  <c r="G169" i="2"/>
  <c r="O185" i="2"/>
  <c r="N185" i="2"/>
  <c r="M185" i="2"/>
  <c r="L185" i="2"/>
  <c r="K185" i="2"/>
  <c r="J185" i="2"/>
  <c r="I185" i="2"/>
  <c r="H185" i="2"/>
  <c r="G185" i="2"/>
  <c r="O209" i="2"/>
  <c r="N209" i="2"/>
  <c r="M209" i="2"/>
  <c r="L209" i="2"/>
  <c r="K209" i="2"/>
  <c r="J209" i="2"/>
  <c r="I209" i="2"/>
  <c r="H209" i="2"/>
  <c r="G209" i="2"/>
  <c r="O233" i="2"/>
  <c r="N233" i="2"/>
  <c r="M233" i="2"/>
  <c r="L233" i="2"/>
  <c r="K233" i="2"/>
  <c r="J233" i="2"/>
  <c r="I233" i="2"/>
  <c r="H233" i="2"/>
  <c r="G233" i="2"/>
  <c r="O10" i="2"/>
  <c r="N10" i="2"/>
  <c r="M10" i="2"/>
  <c r="L10" i="2"/>
  <c r="K10" i="2"/>
  <c r="J10" i="2"/>
  <c r="I10" i="2"/>
  <c r="H10" i="2"/>
  <c r="G10" i="2"/>
  <c r="O26" i="2"/>
  <c r="N26" i="2"/>
  <c r="M26" i="2"/>
  <c r="L26" i="2"/>
  <c r="K26" i="2"/>
  <c r="J26" i="2"/>
  <c r="I26" i="2"/>
  <c r="H26" i="2"/>
  <c r="G26" i="2"/>
  <c r="O42" i="2"/>
  <c r="N42" i="2"/>
  <c r="M42" i="2"/>
  <c r="L42" i="2"/>
  <c r="K42" i="2"/>
  <c r="J42" i="2"/>
  <c r="I42" i="2"/>
  <c r="H42" i="2"/>
  <c r="G42" i="2"/>
  <c r="O66" i="2"/>
  <c r="N66" i="2"/>
  <c r="M66" i="2"/>
  <c r="L66" i="2"/>
  <c r="K66" i="2"/>
  <c r="J66" i="2"/>
  <c r="I66" i="2"/>
  <c r="H66" i="2"/>
  <c r="G66" i="2"/>
  <c r="O82" i="2"/>
  <c r="N82" i="2"/>
  <c r="M82" i="2"/>
  <c r="L82" i="2"/>
  <c r="K82" i="2"/>
  <c r="J82" i="2"/>
  <c r="I82" i="2"/>
  <c r="H82" i="2"/>
  <c r="G82" i="2"/>
  <c r="O98" i="2"/>
  <c r="N98" i="2"/>
  <c r="M98" i="2"/>
  <c r="L98" i="2"/>
  <c r="K98" i="2"/>
  <c r="J98" i="2"/>
  <c r="I98" i="2"/>
  <c r="H98" i="2"/>
  <c r="G98" i="2"/>
  <c r="O114" i="2"/>
  <c r="N114" i="2"/>
  <c r="M114" i="2"/>
  <c r="L114" i="2"/>
  <c r="K114" i="2"/>
  <c r="J114" i="2"/>
  <c r="I114" i="2"/>
  <c r="H114" i="2"/>
  <c r="G114" i="2"/>
  <c r="O130" i="2"/>
  <c r="N130" i="2"/>
  <c r="M130" i="2"/>
  <c r="L130" i="2"/>
  <c r="K130" i="2"/>
  <c r="J130" i="2"/>
  <c r="I130" i="2"/>
  <c r="H130" i="2"/>
  <c r="G130" i="2"/>
  <c r="O146" i="2"/>
  <c r="N146" i="2"/>
  <c r="M146" i="2"/>
  <c r="L146" i="2"/>
  <c r="K146" i="2"/>
  <c r="J146" i="2"/>
  <c r="I146" i="2"/>
  <c r="H146" i="2"/>
  <c r="G146" i="2"/>
  <c r="O162" i="2"/>
  <c r="N162" i="2"/>
  <c r="M162" i="2"/>
  <c r="L162" i="2"/>
  <c r="K162" i="2"/>
  <c r="J162" i="2"/>
  <c r="I162" i="2"/>
  <c r="H162" i="2"/>
  <c r="G162" i="2"/>
  <c r="O178" i="2"/>
  <c r="N178" i="2"/>
  <c r="M178" i="2"/>
  <c r="L178" i="2"/>
  <c r="K178" i="2"/>
  <c r="J178" i="2"/>
  <c r="I178" i="2"/>
  <c r="H178" i="2"/>
  <c r="G178" i="2"/>
  <c r="O194" i="2"/>
  <c r="N194" i="2"/>
  <c r="M194" i="2"/>
  <c r="L194" i="2"/>
  <c r="K194" i="2"/>
  <c r="J194" i="2"/>
  <c r="I194" i="2"/>
  <c r="H194" i="2"/>
  <c r="G194" i="2"/>
  <c r="O210" i="2"/>
  <c r="N210" i="2"/>
  <c r="M210" i="2"/>
  <c r="L210" i="2"/>
  <c r="K210" i="2"/>
  <c r="J210" i="2"/>
  <c r="I210" i="2"/>
  <c r="H210" i="2"/>
  <c r="G210" i="2"/>
  <c r="O226" i="2"/>
  <c r="N226" i="2"/>
  <c r="M226" i="2"/>
  <c r="L226" i="2"/>
  <c r="K226" i="2"/>
  <c r="J226" i="2"/>
  <c r="I226" i="2"/>
  <c r="H226" i="2"/>
  <c r="G226" i="2"/>
  <c r="O242" i="2"/>
  <c r="N242" i="2"/>
  <c r="M242" i="2"/>
  <c r="L242" i="2"/>
  <c r="K242" i="2"/>
  <c r="J242" i="2"/>
  <c r="I242" i="2"/>
  <c r="H242" i="2"/>
  <c r="G242" i="2"/>
  <c r="O144" i="2"/>
  <c r="N144" i="2"/>
  <c r="M144" i="2"/>
  <c r="L144" i="2"/>
  <c r="K144" i="2"/>
  <c r="J144" i="2"/>
  <c r="I144" i="2"/>
  <c r="H144" i="2"/>
  <c r="G144" i="2"/>
  <c r="I209" i="3"/>
  <c r="J211" i="3"/>
  <c r="G210" i="3"/>
  <c r="AF210" i="3"/>
  <c r="AD210" i="3"/>
  <c r="AA210" i="3"/>
  <c r="AB210" i="3"/>
  <c r="W210" i="3"/>
  <c r="V210" i="3"/>
  <c r="S210" i="3"/>
  <c r="Q210" i="3"/>
  <c r="P210" i="3"/>
  <c r="O210" i="3"/>
  <c r="L210" i="3"/>
  <c r="N210" i="3"/>
  <c r="J210" i="3"/>
  <c r="G211" i="3"/>
  <c r="AG210" i="3"/>
  <c r="AE210" i="3"/>
  <c r="AC210" i="3"/>
  <c r="Z210" i="3"/>
  <c r="Y210" i="3"/>
  <c r="X210" i="3"/>
  <c r="U210" i="3"/>
  <c r="T210" i="3"/>
  <c r="M210" i="3"/>
  <c r="R210" i="3"/>
  <c r="I210" i="3"/>
  <c r="H210" i="3"/>
  <c r="K210" i="3"/>
  <c r="G209" i="3"/>
  <c r="AG211" i="3"/>
  <c r="AD211" i="3"/>
  <c r="AB211" i="3"/>
  <c r="Z211" i="3"/>
  <c r="Y211" i="3"/>
  <c r="U211" i="3"/>
  <c r="T211" i="3"/>
  <c r="N211" i="3"/>
  <c r="M211" i="3"/>
  <c r="R211" i="3"/>
  <c r="I211" i="3"/>
  <c r="H211" i="3"/>
  <c r="AE209" i="3"/>
  <c r="AD209" i="3"/>
  <c r="AB209" i="3"/>
  <c r="Y209" i="3"/>
  <c r="AC209" i="3"/>
  <c r="V209" i="3"/>
  <c r="S209" i="3"/>
  <c r="T209" i="3"/>
  <c r="M209" i="3"/>
  <c r="O209" i="3"/>
  <c r="L209" i="3"/>
  <c r="K209" i="3"/>
  <c r="AF211" i="3"/>
  <c r="AE211" i="3"/>
  <c r="AC211" i="3"/>
  <c r="AA211" i="3"/>
  <c r="W211" i="3"/>
  <c r="X211" i="3"/>
  <c r="V211" i="3"/>
  <c r="S211" i="3"/>
  <c r="Q211" i="3"/>
  <c r="P211" i="3"/>
  <c r="O211" i="3"/>
  <c r="L211" i="3"/>
  <c r="K211" i="3"/>
  <c r="AF209" i="3"/>
  <c r="AG209" i="3"/>
  <c r="AA209" i="3"/>
  <c r="Z209" i="3"/>
  <c r="X209" i="3"/>
  <c r="W209" i="3"/>
  <c r="U209" i="3"/>
  <c r="R209" i="3"/>
  <c r="Q209" i="3"/>
  <c r="P209" i="3"/>
  <c r="N209" i="3"/>
  <c r="H209" i="3"/>
  <c r="J209" i="3"/>
  <c r="G234" i="3"/>
  <c r="G233" i="3"/>
  <c r="G235" i="3"/>
  <c r="I233" i="3"/>
  <c r="AG235" i="3"/>
  <c r="AE235" i="3"/>
  <c r="AD235" i="3"/>
  <c r="Z235" i="3"/>
  <c r="X235" i="3"/>
  <c r="W235" i="3"/>
  <c r="T235" i="3"/>
  <c r="R235" i="3"/>
  <c r="Q235" i="3"/>
  <c r="P235" i="3"/>
  <c r="I235" i="3"/>
  <c r="H235" i="3"/>
  <c r="AF233" i="3"/>
  <c r="AG233" i="3"/>
  <c r="AD233" i="3"/>
  <c r="AB233" i="3"/>
  <c r="Y233" i="3"/>
  <c r="W233" i="3"/>
  <c r="U233" i="3"/>
  <c r="T233" i="3"/>
  <c r="M233" i="3"/>
  <c r="O233" i="3"/>
  <c r="N233" i="3"/>
  <c r="H233" i="3"/>
  <c r="J233" i="3"/>
  <c r="AG234" i="3"/>
  <c r="AD234" i="3"/>
  <c r="AE234" i="3"/>
  <c r="Z234" i="3"/>
  <c r="W234" i="3"/>
  <c r="X234" i="3"/>
  <c r="U234" i="3"/>
  <c r="T234" i="3"/>
  <c r="M234" i="3"/>
  <c r="O234" i="3"/>
  <c r="R234" i="3"/>
  <c r="H234" i="3"/>
  <c r="J234" i="3"/>
  <c r="J235" i="3"/>
  <c r="AF235" i="3"/>
  <c r="AC235" i="3"/>
  <c r="AB235" i="3"/>
  <c r="AA235" i="3"/>
  <c r="Y235" i="3"/>
  <c r="U235" i="3"/>
  <c r="V235" i="3"/>
  <c r="S235" i="3"/>
  <c r="N235" i="3"/>
  <c r="M235" i="3"/>
  <c r="O235" i="3"/>
  <c r="L235" i="3"/>
  <c r="K235" i="3"/>
  <c r="AE233" i="3"/>
  <c r="AA233" i="3"/>
  <c r="AC233" i="3"/>
  <c r="Z233" i="3"/>
  <c r="X233" i="3"/>
  <c r="V233" i="3"/>
  <c r="S233" i="3"/>
  <c r="Q233" i="3"/>
  <c r="P233" i="3"/>
  <c r="R233" i="3"/>
  <c r="L233" i="3"/>
  <c r="K233" i="3"/>
  <c r="N234" i="3"/>
  <c r="AF234" i="3"/>
  <c r="AC234" i="3"/>
  <c r="AA234" i="3"/>
  <c r="Y234" i="3"/>
  <c r="AB234" i="3"/>
  <c r="V234" i="3"/>
  <c r="S234" i="3"/>
  <c r="Q234" i="3"/>
  <c r="P234" i="3"/>
  <c r="I234" i="3"/>
  <c r="L234" i="3"/>
  <c r="K234" i="3"/>
  <c r="J163" i="3"/>
  <c r="G161" i="3"/>
  <c r="G162" i="3"/>
  <c r="G163" i="3"/>
  <c r="AF163" i="3"/>
  <c r="AG163" i="3"/>
  <c r="AC163" i="3"/>
  <c r="AA163" i="3"/>
  <c r="W163" i="3"/>
  <c r="X163" i="3"/>
  <c r="V163" i="3"/>
  <c r="S163" i="3"/>
  <c r="N163" i="3"/>
  <c r="M163" i="3"/>
  <c r="O163" i="3"/>
  <c r="L163" i="3"/>
  <c r="K163" i="3"/>
  <c r="AE163" i="3"/>
  <c r="AD163" i="3"/>
  <c r="AB163" i="3"/>
  <c r="Z163" i="3"/>
  <c r="Y163" i="3"/>
  <c r="U163" i="3"/>
  <c r="T163" i="3"/>
  <c r="R163" i="3"/>
  <c r="Q163" i="3"/>
  <c r="P163" i="3"/>
  <c r="I163" i="3"/>
  <c r="H163" i="3"/>
  <c r="I161" i="3"/>
  <c r="AE161" i="3"/>
  <c r="AD161" i="3"/>
  <c r="AA161" i="3"/>
  <c r="AC161" i="3"/>
  <c r="Y161" i="3"/>
  <c r="V161" i="3"/>
  <c r="W161" i="3"/>
  <c r="R161" i="3"/>
  <c r="Q161" i="3"/>
  <c r="P161" i="3"/>
  <c r="N161" i="3"/>
  <c r="H161" i="3"/>
  <c r="J161" i="3"/>
  <c r="AE162" i="3"/>
  <c r="AD162" i="3"/>
  <c r="AB162" i="3"/>
  <c r="Y162" i="3"/>
  <c r="AA162" i="3"/>
  <c r="V162" i="3"/>
  <c r="S162" i="3"/>
  <c r="T162" i="3"/>
  <c r="M162" i="3"/>
  <c r="O162" i="3"/>
  <c r="L162" i="3"/>
  <c r="K162" i="3"/>
  <c r="J162" i="3"/>
  <c r="AF161" i="3"/>
  <c r="AB161" i="3"/>
  <c r="AG161" i="3"/>
  <c r="Z161" i="3"/>
  <c r="X161" i="3"/>
  <c r="U161" i="3"/>
  <c r="S161" i="3"/>
  <c r="T161" i="3"/>
  <c r="M161" i="3"/>
  <c r="O161" i="3"/>
  <c r="L161" i="3"/>
  <c r="K161" i="3"/>
  <c r="AG162" i="3"/>
  <c r="AF162" i="3"/>
  <c r="AC162" i="3"/>
  <c r="Z162" i="3"/>
  <c r="W162" i="3"/>
  <c r="X162" i="3"/>
  <c r="U162" i="3"/>
  <c r="R162" i="3"/>
  <c r="Q162" i="3"/>
  <c r="P162" i="3"/>
  <c r="I162" i="3"/>
  <c r="H162" i="3"/>
  <c r="N162" i="3"/>
  <c r="G201" i="3"/>
  <c r="G202" i="3"/>
  <c r="AE200" i="3"/>
  <c r="AD200" i="3"/>
  <c r="AB200" i="3"/>
  <c r="Y200" i="3"/>
  <c r="X200" i="3"/>
  <c r="V200" i="3"/>
  <c r="R200" i="3"/>
  <c r="S200" i="3"/>
  <c r="O200" i="3"/>
  <c r="L200" i="3"/>
  <c r="M200" i="3"/>
  <c r="J200" i="3"/>
  <c r="I200" i="3"/>
  <c r="AG200" i="3"/>
  <c r="AF200" i="3"/>
  <c r="AC200" i="3"/>
  <c r="Z200" i="3"/>
  <c r="AA200" i="3"/>
  <c r="W200" i="3"/>
  <c r="U200" i="3"/>
  <c r="T200" i="3"/>
  <c r="P200" i="3"/>
  <c r="N200" i="3"/>
  <c r="H200" i="3"/>
  <c r="K200" i="3"/>
  <c r="Q200" i="3"/>
  <c r="AF201" i="3"/>
  <c r="AG201" i="3"/>
  <c r="AA201" i="3"/>
  <c r="AB201" i="3"/>
  <c r="Y201" i="3"/>
  <c r="V201" i="3"/>
  <c r="U201" i="3"/>
  <c r="R201" i="3"/>
  <c r="Q201" i="3"/>
  <c r="P201" i="3"/>
  <c r="N201" i="3"/>
  <c r="H201" i="3"/>
  <c r="J201" i="3"/>
  <c r="AF202" i="3"/>
  <c r="AC202" i="3"/>
  <c r="AB202" i="3"/>
  <c r="Y202" i="3"/>
  <c r="AA202" i="3"/>
  <c r="V202" i="3"/>
  <c r="S202" i="3"/>
  <c r="R202" i="3"/>
  <c r="M202" i="3"/>
  <c r="O202" i="3"/>
  <c r="L202" i="3"/>
  <c r="N202" i="3"/>
  <c r="J202" i="3"/>
  <c r="AE201" i="3"/>
  <c r="AD201" i="3"/>
  <c r="AC201" i="3"/>
  <c r="Z201" i="3"/>
  <c r="X201" i="3"/>
  <c r="W201" i="3"/>
  <c r="S201" i="3"/>
  <c r="T201" i="3"/>
  <c r="M201" i="3"/>
  <c r="O201" i="3"/>
  <c r="L201" i="3"/>
  <c r="K201" i="3"/>
  <c r="G200" i="3"/>
  <c r="I201" i="3"/>
  <c r="AG202" i="3"/>
  <c r="AD202" i="3"/>
  <c r="AE202" i="3"/>
  <c r="Z202" i="3"/>
  <c r="W202" i="3"/>
  <c r="X202" i="3"/>
  <c r="U202" i="3"/>
  <c r="T202" i="3"/>
  <c r="Q202" i="3"/>
  <c r="P202" i="3"/>
  <c r="I202" i="3"/>
  <c r="H202" i="3"/>
  <c r="K202" i="3"/>
  <c r="G169" i="3"/>
  <c r="I169" i="3"/>
  <c r="N170" i="3"/>
  <c r="G168" i="3"/>
  <c r="G170" i="3"/>
  <c r="AF169" i="3"/>
  <c r="AA169" i="3"/>
  <c r="AD169" i="3"/>
  <c r="AB169" i="3"/>
  <c r="X169" i="3"/>
  <c r="V169" i="3"/>
  <c r="S169" i="3"/>
  <c r="T169" i="3"/>
  <c r="M169" i="3"/>
  <c r="O169" i="3"/>
  <c r="L169" i="3"/>
  <c r="K169" i="3"/>
  <c r="AG168" i="3"/>
  <c r="AF168" i="3"/>
  <c r="AD168" i="3"/>
  <c r="Z168" i="3"/>
  <c r="Y168" i="3"/>
  <c r="W168" i="3"/>
  <c r="U168" i="3"/>
  <c r="T168" i="3"/>
  <c r="P168" i="3"/>
  <c r="N168" i="3"/>
  <c r="H168" i="3"/>
  <c r="K168" i="3"/>
  <c r="M168" i="3"/>
  <c r="AF170" i="3"/>
  <c r="AD170" i="3"/>
  <c r="AB170" i="3"/>
  <c r="Z170" i="3"/>
  <c r="W170" i="3"/>
  <c r="V170" i="3"/>
  <c r="S170" i="3"/>
  <c r="T170" i="3"/>
  <c r="M170" i="3"/>
  <c r="O170" i="3"/>
  <c r="L170" i="3"/>
  <c r="K170" i="3"/>
  <c r="AE169" i="3"/>
  <c r="AG169" i="3"/>
  <c r="AC169" i="3"/>
  <c r="Z169" i="3"/>
  <c r="Y169" i="3"/>
  <c r="W169" i="3"/>
  <c r="U169" i="3"/>
  <c r="R169" i="3"/>
  <c r="Q169" i="3"/>
  <c r="P169" i="3"/>
  <c r="N169" i="3"/>
  <c r="H169" i="3"/>
  <c r="J169" i="3"/>
  <c r="AC168" i="3"/>
  <c r="AE168" i="3"/>
  <c r="AB168" i="3"/>
  <c r="AA168" i="3"/>
  <c r="X168" i="3"/>
  <c r="V168" i="3"/>
  <c r="R168" i="3"/>
  <c r="S168" i="3"/>
  <c r="O168" i="3"/>
  <c r="L168" i="3"/>
  <c r="Q168" i="3"/>
  <c r="J168" i="3"/>
  <c r="I168" i="3"/>
  <c r="AG170" i="3"/>
  <c r="AE170" i="3"/>
  <c r="AC170" i="3"/>
  <c r="AA170" i="3"/>
  <c r="Y170" i="3"/>
  <c r="X170" i="3"/>
  <c r="U170" i="3"/>
  <c r="R170" i="3"/>
  <c r="Q170" i="3"/>
  <c r="P170" i="3"/>
  <c r="I170" i="3"/>
  <c r="H170" i="3"/>
  <c r="J170" i="3"/>
  <c r="AD120" i="3"/>
  <c r="AG120" i="3"/>
  <c r="AE120" i="3"/>
  <c r="Y120" i="3"/>
  <c r="X120" i="3"/>
  <c r="AA120" i="3"/>
  <c r="U120" i="3"/>
  <c r="T120" i="3"/>
  <c r="P120" i="3"/>
  <c r="N120" i="3"/>
  <c r="L120" i="3"/>
  <c r="K120" i="3"/>
  <c r="J120" i="3"/>
  <c r="AC120" i="3"/>
  <c r="AF120" i="3"/>
  <c r="Z120" i="3"/>
  <c r="AB120" i="3"/>
  <c r="W120" i="3"/>
  <c r="V120" i="3"/>
  <c r="R120" i="3"/>
  <c r="S120" i="3"/>
  <c r="O120" i="3"/>
  <c r="M120" i="3"/>
  <c r="H120" i="3"/>
  <c r="Q120" i="3"/>
  <c r="I120" i="3"/>
  <c r="G120" i="3"/>
  <c r="AE65" i="3"/>
  <c r="AG65" i="3"/>
  <c r="AB65" i="3"/>
  <c r="Z65" i="3"/>
  <c r="X65" i="3"/>
  <c r="T65" i="3"/>
  <c r="V65" i="3"/>
  <c r="S65" i="3"/>
  <c r="Q65" i="3"/>
  <c r="P65" i="3"/>
  <c r="N65" i="3"/>
  <c r="L65" i="3"/>
  <c r="J65" i="3"/>
  <c r="G66" i="3"/>
  <c r="G64" i="3"/>
  <c r="AF65" i="3"/>
  <c r="AA65" i="3"/>
  <c r="AD65" i="3"/>
  <c r="AC65" i="3"/>
  <c r="Y65" i="3"/>
  <c r="W65" i="3"/>
  <c r="U65" i="3"/>
  <c r="R65" i="3"/>
  <c r="M65" i="3"/>
  <c r="O65" i="3"/>
  <c r="H65" i="3"/>
  <c r="K65" i="3"/>
  <c r="AE66" i="3"/>
  <c r="AF66" i="3"/>
  <c r="AB66" i="3"/>
  <c r="Z66" i="3"/>
  <c r="Y66" i="3"/>
  <c r="X66" i="3"/>
  <c r="V66" i="3"/>
  <c r="S66" i="3"/>
  <c r="Q66" i="3"/>
  <c r="P66" i="3"/>
  <c r="O66" i="3"/>
  <c r="N66" i="3"/>
  <c r="K66" i="3"/>
  <c r="AE64" i="3"/>
  <c r="AF64" i="3"/>
  <c r="AB64" i="3"/>
  <c r="Z64" i="3"/>
  <c r="Y64" i="3"/>
  <c r="W64" i="3"/>
  <c r="U64" i="3"/>
  <c r="R64" i="3"/>
  <c r="P64" i="3"/>
  <c r="O64" i="3"/>
  <c r="H64" i="3"/>
  <c r="K64" i="3"/>
  <c r="J64" i="3"/>
  <c r="G65" i="3"/>
  <c r="AG66" i="3"/>
  <c r="AC66" i="3"/>
  <c r="AD66" i="3"/>
  <c r="AA66" i="3"/>
  <c r="W66" i="3"/>
  <c r="T66" i="3"/>
  <c r="U66" i="3"/>
  <c r="R66" i="3"/>
  <c r="M66" i="3"/>
  <c r="L66" i="3"/>
  <c r="I66" i="3"/>
  <c r="H66" i="3"/>
  <c r="J66" i="3"/>
  <c r="AG64" i="3"/>
  <c r="AC64" i="3"/>
  <c r="AD64" i="3"/>
  <c r="AA64" i="3"/>
  <c r="X64" i="3"/>
  <c r="V64" i="3"/>
  <c r="T64" i="3"/>
  <c r="S64" i="3"/>
  <c r="L64" i="3"/>
  <c r="N64" i="3"/>
  <c r="M64" i="3"/>
  <c r="Q64" i="3"/>
  <c r="I64" i="3"/>
  <c r="I65" i="3"/>
  <c r="G40" i="3"/>
  <c r="AF40" i="3"/>
  <c r="AE40" i="3"/>
  <c r="AD40" i="3"/>
  <c r="AA40" i="3"/>
  <c r="Z40" i="3"/>
  <c r="W40" i="3"/>
  <c r="U40" i="3"/>
  <c r="R40" i="3"/>
  <c r="P40" i="3"/>
  <c r="O40" i="3"/>
  <c r="H40" i="3"/>
  <c r="K40" i="3"/>
  <c r="M40" i="3"/>
  <c r="AG40" i="3"/>
  <c r="AB40" i="3"/>
  <c r="AC40" i="3"/>
  <c r="Y40" i="3"/>
  <c r="X40" i="3"/>
  <c r="V40" i="3"/>
  <c r="T40" i="3"/>
  <c r="S40" i="3"/>
  <c r="L40" i="3"/>
  <c r="N40" i="3"/>
  <c r="Q40" i="3"/>
  <c r="J40" i="3"/>
  <c r="I40" i="3"/>
  <c r="AG16" i="3"/>
  <c r="AC16" i="3"/>
  <c r="AD16" i="3"/>
  <c r="Z16" i="3"/>
  <c r="X16" i="3"/>
  <c r="V16" i="3"/>
  <c r="T16" i="3"/>
  <c r="S16" i="3"/>
  <c r="L16" i="3"/>
  <c r="N16" i="3"/>
  <c r="K16" i="3"/>
  <c r="J16" i="3"/>
  <c r="I16" i="3"/>
  <c r="AF16" i="3"/>
  <c r="AE16" i="3"/>
  <c r="AB16" i="3"/>
  <c r="AA16" i="3"/>
  <c r="Y16" i="3"/>
  <c r="W16" i="3"/>
  <c r="U16" i="3"/>
  <c r="R16" i="3"/>
  <c r="P16" i="3"/>
  <c r="O16" i="3"/>
  <c r="H16" i="3"/>
  <c r="M16" i="3"/>
  <c r="Q16" i="3"/>
  <c r="G16" i="3"/>
  <c r="G232" i="3"/>
  <c r="G231" i="3"/>
  <c r="H231" i="3"/>
  <c r="AE232" i="3"/>
  <c r="AF232" i="3"/>
  <c r="AB232" i="3"/>
  <c r="AA232" i="3"/>
  <c r="X232" i="3"/>
  <c r="V232" i="3"/>
  <c r="T232" i="3"/>
  <c r="P232" i="3"/>
  <c r="R232" i="3"/>
  <c r="L232" i="3"/>
  <c r="Q232" i="3"/>
  <c r="J232" i="3"/>
  <c r="I232" i="3"/>
  <c r="AD231" i="3"/>
  <c r="AE231" i="3"/>
  <c r="AB231" i="3"/>
  <c r="Y231" i="3"/>
  <c r="W231" i="3"/>
  <c r="V231" i="3"/>
  <c r="T231" i="3"/>
  <c r="P231" i="3"/>
  <c r="R231" i="3"/>
  <c r="Q231" i="3"/>
  <c r="K231" i="3"/>
  <c r="I231" i="3"/>
  <c r="L231" i="3"/>
  <c r="AG232" i="3"/>
  <c r="AC232" i="3"/>
  <c r="AD232" i="3"/>
  <c r="Z232" i="3"/>
  <c r="Y232" i="3"/>
  <c r="W232" i="3"/>
  <c r="U232" i="3"/>
  <c r="S232" i="3"/>
  <c r="O232" i="3"/>
  <c r="N232" i="3"/>
  <c r="H232" i="3"/>
  <c r="K232" i="3"/>
  <c r="M232" i="3"/>
  <c r="AG231" i="3"/>
  <c r="AF231" i="3"/>
  <c r="AC231" i="3"/>
  <c r="AA231" i="3"/>
  <c r="X231" i="3"/>
  <c r="Z231" i="3"/>
  <c r="U231" i="3"/>
  <c r="S231" i="3"/>
  <c r="O231" i="3"/>
  <c r="N231" i="3"/>
  <c r="M231" i="3"/>
  <c r="J231" i="3"/>
  <c r="AG183" i="3"/>
  <c r="AF183" i="3"/>
  <c r="AC183" i="3"/>
  <c r="AA183" i="3"/>
  <c r="X183" i="3"/>
  <c r="W183" i="3"/>
  <c r="R183" i="3"/>
  <c r="S183" i="3"/>
  <c r="P183" i="3"/>
  <c r="N183" i="3"/>
  <c r="M183" i="3"/>
  <c r="J183" i="3"/>
  <c r="AD183" i="3"/>
  <c r="AE183" i="3"/>
  <c r="AB183" i="3"/>
  <c r="Y183" i="3"/>
  <c r="Z183" i="3"/>
  <c r="V183" i="3"/>
  <c r="T183" i="3"/>
  <c r="U183" i="3"/>
  <c r="O183" i="3"/>
  <c r="Q183" i="3"/>
  <c r="K183" i="3"/>
  <c r="I183" i="3"/>
  <c r="G183" i="3"/>
  <c r="L183" i="3"/>
  <c r="H183" i="3"/>
  <c r="G144" i="3"/>
  <c r="AE143" i="3"/>
  <c r="AF143" i="3"/>
  <c r="AC143" i="3"/>
  <c r="Y143" i="3"/>
  <c r="W143" i="3"/>
  <c r="V143" i="3"/>
  <c r="T143" i="3"/>
  <c r="S143" i="3"/>
  <c r="O143" i="3"/>
  <c r="Q143" i="3"/>
  <c r="K143" i="3"/>
  <c r="I143" i="3"/>
  <c r="AG143" i="3"/>
  <c r="AD143" i="3"/>
  <c r="AB143" i="3"/>
  <c r="AA143" i="3"/>
  <c r="X143" i="3"/>
  <c r="Z143" i="3"/>
  <c r="R143" i="3"/>
  <c r="U143" i="3"/>
  <c r="P143" i="3"/>
  <c r="N143" i="3"/>
  <c r="M143" i="3"/>
  <c r="J143" i="3"/>
  <c r="L143" i="3"/>
  <c r="AF144" i="3"/>
  <c r="AE144" i="3"/>
  <c r="AA144" i="3"/>
  <c r="Y144" i="3"/>
  <c r="W144" i="3"/>
  <c r="V144" i="3"/>
  <c r="R144" i="3"/>
  <c r="S144" i="3"/>
  <c r="O144" i="3"/>
  <c r="L144" i="3"/>
  <c r="K144" i="3"/>
  <c r="J144" i="3"/>
  <c r="I144" i="3"/>
  <c r="G143" i="3"/>
  <c r="AG144" i="3"/>
  <c r="AC144" i="3"/>
  <c r="AD144" i="3"/>
  <c r="Z144" i="3"/>
  <c r="X144" i="3"/>
  <c r="AB144" i="3"/>
  <c r="U144" i="3"/>
  <c r="T144" i="3"/>
  <c r="P144" i="3"/>
  <c r="N144" i="3"/>
  <c r="H144" i="3"/>
  <c r="M144" i="3"/>
  <c r="Q144" i="3"/>
  <c r="H143" i="3"/>
  <c r="G246" i="3"/>
  <c r="AD247" i="3"/>
  <c r="AE247" i="3"/>
  <c r="AB247" i="3"/>
  <c r="Y247" i="3"/>
  <c r="Z247" i="3"/>
  <c r="V247" i="3"/>
  <c r="S247" i="3"/>
  <c r="P247" i="3"/>
  <c r="R247" i="3"/>
  <c r="Q247" i="3"/>
  <c r="K247" i="3"/>
  <c r="I247" i="3"/>
  <c r="AG247" i="3"/>
  <c r="AF247" i="3"/>
  <c r="AC247" i="3"/>
  <c r="AA247" i="3"/>
  <c r="X247" i="3"/>
  <c r="W247" i="3"/>
  <c r="T247" i="3"/>
  <c r="U247" i="3"/>
  <c r="O247" i="3"/>
  <c r="N247" i="3"/>
  <c r="M247" i="3"/>
  <c r="J247" i="3"/>
  <c r="AD248" i="3"/>
  <c r="AG248" i="3"/>
  <c r="AB248" i="3"/>
  <c r="Y248" i="3"/>
  <c r="X248" i="3"/>
  <c r="V248" i="3"/>
  <c r="T248" i="3"/>
  <c r="P248" i="3"/>
  <c r="R248" i="3"/>
  <c r="M248" i="3"/>
  <c r="H248" i="3"/>
  <c r="Q248" i="3"/>
  <c r="I248" i="3"/>
  <c r="G247" i="3"/>
  <c r="L247" i="3"/>
  <c r="AF246" i="3"/>
  <c r="AC246" i="3"/>
  <c r="AA246" i="3"/>
  <c r="Y246" i="3"/>
  <c r="Z246" i="3"/>
  <c r="W246" i="3"/>
  <c r="S246" i="3"/>
  <c r="O246" i="3"/>
  <c r="N246" i="3"/>
  <c r="M246" i="3"/>
  <c r="P246" i="3"/>
  <c r="I246" i="3"/>
  <c r="H246" i="3"/>
  <c r="H247" i="3"/>
  <c r="AE248" i="3"/>
  <c r="AC248" i="3"/>
  <c r="AF248" i="3"/>
  <c r="Z248" i="3"/>
  <c r="AA248" i="3"/>
  <c r="W248" i="3"/>
  <c r="U248" i="3"/>
  <c r="S248" i="3"/>
  <c r="O248" i="3"/>
  <c r="N248" i="3"/>
  <c r="L248" i="3"/>
  <c r="K248" i="3"/>
  <c r="J248" i="3"/>
  <c r="AG246" i="3"/>
  <c r="AE246" i="3"/>
  <c r="AD246" i="3"/>
  <c r="AB246" i="3"/>
  <c r="X246" i="3"/>
  <c r="V246" i="3"/>
  <c r="T246" i="3"/>
  <c r="U246" i="3"/>
  <c r="R246" i="3"/>
  <c r="Q246" i="3"/>
  <c r="K246" i="3"/>
  <c r="J246" i="3"/>
  <c r="L246" i="3"/>
  <c r="AF173" i="3"/>
  <c r="AD173" i="3"/>
  <c r="AC173" i="3"/>
  <c r="Z173" i="3"/>
  <c r="AB173" i="3"/>
  <c r="U173" i="3"/>
  <c r="T173" i="3"/>
  <c r="R173" i="3"/>
  <c r="N173" i="3"/>
  <c r="M173" i="3"/>
  <c r="J173" i="3"/>
  <c r="L173" i="3"/>
  <c r="AG173" i="3"/>
  <c r="AE173" i="3"/>
  <c r="AA173" i="3"/>
  <c r="Y173" i="3"/>
  <c r="X173" i="3"/>
  <c r="V173" i="3"/>
  <c r="W173" i="3"/>
  <c r="S173" i="3"/>
  <c r="O173" i="3"/>
  <c r="Q173" i="3"/>
  <c r="P173" i="3"/>
  <c r="I173" i="3"/>
  <c r="H173" i="3"/>
  <c r="AE172" i="3"/>
  <c r="AG172" i="3"/>
  <c r="AC172" i="3"/>
  <c r="Z172" i="3"/>
  <c r="W172" i="3"/>
  <c r="U172" i="3"/>
  <c r="T172" i="3"/>
  <c r="R172" i="3"/>
  <c r="Q172" i="3"/>
  <c r="P172" i="3"/>
  <c r="J172" i="3"/>
  <c r="L172" i="3"/>
  <c r="K172" i="3"/>
  <c r="G173" i="3"/>
  <c r="K173" i="3"/>
  <c r="AF172" i="3"/>
  <c r="AD172" i="3"/>
  <c r="AB172" i="3"/>
  <c r="AA172" i="3"/>
  <c r="X172" i="3"/>
  <c r="Y172" i="3"/>
  <c r="V172" i="3"/>
  <c r="S172" i="3"/>
  <c r="N172" i="3"/>
  <c r="M172" i="3"/>
  <c r="O172" i="3"/>
  <c r="I172" i="3"/>
  <c r="H172" i="3"/>
  <c r="G172" i="3"/>
  <c r="K149" i="3"/>
  <c r="AF148" i="3"/>
  <c r="AD148" i="3"/>
  <c r="AB148" i="3"/>
  <c r="AA148" i="3"/>
  <c r="W148" i="3"/>
  <c r="Z148" i="3"/>
  <c r="V148" i="3"/>
  <c r="S148" i="3"/>
  <c r="N148" i="3"/>
  <c r="M148" i="3"/>
  <c r="J148" i="3"/>
  <c r="L148" i="3"/>
  <c r="O148" i="3"/>
  <c r="AG148" i="3"/>
  <c r="AC148" i="3"/>
  <c r="AE148" i="3"/>
  <c r="X148" i="3"/>
  <c r="Y148" i="3"/>
  <c r="U148" i="3"/>
  <c r="T148" i="3"/>
  <c r="R148" i="3"/>
  <c r="Q148" i="3"/>
  <c r="P148" i="3"/>
  <c r="I148" i="3"/>
  <c r="H148" i="3"/>
  <c r="K148" i="3"/>
  <c r="AF149" i="3"/>
  <c r="AE149" i="3"/>
  <c r="AA149" i="3"/>
  <c r="Y149" i="3"/>
  <c r="X149" i="3"/>
  <c r="W149" i="3"/>
  <c r="T149" i="3"/>
  <c r="R149" i="3"/>
  <c r="N149" i="3"/>
  <c r="M149" i="3"/>
  <c r="J149" i="3"/>
  <c r="L149" i="3"/>
  <c r="G149" i="3"/>
  <c r="G148" i="3"/>
  <c r="AG149" i="3"/>
  <c r="AD149" i="3"/>
  <c r="AC149" i="3"/>
  <c r="AB149" i="3"/>
  <c r="Z149" i="3"/>
  <c r="V149" i="3"/>
  <c r="U149" i="3"/>
  <c r="S149" i="3"/>
  <c r="O149" i="3"/>
  <c r="Q149" i="3"/>
  <c r="P149" i="3"/>
  <c r="I149" i="3"/>
  <c r="H149" i="3"/>
  <c r="AF133" i="3"/>
  <c r="AD133" i="3"/>
  <c r="AA133" i="3"/>
  <c r="AB133" i="3"/>
  <c r="X133" i="3"/>
  <c r="U133" i="3"/>
  <c r="T133" i="3"/>
  <c r="R133" i="3"/>
  <c r="N133" i="3"/>
  <c r="M133" i="3"/>
  <c r="J133" i="3"/>
  <c r="L133" i="3"/>
  <c r="AF132" i="3"/>
  <c r="AG132" i="3"/>
  <c r="AB132" i="3"/>
  <c r="AA132" i="3"/>
  <c r="X132" i="3"/>
  <c r="W132" i="3"/>
  <c r="V132" i="3"/>
  <c r="S132" i="3"/>
  <c r="N132" i="3"/>
  <c r="M132" i="3"/>
  <c r="J132" i="3"/>
  <c r="O132" i="3"/>
  <c r="H132" i="3"/>
  <c r="G133" i="3"/>
  <c r="G132" i="3"/>
  <c r="AG133" i="3"/>
  <c r="AE133" i="3"/>
  <c r="AC133" i="3"/>
  <c r="Y133" i="3"/>
  <c r="Z133" i="3"/>
  <c r="V133" i="3"/>
  <c r="W133" i="3"/>
  <c r="S133" i="3"/>
  <c r="O133" i="3"/>
  <c r="Q133" i="3"/>
  <c r="P133" i="3"/>
  <c r="I133" i="3"/>
  <c r="H133" i="3"/>
  <c r="K133" i="3"/>
  <c r="AD132" i="3"/>
  <c r="AE132" i="3"/>
  <c r="AC132" i="3"/>
  <c r="Y132" i="3"/>
  <c r="Z132" i="3"/>
  <c r="U132" i="3"/>
  <c r="T132" i="3"/>
  <c r="R132" i="3"/>
  <c r="Q132" i="3"/>
  <c r="P132" i="3"/>
  <c r="I132" i="3"/>
  <c r="L132" i="3"/>
  <c r="K132" i="3"/>
  <c r="AG92" i="3"/>
  <c r="AD92" i="3"/>
  <c r="AC92" i="3"/>
  <c r="X92" i="3"/>
  <c r="Z92" i="3"/>
  <c r="U92" i="3"/>
  <c r="T92" i="3"/>
  <c r="R92" i="3"/>
  <c r="Q92" i="3"/>
  <c r="P92" i="3"/>
  <c r="I92" i="3"/>
  <c r="H92" i="3"/>
  <c r="K92" i="3"/>
  <c r="AF92" i="3"/>
  <c r="AE92" i="3"/>
  <c r="AB92" i="3"/>
  <c r="AA92" i="3"/>
  <c r="Y92" i="3"/>
  <c r="W92" i="3"/>
  <c r="V92" i="3"/>
  <c r="S92" i="3"/>
  <c r="N92" i="3"/>
  <c r="M92" i="3"/>
  <c r="J92" i="3"/>
  <c r="L92" i="3"/>
  <c r="O92" i="3"/>
  <c r="G92" i="3"/>
  <c r="AE76" i="3"/>
  <c r="AB76" i="3"/>
  <c r="AC76" i="3"/>
  <c r="AA76" i="3"/>
  <c r="Y76" i="3"/>
  <c r="U76" i="3"/>
  <c r="S76" i="3"/>
  <c r="R76" i="3"/>
  <c r="Q76" i="3"/>
  <c r="P76" i="3"/>
  <c r="I76" i="3"/>
  <c r="L76" i="3"/>
  <c r="K76" i="3"/>
  <c r="AE78" i="3"/>
  <c r="AF78" i="3"/>
  <c r="AA78" i="3"/>
  <c r="Y78" i="3"/>
  <c r="Z78" i="3"/>
  <c r="V78" i="3"/>
  <c r="T78" i="3"/>
  <c r="R78" i="3"/>
  <c r="N78" i="3"/>
  <c r="M78" i="3"/>
  <c r="J78" i="3"/>
  <c r="P78" i="3"/>
  <c r="H78" i="3"/>
  <c r="K77" i="3"/>
  <c r="AF76" i="3"/>
  <c r="AD76" i="3"/>
  <c r="AG76" i="3"/>
  <c r="X76" i="3"/>
  <c r="W76" i="3"/>
  <c r="Z76" i="3"/>
  <c r="V76" i="3"/>
  <c r="T76" i="3"/>
  <c r="N76" i="3"/>
  <c r="M76" i="3"/>
  <c r="J76" i="3"/>
  <c r="O76" i="3"/>
  <c r="H76" i="3"/>
  <c r="AG78" i="3"/>
  <c r="AC78" i="3"/>
  <c r="AB78" i="3"/>
  <c r="AD78" i="3"/>
  <c r="X78" i="3"/>
  <c r="W78" i="3"/>
  <c r="U78" i="3"/>
  <c r="S78" i="3"/>
  <c r="O78" i="3"/>
  <c r="Q78" i="3"/>
  <c r="K78" i="3"/>
  <c r="I78" i="3"/>
  <c r="L78" i="3"/>
  <c r="AF77" i="3"/>
  <c r="AD77" i="3"/>
  <c r="AA77" i="3"/>
  <c r="Y77" i="3"/>
  <c r="X77" i="3"/>
  <c r="U77" i="3"/>
  <c r="S77" i="3"/>
  <c r="R77" i="3"/>
  <c r="N77" i="3"/>
  <c r="M77" i="3"/>
  <c r="J77" i="3"/>
  <c r="L77" i="3"/>
  <c r="AG77" i="3"/>
  <c r="AE77" i="3"/>
  <c r="AB77" i="3"/>
  <c r="AC77" i="3"/>
  <c r="Z77" i="3"/>
  <c r="V77" i="3"/>
  <c r="W77" i="3"/>
  <c r="T77" i="3"/>
  <c r="O77" i="3"/>
  <c r="Q77" i="3"/>
  <c r="P77" i="3"/>
  <c r="I77" i="3"/>
  <c r="H77" i="3"/>
  <c r="G78" i="3"/>
  <c r="G77" i="3"/>
  <c r="G76" i="3"/>
  <c r="AF44" i="3"/>
  <c r="AD44" i="3"/>
  <c r="AB44" i="3"/>
  <c r="Z44" i="3"/>
  <c r="AA44" i="3"/>
  <c r="Y44" i="3"/>
  <c r="V44" i="3"/>
  <c r="S44" i="3"/>
  <c r="N44" i="3"/>
  <c r="M44" i="3"/>
  <c r="L44" i="3"/>
  <c r="J44" i="3"/>
  <c r="H44" i="3"/>
  <c r="AE44" i="3"/>
  <c r="AG44" i="3"/>
  <c r="AC44" i="3"/>
  <c r="X44" i="3"/>
  <c r="W44" i="3"/>
  <c r="U44" i="3"/>
  <c r="T44" i="3"/>
  <c r="R44" i="3"/>
  <c r="Q44" i="3"/>
  <c r="P44" i="3"/>
  <c r="O44" i="3"/>
  <c r="I44" i="3"/>
  <c r="K44" i="3"/>
  <c r="G44" i="3"/>
  <c r="AG20" i="3"/>
  <c r="AB20" i="3"/>
  <c r="AC20" i="3"/>
  <c r="X20" i="3"/>
  <c r="W20" i="3"/>
  <c r="U20" i="3"/>
  <c r="S20" i="3"/>
  <c r="R20" i="3"/>
  <c r="Q20" i="3"/>
  <c r="P20" i="3"/>
  <c r="J20" i="3"/>
  <c r="H20" i="3"/>
  <c r="K20" i="3"/>
  <c r="G20" i="3"/>
  <c r="AF20" i="3"/>
  <c r="AD20" i="3"/>
  <c r="AE20" i="3"/>
  <c r="Z20" i="3"/>
  <c r="AA20" i="3"/>
  <c r="Y20" i="3"/>
  <c r="V20" i="3"/>
  <c r="T20" i="3"/>
  <c r="N20" i="3"/>
  <c r="M20" i="3"/>
  <c r="L20" i="3"/>
  <c r="I20" i="3"/>
  <c r="O20" i="3"/>
  <c r="AG4" i="3"/>
  <c r="AC4" i="3"/>
  <c r="AF4" i="3"/>
  <c r="Y4" i="3"/>
  <c r="AB4" i="3"/>
  <c r="V4" i="3"/>
  <c r="U4" i="3"/>
  <c r="S4" i="3"/>
  <c r="R4" i="3"/>
  <c r="Q4" i="3"/>
  <c r="K4" i="3"/>
  <c r="P4" i="3"/>
  <c r="L4" i="3"/>
  <c r="AE4" i="3"/>
  <c r="AD4" i="3"/>
  <c r="AA4" i="3"/>
  <c r="X4" i="3"/>
  <c r="Z4" i="3"/>
  <c r="W4" i="3"/>
  <c r="T4" i="3"/>
  <c r="O4" i="3"/>
  <c r="N4" i="3"/>
  <c r="M4" i="3"/>
  <c r="J4" i="3"/>
  <c r="I4" i="3"/>
  <c r="H4" i="3"/>
  <c r="G4" i="3"/>
  <c r="G134" i="3"/>
  <c r="AF134" i="3"/>
  <c r="AE134" i="3"/>
  <c r="AB134" i="3"/>
  <c r="Y134" i="3"/>
  <c r="X134" i="3"/>
  <c r="W134" i="3"/>
  <c r="T134" i="3"/>
  <c r="R134" i="3"/>
  <c r="N134" i="3"/>
  <c r="M134" i="3"/>
  <c r="J134" i="3"/>
  <c r="I134" i="3"/>
  <c r="H134" i="3"/>
  <c r="AG134" i="3"/>
  <c r="AC134" i="3"/>
  <c r="AD134" i="3"/>
  <c r="AA134" i="3"/>
  <c r="Z134" i="3"/>
  <c r="V134" i="3"/>
  <c r="U134" i="3"/>
  <c r="S134" i="3"/>
  <c r="O134" i="3"/>
  <c r="Q134" i="3"/>
  <c r="K134" i="3"/>
  <c r="P134" i="3"/>
  <c r="L134" i="3"/>
  <c r="G88" i="3"/>
  <c r="G87" i="3"/>
  <c r="L87" i="3"/>
  <c r="AG88" i="3"/>
  <c r="AF88" i="3"/>
  <c r="AD88" i="3"/>
  <c r="Z88" i="3"/>
  <c r="Y88" i="3"/>
  <c r="W88" i="3"/>
  <c r="U88" i="3"/>
  <c r="T88" i="3"/>
  <c r="P88" i="3"/>
  <c r="N88" i="3"/>
  <c r="H88" i="3"/>
  <c r="M88" i="3"/>
  <c r="I88" i="3"/>
  <c r="AG87" i="3"/>
  <c r="AD87" i="3"/>
  <c r="AC87" i="3"/>
  <c r="Y87" i="3"/>
  <c r="Z87" i="3"/>
  <c r="W87" i="3"/>
  <c r="R87" i="3"/>
  <c r="T87" i="3"/>
  <c r="P87" i="3"/>
  <c r="N87" i="3"/>
  <c r="M87" i="3"/>
  <c r="J87" i="3"/>
  <c r="H87" i="3"/>
  <c r="AE88" i="3"/>
  <c r="AC88" i="3"/>
  <c r="AB88" i="3"/>
  <c r="AA88" i="3"/>
  <c r="X88" i="3"/>
  <c r="V88" i="3"/>
  <c r="R88" i="3"/>
  <c r="S88" i="3"/>
  <c r="O88" i="3"/>
  <c r="L88" i="3"/>
  <c r="K88" i="3"/>
  <c r="J88" i="3"/>
  <c r="AE87" i="3"/>
  <c r="AF87" i="3"/>
  <c r="AA87" i="3"/>
  <c r="AB87" i="3"/>
  <c r="X87" i="3"/>
  <c r="V87" i="3"/>
  <c r="U87" i="3"/>
  <c r="S87" i="3"/>
  <c r="O87" i="3"/>
  <c r="Q87" i="3"/>
  <c r="K87" i="3"/>
  <c r="I87" i="3"/>
  <c r="Q88" i="3"/>
  <c r="AG71" i="3"/>
  <c r="AD71" i="3"/>
  <c r="AC71" i="3"/>
  <c r="AA71" i="3"/>
  <c r="X71" i="3"/>
  <c r="W71" i="3"/>
  <c r="U71" i="3"/>
  <c r="T71" i="3"/>
  <c r="P71" i="3"/>
  <c r="N71" i="3"/>
  <c r="M71" i="3"/>
  <c r="J71" i="3"/>
  <c r="AE71" i="3"/>
  <c r="AF71" i="3"/>
  <c r="AB71" i="3"/>
  <c r="Y71" i="3"/>
  <c r="Z71" i="3"/>
  <c r="V71" i="3"/>
  <c r="R71" i="3"/>
  <c r="S71" i="3"/>
  <c r="O71" i="3"/>
  <c r="Q71" i="3"/>
  <c r="K71" i="3"/>
  <c r="I71" i="3"/>
  <c r="L71" i="3"/>
  <c r="G71" i="3"/>
  <c r="H71" i="3"/>
  <c r="G55" i="3"/>
  <c r="AE55" i="3"/>
  <c r="AF55" i="3"/>
  <c r="AB55" i="3"/>
  <c r="Y55" i="3"/>
  <c r="W55" i="3"/>
  <c r="V55" i="3"/>
  <c r="T55" i="3"/>
  <c r="S55" i="3"/>
  <c r="L55" i="3"/>
  <c r="N55" i="3"/>
  <c r="M55" i="3"/>
  <c r="J55" i="3"/>
  <c r="AG55" i="3"/>
  <c r="AD55" i="3"/>
  <c r="AC55" i="3"/>
  <c r="AA55" i="3"/>
  <c r="Z55" i="3"/>
  <c r="X55" i="3"/>
  <c r="U55" i="3"/>
  <c r="R55" i="3"/>
  <c r="P55" i="3"/>
  <c r="O55" i="3"/>
  <c r="Q55" i="3"/>
  <c r="K55" i="3"/>
  <c r="I55" i="3"/>
  <c r="H55" i="3"/>
  <c r="H39" i="3"/>
  <c r="AE39" i="3"/>
  <c r="AC39" i="3"/>
  <c r="Z39" i="3"/>
  <c r="AA39" i="3"/>
  <c r="X39" i="3"/>
  <c r="V39" i="3"/>
  <c r="T39" i="3"/>
  <c r="S39" i="3"/>
  <c r="L39" i="3"/>
  <c r="N39" i="3"/>
  <c r="M39" i="3"/>
  <c r="J39" i="3"/>
  <c r="G39" i="3"/>
  <c r="AG39" i="3"/>
  <c r="AD39" i="3"/>
  <c r="AF39" i="3"/>
  <c r="AB39" i="3"/>
  <c r="Y39" i="3"/>
  <c r="W39" i="3"/>
  <c r="U39" i="3"/>
  <c r="R39" i="3"/>
  <c r="P39" i="3"/>
  <c r="O39" i="3"/>
  <c r="Q39" i="3"/>
  <c r="K39" i="3"/>
  <c r="I39" i="3"/>
  <c r="AG23" i="3"/>
  <c r="AD23" i="3"/>
  <c r="AC23" i="3"/>
  <c r="AA23" i="3"/>
  <c r="Y23" i="3"/>
  <c r="W23" i="3"/>
  <c r="U23" i="3"/>
  <c r="R23" i="3"/>
  <c r="P23" i="3"/>
  <c r="O23" i="3"/>
  <c r="Q23" i="3"/>
  <c r="K23" i="3"/>
  <c r="I23" i="3"/>
  <c r="AE23" i="3"/>
  <c r="AF23" i="3"/>
  <c r="Z23" i="3"/>
  <c r="AB23" i="3"/>
  <c r="X23" i="3"/>
  <c r="V23" i="3"/>
  <c r="T23" i="3"/>
  <c r="S23" i="3"/>
  <c r="L23" i="3"/>
  <c r="N23" i="3"/>
  <c r="M23" i="3"/>
  <c r="J23" i="3"/>
  <c r="H23" i="3"/>
  <c r="G23" i="3"/>
  <c r="G7" i="3"/>
  <c r="G9" i="3"/>
  <c r="AF8" i="3"/>
  <c r="AE8" i="3"/>
  <c r="AB8" i="3"/>
  <c r="Y8" i="3"/>
  <c r="Z8" i="3"/>
  <c r="W8" i="3"/>
  <c r="U8" i="3"/>
  <c r="R8" i="3"/>
  <c r="P8" i="3"/>
  <c r="O8" i="3"/>
  <c r="H8" i="3"/>
  <c r="K8" i="3"/>
  <c r="Q8" i="3"/>
  <c r="AE9" i="3"/>
  <c r="AG9" i="3"/>
  <c r="AD9" i="3"/>
  <c r="AA9" i="3"/>
  <c r="X9" i="3"/>
  <c r="W9" i="3"/>
  <c r="V9" i="3"/>
  <c r="S9" i="3"/>
  <c r="Q9" i="3"/>
  <c r="P9" i="3"/>
  <c r="O9" i="3"/>
  <c r="H9" i="3"/>
  <c r="J9" i="3"/>
  <c r="G8" i="3"/>
  <c r="AE7" i="3"/>
  <c r="AF7" i="3"/>
  <c r="Z7" i="3"/>
  <c r="Y7" i="3"/>
  <c r="AB7" i="3"/>
  <c r="V7" i="3"/>
  <c r="T7" i="3"/>
  <c r="S7" i="3"/>
  <c r="L7" i="3"/>
  <c r="N7" i="3"/>
  <c r="M7" i="3"/>
  <c r="J7" i="3"/>
  <c r="AG8" i="3"/>
  <c r="AD8" i="3"/>
  <c r="AC8" i="3"/>
  <c r="AA8" i="3"/>
  <c r="X8" i="3"/>
  <c r="V8" i="3"/>
  <c r="T8" i="3"/>
  <c r="S8" i="3"/>
  <c r="L8" i="3"/>
  <c r="N8" i="3"/>
  <c r="M8" i="3"/>
  <c r="J8" i="3"/>
  <c r="I8" i="3"/>
  <c r="AF9" i="3"/>
  <c r="AC9" i="3"/>
  <c r="AB9" i="3"/>
  <c r="Z9" i="3"/>
  <c r="Y9" i="3"/>
  <c r="T9" i="3"/>
  <c r="U9" i="3"/>
  <c r="R9" i="3"/>
  <c r="M9" i="3"/>
  <c r="L9" i="3"/>
  <c r="N9" i="3"/>
  <c r="K9" i="3"/>
  <c r="I9" i="3"/>
  <c r="AG7" i="3"/>
  <c r="AD7" i="3"/>
  <c r="AC7" i="3"/>
  <c r="AA7" i="3"/>
  <c r="X7" i="3"/>
  <c r="W7" i="3"/>
  <c r="U7" i="3"/>
  <c r="R7" i="3"/>
  <c r="P7" i="3"/>
  <c r="O7" i="3"/>
  <c r="Q7" i="3"/>
  <c r="K7" i="3"/>
  <c r="I7" i="3"/>
  <c r="H7" i="3"/>
  <c r="L151" i="3"/>
  <c r="G150" i="3"/>
  <c r="AD151" i="3"/>
  <c r="AE151" i="3"/>
  <c r="AA151" i="3"/>
  <c r="AB151" i="3"/>
  <c r="X151" i="3"/>
  <c r="V151" i="3"/>
  <c r="T151" i="3"/>
  <c r="U151" i="3"/>
  <c r="O151" i="3"/>
  <c r="Q151" i="3"/>
  <c r="K151" i="3"/>
  <c r="I151" i="3"/>
  <c r="AG151" i="3"/>
  <c r="AF151" i="3"/>
  <c r="AC151" i="3"/>
  <c r="Y151" i="3"/>
  <c r="Z151" i="3"/>
  <c r="W151" i="3"/>
  <c r="R151" i="3"/>
  <c r="S151" i="3"/>
  <c r="P151" i="3"/>
  <c r="N151" i="3"/>
  <c r="M151" i="3"/>
  <c r="J151" i="3"/>
  <c r="H151" i="3"/>
  <c r="AG150" i="3"/>
  <c r="AE150" i="3"/>
  <c r="AB150" i="3"/>
  <c r="AA150" i="3"/>
  <c r="Z150" i="3"/>
  <c r="V150" i="3"/>
  <c r="T150" i="3"/>
  <c r="U150" i="3"/>
  <c r="O150" i="3"/>
  <c r="Q150" i="3"/>
  <c r="K150" i="3"/>
  <c r="I150" i="3"/>
  <c r="L150" i="3"/>
  <c r="G151" i="3"/>
  <c r="AF150" i="3"/>
  <c r="AC150" i="3"/>
  <c r="AD150" i="3"/>
  <c r="Y150" i="3"/>
  <c r="X150" i="3"/>
  <c r="W150" i="3"/>
  <c r="S150" i="3"/>
  <c r="R150" i="3"/>
  <c r="N150" i="3"/>
  <c r="M150" i="3"/>
  <c r="J150" i="3"/>
  <c r="P150" i="3"/>
  <c r="H150" i="3"/>
  <c r="G95" i="3"/>
  <c r="AE96" i="3"/>
  <c r="AD96" i="3"/>
  <c r="AB96" i="3"/>
  <c r="Y96" i="3"/>
  <c r="X96" i="3"/>
  <c r="V96" i="3"/>
  <c r="R96" i="3"/>
  <c r="S96" i="3"/>
  <c r="O96" i="3"/>
  <c r="Q96" i="3"/>
  <c r="H96" i="3"/>
  <c r="J96" i="3"/>
  <c r="I96" i="3"/>
  <c r="AG94" i="3"/>
  <c r="AC94" i="3"/>
  <c r="AB94" i="3"/>
  <c r="AA94" i="3"/>
  <c r="X94" i="3"/>
  <c r="V94" i="3"/>
  <c r="W94" i="3"/>
  <c r="S94" i="3"/>
  <c r="O94" i="3"/>
  <c r="Q94" i="3"/>
  <c r="K94" i="3"/>
  <c r="I94" i="3"/>
  <c r="H94" i="3"/>
  <c r="AG96" i="3"/>
  <c r="AF96" i="3"/>
  <c r="AC96" i="3"/>
  <c r="Z96" i="3"/>
  <c r="AA96" i="3"/>
  <c r="W96" i="3"/>
  <c r="U96" i="3"/>
  <c r="T96" i="3"/>
  <c r="P96" i="3"/>
  <c r="N96" i="3"/>
  <c r="L96" i="3"/>
  <c r="K96" i="3"/>
  <c r="M96" i="3"/>
  <c r="AD94" i="3"/>
  <c r="AE94" i="3"/>
  <c r="AF94" i="3"/>
  <c r="Y94" i="3"/>
  <c r="Z94" i="3"/>
  <c r="U94" i="3"/>
  <c r="T94" i="3"/>
  <c r="R94" i="3"/>
  <c r="N94" i="3"/>
  <c r="M94" i="3"/>
  <c r="J94" i="3"/>
  <c r="L94" i="3"/>
  <c r="H95" i="3"/>
  <c r="G96" i="3"/>
  <c r="AE95" i="3"/>
  <c r="AF95" i="3"/>
  <c r="AC95" i="3"/>
  <c r="Y95" i="3"/>
  <c r="Z95" i="3"/>
  <c r="V95" i="3"/>
  <c r="U95" i="3"/>
  <c r="S95" i="3"/>
  <c r="O95" i="3"/>
  <c r="Q95" i="3"/>
  <c r="K95" i="3"/>
  <c r="I95" i="3"/>
  <c r="L95" i="3"/>
  <c r="P94" i="3"/>
  <c r="AG95" i="3"/>
  <c r="AD95" i="3"/>
  <c r="AB95" i="3"/>
  <c r="AA95" i="3"/>
  <c r="X95" i="3"/>
  <c r="W95" i="3"/>
  <c r="R95" i="3"/>
  <c r="T95" i="3"/>
  <c r="P95" i="3"/>
  <c r="N95" i="3"/>
  <c r="M95" i="3"/>
  <c r="J95" i="3"/>
  <c r="G94" i="3"/>
  <c r="G30" i="3"/>
  <c r="P30" i="3"/>
  <c r="AF30" i="3"/>
  <c r="AE30" i="3"/>
  <c r="AC30" i="3"/>
  <c r="Y30" i="3"/>
  <c r="Z30" i="3"/>
  <c r="U30" i="3"/>
  <c r="W30" i="3"/>
  <c r="R30" i="3"/>
  <c r="N30" i="3"/>
  <c r="M30" i="3"/>
  <c r="J30" i="3"/>
  <c r="I30" i="3"/>
  <c r="AG30" i="3"/>
  <c r="AD30" i="3"/>
  <c r="AB30" i="3"/>
  <c r="AA30" i="3"/>
  <c r="X30" i="3"/>
  <c r="V30" i="3"/>
  <c r="T30" i="3"/>
  <c r="S30" i="3"/>
  <c r="O30" i="3"/>
  <c r="Q30" i="3"/>
  <c r="K30" i="3"/>
  <c r="L30" i="3"/>
  <c r="H30" i="3"/>
  <c r="AE174" i="3"/>
  <c r="AD174" i="3"/>
  <c r="AF174" i="3"/>
  <c r="Y174" i="3"/>
  <c r="X174" i="3"/>
  <c r="W174" i="3"/>
  <c r="U174" i="3"/>
  <c r="R174" i="3"/>
  <c r="N174" i="3"/>
  <c r="M174" i="3"/>
  <c r="P174" i="3"/>
  <c r="I174" i="3"/>
  <c r="H174" i="3"/>
  <c r="G174" i="3"/>
  <c r="AG174" i="3"/>
  <c r="AC174" i="3"/>
  <c r="AB174" i="3"/>
  <c r="AA174" i="3"/>
  <c r="Z174" i="3"/>
  <c r="V174" i="3"/>
  <c r="T174" i="3"/>
  <c r="S174" i="3"/>
  <c r="O174" i="3"/>
  <c r="Q174" i="3"/>
  <c r="K174" i="3"/>
  <c r="J174" i="3"/>
  <c r="L174" i="3"/>
  <c r="G114" i="3"/>
  <c r="G115" i="3"/>
  <c r="AE115" i="3"/>
  <c r="AC115" i="3"/>
  <c r="AD115" i="3"/>
  <c r="Z115" i="3"/>
  <c r="W115" i="3"/>
  <c r="U115" i="3"/>
  <c r="T115" i="3"/>
  <c r="R115" i="3"/>
  <c r="Q115" i="3"/>
  <c r="P115" i="3"/>
  <c r="I115" i="3"/>
  <c r="H115" i="3"/>
  <c r="G113" i="3"/>
  <c r="AF115" i="3"/>
  <c r="AG115" i="3"/>
  <c r="AA115" i="3"/>
  <c r="AB115" i="3"/>
  <c r="Y115" i="3"/>
  <c r="X115" i="3"/>
  <c r="V115" i="3"/>
  <c r="S115" i="3"/>
  <c r="N115" i="3"/>
  <c r="M115" i="3"/>
  <c r="O115" i="3"/>
  <c r="L115" i="3"/>
  <c r="K115" i="3"/>
  <c r="AF113" i="3"/>
  <c r="AD113" i="3"/>
  <c r="AB113" i="3"/>
  <c r="Y113" i="3"/>
  <c r="X113" i="3"/>
  <c r="W113" i="3"/>
  <c r="S113" i="3"/>
  <c r="T113" i="3"/>
  <c r="M113" i="3"/>
  <c r="O113" i="3"/>
  <c r="L113" i="3"/>
  <c r="K113" i="3"/>
  <c r="AG114" i="3"/>
  <c r="AC114" i="3"/>
  <c r="Z114" i="3"/>
  <c r="Y114" i="3"/>
  <c r="AB114" i="3"/>
  <c r="V114" i="3"/>
  <c r="S114" i="3"/>
  <c r="T114" i="3"/>
  <c r="M114" i="3"/>
  <c r="O114" i="3"/>
  <c r="I114" i="3"/>
  <c r="H114" i="3"/>
  <c r="J114" i="3"/>
  <c r="I113" i="3"/>
  <c r="AE113" i="3"/>
  <c r="AG113" i="3"/>
  <c r="AA113" i="3"/>
  <c r="Z113" i="3"/>
  <c r="AC113" i="3"/>
  <c r="V113" i="3"/>
  <c r="U113" i="3"/>
  <c r="R113" i="3"/>
  <c r="Q113" i="3"/>
  <c r="P113" i="3"/>
  <c r="N113" i="3"/>
  <c r="H113" i="3"/>
  <c r="J113" i="3"/>
  <c r="J115" i="3"/>
  <c r="AE114" i="3"/>
  <c r="AF114" i="3"/>
  <c r="AD114" i="3"/>
  <c r="AA114" i="3"/>
  <c r="W114" i="3"/>
  <c r="X114" i="3"/>
  <c r="U114" i="3"/>
  <c r="R114" i="3"/>
  <c r="Q114" i="3"/>
  <c r="P114" i="3"/>
  <c r="N114" i="3"/>
  <c r="L114" i="3"/>
  <c r="K114" i="3"/>
  <c r="CD57" i="4"/>
  <c r="CH57" i="4"/>
  <c r="CC57" i="4"/>
  <c r="CE57" i="4"/>
  <c r="BT57" i="4"/>
  <c r="BX57" i="4"/>
  <c r="BS57" i="4"/>
  <c r="CA57" i="4"/>
  <c r="BY57" i="4"/>
  <c r="BL57" i="4"/>
  <c r="BP57" i="4"/>
  <c r="BK57" i="4"/>
  <c r="BO57" i="4"/>
  <c r="AV57" i="4"/>
  <c r="CF57" i="4"/>
  <c r="CG57" i="4"/>
  <c r="BV57" i="4"/>
  <c r="BW57" i="4"/>
  <c r="BJ57" i="4"/>
  <c r="BR57" i="4"/>
  <c r="BQ57" i="4"/>
  <c r="AZ57" i="4"/>
  <c r="BD57" i="4"/>
  <c r="BH57" i="4"/>
  <c r="AW57" i="4"/>
  <c r="BA57" i="4"/>
  <c r="BE57" i="4"/>
  <c r="BI57" i="4"/>
  <c r="AO57" i="4"/>
  <c r="AS57" i="4"/>
  <c r="AF57" i="4"/>
  <c r="AD57" i="4"/>
  <c r="AA57" i="4"/>
  <c r="AN57" i="4"/>
  <c r="AR57" i="4"/>
  <c r="AI57" i="4"/>
  <c r="AG57" i="4"/>
  <c r="AE57" i="4"/>
  <c r="U57" i="4"/>
  <c r="S57" i="4"/>
  <c r="Q57" i="4"/>
  <c r="M57" i="4"/>
  <c r="Z57" i="4"/>
  <c r="X57" i="4"/>
  <c r="P57" i="4"/>
  <c r="L57" i="4"/>
  <c r="J57" i="4"/>
  <c r="CC58" i="4"/>
  <c r="CG58" i="4"/>
  <c r="CB58" i="4"/>
  <c r="CJ58" i="4"/>
  <c r="CH58" i="4"/>
  <c r="BU58" i="4"/>
  <c r="BY58" i="4"/>
  <c r="BV58" i="4"/>
  <c r="BT58" i="4"/>
  <c r="BK58" i="4"/>
  <c r="BO58" i="4"/>
  <c r="BJ58" i="4"/>
  <c r="BN58" i="4"/>
  <c r="BR58" i="4"/>
  <c r="AW58" i="4"/>
  <c r="BA58" i="4"/>
  <c r="BE58" i="4"/>
  <c r="BI58" i="4"/>
  <c r="AX58" i="4"/>
  <c r="BB58" i="4"/>
  <c r="BF58" i="4"/>
  <c r="AL58" i="4"/>
  <c r="AP58" i="4"/>
  <c r="AT58" i="4"/>
  <c r="AK58" i="4"/>
  <c r="AC58" i="4"/>
  <c r="AM58" i="4"/>
  <c r="AQ58" i="4"/>
  <c r="AJ58" i="4"/>
  <c r="AH58" i="4"/>
  <c r="Z58" i="4"/>
  <c r="X58" i="4"/>
  <c r="P58" i="4"/>
  <c r="L58" i="4"/>
  <c r="J58" i="4"/>
  <c r="AA58" i="4"/>
  <c r="U58" i="4"/>
  <c r="S58" i="4"/>
  <c r="Q58" i="4"/>
  <c r="M58" i="4"/>
  <c r="H58" i="4"/>
  <c r="CD59" i="4"/>
  <c r="CH59" i="4"/>
  <c r="CE59" i="4"/>
  <c r="CC59" i="4"/>
  <c r="BT59" i="4"/>
  <c r="BX59" i="4"/>
  <c r="BU59" i="4"/>
  <c r="BS59" i="4"/>
  <c r="CA59" i="4"/>
  <c r="BL59" i="4"/>
  <c r="BP59" i="4"/>
  <c r="BK59" i="4"/>
  <c r="BO59" i="4"/>
  <c r="AV59" i="4"/>
  <c r="AZ59" i="4"/>
  <c r="BD59" i="4"/>
  <c r="BH59" i="4"/>
  <c r="AW59" i="4"/>
  <c r="BA59" i="4"/>
  <c r="BE59" i="4"/>
  <c r="BI59" i="4"/>
  <c r="AO59" i="4"/>
  <c r="AS59" i="4"/>
  <c r="AF59" i="4"/>
  <c r="AD59" i="4"/>
  <c r="AA59" i="4"/>
  <c r="AN59" i="4"/>
  <c r="AR59" i="4"/>
  <c r="AI59" i="4"/>
  <c r="AG59" i="4"/>
  <c r="AE59" i="4"/>
  <c r="U59" i="4"/>
  <c r="S59" i="4"/>
  <c r="Q59" i="4"/>
  <c r="M59" i="4"/>
  <c r="Y59" i="4"/>
  <c r="W59" i="4"/>
  <c r="O59" i="4"/>
  <c r="K59" i="4"/>
  <c r="H59" i="4"/>
  <c r="CC60" i="4"/>
  <c r="CG60" i="4"/>
  <c r="CD60" i="4"/>
  <c r="CB60" i="4"/>
  <c r="CJ60" i="4"/>
  <c r="BU60" i="4"/>
  <c r="BY60" i="4"/>
  <c r="BT60" i="4"/>
  <c r="BV60" i="4"/>
  <c r="BK60" i="4"/>
  <c r="BO60" i="4"/>
  <c r="BJ60" i="4"/>
  <c r="BN60" i="4"/>
  <c r="BR60" i="4"/>
  <c r="AW60" i="4"/>
  <c r="BA60" i="4"/>
  <c r="BE60" i="4"/>
  <c r="BI60" i="4"/>
  <c r="AX60" i="4"/>
  <c r="BB60" i="4"/>
  <c r="BF60" i="4"/>
  <c r="AL60" i="4"/>
  <c r="AP60" i="4"/>
  <c r="AT60" i="4"/>
  <c r="AK60" i="4"/>
  <c r="AC60" i="4"/>
  <c r="AM60" i="4"/>
  <c r="AQ60" i="4"/>
  <c r="AJ60" i="4"/>
  <c r="AH60" i="4"/>
  <c r="AB60" i="4"/>
  <c r="Z60" i="4"/>
  <c r="X60" i="4"/>
  <c r="P60" i="4"/>
  <c r="L60" i="4"/>
  <c r="V60" i="4"/>
  <c r="T60" i="4"/>
  <c r="R60" i="4"/>
  <c r="N60" i="4"/>
  <c r="I60" i="4"/>
  <c r="H60" i="4"/>
  <c r="CB57" i="4"/>
  <c r="CJ57" i="4"/>
  <c r="CI57" i="4"/>
  <c r="BZ57" i="4"/>
  <c r="BU57" i="4"/>
  <c r="BN57" i="4"/>
  <c r="BM57" i="4"/>
  <c r="AX57" i="4"/>
  <c r="BB57" i="4"/>
  <c r="BF57" i="4"/>
  <c r="AU57" i="4"/>
  <c r="AY57" i="4"/>
  <c r="BC57" i="4"/>
  <c r="BG57" i="4"/>
  <c r="AM57" i="4"/>
  <c r="AQ57" i="4"/>
  <c r="AJ57" i="4"/>
  <c r="AH57" i="4"/>
  <c r="AB57" i="4"/>
  <c r="AL57" i="4"/>
  <c r="AP57" i="4"/>
  <c r="AT57" i="4"/>
  <c r="AK57" i="4"/>
  <c r="AC57" i="4"/>
  <c r="V57" i="4"/>
  <c r="T57" i="4"/>
  <c r="R57" i="4"/>
  <c r="N57" i="4"/>
  <c r="I57" i="4"/>
  <c r="Y57" i="4"/>
  <c r="W57" i="4"/>
  <c r="O57" i="4"/>
  <c r="K57" i="4"/>
  <c r="H57" i="4"/>
  <c r="CE58" i="4"/>
  <c r="CI58" i="4"/>
  <c r="CF58" i="4"/>
  <c r="CD58" i="4"/>
  <c r="BS58" i="4"/>
  <c r="BW58" i="4"/>
  <c r="CA58" i="4"/>
  <c r="BZ58" i="4"/>
  <c r="BX58" i="4"/>
  <c r="BM58" i="4"/>
  <c r="BQ58" i="4"/>
  <c r="BL58" i="4"/>
  <c r="BP58" i="4"/>
  <c r="AU58" i="4"/>
  <c r="AY58" i="4"/>
  <c r="BC58" i="4"/>
  <c r="BG58" i="4"/>
  <c r="AV58" i="4"/>
  <c r="AZ58" i="4"/>
  <c r="BD58" i="4"/>
  <c r="BH58" i="4"/>
  <c r="AN58" i="4"/>
  <c r="AR58" i="4"/>
  <c r="AI58" i="4"/>
  <c r="AG58" i="4"/>
  <c r="AE58" i="4"/>
  <c r="AO58" i="4"/>
  <c r="AS58" i="4"/>
  <c r="AF58" i="4"/>
  <c r="AD58" i="4"/>
  <c r="Y58" i="4"/>
  <c r="W58" i="4"/>
  <c r="O58" i="4"/>
  <c r="K58" i="4"/>
  <c r="AB58" i="4"/>
  <c r="V58" i="4"/>
  <c r="T58" i="4"/>
  <c r="R58" i="4"/>
  <c r="N58" i="4"/>
  <c r="I58" i="4"/>
  <c r="CB59" i="4"/>
  <c r="CF59" i="4"/>
  <c r="CJ59" i="4"/>
  <c r="CI59" i="4"/>
  <c r="CG59" i="4"/>
  <c r="BV59" i="4"/>
  <c r="BZ59" i="4"/>
  <c r="BY59" i="4"/>
  <c r="BW59" i="4"/>
  <c r="BJ59" i="4"/>
  <c r="BN59" i="4"/>
  <c r="BR59" i="4"/>
  <c r="BM59" i="4"/>
  <c r="BQ59" i="4"/>
  <c r="AX59" i="4"/>
  <c r="BB59" i="4"/>
  <c r="BF59" i="4"/>
  <c r="AU59" i="4"/>
  <c r="AY59" i="4"/>
  <c r="BC59" i="4"/>
  <c r="BG59" i="4"/>
  <c r="AM59" i="4"/>
  <c r="AQ59" i="4"/>
  <c r="AJ59" i="4"/>
  <c r="AH59" i="4"/>
  <c r="AB59" i="4"/>
  <c r="AL59" i="4"/>
  <c r="AP59" i="4"/>
  <c r="AT59" i="4"/>
  <c r="AK59" i="4"/>
  <c r="AC59" i="4"/>
  <c r="V59" i="4"/>
  <c r="T59" i="4"/>
  <c r="R59" i="4"/>
  <c r="N59" i="4"/>
  <c r="Z59" i="4"/>
  <c r="X59" i="4"/>
  <c r="P59" i="4"/>
  <c r="L59" i="4"/>
  <c r="J59" i="4"/>
  <c r="I59" i="4"/>
  <c r="CE60" i="4"/>
  <c r="CI60" i="4"/>
  <c r="CH60" i="4"/>
  <c r="CF60" i="4"/>
  <c r="BS60" i="4"/>
  <c r="BW60" i="4"/>
  <c r="CA60" i="4"/>
  <c r="BX60" i="4"/>
  <c r="BZ60" i="4"/>
  <c r="BM60" i="4"/>
  <c r="BQ60" i="4"/>
  <c r="BL60" i="4"/>
  <c r="BP60" i="4"/>
  <c r="AU60" i="4"/>
  <c r="AY60" i="4"/>
  <c r="BC60" i="4"/>
  <c r="BG60" i="4"/>
  <c r="AV60" i="4"/>
  <c r="AZ60" i="4"/>
  <c r="BD60" i="4"/>
  <c r="BH60" i="4"/>
  <c r="AN60" i="4"/>
  <c r="AR60" i="4"/>
  <c r="AI60" i="4"/>
  <c r="AG60" i="4"/>
  <c r="AE60" i="4"/>
  <c r="AO60" i="4"/>
  <c r="AS60" i="4"/>
  <c r="AF60" i="4"/>
  <c r="AD60" i="4"/>
  <c r="AA60" i="4"/>
  <c r="Y60" i="4"/>
  <c r="W60" i="4"/>
  <c r="O60" i="4"/>
  <c r="K60" i="4"/>
  <c r="U60" i="4"/>
  <c r="S60" i="4"/>
  <c r="Q60" i="4"/>
  <c r="M60" i="4"/>
  <c r="J60" i="4"/>
  <c r="G59" i="4"/>
  <c r="G57" i="4"/>
  <c r="G58" i="4"/>
  <c r="G60" i="4"/>
  <c r="CB41" i="4"/>
  <c r="CF41" i="4"/>
  <c r="CJ41" i="4"/>
  <c r="CG41" i="4"/>
  <c r="CI41" i="4"/>
  <c r="BV41" i="4"/>
  <c r="BZ41" i="4"/>
  <c r="BU41" i="4"/>
  <c r="BY41" i="4"/>
  <c r="BJ41" i="4"/>
  <c r="BN41" i="4"/>
  <c r="BR41" i="4"/>
  <c r="AW41" i="4"/>
  <c r="BA41" i="4"/>
  <c r="BE41" i="4"/>
  <c r="BI41" i="4"/>
  <c r="BM41" i="4"/>
  <c r="BQ41" i="4"/>
  <c r="BB41" i="4"/>
  <c r="AV41" i="4"/>
  <c r="BD41" i="4"/>
  <c r="AM41" i="4"/>
  <c r="AQ41" i="4"/>
  <c r="AJ41" i="4"/>
  <c r="AH41" i="4"/>
  <c r="AB41" i="4"/>
  <c r="AL41" i="4"/>
  <c r="AP41" i="4"/>
  <c r="AT41" i="4"/>
  <c r="AK41" i="4"/>
  <c r="AC41" i="4"/>
  <c r="V41" i="4"/>
  <c r="T41" i="4"/>
  <c r="R41" i="4"/>
  <c r="N41" i="4"/>
  <c r="I41" i="4"/>
  <c r="Y41" i="4"/>
  <c r="W41" i="4"/>
  <c r="O41" i="4"/>
  <c r="K41" i="4"/>
  <c r="H41" i="4"/>
  <c r="CE42" i="4"/>
  <c r="CI42" i="4"/>
  <c r="CF42" i="4"/>
  <c r="CD42" i="4"/>
  <c r="BS42" i="4"/>
  <c r="BW42" i="4"/>
  <c r="CA42" i="4"/>
  <c r="BV42" i="4"/>
  <c r="BZ42" i="4"/>
  <c r="BM42" i="4"/>
  <c r="BQ42" i="4"/>
  <c r="AX42" i="4"/>
  <c r="BB42" i="4"/>
  <c r="BF42" i="4"/>
  <c r="BJ42" i="4"/>
  <c r="BN42" i="4"/>
  <c r="BR42" i="4"/>
  <c r="AY42" i="4"/>
  <c r="BG42" i="4"/>
  <c r="BA42" i="4"/>
  <c r="BI42" i="4"/>
  <c r="AN42" i="4"/>
  <c r="AR42" i="4"/>
  <c r="AI42" i="4"/>
  <c r="AG42" i="4"/>
  <c r="AE42" i="4"/>
  <c r="AO42" i="4"/>
  <c r="AS42" i="4"/>
  <c r="AF42" i="4"/>
  <c r="AD42" i="4"/>
  <c r="Y42" i="4"/>
  <c r="W42" i="4"/>
  <c r="O42" i="4"/>
  <c r="K42" i="4"/>
  <c r="AA42" i="4"/>
  <c r="U42" i="4"/>
  <c r="S42" i="4"/>
  <c r="Q42" i="4"/>
  <c r="M42" i="4"/>
  <c r="J42" i="4"/>
  <c r="CB43" i="4"/>
  <c r="CF43" i="4"/>
  <c r="CJ43" i="4"/>
  <c r="CI43" i="4"/>
  <c r="CG43" i="4"/>
  <c r="BV43" i="4"/>
  <c r="BZ43" i="4"/>
  <c r="BU43" i="4"/>
  <c r="BY43" i="4"/>
  <c r="BJ43" i="4"/>
  <c r="BN43" i="4"/>
  <c r="BR43" i="4"/>
  <c r="AW43" i="4"/>
  <c r="BA43" i="4"/>
  <c r="BE43" i="4"/>
  <c r="BI43" i="4"/>
  <c r="BM43" i="4"/>
  <c r="BQ43" i="4"/>
  <c r="AZ43" i="4"/>
  <c r="BH43" i="4"/>
  <c r="BB43" i="4"/>
  <c r="AM43" i="4"/>
  <c r="AQ43" i="4"/>
  <c r="AJ43" i="4"/>
  <c r="AH43" i="4"/>
  <c r="AB43" i="4"/>
  <c r="AL43" i="4"/>
  <c r="AP43" i="4"/>
  <c r="AT43" i="4"/>
  <c r="AK43" i="4"/>
  <c r="AC43" i="4"/>
  <c r="V43" i="4"/>
  <c r="T43" i="4"/>
  <c r="R43" i="4"/>
  <c r="N43" i="4"/>
  <c r="Z43" i="4"/>
  <c r="X43" i="4"/>
  <c r="P43" i="4"/>
  <c r="L43" i="4"/>
  <c r="J43" i="4"/>
  <c r="I43" i="4"/>
  <c r="CD41" i="4"/>
  <c r="CH41" i="4"/>
  <c r="CC41" i="4"/>
  <c r="CE41" i="4"/>
  <c r="BT41" i="4"/>
  <c r="BX41" i="4"/>
  <c r="BS41" i="4"/>
  <c r="BW41" i="4"/>
  <c r="CA41" i="4"/>
  <c r="BL41" i="4"/>
  <c r="BP41" i="4"/>
  <c r="AU41" i="4"/>
  <c r="AY41" i="4"/>
  <c r="BC41" i="4"/>
  <c r="BG41" i="4"/>
  <c r="BK41" i="4"/>
  <c r="BO41" i="4"/>
  <c r="AX41" i="4"/>
  <c r="BF41" i="4"/>
  <c r="AZ41" i="4"/>
  <c r="BH41" i="4"/>
  <c r="AO41" i="4"/>
  <c r="AS41" i="4"/>
  <c r="AF41" i="4"/>
  <c r="AD41" i="4"/>
  <c r="AA41" i="4"/>
  <c r="AN41" i="4"/>
  <c r="AR41" i="4"/>
  <c r="AI41" i="4"/>
  <c r="AG41" i="4"/>
  <c r="AE41" i="4"/>
  <c r="U41" i="4"/>
  <c r="S41" i="4"/>
  <c r="Q41" i="4"/>
  <c r="M41" i="4"/>
  <c r="Z41" i="4"/>
  <c r="X41" i="4"/>
  <c r="P41" i="4"/>
  <c r="L41" i="4"/>
  <c r="J41" i="4"/>
  <c r="CC42" i="4"/>
  <c r="CG42" i="4"/>
  <c r="CB42" i="4"/>
  <c r="CJ42" i="4"/>
  <c r="CH42" i="4"/>
  <c r="BU42" i="4"/>
  <c r="BY42" i="4"/>
  <c r="BT42" i="4"/>
  <c r="BX42" i="4"/>
  <c r="BK42" i="4"/>
  <c r="BO42" i="4"/>
  <c r="AV42" i="4"/>
  <c r="AZ42" i="4"/>
  <c r="BD42" i="4"/>
  <c r="BH42" i="4"/>
  <c r="BL42" i="4"/>
  <c r="BP42" i="4"/>
  <c r="AU42" i="4"/>
  <c r="BC42" i="4"/>
  <c r="AW42" i="4"/>
  <c r="BE42" i="4"/>
  <c r="AL42" i="4"/>
  <c r="AP42" i="4"/>
  <c r="AT42" i="4"/>
  <c r="AK42" i="4"/>
  <c r="AC42" i="4"/>
  <c r="AM42" i="4"/>
  <c r="AQ42" i="4"/>
  <c r="AJ42" i="4"/>
  <c r="AH42" i="4"/>
  <c r="Z42" i="4"/>
  <c r="X42" i="4"/>
  <c r="P42" i="4"/>
  <c r="L42" i="4"/>
  <c r="AB42" i="4"/>
  <c r="V42" i="4"/>
  <c r="T42" i="4"/>
  <c r="R42" i="4"/>
  <c r="N42" i="4"/>
  <c r="I42" i="4"/>
  <c r="H42" i="4"/>
  <c r="CD43" i="4"/>
  <c r="CH43" i="4"/>
  <c r="CE43" i="4"/>
  <c r="CC43" i="4"/>
  <c r="BT43" i="4"/>
  <c r="BX43" i="4"/>
  <c r="BS43" i="4"/>
  <c r="BW43" i="4"/>
  <c r="CA43" i="4"/>
  <c r="BL43" i="4"/>
  <c r="BP43" i="4"/>
  <c r="AU43" i="4"/>
  <c r="AY43" i="4"/>
  <c r="BC43" i="4"/>
  <c r="BG43" i="4"/>
  <c r="BK43" i="4"/>
  <c r="BO43" i="4"/>
  <c r="AV43" i="4"/>
  <c r="BD43" i="4"/>
  <c r="AX43" i="4"/>
  <c r="BF43" i="4"/>
  <c r="AO43" i="4"/>
  <c r="AS43" i="4"/>
  <c r="AF43" i="4"/>
  <c r="AD43" i="4"/>
  <c r="AA43" i="4"/>
  <c r="AN43" i="4"/>
  <c r="AR43" i="4"/>
  <c r="AI43" i="4"/>
  <c r="AG43" i="4"/>
  <c r="AE43" i="4"/>
  <c r="U43" i="4"/>
  <c r="S43" i="4"/>
  <c r="Q43" i="4"/>
  <c r="M43" i="4"/>
  <c r="Y43" i="4"/>
  <c r="W43" i="4"/>
  <c r="O43" i="4"/>
  <c r="K43" i="4"/>
  <c r="H43" i="4"/>
  <c r="G43" i="4"/>
  <c r="G41" i="4"/>
  <c r="G42" i="4"/>
  <c r="CE17" i="4"/>
  <c r="CI17" i="4"/>
  <c r="CD17" i="4"/>
  <c r="CH17" i="4"/>
  <c r="BT17" i="4"/>
  <c r="BX17" i="4"/>
  <c r="BS17" i="4"/>
  <c r="BW17" i="4"/>
  <c r="CA17" i="4"/>
  <c r="BL17" i="4"/>
  <c r="BP17" i="4"/>
  <c r="BM17" i="4"/>
  <c r="AU17" i="4"/>
  <c r="AY17" i="4"/>
  <c r="BC17" i="4"/>
  <c r="BG17" i="4"/>
  <c r="BK17" i="4"/>
  <c r="AX17" i="4"/>
  <c r="BF17" i="4"/>
  <c r="AZ17" i="4"/>
  <c r="BH17" i="4"/>
  <c r="AO17" i="4"/>
  <c r="AS17" i="4"/>
  <c r="AF17" i="4"/>
  <c r="AD17" i="4"/>
  <c r="AA17" i="4"/>
  <c r="AN17" i="4"/>
  <c r="AR17" i="4"/>
  <c r="AI17" i="4"/>
  <c r="AG17" i="4"/>
  <c r="AE17" i="4"/>
  <c r="U17" i="4"/>
  <c r="S17" i="4"/>
  <c r="Q17" i="4"/>
  <c r="M17" i="4"/>
  <c r="Z17" i="4"/>
  <c r="X17" i="4"/>
  <c r="P17" i="4"/>
  <c r="L17" i="4"/>
  <c r="J17" i="4"/>
  <c r="CB18" i="4"/>
  <c r="CF18" i="4"/>
  <c r="CJ18" i="4"/>
  <c r="CE18" i="4"/>
  <c r="CI18" i="4"/>
  <c r="BU18" i="4"/>
  <c r="BY18" i="4"/>
  <c r="BT18" i="4"/>
  <c r="BX18" i="4"/>
  <c r="BK18" i="4"/>
  <c r="BO18" i="4"/>
  <c r="BL18" i="4"/>
  <c r="AV18" i="4"/>
  <c r="AZ18" i="4"/>
  <c r="BD18" i="4"/>
  <c r="BH18" i="4"/>
  <c r="BN18" i="4"/>
  <c r="AU18" i="4"/>
  <c r="BC18" i="4"/>
  <c r="AW18" i="4"/>
  <c r="BE18" i="4"/>
  <c r="AL18" i="4"/>
  <c r="AP18" i="4"/>
  <c r="AT18" i="4"/>
  <c r="AK18" i="4"/>
  <c r="AC18" i="4"/>
  <c r="AM18" i="4"/>
  <c r="AQ18" i="4"/>
  <c r="AJ18" i="4"/>
  <c r="AH18" i="4"/>
  <c r="Z18" i="4"/>
  <c r="X18" i="4"/>
  <c r="P18" i="4"/>
  <c r="L18" i="4"/>
  <c r="H18" i="4"/>
  <c r="AA18" i="4"/>
  <c r="U18" i="4"/>
  <c r="S18" i="4"/>
  <c r="Q18" i="4"/>
  <c r="M18" i="4"/>
  <c r="J18" i="4"/>
  <c r="CE19" i="4"/>
  <c r="CI19" i="4"/>
  <c r="CD19" i="4"/>
  <c r="CH19" i="4"/>
  <c r="BT19" i="4"/>
  <c r="BX19" i="4"/>
  <c r="BS19" i="4"/>
  <c r="BW19" i="4"/>
  <c r="CA19" i="4"/>
  <c r="BL19" i="4"/>
  <c r="BP19" i="4"/>
  <c r="BK19" i="4"/>
  <c r="AU19" i="4"/>
  <c r="AY19" i="4"/>
  <c r="BC19" i="4"/>
  <c r="BG19" i="4"/>
  <c r="BM19" i="4"/>
  <c r="AV19" i="4"/>
  <c r="BD19" i="4"/>
  <c r="AX19" i="4"/>
  <c r="BF19" i="4"/>
  <c r="AO19" i="4"/>
  <c r="AS19" i="4"/>
  <c r="AF19" i="4"/>
  <c r="AD19" i="4"/>
  <c r="AA19" i="4"/>
  <c r="AN19" i="4"/>
  <c r="AR19" i="4"/>
  <c r="AI19" i="4"/>
  <c r="AG19" i="4"/>
  <c r="AE19" i="4"/>
  <c r="U19" i="4"/>
  <c r="S19" i="4"/>
  <c r="Q19" i="4"/>
  <c r="M19" i="4"/>
  <c r="Y19" i="4"/>
  <c r="W19" i="4"/>
  <c r="O19" i="4"/>
  <c r="K19" i="4"/>
  <c r="H19" i="4"/>
  <c r="CC17" i="4"/>
  <c r="CG17" i="4"/>
  <c r="CB17" i="4"/>
  <c r="CF17" i="4"/>
  <c r="CJ17" i="4"/>
  <c r="BV17" i="4"/>
  <c r="BZ17" i="4"/>
  <c r="BU17" i="4"/>
  <c r="BY17" i="4"/>
  <c r="BJ17" i="4"/>
  <c r="BN17" i="4"/>
  <c r="BR17" i="4"/>
  <c r="BQ17" i="4"/>
  <c r="AW17" i="4"/>
  <c r="BA17" i="4"/>
  <c r="BE17" i="4"/>
  <c r="BI17" i="4"/>
  <c r="BO17" i="4"/>
  <c r="BB17" i="4"/>
  <c r="AV17" i="4"/>
  <c r="BD17" i="4"/>
  <c r="AM17" i="4"/>
  <c r="AQ17" i="4"/>
  <c r="AJ17" i="4"/>
  <c r="AH17" i="4"/>
  <c r="AB17" i="4"/>
  <c r="AL17" i="4"/>
  <c r="AP17" i="4"/>
  <c r="AT17" i="4"/>
  <c r="AK17" i="4"/>
  <c r="AC17" i="4"/>
  <c r="V17" i="4"/>
  <c r="T17" i="4"/>
  <c r="R17" i="4"/>
  <c r="N17" i="4"/>
  <c r="I17" i="4"/>
  <c r="Y17" i="4"/>
  <c r="W17" i="4"/>
  <c r="O17" i="4"/>
  <c r="K17" i="4"/>
  <c r="H17" i="4"/>
  <c r="CD18" i="4"/>
  <c r="CH18" i="4"/>
  <c r="CC18" i="4"/>
  <c r="CG18" i="4"/>
  <c r="BS18" i="4"/>
  <c r="BW18" i="4"/>
  <c r="CA18" i="4"/>
  <c r="BV18" i="4"/>
  <c r="BZ18" i="4"/>
  <c r="BM18" i="4"/>
  <c r="BQ18" i="4"/>
  <c r="BP18" i="4"/>
  <c r="AX18" i="4"/>
  <c r="BB18" i="4"/>
  <c r="BF18" i="4"/>
  <c r="BJ18" i="4"/>
  <c r="BR18" i="4"/>
  <c r="AY18" i="4"/>
  <c r="BG18" i="4"/>
  <c r="BA18" i="4"/>
  <c r="BI18" i="4"/>
  <c r="AN18" i="4"/>
  <c r="AR18" i="4"/>
  <c r="AI18" i="4"/>
  <c r="AG18" i="4"/>
  <c r="AE18" i="4"/>
  <c r="AO18" i="4"/>
  <c r="AS18" i="4"/>
  <c r="AF18" i="4"/>
  <c r="AD18" i="4"/>
  <c r="Y18" i="4"/>
  <c r="W18" i="4"/>
  <c r="O18" i="4"/>
  <c r="K18" i="4"/>
  <c r="AB18" i="4"/>
  <c r="V18" i="4"/>
  <c r="T18" i="4"/>
  <c r="R18" i="4"/>
  <c r="N18" i="4"/>
  <c r="I18" i="4"/>
  <c r="CC19" i="4"/>
  <c r="CG19" i="4"/>
  <c r="CB19" i="4"/>
  <c r="CF19" i="4"/>
  <c r="CJ19" i="4"/>
  <c r="BV19" i="4"/>
  <c r="BZ19" i="4"/>
  <c r="BU19" i="4"/>
  <c r="BY19" i="4"/>
  <c r="BJ19" i="4"/>
  <c r="BN19" i="4"/>
  <c r="BR19" i="4"/>
  <c r="BO19" i="4"/>
  <c r="AW19" i="4"/>
  <c r="BA19" i="4"/>
  <c r="BE19" i="4"/>
  <c r="BI19" i="4"/>
  <c r="BQ19" i="4"/>
  <c r="AZ19" i="4"/>
  <c r="BH19" i="4"/>
  <c r="BB19" i="4"/>
  <c r="AM19" i="4"/>
  <c r="AQ19" i="4"/>
  <c r="AJ19" i="4"/>
  <c r="AH19" i="4"/>
  <c r="AB19" i="4"/>
  <c r="AL19" i="4"/>
  <c r="AP19" i="4"/>
  <c r="AT19" i="4"/>
  <c r="AK19" i="4"/>
  <c r="AC19" i="4"/>
  <c r="V19" i="4"/>
  <c r="T19" i="4"/>
  <c r="R19" i="4"/>
  <c r="N19" i="4"/>
  <c r="Z19" i="4"/>
  <c r="X19" i="4"/>
  <c r="P19" i="4"/>
  <c r="L19" i="4"/>
  <c r="J19" i="4"/>
  <c r="I19" i="4"/>
  <c r="G19" i="4"/>
  <c r="G17" i="4"/>
  <c r="G18" i="4"/>
  <c r="G229" i="3"/>
  <c r="AF230" i="3"/>
  <c r="AC230" i="3"/>
  <c r="AG230" i="3"/>
  <c r="AE230" i="3"/>
  <c r="AA230" i="3"/>
  <c r="AB230" i="3"/>
  <c r="Z230" i="3"/>
  <c r="W230" i="3"/>
  <c r="T230" i="3"/>
  <c r="O230" i="3"/>
  <c r="N230" i="3"/>
  <c r="M230" i="3"/>
  <c r="K230" i="3"/>
  <c r="I230" i="3"/>
  <c r="H230" i="3"/>
  <c r="AF229" i="3"/>
  <c r="AE229" i="3"/>
  <c r="AB229" i="3"/>
  <c r="Y229" i="3"/>
  <c r="X229" i="3"/>
  <c r="W229" i="3"/>
  <c r="T229" i="3"/>
  <c r="O229" i="3"/>
  <c r="N229" i="3"/>
  <c r="M229" i="3"/>
  <c r="J229" i="3"/>
  <c r="L229" i="3"/>
  <c r="K229" i="3"/>
  <c r="AD230" i="3"/>
  <c r="Y230" i="3"/>
  <c r="X230" i="3"/>
  <c r="V230" i="3"/>
  <c r="U230" i="3"/>
  <c r="S230" i="3"/>
  <c r="R230" i="3"/>
  <c r="Q230" i="3"/>
  <c r="P230" i="3"/>
  <c r="J230" i="3"/>
  <c r="L230" i="3"/>
  <c r="G230" i="3"/>
  <c r="AG229" i="3"/>
  <c r="AD229" i="3"/>
  <c r="AC229" i="3"/>
  <c r="AA229" i="3"/>
  <c r="Z229" i="3"/>
  <c r="V229" i="3"/>
  <c r="U229" i="3"/>
  <c r="S229" i="3"/>
  <c r="R229" i="3"/>
  <c r="Q229" i="3"/>
  <c r="P229" i="3"/>
  <c r="I229" i="3"/>
  <c r="H229" i="3"/>
  <c r="AG190" i="3"/>
  <c r="AC190" i="3"/>
  <c r="AA190" i="3"/>
  <c r="Y190" i="3"/>
  <c r="AB190" i="3"/>
  <c r="V190" i="3"/>
  <c r="U190" i="3"/>
  <c r="S190" i="3"/>
  <c r="O190" i="3"/>
  <c r="Q190" i="3"/>
  <c r="K190" i="3"/>
  <c r="P190" i="3"/>
  <c r="L190" i="3"/>
  <c r="K189" i="3"/>
  <c r="AE190" i="3"/>
  <c r="AD190" i="3"/>
  <c r="AF190" i="3"/>
  <c r="X190" i="3"/>
  <c r="Z190" i="3"/>
  <c r="W190" i="3"/>
  <c r="T190" i="3"/>
  <c r="R190" i="3"/>
  <c r="N190" i="3"/>
  <c r="M190" i="3"/>
  <c r="J190" i="3"/>
  <c r="I190" i="3"/>
  <c r="H190" i="3"/>
  <c r="AD191" i="3"/>
  <c r="AE191" i="3"/>
  <c r="AC191" i="3"/>
  <c r="Y191" i="3"/>
  <c r="X191" i="3"/>
  <c r="V191" i="3"/>
  <c r="U191" i="3"/>
  <c r="S191" i="3"/>
  <c r="O191" i="3"/>
  <c r="Q191" i="3"/>
  <c r="K191" i="3"/>
  <c r="I191" i="3"/>
  <c r="AG189" i="3"/>
  <c r="AD189" i="3"/>
  <c r="AB189" i="3"/>
  <c r="AC189" i="3"/>
  <c r="Z189" i="3"/>
  <c r="V189" i="3"/>
  <c r="U189" i="3"/>
  <c r="S189" i="3"/>
  <c r="O189" i="3"/>
  <c r="Q189" i="3"/>
  <c r="P189" i="3"/>
  <c r="I189" i="3"/>
  <c r="H189" i="3"/>
  <c r="G189" i="3"/>
  <c r="H191" i="3"/>
  <c r="AG191" i="3"/>
  <c r="AF191" i="3"/>
  <c r="AB191" i="3"/>
  <c r="AA191" i="3"/>
  <c r="Z191" i="3"/>
  <c r="W191" i="3"/>
  <c r="R191" i="3"/>
  <c r="T191" i="3"/>
  <c r="P191" i="3"/>
  <c r="N191" i="3"/>
  <c r="M191" i="3"/>
  <c r="J191" i="3"/>
  <c r="G191" i="3"/>
  <c r="AF189" i="3"/>
  <c r="AE189" i="3"/>
  <c r="AA189" i="3"/>
  <c r="Y189" i="3"/>
  <c r="X189" i="3"/>
  <c r="W189" i="3"/>
  <c r="T189" i="3"/>
  <c r="R189" i="3"/>
  <c r="N189" i="3"/>
  <c r="M189" i="3"/>
  <c r="J189" i="3"/>
  <c r="L189" i="3"/>
  <c r="G190" i="3"/>
  <c r="K157" i="3"/>
  <c r="H159" i="3"/>
  <c r="AD158" i="3"/>
  <c r="AB158" i="3"/>
  <c r="AE158" i="3"/>
  <c r="Y158" i="3"/>
  <c r="Z158" i="3"/>
  <c r="W158" i="3"/>
  <c r="T158" i="3"/>
  <c r="R158" i="3"/>
  <c r="N158" i="3"/>
  <c r="M158" i="3"/>
  <c r="J158" i="3"/>
  <c r="L158" i="3"/>
  <c r="P158" i="3"/>
  <c r="AG158" i="3"/>
  <c r="AC158" i="3"/>
  <c r="AF158" i="3"/>
  <c r="AA158" i="3"/>
  <c r="X158" i="3"/>
  <c r="V158" i="3"/>
  <c r="U158" i="3"/>
  <c r="S158" i="3"/>
  <c r="O158" i="3"/>
  <c r="Q158" i="3"/>
  <c r="K158" i="3"/>
  <c r="I158" i="3"/>
  <c r="H158" i="3"/>
  <c r="AG159" i="3"/>
  <c r="AF159" i="3"/>
  <c r="AC159" i="3"/>
  <c r="AA159" i="3"/>
  <c r="X159" i="3"/>
  <c r="W159" i="3"/>
  <c r="R159" i="3"/>
  <c r="T159" i="3"/>
  <c r="P159" i="3"/>
  <c r="N159" i="3"/>
  <c r="M159" i="3"/>
  <c r="J159" i="3"/>
  <c r="G159" i="3"/>
  <c r="AG157" i="3"/>
  <c r="AD157" i="3"/>
  <c r="AA157" i="3"/>
  <c r="AB157" i="3"/>
  <c r="Z157" i="3"/>
  <c r="V157" i="3"/>
  <c r="W157" i="3"/>
  <c r="S157" i="3"/>
  <c r="O157" i="3"/>
  <c r="Q157" i="3"/>
  <c r="P157" i="3"/>
  <c r="I157" i="3"/>
  <c r="H157" i="3"/>
  <c r="G158" i="3"/>
  <c r="AD159" i="3"/>
  <c r="AE159" i="3"/>
  <c r="AB159" i="3"/>
  <c r="Y159" i="3"/>
  <c r="Z159" i="3"/>
  <c r="V159" i="3"/>
  <c r="U159" i="3"/>
  <c r="S159" i="3"/>
  <c r="O159" i="3"/>
  <c r="Q159" i="3"/>
  <c r="K159" i="3"/>
  <c r="I159" i="3"/>
  <c r="AF157" i="3"/>
  <c r="AE157" i="3"/>
  <c r="AC157" i="3"/>
  <c r="Y157" i="3"/>
  <c r="X157" i="3"/>
  <c r="U157" i="3"/>
  <c r="T157" i="3"/>
  <c r="R157" i="3"/>
  <c r="N157" i="3"/>
  <c r="M157" i="3"/>
  <c r="J157" i="3"/>
  <c r="L157" i="3"/>
  <c r="G157" i="3"/>
  <c r="L159" i="3"/>
  <c r="G93" i="3"/>
  <c r="K93" i="3"/>
  <c r="AF93" i="3"/>
  <c r="AD93" i="3"/>
  <c r="AC93" i="3"/>
  <c r="Z93" i="3"/>
  <c r="AB93" i="3"/>
  <c r="U93" i="3"/>
  <c r="T93" i="3"/>
  <c r="R93" i="3"/>
  <c r="N93" i="3"/>
  <c r="M93" i="3"/>
  <c r="J93" i="3"/>
  <c r="L93" i="3"/>
  <c r="AG93" i="3"/>
  <c r="AE93" i="3"/>
  <c r="AA93" i="3"/>
  <c r="Y93" i="3"/>
  <c r="X93" i="3"/>
  <c r="V93" i="3"/>
  <c r="W93" i="3"/>
  <c r="S93" i="3"/>
  <c r="O93" i="3"/>
  <c r="Q93" i="3"/>
  <c r="P93" i="3"/>
  <c r="I93" i="3"/>
  <c r="H93" i="3"/>
  <c r="CD69" i="4"/>
  <c r="CH69" i="4"/>
  <c r="CC69" i="4"/>
  <c r="CE69" i="4"/>
  <c r="BT69" i="4"/>
  <c r="BX69" i="4"/>
  <c r="BS69" i="4"/>
  <c r="CA69" i="4"/>
  <c r="BY69" i="4"/>
  <c r="BL69" i="4"/>
  <c r="BP69" i="4"/>
  <c r="BK69" i="4"/>
  <c r="BO69" i="4"/>
  <c r="AV69" i="4"/>
  <c r="AZ69" i="4"/>
  <c r="BD69" i="4"/>
  <c r="BH69" i="4"/>
  <c r="AW69" i="4"/>
  <c r="BA69" i="4"/>
  <c r="BE69" i="4"/>
  <c r="BI69" i="4"/>
  <c r="AO69" i="4"/>
  <c r="AS69" i="4"/>
  <c r="AF69" i="4"/>
  <c r="AD69" i="4"/>
  <c r="AA69" i="4"/>
  <c r="AN69" i="4"/>
  <c r="AR69" i="4"/>
  <c r="AI69" i="4"/>
  <c r="AG69" i="4"/>
  <c r="AE69" i="4"/>
  <c r="U69" i="4"/>
  <c r="S69" i="4"/>
  <c r="Q69" i="4"/>
  <c r="M69" i="4"/>
  <c r="Y69" i="4"/>
  <c r="W69" i="4"/>
  <c r="O69" i="4"/>
  <c r="K69" i="4"/>
  <c r="H69" i="4"/>
  <c r="CC70" i="4"/>
  <c r="CG70" i="4"/>
  <c r="CB70" i="4"/>
  <c r="CJ70" i="4"/>
  <c r="CH70" i="4"/>
  <c r="BU70" i="4"/>
  <c r="BY70" i="4"/>
  <c r="BV70" i="4"/>
  <c r="BT70" i="4"/>
  <c r="BK70" i="4"/>
  <c r="BO70" i="4"/>
  <c r="BJ70" i="4"/>
  <c r="BN70" i="4"/>
  <c r="BR70" i="4"/>
  <c r="AW70" i="4"/>
  <c r="BA70" i="4"/>
  <c r="BE70" i="4"/>
  <c r="BI70" i="4"/>
  <c r="AX70" i="4"/>
  <c r="BB70" i="4"/>
  <c r="BF70" i="4"/>
  <c r="AL70" i="4"/>
  <c r="AP70" i="4"/>
  <c r="AT70" i="4"/>
  <c r="AK70" i="4"/>
  <c r="AC70" i="4"/>
  <c r="AM70" i="4"/>
  <c r="AQ70" i="4"/>
  <c r="AJ70" i="4"/>
  <c r="AH70" i="4"/>
  <c r="Z70" i="4"/>
  <c r="X70" i="4"/>
  <c r="P70" i="4"/>
  <c r="L70" i="4"/>
  <c r="H70" i="4"/>
  <c r="AA70" i="4"/>
  <c r="U70" i="4"/>
  <c r="S70" i="4"/>
  <c r="Q70" i="4"/>
  <c r="M70" i="4"/>
  <c r="J70" i="4"/>
  <c r="CB69" i="4"/>
  <c r="CF69" i="4"/>
  <c r="CJ69" i="4"/>
  <c r="CG69" i="4"/>
  <c r="CI69" i="4"/>
  <c r="BV69" i="4"/>
  <c r="BZ69" i="4"/>
  <c r="BW69" i="4"/>
  <c r="BU69" i="4"/>
  <c r="BJ69" i="4"/>
  <c r="BN69" i="4"/>
  <c r="BR69" i="4"/>
  <c r="BM69" i="4"/>
  <c r="BQ69" i="4"/>
  <c r="AX69" i="4"/>
  <c r="BB69" i="4"/>
  <c r="BF69" i="4"/>
  <c r="AU69" i="4"/>
  <c r="AY69" i="4"/>
  <c r="BC69" i="4"/>
  <c r="BG69" i="4"/>
  <c r="AM69" i="4"/>
  <c r="AQ69" i="4"/>
  <c r="AJ69" i="4"/>
  <c r="AH69" i="4"/>
  <c r="AB69" i="4"/>
  <c r="AL69" i="4"/>
  <c r="AP69" i="4"/>
  <c r="AT69" i="4"/>
  <c r="AK69" i="4"/>
  <c r="AC69" i="4"/>
  <c r="V69" i="4"/>
  <c r="T69" i="4"/>
  <c r="R69" i="4"/>
  <c r="N69" i="4"/>
  <c r="Z69" i="4"/>
  <c r="X69" i="4"/>
  <c r="P69" i="4"/>
  <c r="L69" i="4"/>
  <c r="J69" i="4"/>
  <c r="I69" i="4"/>
  <c r="CE70" i="4"/>
  <c r="CI70" i="4"/>
  <c r="CF70" i="4"/>
  <c r="CD70" i="4"/>
  <c r="BS70" i="4"/>
  <c r="BW70" i="4"/>
  <c r="CA70" i="4"/>
  <c r="BZ70" i="4"/>
  <c r="BX70" i="4"/>
  <c r="BM70" i="4"/>
  <c r="BQ70" i="4"/>
  <c r="BL70" i="4"/>
  <c r="BP70" i="4"/>
  <c r="AU70" i="4"/>
  <c r="AY70" i="4"/>
  <c r="BC70" i="4"/>
  <c r="BG70" i="4"/>
  <c r="AV70" i="4"/>
  <c r="AZ70" i="4"/>
  <c r="BD70" i="4"/>
  <c r="BH70" i="4"/>
  <c r="AN70" i="4"/>
  <c r="AR70" i="4"/>
  <c r="AI70" i="4"/>
  <c r="AG70" i="4"/>
  <c r="AE70" i="4"/>
  <c r="AO70" i="4"/>
  <c r="AS70" i="4"/>
  <c r="AF70" i="4"/>
  <c r="AD70" i="4"/>
  <c r="Y70" i="4"/>
  <c r="W70" i="4"/>
  <c r="O70" i="4"/>
  <c r="K70" i="4"/>
  <c r="AB70" i="4"/>
  <c r="V70" i="4"/>
  <c r="T70" i="4"/>
  <c r="R70" i="4"/>
  <c r="N70" i="4"/>
  <c r="I70" i="4"/>
  <c r="G69" i="4"/>
  <c r="G70" i="4"/>
  <c r="CB37" i="4"/>
  <c r="CF37" i="4"/>
  <c r="CJ37" i="4"/>
  <c r="CE37" i="4"/>
  <c r="CI37" i="4"/>
  <c r="BV37" i="4"/>
  <c r="BZ37" i="4"/>
  <c r="BU37" i="4"/>
  <c r="BY37" i="4"/>
  <c r="BJ37" i="4"/>
  <c r="BN37" i="4"/>
  <c r="BR37" i="4"/>
  <c r="BQ37" i="4"/>
  <c r="AW37" i="4"/>
  <c r="BA37" i="4"/>
  <c r="BE37" i="4"/>
  <c r="BI37" i="4"/>
  <c r="BO37" i="4"/>
  <c r="BB37" i="4"/>
  <c r="AV37" i="4"/>
  <c r="BD37" i="4"/>
  <c r="AM37" i="4"/>
  <c r="AQ37" i="4"/>
  <c r="AJ37" i="4"/>
  <c r="AH37" i="4"/>
  <c r="AB37" i="4"/>
  <c r="AL37" i="4"/>
  <c r="AP37" i="4"/>
  <c r="AT37" i="4"/>
  <c r="AK37" i="4"/>
  <c r="AC37" i="4"/>
  <c r="V37" i="4"/>
  <c r="T37" i="4"/>
  <c r="R37" i="4"/>
  <c r="N37" i="4"/>
  <c r="I37" i="4"/>
  <c r="Y37" i="4"/>
  <c r="W37" i="4"/>
  <c r="O37" i="4"/>
  <c r="K37" i="4"/>
  <c r="H37" i="4"/>
  <c r="CE38" i="4"/>
  <c r="CI38" i="4"/>
  <c r="CD38" i="4"/>
  <c r="CH38" i="4"/>
  <c r="BS38" i="4"/>
  <c r="BW38" i="4"/>
  <c r="CA38" i="4"/>
  <c r="BV38" i="4"/>
  <c r="BZ38" i="4"/>
  <c r="BM38" i="4"/>
  <c r="BQ38" i="4"/>
  <c r="AX38" i="4"/>
  <c r="BB38" i="4"/>
  <c r="BF38" i="4"/>
  <c r="BJ38" i="4"/>
  <c r="BN38" i="4"/>
  <c r="BR38" i="4"/>
  <c r="AY38" i="4"/>
  <c r="BG38" i="4"/>
  <c r="BA38" i="4"/>
  <c r="BI38" i="4"/>
  <c r="AN38" i="4"/>
  <c r="AR38" i="4"/>
  <c r="AI38" i="4"/>
  <c r="AG38" i="4"/>
  <c r="AE38" i="4"/>
  <c r="AO38" i="4"/>
  <c r="AS38" i="4"/>
  <c r="AF38" i="4"/>
  <c r="AD38" i="4"/>
  <c r="Y38" i="4"/>
  <c r="W38" i="4"/>
  <c r="O38" i="4"/>
  <c r="K38" i="4"/>
  <c r="AB38" i="4"/>
  <c r="V38" i="4"/>
  <c r="T38" i="4"/>
  <c r="R38" i="4"/>
  <c r="N38" i="4"/>
  <c r="I38" i="4"/>
  <c r="CD37" i="4"/>
  <c r="CH37" i="4"/>
  <c r="CC37" i="4"/>
  <c r="CG37" i="4"/>
  <c r="BT37" i="4"/>
  <c r="BX37" i="4"/>
  <c r="BS37" i="4"/>
  <c r="BW37" i="4"/>
  <c r="CA37" i="4"/>
  <c r="BL37" i="4"/>
  <c r="BP37" i="4"/>
  <c r="BM37" i="4"/>
  <c r="AU37" i="4"/>
  <c r="AY37" i="4"/>
  <c r="BC37" i="4"/>
  <c r="BG37" i="4"/>
  <c r="BK37" i="4"/>
  <c r="AX37" i="4"/>
  <c r="BF37" i="4"/>
  <c r="AZ37" i="4"/>
  <c r="BH37" i="4"/>
  <c r="AO37" i="4"/>
  <c r="AS37" i="4"/>
  <c r="AF37" i="4"/>
  <c r="AD37" i="4"/>
  <c r="AA37" i="4"/>
  <c r="AN37" i="4"/>
  <c r="AR37" i="4"/>
  <c r="AI37" i="4"/>
  <c r="AG37" i="4"/>
  <c r="AE37" i="4"/>
  <c r="U37" i="4"/>
  <c r="S37" i="4"/>
  <c r="Q37" i="4"/>
  <c r="M37" i="4"/>
  <c r="Z37" i="4"/>
  <c r="X37" i="4"/>
  <c r="P37" i="4"/>
  <c r="L37" i="4"/>
  <c r="J37" i="4"/>
  <c r="CC38" i="4"/>
  <c r="CG38" i="4"/>
  <c r="CB38" i="4"/>
  <c r="CF38" i="4"/>
  <c r="CJ38" i="4"/>
  <c r="BU38" i="4"/>
  <c r="BY38" i="4"/>
  <c r="BT38" i="4"/>
  <c r="BX38" i="4"/>
  <c r="BK38" i="4"/>
  <c r="BO38" i="4"/>
  <c r="AV38" i="4"/>
  <c r="AZ38" i="4"/>
  <c r="BD38" i="4"/>
  <c r="BH38" i="4"/>
  <c r="BL38" i="4"/>
  <c r="BP38" i="4"/>
  <c r="AU38" i="4"/>
  <c r="BC38" i="4"/>
  <c r="AW38" i="4"/>
  <c r="BE38" i="4"/>
  <c r="AL38" i="4"/>
  <c r="AP38" i="4"/>
  <c r="AT38" i="4"/>
  <c r="AK38" i="4"/>
  <c r="AC38" i="4"/>
  <c r="AM38" i="4"/>
  <c r="AQ38" i="4"/>
  <c r="AJ38" i="4"/>
  <c r="AH38" i="4"/>
  <c r="Z38" i="4"/>
  <c r="X38" i="4"/>
  <c r="P38" i="4"/>
  <c r="L38" i="4"/>
  <c r="H38" i="4"/>
  <c r="AA38" i="4"/>
  <c r="U38" i="4"/>
  <c r="S38" i="4"/>
  <c r="Q38" i="4"/>
  <c r="M38" i="4"/>
  <c r="J38" i="4"/>
  <c r="G37" i="4"/>
  <c r="G38" i="4"/>
  <c r="CI5" i="4"/>
  <c r="CE5" i="4"/>
  <c r="CJ5" i="4"/>
  <c r="CF5" i="4"/>
  <c r="CB5" i="4"/>
  <c r="BX5" i="4"/>
  <c r="BT5" i="4"/>
  <c r="CA5" i="4"/>
  <c r="BS5" i="4"/>
  <c r="BN5" i="4"/>
  <c r="BJ5" i="4"/>
  <c r="BU5" i="4"/>
  <c r="BM5" i="4"/>
  <c r="BK5" i="4"/>
  <c r="BG5" i="4"/>
  <c r="BC5" i="4"/>
  <c r="AY5" i="4"/>
  <c r="AU5" i="4"/>
  <c r="AQ5" i="4"/>
  <c r="AM5" i="4"/>
  <c r="AI5" i="4"/>
  <c r="AE5" i="4"/>
  <c r="BH5" i="4"/>
  <c r="BD5" i="4"/>
  <c r="AZ5" i="4"/>
  <c r="AV5" i="4"/>
  <c r="AR5" i="4"/>
  <c r="AN5" i="4"/>
  <c r="AK5" i="4"/>
  <c r="AF5" i="4"/>
  <c r="AB5" i="4"/>
  <c r="X5" i="4"/>
  <c r="T5" i="4"/>
  <c r="P5" i="4"/>
  <c r="L5" i="4"/>
  <c r="Y5" i="4"/>
  <c r="U5" i="4"/>
  <c r="Q5" i="4"/>
  <c r="M5" i="4"/>
  <c r="I5" i="4"/>
  <c r="J5" i="4"/>
  <c r="CC6" i="4"/>
  <c r="CG6" i="4"/>
  <c r="CB6" i="4"/>
  <c r="CF6" i="4"/>
  <c r="CJ6" i="4"/>
  <c r="BU6" i="4"/>
  <c r="BY6" i="4"/>
  <c r="BT6" i="4"/>
  <c r="BX6" i="4"/>
  <c r="BK6" i="4"/>
  <c r="BO6" i="4"/>
  <c r="BL6" i="4"/>
  <c r="AV6" i="4"/>
  <c r="AZ6" i="4"/>
  <c r="BD6" i="4"/>
  <c r="BH6" i="4"/>
  <c r="BN6" i="4"/>
  <c r="AU6" i="4"/>
  <c r="BC6" i="4"/>
  <c r="AW6" i="4"/>
  <c r="BE6" i="4"/>
  <c r="AL6" i="4"/>
  <c r="AP6" i="4"/>
  <c r="AT6" i="4"/>
  <c r="AK6" i="4"/>
  <c r="AC6" i="4"/>
  <c r="AM6" i="4"/>
  <c r="AQ6" i="4"/>
  <c r="AJ6" i="4"/>
  <c r="AH6" i="4"/>
  <c r="Z6" i="4"/>
  <c r="X6" i="4"/>
  <c r="P6" i="4"/>
  <c r="L6" i="4"/>
  <c r="AB6" i="4"/>
  <c r="V6" i="4"/>
  <c r="T6" i="4"/>
  <c r="R6" i="4"/>
  <c r="N6" i="4"/>
  <c r="I6" i="4"/>
  <c r="H6" i="4"/>
  <c r="CG5" i="4"/>
  <c r="CC5" i="4"/>
  <c r="CH5" i="4"/>
  <c r="CD5" i="4"/>
  <c r="BZ5" i="4"/>
  <c r="BV5" i="4"/>
  <c r="BP5" i="4"/>
  <c r="BW5" i="4"/>
  <c r="BQ5" i="4"/>
  <c r="BL5" i="4"/>
  <c r="BY5" i="4"/>
  <c r="BR5" i="4"/>
  <c r="BO5" i="4"/>
  <c r="BI5" i="4"/>
  <c r="BE5" i="4"/>
  <c r="BA5" i="4"/>
  <c r="AW5" i="4"/>
  <c r="AS5" i="4"/>
  <c r="AO5" i="4"/>
  <c r="AJ5" i="4"/>
  <c r="AG5" i="4"/>
  <c r="AC5" i="4"/>
  <c r="BF5" i="4"/>
  <c r="BB5" i="4"/>
  <c r="AX5" i="4"/>
  <c r="AT5" i="4"/>
  <c r="AP5" i="4"/>
  <c r="AL5" i="4"/>
  <c r="AH5" i="4"/>
  <c r="AD5" i="4"/>
  <c r="Z5" i="4"/>
  <c r="V5" i="4"/>
  <c r="R5" i="4"/>
  <c r="N5" i="4"/>
  <c r="AA5" i="4"/>
  <c r="W5" i="4"/>
  <c r="S5" i="4"/>
  <c r="O5" i="4"/>
  <c r="K5" i="4"/>
  <c r="G5" i="4"/>
  <c r="H5" i="4"/>
  <c r="CE6" i="4"/>
  <c r="CI6" i="4"/>
  <c r="CD6" i="4"/>
  <c r="CH6" i="4"/>
  <c r="BS6" i="4"/>
  <c r="BW6" i="4"/>
  <c r="CA6" i="4"/>
  <c r="BV6" i="4"/>
  <c r="BZ6" i="4"/>
  <c r="BM6" i="4"/>
  <c r="BQ6" i="4"/>
  <c r="BP6" i="4"/>
  <c r="AX6" i="4"/>
  <c r="BB6" i="4"/>
  <c r="BF6" i="4"/>
  <c r="BJ6" i="4"/>
  <c r="BR6" i="4"/>
  <c r="AY6" i="4"/>
  <c r="BG6" i="4"/>
  <c r="BA6" i="4"/>
  <c r="BI6" i="4"/>
  <c r="AN6" i="4"/>
  <c r="AR6" i="4"/>
  <c r="AI6" i="4"/>
  <c r="AG6" i="4"/>
  <c r="AE6" i="4"/>
  <c r="AO6" i="4"/>
  <c r="AS6" i="4"/>
  <c r="AF6" i="4"/>
  <c r="AD6" i="4"/>
  <c r="Y6" i="4"/>
  <c r="W6" i="4"/>
  <c r="O6" i="4"/>
  <c r="K6" i="4"/>
  <c r="AA6" i="4"/>
  <c r="U6" i="4"/>
  <c r="S6" i="4"/>
  <c r="Q6" i="4"/>
  <c r="M6" i="4"/>
  <c r="J6" i="4"/>
  <c r="G6" i="4"/>
  <c r="J227" i="3"/>
  <c r="G226" i="3"/>
  <c r="G225" i="3"/>
  <c r="AG227" i="3"/>
  <c r="AD227" i="3"/>
  <c r="AB227" i="3"/>
  <c r="Z227" i="3"/>
  <c r="X227" i="3"/>
  <c r="U227" i="3"/>
  <c r="T227" i="3"/>
  <c r="R227" i="3"/>
  <c r="Q227" i="3"/>
  <c r="P227" i="3"/>
  <c r="I227" i="3"/>
  <c r="H227" i="3"/>
  <c r="I225" i="3"/>
  <c r="G227" i="3"/>
  <c r="AF227" i="3"/>
  <c r="AE227" i="3"/>
  <c r="AC227" i="3"/>
  <c r="AA227" i="3"/>
  <c r="Y227" i="3"/>
  <c r="W227" i="3"/>
  <c r="V227" i="3"/>
  <c r="S227" i="3"/>
  <c r="N227" i="3"/>
  <c r="M227" i="3"/>
  <c r="O227" i="3"/>
  <c r="L227" i="3"/>
  <c r="K227" i="3"/>
  <c r="AE225" i="3"/>
  <c r="AD225" i="3"/>
  <c r="AB225" i="3"/>
  <c r="AC225" i="3"/>
  <c r="X225" i="3"/>
  <c r="U225" i="3"/>
  <c r="S225" i="3"/>
  <c r="Q225" i="3"/>
  <c r="P225" i="3"/>
  <c r="R225" i="3"/>
  <c r="L225" i="3"/>
  <c r="K225" i="3"/>
  <c r="AF226" i="3"/>
  <c r="AC226" i="3"/>
  <c r="Z226" i="3"/>
  <c r="W226" i="3"/>
  <c r="AA226" i="3"/>
  <c r="V226" i="3"/>
  <c r="S226" i="3"/>
  <c r="Q226" i="3"/>
  <c r="P226" i="3"/>
  <c r="I226" i="3"/>
  <c r="L226" i="3"/>
  <c r="K226" i="3"/>
  <c r="J226" i="3"/>
  <c r="AF225" i="3"/>
  <c r="AG225" i="3"/>
  <c r="AA225" i="3"/>
  <c r="Z225" i="3"/>
  <c r="Y225" i="3"/>
  <c r="V225" i="3"/>
  <c r="W225" i="3"/>
  <c r="T225" i="3"/>
  <c r="M225" i="3"/>
  <c r="O225" i="3"/>
  <c r="N225" i="3"/>
  <c r="H225" i="3"/>
  <c r="J225" i="3"/>
  <c r="AG226" i="3"/>
  <c r="AE226" i="3"/>
  <c r="AB226" i="3"/>
  <c r="Y226" i="3"/>
  <c r="AD226" i="3"/>
  <c r="X226" i="3"/>
  <c r="U226" i="3"/>
  <c r="T226" i="3"/>
  <c r="M226" i="3"/>
  <c r="O226" i="3"/>
  <c r="R226" i="3"/>
  <c r="H226" i="3"/>
  <c r="N226" i="3"/>
  <c r="G177" i="3"/>
  <c r="G179" i="3"/>
  <c r="AG178" i="3"/>
  <c r="AE178" i="3"/>
  <c r="AD178" i="3"/>
  <c r="AA178" i="3"/>
  <c r="W178" i="3"/>
  <c r="X178" i="3"/>
  <c r="U178" i="3"/>
  <c r="R178" i="3"/>
  <c r="Q178" i="3"/>
  <c r="P178" i="3"/>
  <c r="N178" i="3"/>
  <c r="L178" i="3"/>
  <c r="K178" i="3"/>
  <c r="G178" i="3"/>
  <c r="AF178" i="3"/>
  <c r="AC178" i="3"/>
  <c r="Z178" i="3"/>
  <c r="Y178" i="3"/>
  <c r="AB178" i="3"/>
  <c r="V178" i="3"/>
  <c r="S178" i="3"/>
  <c r="T178" i="3"/>
  <c r="M178" i="3"/>
  <c r="O178" i="3"/>
  <c r="I178" i="3"/>
  <c r="H178" i="3"/>
  <c r="J178" i="3"/>
  <c r="AE179" i="3"/>
  <c r="AC179" i="3"/>
  <c r="AA179" i="3"/>
  <c r="Z179" i="3"/>
  <c r="W179" i="3"/>
  <c r="U179" i="3"/>
  <c r="T179" i="3"/>
  <c r="R179" i="3"/>
  <c r="Q179" i="3"/>
  <c r="P179" i="3"/>
  <c r="I179" i="3"/>
  <c r="H179" i="3"/>
  <c r="J179" i="3"/>
  <c r="AE177" i="3"/>
  <c r="AG177" i="3"/>
  <c r="AA177" i="3"/>
  <c r="Z177" i="3"/>
  <c r="Y177" i="3"/>
  <c r="V177" i="3"/>
  <c r="U177" i="3"/>
  <c r="R177" i="3"/>
  <c r="Q177" i="3"/>
  <c r="P177" i="3"/>
  <c r="N177" i="3"/>
  <c r="H177" i="3"/>
  <c r="J177" i="3"/>
  <c r="AF179" i="3"/>
  <c r="AG179" i="3"/>
  <c r="AB179" i="3"/>
  <c r="AD179" i="3"/>
  <c r="Y179" i="3"/>
  <c r="X179" i="3"/>
  <c r="V179" i="3"/>
  <c r="S179" i="3"/>
  <c r="N179" i="3"/>
  <c r="M179" i="3"/>
  <c r="O179" i="3"/>
  <c r="L179" i="3"/>
  <c r="K179" i="3"/>
  <c r="AF177" i="3"/>
  <c r="AD177" i="3"/>
  <c r="AB177" i="3"/>
  <c r="AC177" i="3"/>
  <c r="X177" i="3"/>
  <c r="W177" i="3"/>
  <c r="S177" i="3"/>
  <c r="T177" i="3"/>
  <c r="M177" i="3"/>
  <c r="O177" i="3"/>
  <c r="L177" i="3"/>
  <c r="K177" i="3"/>
  <c r="I177" i="3"/>
  <c r="I185" i="3"/>
  <c r="G187" i="3"/>
  <c r="G186" i="3"/>
  <c r="J187" i="3"/>
  <c r="AF186" i="3"/>
  <c r="AC186" i="3"/>
  <c r="AA186" i="3"/>
  <c r="Z186" i="3"/>
  <c r="W186" i="3"/>
  <c r="V186" i="3"/>
  <c r="S186" i="3"/>
  <c r="T186" i="3"/>
  <c r="M186" i="3"/>
  <c r="O186" i="3"/>
  <c r="N186" i="3"/>
  <c r="H186" i="3"/>
  <c r="J186" i="3"/>
  <c r="AG187" i="3"/>
  <c r="AC187" i="3"/>
  <c r="AE187" i="3"/>
  <c r="Z187" i="3"/>
  <c r="Y187" i="3"/>
  <c r="U187" i="3"/>
  <c r="T187" i="3"/>
  <c r="R187" i="3"/>
  <c r="Q187" i="3"/>
  <c r="P187" i="3"/>
  <c r="I187" i="3"/>
  <c r="H187" i="3"/>
  <c r="AE185" i="3"/>
  <c r="AD185" i="3"/>
  <c r="AC185" i="3"/>
  <c r="Z185" i="3"/>
  <c r="X185" i="3"/>
  <c r="V185" i="3"/>
  <c r="S185" i="3"/>
  <c r="T185" i="3"/>
  <c r="M185" i="3"/>
  <c r="O185" i="3"/>
  <c r="L185" i="3"/>
  <c r="K185" i="3"/>
  <c r="G185" i="3"/>
  <c r="AG186" i="3"/>
  <c r="AD186" i="3"/>
  <c r="AE186" i="3"/>
  <c r="AB186" i="3"/>
  <c r="Y186" i="3"/>
  <c r="X186" i="3"/>
  <c r="U186" i="3"/>
  <c r="R186" i="3"/>
  <c r="Q186" i="3"/>
  <c r="P186" i="3"/>
  <c r="I186" i="3"/>
  <c r="L186" i="3"/>
  <c r="K186" i="3"/>
  <c r="AF187" i="3"/>
  <c r="AD187" i="3"/>
  <c r="AB187" i="3"/>
  <c r="AA187" i="3"/>
  <c r="W187" i="3"/>
  <c r="X187" i="3"/>
  <c r="V187" i="3"/>
  <c r="S187" i="3"/>
  <c r="N187" i="3"/>
  <c r="M187" i="3"/>
  <c r="O187" i="3"/>
  <c r="L187" i="3"/>
  <c r="K187" i="3"/>
  <c r="AF185" i="3"/>
  <c r="AG185" i="3"/>
  <c r="AA185" i="3"/>
  <c r="AB185" i="3"/>
  <c r="Y185" i="3"/>
  <c r="W185" i="3"/>
  <c r="U185" i="3"/>
  <c r="R185" i="3"/>
  <c r="Q185" i="3"/>
  <c r="P185" i="3"/>
  <c r="N185" i="3"/>
  <c r="H185" i="3"/>
  <c r="J185" i="3"/>
  <c r="G146" i="3"/>
  <c r="G147" i="3"/>
  <c r="I145" i="3"/>
  <c r="AG146" i="3"/>
  <c r="AD146" i="3"/>
  <c r="AE146" i="3"/>
  <c r="Z146" i="3"/>
  <c r="Y146" i="3"/>
  <c r="X146" i="3"/>
  <c r="U146" i="3"/>
  <c r="R146" i="3"/>
  <c r="Q146" i="3"/>
  <c r="P146" i="3"/>
  <c r="I146" i="3"/>
  <c r="H146" i="3"/>
  <c r="K146" i="3"/>
  <c r="AE147" i="3"/>
  <c r="AD147" i="3"/>
  <c r="AA147" i="3"/>
  <c r="Z147" i="3"/>
  <c r="Y147" i="3"/>
  <c r="U147" i="3"/>
  <c r="T147" i="3"/>
  <c r="R147" i="3"/>
  <c r="Q147" i="3"/>
  <c r="P147" i="3"/>
  <c r="I147" i="3"/>
  <c r="H147" i="3"/>
  <c r="AF145" i="3"/>
  <c r="AD145" i="3"/>
  <c r="AB145" i="3"/>
  <c r="Z145" i="3"/>
  <c r="X145" i="3"/>
  <c r="V145" i="3"/>
  <c r="S145" i="3"/>
  <c r="T145" i="3"/>
  <c r="M145" i="3"/>
  <c r="O145" i="3"/>
  <c r="L145" i="3"/>
  <c r="K145" i="3"/>
  <c r="G145" i="3"/>
  <c r="AF146" i="3"/>
  <c r="AC146" i="3"/>
  <c r="AA146" i="3"/>
  <c r="AB146" i="3"/>
  <c r="W146" i="3"/>
  <c r="V146" i="3"/>
  <c r="S146" i="3"/>
  <c r="T146" i="3"/>
  <c r="M146" i="3"/>
  <c r="O146" i="3"/>
  <c r="L146" i="3"/>
  <c r="N146" i="3"/>
  <c r="J146" i="3"/>
  <c r="AF147" i="3"/>
  <c r="AG147" i="3"/>
  <c r="AC147" i="3"/>
  <c r="AB147" i="3"/>
  <c r="W147" i="3"/>
  <c r="X147" i="3"/>
  <c r="V147" i="3"/>
  <c r="S147" i="3"/>
  <c r="N147" i="3"/>
  <c r="M147" i="3"/>
  <c r="O147" i="3"/>
  <c r="L147" i="3"/>
  <c r="K147" i="3"/>
  <c r="AE145" i="3"/>
  <c r="AG145" i="3"/>
  <c r="AA145" i="3"/>
  <c r="AC145" i="3"/>
  <c r="Y145" i="3"/>
  <c r="W145" i="3"/>
  <c r="U145" i="3"/>
  <c r="R145" i="3"/>
  <c r="Q145" i="3"/>
  <c r="P145" i="3"/>
  <c r="N145" i="3"/>
  <c r="H145" i="3"/>
  <c r="J145" i="3"/>
  <c r="G184" i="3"/>
  <c r="AG184" i="3"/>
  <c r="AC184" i="3"/>
  <c r="AF184" i="3"/>
  <c r="Y184" i="3"/>
  <c r="X184" i="3"/>
  <c r="V184" i="3"/>
  <c r="R184" i="3"/>
  <c r="S184" i="3"/>
  <c r="O184" i="3"/>
  <c r="M184" i="3"/>
  <c r="H184" i="3"/>
  <c r="Q184" i="3"/>
  <c r="I184" i="3"/>
  <c r="AE184" i="3"/>
  <c r="AD184" i="3"/>
  <c r="AB184" i="3"/>
  <c r="Z184" i="3"/>
  <c r="AA184" i="3"/>
  <c r="W184" i="3"/>
  <c r="U184" i="3"/>
  <c r="T184" i="3"/>
  <c r="P184" i="3"/>
  <c r="N184" i="3"/>
  <c r="L184" i="3"/>
  <c r="K184" i="3"/>
  <c r="J184" i="3"/>
  <c r="G154" i="3"/>
  <c r="G152" i="3"/>
  <c r="G153" i="3"/>
  <c r="AG154" i="3"/>
  <c r="AF154" i="3"/>
  <c r="AD154" i="3"/>
  <c r="Z154" i="3"/>
  <c r="W154" i="3"/>
  <c r="X154" i="3"/>
  <c r="U154" i="3"/>
  <c r="R154" i="3"/>
  <c r="Q154" i="3"/>
  <c r="P154" i="3"/>
  <c r="I154" i="3"/>
  <c r="H154" i="3"/>
  <c r="N154" i="3"/>
  <c r="AE152" i="3"/>
  <c r="AC152" i="3"/>
  <c r="AB152" i="3"/>
  <c r="AA152" i="3"/>
  <c r="X152" i="3"/>
  <c r="V152" i="3"/>
  <c r="R152" i="3"/>
  <c r="S152" i="3"/>
  <c r="O152" i="3"/>
  <c r="L152" i="3"/>
  <c r="K152" i="3"/>
  <c r="J152" i="3"/>
  <c r="Q152" i="3"/>
  <c r="AE153" i="3"/>
  <c r="AG153" i="3"/>
  <c r="AA153" i="3"/>
  <c r="Z153" i="3"/>
  <c r="X153" i="3"/>
  <c r="W153" i="3"/>
  <c r="U153" i="3"/>
  <c r="R153" i="3"/>
  <c r="Q153" i="3"/>
  <c r="P153" i="3"/>
  <c r="N153" i="3"/>
  <c r="H153" i="3"/>
  <c r="J153" i="3"/>
  <c r="I153" i="3"/>
  <c r="AE154" i="3"/>
  <c r="AC154" i="3"/>
  <c r="AB154" i="3"/>
  <c r="Y154" i="3"/>
  <c r="AA154" i="3"/>
  <c r="V154" i="3"/>
  <c r="S154" i="3"/>
  <c r="T154" i="3"/>
  <c r="M154" i="3"/>
  <c r="O154" i="3"/>
  <c r="L154" i="3"/>
  <c r="K154" i="3"/>
  <c r="J154" i="3"/>
  <c r="AG152" i="3"/>
  <c r="AF152" i="3"/>
  <c r="AD152" i="3"/>
  <c r="Z152" i="3"/>
  <c r="Y152" i="3"/>
  <c r="W152" i="3"/>
  <c r="U152" i="3"/>
  <c r="T152" i="3"/>
  <c r="P152" i="3"/>
  <c r="N152" i="3"/>
  <c r="H152" i="3"/>
  <c r="M152" i="3"/>
  <c r="I152" i="3"/>
  <c r="AF153" i="3"/>
  <c r="AD153" i="3"/>
  <c r="AC153" i="3"/>
  <c r="AB153" i="3"/>
  <c r="Y153" i="3"/>
  <c r="V153" i="3"/>
  <c r="S153" i="3"/>
  <c r="T153" i="3"/>
  <c r="M153" i="3"/>
  <c r="O153" i="3"/>
  <c r="L153" i="3"/>
  <c r="K153" i="3"/>
  <c r="G72" i="3"/>
  <c r="G73" i="3"/>
  <c r="G74" i="3"/>
  <c r="AE73" i="3"/>
  <c r="AG73" i="3"/>
  <c r="AA73" i="3"/>
  <c r="AB73" i="3"/>
  <c r="X73" i="3"/>
  <c r="T73" i="3"/>
  <c r="W73" i="3"/>
  <c r="S73" i="3"/>
  <c r="Q73" i="3"/>
  <c r="P73" i="3"/>
  <c r="N73" i="3"/>
  <c r="H73" i="3"/>
  <c r="J73" i="3"/>
  <c r="AE74" i="3"/>
  <c r="AF74" i="3"/>
  <c r="AC74" i="3"/>
  <c r="Y74" i="3"/>
  <c r="W74" i="3"/>
  <c r="X74" i="3"/>
  <c r="U74" i="3"/>
  <c r="T74" i="3"/>
  <c r="Q74" i="3"/>
  <c r="P74" i="3"/>
  <c r="I74" i="3"/>
  <c r="H74" i="3"/>
  <c r="K74" i="3"/>
  <c r="I73" i="3"/>
  <c r="AE72" i="3"/>
  <c r="AD72" i="3"/>
  <c r="AB72" i="3"/>
  <c r="Y72" i="3"/>
  <c r="X72" i="3"/>
  <c r="V72" i="3"/>
  <c r="T72" i="3"/>
  <c r="S72" i="3"/>
  <c r="O72" i="3"/>
  <c r="L72" i="3"/>
  <c r="M72" i="3"/>
  <c r="J72" i="3"/>
  <c r="I72" i="3"/>
  <c r="AF73" i="3"/>
  <c r="AD73" i="3"/>
  <c r="AC73" i="3"/>
  <c r="Z73" i="3"/>
  <c r="Y73" i="3"/>
  <c r="V73" i="3"/>
  <c r="U73" i="3"/>
  <c r="R73" i="3"/>
  <c r="M73" i="3"/>
  <c r="O73" i="3"/>
  <c r="L73" i="3"/>
  <c r="K73" i="3"/>
  <c r="AG74" i="3"/>
  <c r="AD74" i="3"/>
  <c r="Z74" i="3"/>
  <c r="AA74" i="3"/>
  <c r="AB74" i="3"/>
  <c r="V74" i="3"/>
  <c r="S74" i="3"/>
  <c r="R74" i="3"/>
  <c r="M74" i="3"/>
  <c r="O74" i="3"/>
  <c r="L74" i="3"/>
  <c r="N74" i="3"/>
  <c r="J74" i="3"/>
  <c r="AG72" i="3"/>
  <c r="AF72" i="3"/>
  <c r="AC72" i="3"/>
  <c r="Z72" i="3"/>
  <c r="AA72" i="3"/>
  <c r="W72" i="3"/>
  <c r="U72" i="3"/>
  <c r="R72" i="3"/>
  <c r="P72" i="3"/>
  <c r="N72" i="3"/>
  <c r="H72" i="3"/>
  <c r="K72" i="3"/>
  <c r="Q72" i="3"/>
  <c r="AD56" i="3"/>
  <c r="AC56" i="3"/>
  <c r="AF56" i="3"/>
  <c r="Y56" i="3"/>
  <c r="AA56" i="3"/>
  <c r="V56" i="3"/>
  <c r="T56" i="3"/>
  <c r="S56" i="3"/>
  <c r="L56" i="3"/>
  <c r="N56" i="3"/>
  <c r="H56" i="3"/>
  <c r="Q56" i="3"/>
  <c r="I56" i="3"/>
  <c r="AE56" i="3"/>
  <c r="AG56" i="3"/>
  <c r="AB56" i="3"/>
  <c r="Z56" i="3"/>
  <c r="X56" i="3"/>
  <c r="W56" i="3"/>
  <c r="U56" i="3"/>
  <c r="R56" i="3"/>
  <c r="P56" i="3"/>
  <c r="O56" i="3"/>
  <c r="M56" i="3"/>
  <c r="K56" i="3"/>
  <c r="J56" i="3"/>
  <c r="G56" i="3"/>
  <c r="G24" i="3"/>
  <c r="AF24" i="3"/>
  <c r="AE24" i="3"/>
  <c r="AB24" i="3"/>
  <c r="AA24" i="3"/>
  <c r="X24" i="3"/>
  <c r="W24" i="3"/>
  <c r="U24" i="3"/>
  <c r="R24" i="3"/>
  <c r="P24" i="3"/>
  <c r="O24" i="3"/>
  <c r="H24" i="3"/>
  <c r="M24" i="3"/>
  <c r="I24" i="3"/>
  <c r="AG24" i="3"/>
  <c r="AD24" i="3"/>
  <c r="AC24" i="3"/>
  <c r="Y24" i="3"/>
  <c r="Z24" i="3"/>
  <c r="V24" i="3"/>
  <c r="T24" i="3"/>
  <c r="S24" i="3"/>
  <c r="L24" i="3"/>
  <c r="N24" i="3"/>
  <c r="K24" i="3"/>
  <c r="J24" i="3"/>
  <c r="Q24" i="3"/>
  <c r="G241" i="3"/>
  <c r="H239" i="3"/>
  <c r="L239" i="3"/>
  <c r="AF240" i="3"/>
  <c r="AE240" i="3"/>
  <c r="AD240" i="3"/>
  <c r="Z240" i="3"/>
  <c r="X240" i="3"/>
  <c r="W240" i="3"/>
  <c r="U240" i="3"/>
  <c r="S240" i="3"/>
  <c r="O240" i="3"/>
  <c r="N240" i="3"/>
  <c r="H240" i="3"/>
  <c r="K240" i="3"/>
  <c r="I240" i="3"/>
  <c r="M240" i="3"/>
  <c r="AD239" i="3"/>
  <c r="AE239" i="3"/>
  <c r="AC239" i="3"/>
  <c r="Y239" i="3"/>
  <c r="X239" i="3"/>
  <c r="V239" i="3"/>
  <c r="U239" i="3"/>
  <c r="P239" i="3"/>
  <c r="R239" i="3"/>
  <c r="Q239" i="3"/>
  <c r="K239" i="3"/>
  <c r="I239" i="3"/>
  <c r="AG241" i="3"/>
  <c r="AD241" i="3"/>
  <c r="AB241" i="3"/>
  <c r="Y241" i="3"/>
  <c r="AC241" i="3"/>
  <c r="V241" i="3"/>
  <c r="S241" i="3"/>
  <c r="Q241" i="3"/>
  <c r="P241" i="3"/>
  <c r="R241" i="3"/>
  <c r="L241" i="3"/>
  <c r="K241" i="3"/>
  <c r="I241" i="3"/>
  <c r="G240" i="3"/>
  <c r="AG240" i="3"/>
  <c r="AC240" i="3"/>
  <c r="AB240" i="3"/>
  <c r="Y240" i="3"/>
  <c r="AA240" i="3"/>
  <c r="V240" i="3"/>
  <c r="T240" i="3"/>
  <c r="P240" i="3"/>
  <c r="R240" i="3"/>
  <c r="L240" i="3"/>
  <c r="Q240" i="3"/>
  <c r="J240" i="3"/>
  <c r="G239" i="3"/>
  <c r="AG239" i="3"/>
  <c r="AF239" i="3"/>
  <c r="AB239" i="3"/>
  <c r="AA239" i="3"/>
  <c r="Z239" i="3"/>
  <c r="W239" i="3"/>
  <c r="T239" i="3"/>
  <c r="S239" i="3"/>
  <c r="O239" i="3"/>
  <c r="N239" i="3"/>
  <c r="M239" i="3"/>
  <c r="J239" i="3"/>
  <c r="AF241" i="3"/>
  <c r="AE241" i="3"/>
  <c r="AA241" i="3"/>
  <c r="Z241" i="3"/>
  <c r="X241" i="3"/>
  <c r="W241" i="3"/>
  <c r="U241" i="3"/>
  <c r="T241" i="3"/>
  <c r="M241" i="3"/>
  <c r="O241" i="3"/>
  <c r="N241" i="3"/>
  <c r="H241" i="3"/>
  <c r="J241" i="3"/>
  <c r="L207" i="3"/>
  <c r="AD207" i="3"/>
  <c r="AE207" i="3"/>
  <c r="AC207" i="3"/>
  <c r="Y207" i="3"/>
  <c r="W207" i="3"/>
  <c r="V207" i="3"/>
  <c r="T207" i="3"/>
  <c r="S207" i="3"/>
  <c r="O207" i="3"/>
  <c r="Q207" i="3"/>
  <c r="K207" i="3"/>
  <c r="I207" i="3"/>
  <c r="G208" i="3"/>
  <c r="AG208" i="3"/>
  <c r="AE208" i="3"/>
  <c r="AD208" i="3"/>
  <c r="AA208" i="3"/>
  <c r="Y208" i="3"/>
  <c r="W208" i="3"/>
  <c r="U208" i="3"/>
  <c r="S208" i="3"/>
  <c r="R208" i="3"/>
  <c r="N208" i="3"/>
  <c r="H208" i="3"/>
  <c r="M208" i="3"/>
  <c r="Q208" i="3"/>
  <c r="G207" i="3"/>
  <c r="H207" i="3"/>
  <c r="AG207" i="3"/>
  <c r="AF207" i="3"/>
  <c r="AB207" i="3"/>
  <c r="AA207" i="3"/>
  <c r="X207" i="3"/>
  <c r="Z207" i="3"/>
  <c r="R207" i="3"/>
  <c r="U207" i="3"/>
  <c r="P207" i="3"/>
  <c r="N207" i="3"/>
  <c r="M207" i="3"/>
  <c r="J207" i="3"/>
  <c r="AF208" i="3"/>
  <c r="AC208" i="3"/>
  <c r="AB208" i="3"/>
  <c r="Z208" i="3"/>
  <c r="X208" i="3"/>
  <c r="V208" i="3"/>
  <c r="T208" i="3"/>
  <c r="P208" i="3"/>
  <c r="O208" i="3"/>
  <c r="L208" i="3"/>
  <c r="K208" i="3"/>
  <c r="J208" i="3"/>
  <c r="I208" i="3"/>
  <c r="H175" i="3"/>
  <c r="AE175" i="3"/>
  <c r="AF175" i="3"/>
  <c r="AC175" i="3"/>
  <c r="Y175" i="3"/>
  <c r="X175" i="3"/>
  <c r="V175" i="3"/>
  <c r="T175" i="3"/>
  <c r="S175" i="3"/>
  <c r="O175" i="3"/>
  <c r="Q175" i="3"/>
  <c r="K175" i="3"/>
  <c r="I175" i="3"/>
  <c r="G176" i="3"/>
  <c r="AG175" i="3"/>
  <c r="AD175" i="3"/>
  <c r="AB175" i="3"/>
  <c r="AA175" i="3"/>
  <c r="Z175" i="3"/>
  <c r="W175" i="3"/>
  <c r="R175" i="3"/>
  <c r="U175" i="3"/>
  <c r="P175" i="3"/>
  <c r="N175" i="3"/>
  <c r="M175" i="3"/>
  <c r="J175" i="3"/>
  <c r="AF176" i="3"/>
  <c r="AE176" i="3"/>
  <c r="AD176" i="3"/>
  <c r="Z176" i="3"/>
  <c r="X176" i="3"/>
  <c r="W176" i="3"/>
  <c r="U176" i="3"/>
  <c r="T176" i="3"/>
  <c r="P176" i="3"/>
  <c r="N176" i="3"/>
  <c r="H176" i="3"/>
  <c r="K176" i="3"/>
  <c r="I176" i="3"/>
  <c r="M176" i="3"/>
  <c r="AG176" i="3"/>
  <c r="AC176" i="3"/>
  <c r="AB176" i="3"/>
  <c r="Y176" i="3"/>
  <c r="AA176" i="3"/>
  <c r="V176" i="3"/>
  <c r="R176" i="3"/>
  <c r="S176" i="3"/>
  <c r="O176" i="3"/>
  <c r="L176" i="3"/>
  <c r="Q176" i="3"/>
  <c r="J176" i="3"/>
  <c r="G175" i="3"/>
  <c r="L175" i="3"/>
  <c r="G136" i="3"/>
  <c r="I137" i="3"/>
  <c r="AD135" i="3"/>
  <c r="AE135" i="3"/>
  <c r="AB135" i="3"/>
  <c r="Y135" i="3"/>
  <c r="X135" i="3"/>
  <c r="V135" i="3"/>
  <c r="U135" i="3"/>
  <c r="S135" i="3"/>
  <c r="O135" i="3"/>
  <c r="Q135" i="3"/>
  <c r="K135" i="3"/>
  <c r="I135" i="3"/>
  <c r="AG135" i="3"/>
  <c r="AF135" i="3"/>
  <c r="AC135" i="3"/>
  <c r="AA135" i="3"/>
  <c r="Z135" i="3"/>
  <c r="W135" i="3"/>
  <c r="R135" i="3"/>
  <c r="T135" i="3"/>
  <c r="P135" i="3"/>
  <c r="N135" i="3"/>
  <c r="M135" i="3"/>
  <c r="J135" i="3"/>
  <c r="G137" i="3"/>
  <c r="AG136" i="3"/>
  <c r="AD136" i="3"/>
  <c r="AE136" i="3"/>
  <c r="AB136" i="3"/>
  <c r="AA136" i="3"/>
  <c r="W136" i="3"/>
  <c r="U136" i="3"/>
  <c r="T136" i="3"/>
  <c r="P136" i="3"/>
  <c r="N136" i="3"/>
  <c r="H136" i="3"/>
  <c r="K136" i="3"/>
  <c r="Q136" i="3"/>
  <c r="AE137" i="3"/>
  <c r="AG137" i="3"/>
  <c r="AA137" i="3"/>
  <c r="AB137" i="3"/>
  <c r="Y137" i="3"/>
  <c r="V137" i="3"/>
  <c r="U137" i="3"/>
  <c r="R137" i="3"/>
  <c r="Q137" i="3"/>
  <c r="P137" i="3"/>
  <c r="N137" i="3"/>
  <c r="H137" i="3"/>
  <c r="J137" i="3"/>
  <c r="L135" i="3"/>
  <c r="AF136" i="3"/>
  <c r="AC136" i="3"/>
  <c r="Z136" i="3"/>
  <c r="Y136" i="3"/>
  <c r="X136" i="3"/>
  <c r="V136" i="3"/>
  <c r="R136" i="3"/>
  <c r="S136" i="3"/>
  <c r="O136" i="3"/>
  <c r="L136" i="3"/>
  <c r="M136" i="3"/>
  <c r="J136" i="3"/>
  <c r="I136" i="3"/>
  <c r="G135" i="3"/>
  <c r="H135" i="3"/>
  <c r="AF137" i="3"/>
  <c r="AD137" i="3"/>
  <c r="AC137" i="3"/>
  <c r="Z137" i="3"/>
  <c r="X137" i="3"/>
  <c r="W137" i="3"/>
  <c r="S137" i="3"/>
  <c r="T137" i="3"/>
  <c r="M137" i="3"/>
  <c r="O137" i="3"/>
  <c r="L137" i="3"/>
  <c r="K137" i="3"/>
  <c r="G220" i="3"/>
  <c r="K221" i="3"/>
  <c r="P222" i="3"/>
  <c r="AG222" i="3"/>
  <c r="AD222" i="3"/>
  <c r="AF222" i="3"/>
  <c r="AB222" i="3"/>
  <c r="X222" i="3"/>
  <c r="V222" i="3"/>
  <c r="U222" i="3"/>
  <c r="S222" i="3"/>
  <c r="R222" i="3"/>
  <c r="Q222" i="3"/>
  <c r="K222" i="3"/>
  <c r="I222" i="3"/>
  <c r="H222" i="3"/>
  <c r="AG220" i="3"/>
  <c r="AC220" i="3"/>
  <c r="AA220" i="3"/>
  <c r="Y220" i="3"/>
  <c r="Z220" i="3"/>
  <c r="U220" i="3"/>
  <c r="T220" i="3"/>
  <c r="R220" i="3"/>
  <c r="Q220" i="3"/>
  <c r="P220" i="3"/>
  <c r="I220" i="3"/>
  <c r="H220" i="3"/>
  <c r="K220" i="3"/>
  <c r="AE222" i="3"/>
  <c r="AC222" i="3"/>
  <c r="AA222" i="3"/>
  <c r="Y222" i="3"/>
  <c r="Z222" i="3"/>
  <c r="W222" i="3"/>
  <c r="T222" i="3"/>
  <c r="O222" i="3"/>
  <c r="N222" i="3"/>
  <c r="M222" i="3"/>
  <c r="J222" i="3"/>
  <c r="L222" i="3"/>
  <c r="AF220" i="3"/>
  <c r="AD220" i="3"/>
  <c r="AE220" i="3"/>
  <c r="X220" i="3"/>
  <c r="AB220" i="3"/>
  <c r="W220" i="3"/>
  <c r="V220" i="3"/>
  <c r="S220" i="3"/>
  <c r="N220" i="3"/>
  <c r="M220" i="3"/>
  <c r="J220" i="3"/>
  <c r="L220" i="3"/>
  <c r="O220" i="3"/>
  <c r="AG221" i="3"/>
  <c r="AD221" i="3"/>
  <c r="AB221" i="3"/>
  <c r="AC221" i="3"/>
  <c r="Z221" i="3"/>
  <c r="V221" i="3"/>
  <c r="W221" i="3"/>
  <c r="S221" i="3"/>
  <c r="R221" i="3"/>
  <c r="Q221" i="3"/>
  <c r="P221" i="3"/>
  <c r="I221" i="3"/>
  <c r="H221" i="3"/>
  <c r="G222" i="3"/>
  <c r="AF221" i="3"/>
  <c r="AE221" i="3"/>
  <c r="AA221" i="3"/>
  <c r="Y221" i="3"/>
  <c r="X221" i="3"/>
  <c r="U221" i="3"/>
  <c r="T221" i="3"/>
  <c r="O221" i="3"/>
  <c r="N221" i="3"/>
  <c r="M221" i="3"/>
  <c r="J221" i="3"/>
  <c r="L221" i="3"/>
  <c r="G221" i="3"/>
  <c r="AG156" i="3"/>
  <c r="AE156" i="3"/>
  <c r="AB156" i="3"/>
  <c r="X156" i="3"/>
  <c r="Z156" i="3"/>
  <c r="U156" i="3"/>
  <c r="T156" i="3"/>
  <c r="R156" i="3"/>
  <c r="Q156" i="3"/>
  <c r="P156" i="3"/>
  <c r="I156" i="3"/>
  <c r="H156" i="3"/>
  <c r="K156" i="3"/>
  <c r="AF156" i="3"/>
  <c r="AD156" i="3"/>
  <c r="AC156" i="3"/>
  <c r="AA156" i="3"/>
  <c r="Y156" i="3"/>
  <c r="W156" i="3"/>
  <c r="V156" i="3"/>
  <c r="S156" i="3"/>
  <c r="N156" i="3"/>
  <c r="M156" i="3"/>
  <c r="J156" i="3"/>
  <c r="L156" i="3"/>
  <c r="O156" i="3"/>
  <c r="G156" i="3"/>
  <c r="AE140" i="3"/>
  <c r="AB140" i="3"/>
  <c r="AC140" i="3"/>
  <c r="AA140" i="3"/>
  <c r="Y140" i="3"/>
  <c r="U140" i="3"/>
  <c r="T140" i="3"/>
  <c r="R140" i="3"/>
  <c r="Q140" i="3"/>
  <c r="P140" i="3"/>
  <c r="I140" i="3"/>
  <c r="L140" i="3"/>
  <c r="K140" i="3"/>
  <c r="K141" i="3"/>
  <c r="AF140" i="3"/>
  <c r="AD140" i="3"/>
  <c r="AG140" i="3"/>
  <c r="X140" i="3"/>
  <c r="W140" i="3"/>
  <c r="Z140" i="3"/>
  <c r="V140" i="3"/>
  <c r="S140" i="3"/>
  <c r="N140" i="3"/>
  <c r="M140" i="3"/>
  <c r="J140" i="3"/>
  <c r="O140" i="3"/>
  <c r="H140" i="3"/>
  <c r="AG141" i="3"/>
  <c r="AE141" i="3"/>
  <c r="AA141" i="3"/>
  <c r="Y141" i="3"/>
  <c r="Z141" i="3"/>
  <c r="V141" i="3"/>
  <c r="W141" i="3"/>
  <c r="S141" i="3"/>
  <c r="O141" i="3"/>
  <c r="Q141" i="3"/>
  <c r="P141" i="3"/>
  <c r="I141" i="3"/>
  <c r="H141" i="3"/>
  <c r="AF141" i="3"/>
  <c r="AD141" i="3"/>
  <c r="AC141" i="3"/>
  <c r="AB141" i="3"/>
  <c r="X141" i="3"/>
  <c r="U141" i="3"/>
  <c r="T141" i="3"/>
  <c r="R141" i="3"/>
  <c r="N141" i="3"/>
  <c r="M141" i="3"/>
  <c r="J141" i="3"/>
  <c r="L141" i="3"/>
  <c r="G141" i="3"/>
  <c r="G140" i="3"/>
  <c r="AG125" i="3"/>
  <c r="AE125" i="3"/>
  <c r="AA125" i="3"/>
  <c r="Y125" i="3"/>
  <c r="X125" i="3"/>
  <c r="V125" i="3"/>
  <c r="U125" i="3"/>
  <c r="S125" i="3"/>
  <c r="O125" i="3"/>
  <c r="Q125" i="3"/>
  <c r="P125" i="3"/>
  <c r="I125" i="3"/>
  <c r="H125" i="3"/>
  <c r="AF125" i="3"/>
  <c r="AD125" i="3"/>
  <c r="AC125" i="3"/>
  <c r="Z125" i="3"/>
  <c r="AB125" i="3"/>
  <c r="W125" i="3"/>
  <c r="T125" i="3"/>
  <c r="R125" i="3"/>
  <c r="N125" i="3"/>
  <c r="M125" i="3"/>
  <c r="J125" i="3"/>
  <c r="L125" i="3"/>
  <c r="K125" i="3"/>
  <c r="AE126" i="3"/>
  <c r="AB126" i="3"/>
  <c r="AF126" i="3"/>
  <c r="Y126" i="3"/>
  <c r="Z126" i="3"/>
  <c r="W126" i="3"/>
  <c r="T126" i="3"/>
  <c r="R126" i="3"/>
  <c r="N126" i="3"/>
  <c r="M126" i="3"/>
  <c r="J126" i="3"/>
  <c r="I126" i="3"/>
  <c r="H126" i="3"/>
  <c r="AG124" i="3"/>
  <c r="AB124" i="3"/>
  <c r="AE124" i="3"/>
  <c r="X124" i="3"/>
  <c r="Y124" i="3"/>
  <c r="U124" i="3"/>
  <c r="T124" i="3"/>
  <c r="R124" i="3"/>
  <c r="Q124" i="3"/>
  <c r="P124" i="3"/>
  <c r="O124" i="3"/>
  <c r="L124" i="3"/>
  <c r="K124" i="3"/>
  <c r="AG126" i="3"/>
  <c r="AC126" i="3"/>
  <c r="AD126" i="3"/>
  <c r="AA126" i="3"/>
  <c r="X126" i="3"/>
  <c r="V126" i="3"/>
  <c r="U126" i="3"/>
  <c r="S126" i="3"/>
  <c r="O126" i="3"/>
  <c r="Q126" i="3"/>
  <c r="K126" i="3"/>
  <c r="P126" i="3"/>
  <c r="L126" i="3"/>
  <c r="G126" i="3"/>
  <c r="AF124" i="3"/>
  <c r="AD124" i="3"/>
  <c r="AC124" i="3"/>
  <c r="AA124" i="3"/>
  <c r="W124" i="3"/>
  <c r="Z124" i="3"/>
  <c r="V124" i="3"/>
  <c r="S124" i="3"/>
  <c r="N124" i="3"/>
  <c r="M124" i="3"/>
  <c r="J124" i="3"/>
  <c r="I124" i="3"/>
  <c r="H124" i="3"/>
  <c r="G125" i="3"/>
  <c r="G124" i="3"/>
  <c r="AG84" i="3"/>
  <c r="AB84" i="3"/>
  <c r="AC84" i="3"/>
  <c r="X84" i="3"/>
  <c r="Y84" i="3"/>
  <c r="U84" i="3"/>
  <c r="T84" i="3"/>
  <c r="R84" i="3"/>
  <c r="Q84" i="3"/>
  <c r="P84" i="3"/>
  <c r="I84" i="3"/>
  <c r="H84" i="3"/>
  <c r="K84" i="3"/>
  <c r="G84" i="3"/>
  <c r="AF84" i="3"/>
  <c r="AD84" i="3"/>
  <c r="AE84" i="3"/>
  <c r="AA84" i="3"/>
  <c r="W84" i="3"/>
  <c r="Z84" i="3"/>
  <c r="V84" i="3"/>
  <c r="S84" i="3"/>
  <c r="N84" i="3"/>
  <c r="M84" i="3"/>
  <c r="J84" i="3"/>
  <c r="L84" i="3"/>
  <c r="O84" i="3"/>
  <c r="AG53" i="3"/>
  <c r="AE53" i="3"/>
  <c r="AC53" i="3"/>
  <c r="AA53" i="3"/>
  <c r="Z53" i="3"/>
  <c r="V53" i="3"/>
  <c r="W53" i="3"/>
  <c r="T53" i="3"/>
  <c r="O53" i="3"/>
  <c r="Q53" i="3"/>
  <c r="P53" i="3"/>
  <c r="J53" i="3"/>
  <c r="H53" i="3"/>
  <c r="AF53" i="3"/>
  <c r="AD53" i="3"/>
  <c r="AB53" i="3"/>
  <c r="Y53" i="3"/>
  <c r="X53" i="3"/>
  <c r="U53" i="3"/>
  <c r="S53" i="3"/>
  <c r="R53" i="3"/>
  <c r="N53" i="3"/>
  <c r="M53" i="3"/>
  <c r="L53" i="3"/>
  <c r="I53" i="3"/>
  <c r="K53" i="3"/>
  <c r="AG52" i="3"/>
  <c r="AB52" i="3"/>
  <c r="AC52" i="3"/>
  <c r="Y52" i="3"/>
  <c r="Z52" i="3"/>
  <c r="U52" i="3"/>
  <c r="S52" i="3"/>
  <c r="R52" i="3"/>
  <c r="Q52" i="3"/>
  <c r="P52" i="3"/>
  <c r="J52" i="3"/>
  <c r="I52" i="3"/>
  <c r="K52" i="3"/>
  <c r="G53" i="3"/>
  <c r="G52" i="3"/>
  <c r="AF52" i="3"/>
  <c r="AD52" i="3"/>
  <c r="AE52" i="3"/>
  <c r="X52" i="3"/>
  <c r="W52" i="3"/>
  <c r="AA52" i="3"/>
  <c r="V52" i="3"/>
  <c r="T52" i="3"/>
  <c r="N52" i="3"/>
  <c r="M52" i="3"/>
  <c r="L52" i="3"/>
  <c r="O52" i="3"/>
  <c r="H52" i="3"/>
  <c r="AG36" i="3"/>
  <c r="AC36" i="3"/>
  <c r="AE36" i="3"/>
  <c r="AA36" i="3"/>
  <c r="W36" i="3"/>
  <c r="U36" i="3"/>
  <c r="T36" i="3"/>
  <c r="R36" i="3"/>
  <c r="Q36" i="3"/>
  <c r="P36" i="3"/>
  <c r="J36" i="3"/>
  <c r="H36" i="3"/>
  <c r="G36" i="3"/>
  <c r="O36" i="3"/>
  <c r="AF36" i="3"/>
  <c r="AD36" i="3"/>
  <c r="AB36" i="3"/>
  <c r="Z36" i="3"/>
  <c r="X36" i="3"/>
  <c r="Y36" i="3"/>
  <c r="V36" i="3"/>
  <c r="S36" i="3"/>
  <c r="N36" i="3"/>
  <c r="M36" i="3"/>
  <c r="L36" i="3"/>
  <c r="I36" i="3"/>
  <c r="K36" i="3"/>
  <c r="K13" i="3"/>
  <c r="AF12" i="3"/>
  <c r="AD12" i="3"/>
  <c r="AB12" i="3"/>
  <c r="Z12" i="3"/>
  <c r="AA12" i="3"/>
  <c r="Y12" i="3"/>
  <c r="V12" i="3"/>
  <c r="S12" i="3"/>
  <c r="N12" i="3"/>
  <c r="M12" i="3"/>
  <c r="L12" i="3"/>
  <c r="I12" i="3"/>
  <c r="H12" i="3"/>
  <c r="AF13" i="3"/>
  <c r="AE13" i="3"/>
  <c r="AB13" i="3"/>
  <c r="Y13" i="3"/>
  <c r="Z13" i="3"/>
  <c r="V13" i="3"/>
  <c r="T13" i="3"/>
  <c r="R13" i="3"/>
  <c r="N13" i="3"/>
  <c r="M13" i="3"/>
  <c r="L13" i="3"/>
  <c r="I13" i="3"/>
  <c r="AE12" i="3"/>
  <c r="AG12" i="3"/>
  <c r="AC12" i="3"/>
  <c r="X12" i="3"/>
  <c r="W12" i="3"/>
  <c r="U12" i="3"/>
  <c r="T12" i="3"/>
  <c r="R12" i="3"/>
  <c r="Q12" i="3"/>
  <c r="P12" i="3"/>
  <c r="J12" i="3"/>
  <c r="O12" i="3"/>
  <c r="K12" i="3"/>
  <c r="AG13" i="3"/>
  <c r="AC13" i="3"/>
  <c r="AD13" i="3"/>
  <c r="AA13" i="3"/>
  <c r="X13" i="3"/>
  <c r="W13" i="3"/>
  <c r="U13" i="3"/>
  <c r="S13" i="3"/>
  <c r="O13" i="3"/>
  <c r="Q13" i="3"/>
  <c r="P13" i="3"/>
  <c r="J13" i="3"/>
  <c r="H13" i="3"/>
  <c r="G13" i="3"/>
  <c r="G12" i="3"/>
  <c r="G199" i="3"/>
  <c r="AG198" i="3"/>
  <c r="AE198" i="3"/>
  <c r="AD198" i="3"/>
  <c r="Y198" i="3"/>
  <c r="X198" i="3"/>
  <c r="V198" i="3"/>
  <c r="U198" i="3"/>
  <c r="S198" i="3"/>
  <c r="O198" i="3"/>
  <c r="Q198" i="3"/>
  <c r="K198" i="3"/>
  <c r="P198" i="3"/>
  <c r="L198" i="3"/>
  <c r="AF198" i="3"/>
  <c r="AC198" i="3"/>
  <c r="AA198" i="3"/>
  <c r="Z198" i="3"/>
  <c r="AB198" i="3"/>
  <c r="W198" i="3"/>
  <c r="T198" i="3"/>
  <c r="R198" i="3"/>
  <c r="N198" i="3"/>
  <c r="M198" i="3"/>
  <c r="J198" i="3"/>
  <c r="I198" i="3"/>
  <c r="H198" i="3"/>
  <c r="L199" i="3"/>
  <c r="AD199" i="3"/>
  <c r="AE199" i="3"/>
  <c r="AB199" i="3"/>
  <c r="Y199" i="3"/>
  <c r="X199" i="3"/>
  <c r="V199" i="3"/>
  <c r="U199" i="3"/>
  <c r="S199" i="3"/>
  <c r="O199" i="3"/>
  <c r="Q199" i="3"/>
  <c r="K199" i="3"/>
  <c r="I199" i="3"/>
  <c r="G198" i="3"/>
  <c r="H199" i="3"/>
  <c r="AG199" i="3"/>
  <c r="AF199" i="3"/>
  <c r="AC199" i="3"/>
  <c r="AA199" i="3"/>
  <c r="Z199" i="3"/>
  <c r="W199" i="3"/>
  <c r="R199" i="3"/>
  <c r="T199" i="3"/>
  <c r="P199" i="3"/>
  <c r="N199" i="3"/>
  <c r="M199" i="3"/>
  <c r="J199" i="3"/>
  <c r="H111" i="3"/>
  <c r="AG112" i="3"/>
  <c r="AD112" i="3"/>
  <c r="Z112" i="3"/>
  <c r="Y112" i="3"/>
  <c r="AA112" i="3"/>
  <c r="V112" i="3"/>
  <c r="R112" i="3"/>
  <c r="S112" i="3"/>
  <c r="O112" i="3"/>
  <c r="L112" i="3"/>
  <c r="Q112" i="3"/>
  <c r="J112" i="3"/>
  <c r="L111" i="3"/>
  <c r="AF112" i="3"/>
  <c r="AC112" i="3"/>
  <c r="AE112" i="3"/>
  <c r="AB112" i="3"/>
  <c r="X112" i="3"/>
  <c r="W112" i="3"/>
  <c r="U112" i="3"/>
  <c r="T112" i="3"/>
  <c r="P112" i="3"/>
  <c r="N112" i="3"/>
  <c r="H112" i="3"/>
  <c r="K112" i="3"/>
  <c r="I112" i="3"/>
  <c r="G112" i="3"/>
  <c r="G111" i="3"/>
  <c r="AD111" i="3"/>
  <c r="AF111" i="3"/>
  <c r="AC111" i="3"/>
  <c r="Y111" i="3"/>
  <c r="X111" i="3"/>
  <c r="V111" i="3"/>
  <c r="T111" i="3"/>
  <c r="S111" i="3"/>
  <c r="O111" i="3"/>
  <c r="Q111" i="3"/>
  <c r="K111" i="3"/>
  <c r="I111" i="3"/>
  <c r="AG111" i="3"/>
  <c r="AE111" i="3"/>
  <c r="AB111" i="3"/>
  <c r="AA111" i="3"/>
  <c r="Z111" i="3"/>
  <c r="W111" i="3"/>
  <c r="R111" i="3"/>
  <c r="U111" i="3"/>
  <c r="P111" i="3"/>
  <c r="N111" i="3"/>
  <c r="M111" i="3"/>
  <c r="J111" i="3"/>
  <c r="M112" i="3"/>
  <c r="G80" i="3"/>
  <c r="L79" i="3"/>
  <c r="G81" i="3"/>
  <c r="AE81" i="3"/>
  <c r="AG81" i="3"/>
  <c r="AA81" i="3"/>
  <c r="Z81" i="3"/>
  <c r="AC81" i="3"/>
  <c r="T81" i="3"/>
  <c r="V81" i="3"/>
  <c r="S81" i="3"/>
  <c r="Q81" i="3"/>
  <c r="P81" i="3"/>
  <c r="N81" i="3"/>
  <c r="H81" i="3"/>
  <c r="J81" i="3"/>
  <c r="AE79" i="3"/>
  <c r="AF79" i="3"/>
  <c r="AC79" i="3"/>
  <c r="Y79" i="3"/>
  <c r="Z79" i="3"/>
  <c r="V79" i="3"/>
  <c r="R79" i="3"/>
  <c r="S79" i="3"/>
  <c r="O79" i="3"/>
  <c r="Q79" i="3"/>
  <c r="K79" i="3"/>
  <c r="I79" i="3"/>
  <c r="H79" i="3"/>
  <c r="AG80" i="3"/>
  <c r="AF80" i="3"/>
  <c r="AB80" i="3"/>
  <c r="Z80" i="3"/>
  <c r="AD80" i="3"/>
  <c r="X80" i="3"/>
  <c r="U80" i="3"/>
  <c r="R80" i="3"/>
  <c r="P80" i="3"/>
  <c r="N80" i="3"/>
  <c r="H80" i="3"/>
  <c r="M80" i="3"/>
  <c r="Q80" i="3"/>
  <c r="AF81" i="3"/>
  <c r="AD81" i="3"/>
  <c r="AB81" i="3"/>
  <c r="X81" i="3"/>
  <c r="Y81" i="3"/>
  <c r="W81" i="3"/>
  <c r="U81" i="3"/>
  <c r="R81" i="3"/>
  <c r="M81" i="3"/>
  <c r="O81" i="3"/>
  <c r="L81" i="3"/>
  <c r="K81" i="3"/>
  <c r="I81" i="3"/>
  <c r="AG79" i="3"/>
  <c r="AD79" i="3"/>
  <c r="AB79" i="3"/>
  <c r="AA79" i="3"/>
  <c r="W79" i="3"/>
  <c r="X79" i="3"/>
  <c r="U79" i="3"/>
  <c r="T79" i="3"/>
  <c r="P79" i="3"/>
  <c r="N79" i="3"/>
  <c r="M79" i="3"/>
  <c r="J79" i="3"/>
  <c r="G79" i="3"/>
  <c r="AE80" i="3"/>
  <c r="AC80" i="3"/>
  <c r="AA80" i="3"/>
  <c r="Y80" i="3"/>
  <c r="W80" i="3"/>
  <c r="V80" i="3"/>
  <c r="T80" i="3"/>
  <c r="S80" i="3"/>
  <c r="O80" i="3"/>
  <c r="L80" i="3"/>
  <c r="K80" i="3"/>
  <c r="J80" i="3"/>
  <c r="I80" i="3"/>
  <c r="AG63" i="3"/>
  <c r="AD63" i="3"/>
  <c r="AB63" i="3"/>
  <c r="AA63" i="3"/>
  <c r="Z63" i="3"/>
  <c r="W63" i="3"/>
  <c r="U63" i="3"/>
  <c r="R63" i="3"/>
  <c r="P63" i="3"/>
  <c r="N63" i="3"/>
  <c r="M63" i="3"/>
  <c r="L63" i="3"/>
  <c r="I63" i="3"/>
  <c r="AE63" i="3"/>
  <c r="AF63" i="3"/>
  <c r="AC63" i="3"/>
  <c r="Y63" i="3"/>
  <c r="X63" i="3"/>
  <c r="V63" i="3"/>
  <c r="T63" i="3"/>
  <c r="S63" i="3"/>
  <c r="O63" i="3"/>
  <c r="Q63" i="3"/>
  <c r="K63" i="3"/>
  <c r="J63" i="3"/>
  <c r="H63" i="3"/>
  <c r="G63" i="3"/>
  <c r="G47" i="3"/>
  <c r="AF48" i="3"/>
  <c r="AC48" i="3"/>
  <c r="AB48" i="3"/>
  <c r="Y48" i="3"/>
  <c r="AA48" i="3"/>
  <c r="V48" i="3"/>
  <c r="T48" i="3"/>
  <c r="S48" i="3"/>
  <c r="L48" i="3"/>
  <c r="N48" i="3"/>
  <c r="Q48" i="3"/>
  <c r="J48" i="3"/>
  <c r="H47" i="3"/>
  <c r="AE48" i="3"/>
  <c r="AG48" i="3"/>
  <c r="AD48" i="3"/>
  <c r="Z48" i="3"/>
  <c r="X48" i="3"/>
  <c r="W48" i="3"/>
  <c r="U48" i="3"/>
  <c r="R48" i="3"/>
  <c r="P48" i="3"/>
  <c r="O48" i="3"/>
  <c r="H48" i="3"/>
  <c r="K48" i="3"/>
  <c r="I48" i="3"/>
  <c r="G48" i="3"/>
  <c r="AG47" i="3"/>
  <c r="AD47" i="3"/>
  <c r="Z47" i="3"/>
  <c r="AB47" i="3"/>
  <c r="Y47" i="3"/>
  <c r="W47" i="3"/>
  <c r="U47" i="3"/>
  <c r="R47" i="3"/>
  <c r="P47" i="3"/>
  <c r="O47" i="3"/>
  <c r="Q47" i="3"/>
  <c r="K47" i="3"/>
  <c r="I47" i="3"/>
  <c r="AE47" i="3"/>
  <c r="AF47" i="3"/>
  <c r="AC47" i="3"/>
  <c r="AA47" i="3"/>
  <c r="X47" i="3"/>
  <c r="V47" i="3"/>
  <c r="T47" i="3"/>
  <c r="S47" i="3"/>
  <c r="L47" i="3"/>
  <c r="N47" i="3"/>
  <c r="M47" i="3"/>
  <c r="J47" i="3"/>
  <c r="M48" i="3"/>
  <c r="I33" i="3"/>
  <c r="H31" i="3"/>
  <c r="G32" i="3"/>
  <c r="AF33" i="3"/>
  <c r="AD33" i="3"/>
  <c r="AC33" i="3"/>
  <c r="AB33" i="3"/>
  <c r="Y33" i="3"/>
  <c r="V33" i="3"/>
  <c r="W33" i="3"/>
  <c r="R33" i="3"/>
  <c r="M33" i="3"/>
  <c r="L33" i="3"/>
  <c r="N33" i="3"/>
  <c r="K33" i="3"/>
  <c r="AE33" i="3"/>
  <c r="AG33" i="3"/>
  <c r="AA33" i="3"/>
  <c r="Z33" i="3"/>
  <c r="X33" i="3"/>
  <c r="T33" i="3"/>
  <c r="U33" i="3"/>
  <c r="S33" i="3"/>
  <c r="Q33" i="3"/>
  <c r="P33" i="3"/>
  <c r="O33" i="3"/>
  <c r="H33" i="3"/>
  <c r="J33" i="3"/>
  <c r="AG31" i="3"/>
  <c r="AD31" i="3"/>
  <c r="AC31" i="3"/>
  <c r="AB31" i="3"/>
  <c r="Y31" i="3"/>
  <c r="W31" i="3"/>
  <c r="U31" i="3"/>
  <c r="R31" i="3"/>
  <c r="P31" i="3"/>
  <c r="O31" i="3"/>
  <c r="Q31" i="3"/>
  <c r="K31" i="3"/>
  <c r="I31" i="3"/>
  <c r="AG32" i="3"/>
  <c r="AD32" i="3"/>
  <c r="AC32" i="3"/>
  <c r="Y32" i="3"/>
  <c r="AA32" i="3"/>
  <c r="V32" i="3"/>
  <c r="T32" i="3"/>
  <c r="S32" i="3"/>
  <c r="L32" i="3"/>
  <c r="N32" i="3"/>
  <c r="H32" i="3"/>
  <c r="J32" i="3"/>
  <c r="I32" i="3"/>
  <c r="G33" i="3"/>
  <c r="AE31" i="3"/>
  <c r="AF31" i="3"/>
  <c r="Z31" i="3"/>
  <c r="AA31" i="3"/>
  <c r="X31" i="3"/>
  <c r="V31" i="3"/>
  <c r="T31" i="3"/>
  <c r="S31" i="3"/>
  <c r="L31" i="3"/>
  <c r="N31" i="3"/>
  <c r="M31" i="3"/>
  <c r="J31" i="3"/>
  <c r="G31" i="3"/>
  <c r="AF32" i="3"/>
  <c r="AE32" i="3"/>
  <c r="AB32" i="3"/>
  <c r="Z32" i="3"/>
  <c r="X32" i="3"/>
  <c r="W32" i="3"/>
  <c r="U32" i="3"/>
  <c r="R32" i="3"/>
  <c r="P32" i="3"/>
  <c r="O32" i="3"/>
  <c r="Q32" i="3"/>
  <c r="K32" i="3"/>
  <c r="M32" i="3"/>
  <c r="H15" i="3"/>
  <c r="AE15" i="3"/>
  <c r="AF15" i="3"/>
  <c r="AC15" i="3"/>
  <c r="AA15" i="3"/>
  <c r="X15" i="3"/>
  <c r="V15" i="3"/>
  <c r="T15" i="3"/>
  <c r="S15" i="3"/>
  <c r="L15" i="3"/>
  <c r="N15" i="3"/>
  <c r="M15" i="3"/>
  <c r="J15" i="3"/>
  <c r="G15" i="3"/>
  <c r="AG15" i="3"/>
  <c r="AD15" i="3"/>
  <c r="Z15" i="3"/>
  <c r="AB15" i="3"/>
  <c r="Y15" i="3"/>
  <c r="W15" i="3"/>
  <c r="U15" i="3"/>
  <c r="R15" i="3"/>
  <c r="P15" i="3"/>
  <c r="O15" i="3"/>
  <c r="Q15" i="3"/>
  <c r="K15" i="3"/>
  <c r="I15" i="3"/>
  <c r="G182" i="3"/>
  <c r="AF182" i="3"/>
  <c r="AC182" i="3"/>
  <c r="AB182" i="3"/>
  <c r="AD182" i="3"/>
  <c r="Z182" i="3"/>
  <c r="W182" i="3"/>
  <c r="S182" i="3"/>
  <c r="R182" i="3"/>
  <c r="N182" i="3"/>
  <c r="M182" i="3"/>
  <c r="P182" i="3"/>
  <c r="I182" i="3"/>
  <c r="H182" i="3"/>
  <c r="AG182" i="3"/>
  <c r="AE182" i="3"/>
  <c r="AA182" i="3"/>
  <c r="Y182" i="3"/>
  <c r="X182" i="3"/>
  <c r="V182" i="3"/>
  <c r="T182" i="3"/>
  <c r="U182" i="3"/>
  <c r="O182" i="3"/>
  <c r="Q182" i="3"/>
  <c r="K182" i="3"/>
  <c r="J182" i="3"/>
  <c r="L182" i="3"/>
  <c r="G142" i="3"/>
  <c r="AE142" i="3"/>
  <c r="AF142" i="3"/>
  <c r="AD142" i="3"/>
  <c r="Y142" i="3"/>
  <c r="Z142" i="3"/>
  <c r="V142" i="3"/>
  <c r="U142" i="3"/>
  <c r="R142" i="3"/>
  <c r="N142" i="3"/>
  <c r="M142" i="3"/>
  <c r="J142" i="3"/>
  <c r="P142" i="3"/>
  <c r="H142" i="3"/>
  <c r="AG142" i="3"/>
  <c r="AC142" i="3"/>
  <c r="AB142" i="3"/>
  <c r="AA142" i="3"/>
  <c r="X142" i="3"/>
  <c r="W142" i="3"/>
  <c r="T142" i="3"/>
  <c r="S142" i="3"/>
  <c r="O142" i="3"/>
  <c r="Q142" i="3"/>
  <c r="K142" i="3"/>
  <c r="I142" i="3"/>
  <c r="L142" i="3"/>
  <c r="L54" i="3"/>
  <c r="AF54" i="3"/>
  <c r="AC54" i="3"/>
  <c r="AD54" i="3"/>
  <c r="Y54" i="3"/>
  <c r="Z54" i="3"/>
  <c r="U54" i="3"/>
  <c r="W54" i="3"/>
  <c r="R54" i="3"/>
  <c r="N54" i="3"/>
  <c r="M54" i="3"/>
  <c r="P54" i="3"/>
  <c r="I54" i="3"/>
  <c r="AG54" i="3"/>
  <c r="AE54" i="3"/>
  <c r="AB54" i="3"/>
  <c r="AA54" i="3"/>
  <c r="X54" i="3"/>
  <c r="V54" i="3"/>
  <c r="T54" i="3"/>
  <c r="S54" i="3"/>
  <c r="O54" i="3"/>
  <c r="Q54" i="3"/>
  <c r="K54" i="3"/>
  <c r="J54" i="3"/>
  <c r="H54" i="3"/>
  <c r="G54" i="3"/>
  <c r="AF14" i="3"/>
  <c r="AC14" i="3"/>
  <c r="AD14" i="3"/>
  <c r="Y14" i="3"/>
  <c r="Z14" i="3"/>
  <c r="V14" i="3"/>
  <c r="T14" i="3"/>
  <c r="R14" i="3"/>
  <c r="N14" i="3"/>
  <c r="M14" i="3"/>
  <c r="L14" i="3"/>
  <c r="I14" i="3"/>
  <c r="H14" i="3"/>
  <c r="G14" i="3"/>
  <c r="AG14" i="3"/>
  <c r="AE14" i="3"/>
  <c r="AB14" i="3"/>
  <c r="AA14" i="3"/>
  <c r="X14" i="3"/>
  <c r="W14" i="3"/>
  <c r="U14" i="3"/>
  <c r="S14" i="3"/>
  <c r="O14" i="3"/>
  <c r="Q14" i="3"/>
  <c r="K14" i="3"/>
  <c r="J14" i="3"/>
  <c r="P14" i="3"/>
  <c r="G122" i="3"/>
  <c r="G123" i="3"/>
  <c r="G121" i="3"/>
  <c r="AF123" i="3"/>
  <c r="AG123" i="3"/>
  <c r="AC123" i="3"/>
  <c r="AA123" i="3"/>
  <c r="W123" i="3"/>
  <c r="X123" i="3"/>
  <c r="V123" i="3"/>
  <c r="S123" i="3"/>
  <c r="N123" i="3"/>
  <c r="M123" i="3"/>
  <c r="O123" i="3"/>
  <c r="L123" i="3"/>
  <c r="K123" i="3"/>
  <c r="AE123" i="3"/>
  <c r="AD123" i="3"/>
  <c r="AB123" i="3"/>
  <c r="Z123" i="3"/>
  <c r="Y123" i="3"/>
  <c r="U123" i="3"/>
  <c r="T123" i="3"/>
  <c r="R123" i="3"/>
  <c r="Q123" i="3"/>
  <c r="P123" i="3"/>
  <c r="I123" i="3"/>
  <c r="H123" i="3"/>
  <c r="AE121" i="3"/>
  <c r="AG121" i="3"/>
  <c r="AB121" i="3"/>
  <c r="AC121" i="3"/>
  <c r="Y121" i="3"/>
  <c r="W121" i="3"/>
  <c r="U121" i="3"/>
  <c r="R121" i="3"/>
  <c r="Q121" i="3"/>
  <c r="P121" i="3"/>
  <c r="N121" i="3"/>
  <c r="H121" i="3"/>
  <c r="J121" i="3"/>
  <c r="AG122" i="3"/>
  <c r="AD122" i="3"/>
  <c r="AA122" i="3"/>
  <c r="Y122" i="3"/>
  <c r="AB122" i="3"/>
  <c r="V122" i="3"/>
  <c r="S122" i="3"/>
  <c r="T122" i="3"/>
  <c r="M122" i="3"/>
  <c r="O122" i="3"/>
  <c r="N122" i="3"/>
  <c r="H122" i="3"/>
  <c r="J122" i="3"/>
  <c r="AF121" i="3"/>
  <c r="AD121" i="3"/>
  <c r="AA121" i="3"/>
  <c r="Z121" i="3"/>
  <c r="X121" i="3"/>
  <c r="V121" i="3"/>
  <c r="S121" i="3"/>
  <c r="T121" i="3"/>
  <c r="M121" i="3"/>
  <c r="O121" i="3"/>
  <c r="L121" i="3"/>
  <c r="K121" i="3"/>
  <c r="J123" i="3"/>
  <c r="I121" i="3"/>
  <c r="AE122" i="3"/>
  <c r="AF122" i="3"/>
  <c r="AC122" i="3"/>
  <c r="Z122" i="3"/>
  <c r="W122" i="3"/>
  <c r="X122" i="3"/>
  <c r="U122" i="3"/>
  <c r="R122" i="3"/>
  <c r="Q122" i="3"/>
  <c r="P122" i="3"/>
  <c r="I122" i="3"/>
  <c r="L122" i="3"/>
  <c r="K122" i="3"/>
  <c r="CB89" i="4"/>
  <c r="CF89" i="4"/>
  <c r="CJ89" i="4"/>
  <c r="CE89" i="4"/>
  <c r="CI89" i="4"/>
  <c r="BV89" i="4"/>
  <c r="BZ89" i="4"/>
  <c r="BW89" i="4"/>
  <c r="BU89" i="4"/>
  <c r="BJ89" i="4"/>
  <c r="BN89" i="4"/>
  <c r="BR89" i="4"/>
  <c r="BM89" i="4"/>
  <c r="BQ89" i="4"/>
  <c r="AX89" i="4"/>
  <c r="BB89" i="4"/>
  <c r="BF89" i="4"/>
  <c r="AU89" i="4"/>
  <c r="AY89" i="4"/>
  <c r="BC89" i="4"/>
  <c r="BG89" i="4"/>
  <c r="AM89" i="4"/>
  <c r="AQ89" i="4"/>
  <c r="AJ89" i="4"/>
  <c r="AH89" i="4"/>
  <c r="AB89" i="4"/>
  <c r="AL89" i="4"/>
  <c r="AP89" i="4"/>
  <c r="AT89" i="4"/>
  <c r="AK89" i="4"/>
  <c r="AC89" i="4"/>
  <c r="V89" i="4"/>
  <c r="T89" i="4"/>
  <c r="R89" i="4"/>
  <c r="N89" i="4"/>
  <c r="Z89" i="4"/>
  <c r="X89" i="4"/>
  <c r="P89" i="4"/>
  <c r="L89" i="4"/>
  <c r="J89" i="4"/>
  <c r="I89" i="4"/>
  <c r="CD91" i="4"/>
  <c r="CH91" i="4"/>
  <c r="CC91" i="4"/>
  <c r="CG91" i="4"/>
  <c r="BT91" i="4"/>
  <c r="BX91" i="4"/>
  <c r="BU91" i="4"/>
  <c r="BS91" i="4"/>
  <c r="CA91" i="4"/>
  <c r="BL91" i="4"/>
  <c r="BP91" i="4"/>
  <c r="BK91" i="4"/>
  <c r="BO91" i="4"/>
  <c r="AV91" i="4"/>
  <c r="AZ91" i="4"/>
  <c r="BD91" i="4"/>
  <c r="BH91" i="4"/>
  <c r="AW91" i="4"/>
  <c r="BA91" i="4"/>
  <c r="BE91" i="4"/>
  <c r="BI91" i="4"/>
  <c r="AO91" i="4"/>
  <c r="AS91" i="4"/>
  <c r="AF91" i="4"/>
  <c r="AD91" i="4"/>
  <c r="AA91" i="4"/>
  <c r="AN91" i="4"/>
  <c r="AR91" i="4"/>
  <c r="AI91" i="4"/>
  <c r="AG91" i="4"/>
  <c r="AE91" i="4"/>
  <c r="U91" i="4"/>
  <c r="S91" i="4"/>
  <c r="Q91" i="4"/>
  <c r="M91" i="4"/>
  <c r="Z91" i="4"/>
  <c r="X91" i="4"/>
  <c r="P91" i="4"/>
  <c r="L91" i="4"/>
  <c r="J91" i="4"/>
  <c r="CD89" i="4"/>
  <c r="CH89" i="4"/>
  <c r="CC89" i="4"/>
  <c r="CG89" i="4"/>
  <c r="BT89" i="4"/>
  <c r="BX89" i="4"/>
  <c r="BS89" i="4"/>
  <c r="CA89" i="4"/>
  <c r="BY89" i="4"/>
  <c r="BL89" i="4"/>
  <c r="BP89" i="4"/>
  <c r="BK89" i="4"/>
  <c r="BO89" i="4"/>
  <c r="AV89" i="4"/>
  <c r="AZ89" i="4"/>
  <c r="BD89" i="4"/>
  <c r="BH89" i="4"/>
  <c r="AW89" i="4"/>
  <c r="BA89" i="4"/>
  <c r="BE89" i="4"/>
  <c r="BI89" i="4"/>
  <c r="AO89" i="4"/>
  <c r="AS89" i="4"/>
  <c r="AF89" i="4"/>
  <c r="AD89" i="4"/>
  <c r="AA89" i="4"/>
  <c r="AN89" i="4"/>
  <c r="AR89" i="4"/>
  <c r="AI89" i="4"/>
  <c r="AG89" i="4"/>
  <c r="AE89" i="4"/>
  <c r="U89" i="4"/>
  <c r="S89" i="4"/>
  <c r="Q89" i="4"/>
  <c r="M89" i="4"/>
  <c r="Y89" i="4"/>
  <c r="W89" i="4"/>
  <c r="O89" i="4"/>
  <c r="K89" i="4"/>
  <c r="H89" i="4"/>
  <c r="CB91" i="4"/>
  <c r="CF91" i="4"/>
  <c r="CJ91" i="4"/>
  <c r="CE91" i="4"/>
  <c r="CI91" i="4"/>
  <c r="BV91" i="4"/>
  <c r="BZ91" i="4"/>
  <c r="BY91" i="4"/>
  <c r="BW91" i="4"/>
  <c r="BJ91" i="4"/>
  <c r="BN91" i="4"/>
  <c r="BR91" i="4"/>
  <c r="BM91" i="4"/>
  <c r="BQ91" i="4"/>
  <c r="AX91" i="4"/>
  <c r="BB91" i="4"/>
  <c r="BF91" i="4"/>
  <c r="AU91" i="4"/>
  <c r="AY91" i="4"/>
  <c r="BC91" i="4"/>
  <c r="BG91" i="4"/>
  <c r="AM91" i="4"/>
  <c r="AQ91" i="4"/>
  <c r="AJ91" i="4"/>
  <c r="AH91" i="4"/>
  <c r="AB91" i="4"/>
  <c r="AL91" i="4"/>
  <c r="AP91" i="4"/>
  <c r="AT91" i="4"/>
  <c r="AK91" i="4"/>
  <c r="AC91" i="4"/>
  <c r="V91" i="4"/>
  <c r="T91" i="4"/>
  <c r="R91" i="4"/>
  <c r="N91" i="4"/>
  <c r="I91" i="4"/>
  <c r="Y91" i="4"/>
  <c r="W91" i="4"/>
  <c r="O91" i="4"/>
  <c r="K91" i="4"/>
  <c r="H91" i="4"/>
  <c r="G89" i="4"/>
  <c r="CE90" i="4"/>
  <c r="CI90" i="4"/>
  <c r="CD90" i="4"/>
  <c r="CH90" i="4"/>
  <c r="BS90" i="4"/>
  <c r="BW90" i="4"/>
  <c r="CA90" i="4"/>
  <c r="BZ90" i="4"/>
  <c r="BX90" i="4"/>
  <c r="BM90" i="4"/>
  <c r="BQ90" i="4"/>
  <c r="BL90" i="4"/>
  <c r="BP90" i="4"/>
  <c r="AU90" i="4"/>
  <c r="AY90" i="4"/>
  <c r="BC90" i="4"/>
  <c r="BG90" i="4"/>
  <c r="AV90" i="4"/>
  <c r="AZ90" i="4"/>
  <c r="BD90" i="4"/>
  <c r="BH90" i="4"/>
  <c r="AN90" i="4"/>
  <c r="AR90" i="4"/>
  <c r="AI90" i="4"/>
  <c r="AG90" i="4"/>
  <c r="AE90" i="4"/>
  <c r="AO90" i="4"/>
  <c r="AS90" i="4"/>
  <c r="AF90" i="4"/>
  <c r="AD90" i="4"/>
  <c r="Y90" i="4"/>
  <c r="W90" i="4"/>
  <c r="O90" i="4"/>
  <c r="K90" i="4"/>
  <c r="AB90" i="4"/>
  <c r="V90" i="4"/>
  <c r="T90" i="4"/>
  <c r="R90" i="4"/>
  <c r="N90" i="4"/>
  <c r="I90" i="4"/>
  <c r="G91" i="4"/>
  <c r="CC90" i="4"/>
  <c r="CG90" i="4"/>
  <c r="CB90" i="4"/>
  <c r="CF90" i="4"/>
  <c r="CJ90" i="4"/>
  <c r="BU90" i="4"/>
  <c r="BY90" i="4"/>
  <c r="BV90" i="4"/>
  <c r="BT90" i="4"/>
  <c r="BK90" i="4"/>
  <c r="BO90" i="4"/>
  <c r="BJ90" i="4"/>
  <c r="BN90" i="4"/>
  <c r="BR90" i="4"/>
  <c r="AW90" i="4"/>
  <c r="BA90" i="4"/>
  <c r="BE90" i="4"/>
  <c r="BI90" i="4"/>
  <c r="AX90" i="4"/>
  <c r="BB90" i="4"/>
  <c r="BF90" i="4"/>
  <c r="AL90" i="4"/>
  <c r="AP90" i="4"/>
  <c r="AT90" i="4"/>
  <c r="AK90" i="4"/>
  <c r="AC90" i="4"/>
  <c r="AM90" i="4"/>
  <c r="AQ90" i="4"/>
  <c r="AJ90" i="4"/>
  <c r="AH90" i="4"/>
  <c r="Z90" i="4"/>
  <c r="X90" i="4"/>
  <c r="P90" i="4"/>
  <c r="L90" i="4"/>
  <c r="H90" i="4"/>
  <c r="AA90" i="4"/>
  <c r="U90" i="4"/>
  <c r="S90" i="4"/>
  <c r="Q90" i="4"/>
  <c r="M90" i="4"/>
  <c r="J90" i="4"/>
  <c r="G90" i="4"/>
  <c r="CB49" i="4"/>
  <c r="CF49" i="4"/>
  <c r="CJ49" i="4"/>
  <c r="CG49" i="4"/>
  <c r="CI49" i="4"/>
  <c r="BV49" i="4"/>
  <c r="BZ49" i="4"/>
  <c r="BU49" i="4"/>
  <c r="BY49" i="4"/>
  <c r="BJ49" i="4"/>
  <c r="BN49" i="4"/>
  <c r="BR49" i="4"/>
  <c r="BM49" i="4"/>
  <c r="BQ49" i="4"/>
  <c r="AX49" i="4"/>
  <c r="BB49" i="4"/>
  <c r="BF49" i="4"/>
  <c r="AU49" i="4"/>
  <c r="AY49" i="4"/>
  <c r="BC49" i="4"/>
  <c r="BG49" i="4"/>
  <c r="AM49" i="4"/>
  <c r="AQ49" i="4"/>
  <c r="AJ49" i="4"/>
  <c r="AH49" i="4"/>
  <c r="AB49" i="4"/>
  <c r="AL49" i="4"/>
  <c r="AP49" i="4"/>
  <c r="AT49" i="4"/>
  <c r="AK49" i="4"/>
  <c r="AC49" i="4"/>
  <c r="V49" i="4"/>
  <c r="T49" i="4"/>
  <c r="R49" i="4"/>
  <c r="N49" i="4"/>
  <c r="I49" i="4"/>
  <c r="Y49" i="4"/>
  <c r="W49" i="4"/>
  <c r="O49" i="4"/>
  <c r="K49" i="4"/>
  <c r="H49" i="4"/>
  <c r="CE50" i="4"/>
  <c r="CI50" i="4"/>
  <c r="CF50" i="4"/>
  <c r="CD50" i="4"/>
  <c r="BS50" i="4"/>
  <c r="BW50" i="4"/>
  <c r="CA50" i="4"/>
  <c r="BV50" i="4"/>
  <c r="BZ50" i="4"/>
  <c r="BM50" i="4"/>
  <c r="BQ50" i="4"/>
  <c r="BL50" i="4"/>
  <c r="BP50" i="4"/>
  <c r="AU50" i="4"/>
  <c r="AY50" i="4"/>
  <c r="BC50" i="4"/>
  <c r="BG50" i="4"/>
  <c r="AV50" i="4"/>
  <c r="AZ50" i="4"/>
  <c r="BD50" i="4"/>
  <c r="BH50" i="4"/>
  <c r="AN50" i="4"/>
  <c r="AR50" i="4"/>
  <c r="AI50" i="4"/>
  <c r="AG50" i="4"/>
  <c r="AE50" i="4"/>
  <c r="AO50" i="4"/>
  <c r="AS50" i="4"/>
  <c r="AF50" i="4"/>
  <c r="AD50" i="4"/>
  <c r="Y50" i="4"/>
  <c r="W50" i="4"/>
  <c r="O50" i="4"/>
  <c r="K50" i="4"/>
  <c r="AB50" i="4"/>
  <c r="V50" i="4"/>
  <c r="T50" i="4"/>
  <c r="R50" i="4"/>
  <c r="N50" i="4"/>
  <c r="I50" i="4"/>
  <c r="CB51" i="4"/>
  <c r="CF51" i="4"/>
  <c r="CJ51" i="4"/>
  <c r="CI51" i="4"/>
  <c r="CG51" i="4"/>
  <c r="BV51" i="4"/>
  <c r="BZ51" i="4"/>
  <c r="BU51" i="4"/>
  <c r="BY51" i="4"/>
  <c r="BJ51" i="4"/>
  <c r="BN51" i="4"/>
  <c r="BR51" i="4"/>
  <c r="BM51" i="4"/>
  <c r="BQ51" i="4"/>
  <c r="AX51" i="4"/>
  <c r="BB51" i="4"/>
  <c r="BF51" i="4"/>
  <c r="AU51" i="4"/>
  <c r="AY51" i="4"/>
  <c r="BC51" i="4"/>
  <c r="BG51" i="4"/>
  <c r="AM51" i="4"/>
  <c r="AQ51" i="4"/>
  <c r="AJ51" i="4"/>
  <c r="AH51" i="4"/>
  <c r="AB51" i="4"/>
  <c r="AL51" i="4"/>
  <c r="AP51" i="4"/>
  <c r="AT51" i="4"/>
  <c r="AK51" i="4"/>
  <c r="AC51" i="4"/>
  <c r="V51" i="4"/>
  <c r="T51" i="4"/>
  <c r="R51" i="4"/>
  <c r="N51" i="4"/>
  <c r="Z51" i="4"/>
  <c r="X51" i="4"/>
  <c r="P51" i="4"/>
  <c r="L51" i="4"/>
  <c r="J51" i="4"/>
  <c r="I51" i="4"/>
  <c r="CD49" i="4"/>
  <c r="CH49" i="4"/>
  <c r="CC49" i="4"/>
  <c r="CE49" i="4"/>
  <c r="BT49" i="4"/>
  <c r="BX49" i="4"/>
  <c r="BS49" i="4"/>
  <c r="BW49" i="4"/>
  <c r="CA49" i="4"/>
  <c r="BL49" i="4"/>
  <c r="BP49" i="4"/>
  <c r="BK49" i="4"/>
  <c r="BO49" i="4"/>
  <c r="AV49" i="4"/>
  <c r="AZ49" i="4"/>
  <c r="BD49" i="4"/>
  <c r="BH49" i="4"/>
  <c r="AW49" i="4"/>
  <c r="BA49" i="4"/>
  <c r="BE49" i="4"/>
  <c r="BI49" i="4"/>
  <c r="AO49" i="4"/>
  <c r="AS49" i="4"/>
  <c r="AF49" i="4"/>
  <c r="AD49" i="4"/>
  <c r="AA49" i="4"/>
  <c r="AN49" i="4"/>
  <c r="AR49" i="4"/>
  <c r="AI49" i="4"/>
  <c r="AG49" i="4"/>
  <c r="AE49" i="4"/>
  <c r="U49" i="4"/>
  <c r="S49" i="4"/>
  <c r="Q49" i="4"/>
  <c r="M49" i="4"/>
  <c r="Z49" i="4"/>
  <c r="X49" i="4"/>
  <c r="P49" i="4"/>
  <c r="L49" i="4"/>
  <c r="J49" i="4"/>
  <c r="CC50" i="4"/>
  <c r="CG50" i="4"/>
  <c r="CB50" i="4"/>
  <c r="CJ50" i="4"/>
  <c r="CH50" i="4"/>
  <c r="BU50" i="4"/>
  <c r="BY50" i="4"/>
  <c r="BT50" i="4"/>
  <c r="BX50" i="4"/>
  <c r="BK50" i="4"/>
  <c r="BO50" i="4"/>
  <c r="BJ50" i="4"/>
  <c r="BN50" i="4"/>
  <c r="BR50" i="4"/>
  <c r="AW50" i="4"/>
  <c r="BA50" i="4"/>
  <c r="BE50" i="4"/>
  <c r="BI50" i="4"/>
  <c r="AX50" i="4"/>
  <c r="BB50" i="4"/>
  <c r="BF50" i="4"/>
  <c r="AL50" i="4"/>
  <c r="AP50" i="4"/>
  <c r="AT50" i="4"/>
  <c r="AK50" i="4"/>
  <c r="AC50" i="4"/>
  <c r="AM50" i="4"/>
  <c r="AQ50" i="4"/>
  <c r="AJ50" i="4"/>
  <c r="AH50" i="4"/>
  <c r="Z50" i="4"/>
  <c r="X50" i="4"/>
  <c r="P50" i="4"/>
  <c r="L50" i="4"/>
  <c r="J50" i="4"/>
  <c r="AA50" i="4"/>
  <c r="U50" i="4"/>
  <c r="S50" i="4"/>
  <c r="Q50" i="4"/>
  <c r="M50" i="4"/>
  <c r="H50" i="4"/>
  <c r="CD51" i="4"/>
  <c r="CH51" i="4"/>
  <c r="CE51" i="4"/>
  <c r="CC51" i="4"/>
  <c r="BT51" i="4"/>
  <c r="BX51" i="4"/>
  <c r="BS51" i="4"/>
  <c r="BW51" i="4"/>
  <c r="CA51" i="4"/>
  <c r="BL51" i="4"/>
  <c r="BP51" i="4"/>
  <c r="BK51" i="4"/>
  <c r="BO51" i="4"/>
  <c r="AV51" i="4"/>
  <c r="AZ51" i="4"/>
  <c r="BD51" i="4"/>
  <c r="BH51" i="4"/>
  <c r="AW51" i="4"/>
  <c r="BA51" i="4"/>
  <c r="BE51" i="4"/>
  <c r="BI51" i="4"/>
  <c r="AO51" i="4"/>
  <c r="AS51" i="4"/>
  <c r="AF51" i="4"/>
  <c r="AD51" i="4"/>
  <c r="AA51" i="4"/>
  <c r="AN51" i="4"/>
  <c r="AR51" i="4"/>
  <c r="AI51" i="4"/>
  <c r="AG51" i="4"/>
  <c r="AE51" i="4"/>
  <c r="U51" i="4"/>
  <c r="S51" i="4"/>
  <c r="Q51" i="4"/>
  <c r="M51" i="4"/>
  <c r="Y51" i="4"/>
  <c r="W51" i="4"/>
  <c r="O51" i="4"/>
  <c r="K51" i="4"/>
  <c r="H51" i="4"/>
  <c r="G51" i="4"/>
  <c r="G49" i="4"/>
  <c r="G50" i="4"/>
  <c r="CC25" i="4"/>
  <c r="CG25" i="4"/>
  <c r="CB25" i="4"/>
  <c r="CF25" i="4"/>
  <c r="CJ25" i="4"/>
  <c r="BV25" i="4"/>
  <c r="BZ25" i="4"/>
  <c r="BU25" i="4"/>
  <c r="BY25" i="4"/>
  <c r="BJ25" i="4"/>
  <c r="BN25" i="4"/>
  <c r="BR25" i="4"/>
  <c r="BQ25" i="4"/>
  <c r="AW25" i="4"/>
  <c r="BA25" i="4"/>
  <c r="BE25" i="4"/>
  <c r="BI25" i="4"/>
  <c r="BO25" i="4"/>
  <c r="BB25" i="4"/>
  <c r="AV25" i="4"/>
  <c r="BD25" i="4"/>
  <c r="AM25" i="4"/>
  <c r="AQ25" i="4"/>
  <c r="AJ25" i="4"/>
  <c r="AH25" i="4"/>
  <c r="AB25" i="4"/>
  <c r="AL25" i="4"/>
  <c r="AP25" i="4"/>
  <c r="AT25" i="4"/>
  <c r="AK25" i="4"/>
  <c r="AC25" i="4"/>
  <c r="V25" i="4"/>
  <c r="T25" i="4"/>
  <c r="R25" i="4"/>
  <c r="N25" i="4"/>
  <c r="I25" i="4"/>
  <c r="Y25" i="4"/>
  <c r="W25" i="4"/>
  <c r="O25" i="4"/>
  <c r="K25" i="4"/>
  <c r="H25" i="4"/>
  <c r="CD26" i="4"/>
  <c r="CH26" i="4"/>
  <c r="CC26" i="4"/>
  <c r="CG26" i="4"/>
  <c r="BS26" i="4"/>
  <c r="BW26" i="4"/>
  <c r="CA26" i="4"/>
  <c r="BV26" i="4"/>
  <c r="BZ26" i="4"/>
  <c r="BM26" i="4"/>
  <c r="BQ26" i="4"/>
  <c r="BP26" i="4"/>
  <c r="AX26" i="4"/>
  <c r="BB26" i="4"/>
  <c r="BF26" i="4"/>
  <c r="BJ26" i="4"/>
  <c r="BR26" i="4"/>
  <c r="AY26" i="4"/>
  <c r="BG26" i="4"/>
  <c r="BA26" i="4"/>
  <c r="BI26" i="4"/>
  <c r="AN26" i="4"/>
  <c r="AR26" i="4"/>
  <c r="AI26" i="4"/>
  <c r="AG26" i="4"/>
  <c r="AE26" i="4"/>
  <c r="AO26" i="4"/>
  <c r="AS26" i="4"/>
  <c r="AF26" i="4"/>
  <c r="AD26" i="4"/>
  <c r="Y26" i="4"/>
  <c r="W26" i="4"/>
  <c r="O26" i="4"/>
  <c r="K26" i="4"/>
  <c r="AA26" i="4"/>
  <c r="U26" i="4"/>
  <c r="S26" i="4"/>
  <c r="Q26" i="4"/>
  <c r="M26" i="4"/>
  <c r="J26" i="4"/>
  <c r="CC27" i="4"/>
  <c r="CG27" i="4"/>
  <c r="CB27" i="4"/>
  <c r="CF27" i="4"/>
  <c r="CJ27" i="4"/>
  <c r="BV27" i="4"/>
  <c r="BZ27" i="4"/>
  <c r="BU27" i="4"/>
  <c r="BY27" i="4"/>
  <c r="BJ27" i="4"/>
  <c r="BN27" i="4"/>
  <c r="BR27" i="4"/>
  <c r="BO27" i="4"/>
  <c r="AW27" i="4"/>
  <c r="BA27" i="4"/>
  <c r="BE27" i="4"/>
  <c r="BI27" i="4"/>
  <c r="BQ27" i="4"/>
  <c r="AZ27" i="4"/>
  <c r="BH27" i="4"/>
  <c r="BB27" i="4"/>
  <c r="AM27" i="4"/>
  <c r="AQ27" i="4"/>
  <c r="AJ27" i="4"/>
  <c r="AH27" i="4"/>
  <c r="AB27" i="4"/>
  <c r="AL27" i="4"/>
  <c r="AP27" i="4"/>
  <c r="AT27" i="4"/>
  <c r="AK27" i="4"/>
  <c r="AC27" i="4"/>
  <c r="V27" i="4"/>
  <c r="T27" i="4"/>
  <c r="R27" i="4"/>
  <c r="N27" i="4"/>
  <c r="Z27" i="4"/>
  <c r="X27" i="4"/>
  <c r="P27" i="4"/>
  <c r="L27" i="4"/>
  <c r="J27" i="4"/>
  <c r="I27" i="4"/>
  <c r="CD28" i="4"/>
  <c r="CH28" i="4"/>
  <c r="CC28" i="4"/>
  <c r="CG28" i="4"/>
  <c r="BS28" i="4"/>
  <c r="BW28" i="4"/>
  <c r="CA28" i="4"/>
  <c r="BV28" i="4"/>
  <c r="BZ28" i="4"/>
  <c r="BM28" i="4"/>
  <c r="BQ28" i="4"/>
  <c r="BN28" i="4"/>
  <c r="AV28" i="4"/>
  <c r="AZ28" i="4"/>
  <c r="BD28" i="4"/>
  <c r="BH28" i="4"/>
  <c r="BP28" i="4"/>
  <c r="BA28" i="4"/>
  <c r="BI28" i="4"/>
  <c r="AY28" i="4"/>
  <c r="BG28" i="4"/>
  <c r="AN28" i="4"/>
  <c r="AR28" i="4"/>
  <c r="AI28" i="4"/>
  <c r="AG28" i="4"/>
  <c r="AE28" i="4"/>
  <c r="AO28" i="4"/>
  <c r="AS28" i="4"/>
  <c r="AF28" i="4"/>
  <c r="AD28" i="4"/>
  <c r="AA28" i="4"/>
  <c r="Y28" i="4"/>
  <c r="W28" i="4"/>
  <c r="O28" i="4"/>
  <c r="K28" i="4"/>
  <c r="H28" i="4"/>
  <c r="U28" i="4"/>
  <c r="S28" i="4"/>
  <c r="Q28" i="4"/>
  <c r="M28" i="4"/>
  <c r="CE25" i="4"/>
  <c r="CI25" i="4"/>
  <c r="CD25" i="4"/>
  <c r="CH25" i="4"/>
  <c r="BT25" i="4"/>
  <c r="BX25" i="4"/>
  <c r="BS25" i="4"/>
  <c r="BW25" i="4"/>
  <c r="CA25" i="4"/>
  <c r="BL25" i="4"/>
  <c r="BP25" i="4"/>
  <c r="BM25" i="4"/>
  <c r="AU25" i="4"/>
  <c r="AY25" i="4"/>
  <c r="BC25" i="4"/>
  <c r="BG25" i="4"/>
  <c r="BK25" i="4"/>
  <c r="AX25" i="4"/>
  <c r="BF25" i="4"/>
  <c r="AZ25" i="4"/>
  <c r="BH25" i="4"/>
  <c r="AO25" i="4"/>
  <c r="AS25" i="4"/>
  <c r="AF25" i="4"/>
  <c r="AD25" i="4"/>
  <c r="AA25" i="4"/>
  <c r="AN25" i="4"/>
  <c r="AR25" i="4"/>
  <c r="AI25" i="4"/>
  <c r="AG25" i="4"/>
  <c r="AE25" i="4"/>
  <c r="U25" i="4"/>
  <c r="S25" i="4"/>
  <c r="Q25" i="4"/>
  <c r="M25" i="4"/>
  <c r="Z25" i="4"/>
  <c r="X25" i="4"/>
  <c r="P25" i="4"/>
  <c r="L25" i="4"/>
  <c r="J25" i="4"/>
  <c r="CB26" i="4"/>
  <c r="CF26" i="4"/>
  <c r="CJ26" i="4"/>
  <c r="CE26" i="4"/>
  <c r="CI26" i="4"/>
  <c r="BU26" i="4"/>
  <c r="BY26" i="4"/>
  <c r="BT26" i="4"/>
  <c r="BX26" i="4"/>
  <c r="BK26" i="4"/>
  <c r="BO26" i="4"/>
  <c r="BL26" i="4"/>
  <c r="AV26" i="4"/>
  <c r="AZ26" i="4"/>
  <c r="BD26" i="4"/>
  <c r="BH26" i="4"/>
  <c r="BN26" i="4"/>
  <c r="AU26" i="4"/>
  <c r="BC26" i="4"/>
  <c r="AW26" i="4"/>
  <c r="BE26" i="4"/>
  <c r="AL26" i="4"/>
  <c r="AP26" i="4"/>
  <c r="AT26" i="4"/>
  <c r="AK26" i="4"/>
  <c r="AC26" i="4"/>
  <c r="AM26" i="4"/>
  <c r="AQ26" i="4"/>
  <c r="AJ26" i="4"/>
  <c r="AH26" i="4"/>
  <c r="Z26" i="4"/>
  <c r="X26" i="4"/>
  <c r="P26" i="4"/>
  <c r="L26" i="4"/>
  <c r="AB26" i="4"/>
  <c r="V26" i="4"/>
  <c r="T26" i="4"/>
  <c r="R26" i="4"/>
  <c r="N26" i="4"/>
  <c r="I26" i="4"/>
  <c r="H26" i="4"/>
  <c r="CE27" i="4"/>
  <c r="CI27" i="4"/>
  <c r="CD27" i="4"/>
  <c r="CH27" i="4"/>
  <c r="BT27" i="4"/>
  <c r="BX27" i="4"/>
  <c r="BS27" i="4"/>
  <c r="BW27" i="4"/>
  <c r="CA27" i="4"/>
  <c r="BL27" i="4"/>
  <c r="BP27" i="4"/>
  <c r="BK27" i="4"/>
  <c r="AU27" i="4"/>
  <c r="AY27" i="4"/>
  <c r="BC27" i="4"/>
  <c r="BG27" i="4"/>
  <c r="BM27" i="4"/>
  <c r="AV27" i="4"/>
  <c r="BD27" i="4"/>
  <c r="AX27" i="4"/>
  <c r="BF27" i="4"/>
  <c r="AO27" i="4"/>
  <c r="AS27" i="4"/>
  <c r="AF27" i="4"/>
  <c r="AD27" i="4"/>
  <c r="AA27" i="4"/>
  <c r="AN27" i="4"/>
  <c r="AR27" i="4"/>
  <c r="AI27" i="4"/>
  <c r="AG27" i="4"/>
  <c r="AE27" i="4"/>
  <c r="U27" i="4"/>
  <c r="S27" i="4"/>
  <c r="Q27" i="4"/>
  <c r="M27" i="4"/>
  <c r="Y27" i="4"/>
  <c r="W27" i="4"/>
  <c r="O27" i="4"/>
  <c r="K27" i="4"/>
  <c r="H27" i="4"/>
  <c r="CB28" i="4"/>
  <c r="CF28" i="4"/>
  <c r="CJ28" i="4"/>
  <c r="CE28" i="4"/>
  <c r="CI28" i="4"/>
  <c r="BU28" i="4"/>
  <c r="BY28" i="4"/>
  <c r="BT28" i="4"/>
  <c r="BX28" i="4"/>
  <c r="BK28" i="4"/>
  <c r="BO28" i="4"/>
  <c r="BJ28" i="4"/>
  <c r="BR28" i="4"/>
  <c r="AX28" i="4"/>
  <c r="BB28" i="4"/>
  <c r="BF28" i="4"/>
  <c r="BL28" i="4"/>
  <c r="AW28" i="4"/>
  <c r="BE28" i="4"/>
  <c r="AU28" i="4"/>
  <c r="BC28" i="4"/>
  <c r="AL28" i="4"/>
  <c r="AP28" i="4"/>
  <c r="AT28" i="4"/>
  <c r="AK28" i="4"/>
  <c r="AC28" i="4"/>
  <c r="AM28" i="4"/>
  <c r="AQ28" i="4"/>
  <c r="AJ28" i="4"/>
  <c r="AH28" i="4"/>
  <c r="AB28" i="4"/>
  <c r="Z28" i="4"/>
  <c r="X28" i="4"/>
  <c r="P28" i="4"/>
  <c r="L28" i="4"/>
  <c r="J28" i="4"/>
  <c r="V28" i="4"/>
  <c r="T28" i="4"/>
  <c r="R28" i="4"/>
  <c r="N28" i="4"/>
  <c r="I28" i="4"/>
  <c r="G27" i="4"/>
  <c r="G25" i="4"/>
  <c r="G26" i="4"/>
  <c r="G28" i="4"/>
  <c r="G253" i="3"/>
  <c r="AF253" i="3"/>
  <c r="AE253" i="3"/>
  <c r="AA253" i="3"/>
  <c r="Y253" i="3"/>
  <c r="X253" i="3"/>
  <c r="U253" i="3"/>
  <c r="T253" i="3"/>
  <c r="O253" i="3"/>
  <c r="N253" i="3"/>
  <c r="M253" i="3"/>
  <c r="J253" i="3"/>
  <c r="L253" i="3"/>
  <c r="AG253" i="3"/>
  <c r="AD253" i="3"/>
  <c r="AB253" i="3"/>
  <c r="AC253" i="3"/>
  <c r="Z253" i="3"/>
  <c r="V253" i="3"/>
  <c r="W253" i="3"/>
  <c r="S253" i="3"/>
  <c r="R253" i="3"/>
  <c r="Q253" i="3"/>
  <c r="P253" i="3"/>
  <c r="I253" i="3"/>
  <c r="H253" i="3"/>
  <c r="K253" i="3"/>
  <c r="AF205" i="3"/>
  <c r="AE205" i="3"/>
  <c r="AA205" i="3"/>
  <c r="Y205" i="3"/>
  <c r="X205" i="3"/>
  <c r="U205" i="3"/>
  <c r="T205" i="3"/>
  <c r="R205" i="3"/>
  <c r="N205" i="3"/>
  <c r="M205" i="3"/>
  <c r="J205" i="3"/>
  <c r="L205" i="3"/>
  <c r="AG205" i="3"/>
  <c r="AD205" i="3"/>
  <c r="AB205" i="3"/>
  <c r="AC205" i="3"/>
  <c r="Z205" i="3"/>
  <c r="V205" i="3"/>
  <c r="W205" i="3"/>
  <c r="S205" i="3"/>
  <c r="O205" i="3"/>
  <c r="Q205" i="3"/>
  <c r="P205" i="3"/>
  <c r="I205" i="3"/>
  <c r="H205" i="3"/>
  <c r="AE206" i="3"/>
  <c r="AF206" i="3"/>
  <c r="AA206" i="3"/>
  <c r="AB206" i="3"/>
  <c r="Z206" i="3"/>
  <c r="V206" i="3"/>
  <c r="U206" i="3"/>
  <c r="R206" i="3"/>
  <c r="N206" i="3"/>
  <c r="M206" i="3"/>
  <c r="J206" i="3"/>
  <c r="P206" i="3"/>
  <c r="H206" i="3"/>
  <c r="K205" i="3"/>
  <c r="AG206" i="3"/>
  <c r="AC206" i="3"/>
  <c r="AD206" i="3"/>
  <c r="Y206" i="3"/>
  <c r="X206" i="3"/>
  <c r="W206" i="3"/>
  <c r="T206" i="3"/>
  <c r="S206" i="3"/>
  <c r="O206" i="3"/>
  <c r="Q206" i="3"/>
  <c r="K206" i="3"/>
  <c r="I206" i="3"/>
  <c r="L206" i="3"/>
  <c r="G206" i="3"/>
  <c r="G205" i="3"/>
  <c r="AF181" i="3"/>
  <c r="AE181" i="3"/>
  <c r="AB181" i="3"/>
  <c r="Y181" i="3"/>
  <c r="X181" i="3"/>
  <c r="U181" i="3"/>
  <c r="T181" i="3"/>
  <c r="R181" i="3"/>
  <c r="N181" i="3"/>
  <c r="M181" i="3"/>
  <c r="J181" i="3"/>
  <c r="L181" i="3"/>
  <c r="K181" i="3"/>
  <c r="AG181" i="3"/>
  <c r="AD181" i="3"/>
  <c r="AC181" i="3"/>
  <c r="AA181" i="3"/>
  <c r="Z181" i="3"/>
  <c r="V181" i="3"/>
  <c r="W181" i="3"/>
  <c r="S181" i="3"/>
  <c r="O181" i="3"/>
  <c r="Q181" i="3"/>
  <c r="P181" i="3"/>
  <c r="I181" i="3"/>
  <c r="H181" i="3"/>
  <c r="G181" i="3"/>
  <c r="AC110" i="3"/>
  <c r="AB110" i="3"/>
  <c r="AF110" i="3"/>
  <c r="Y110" i="3"/>
  <c r="X110" i="3"/>
  <c r="W110" i="3"/>
  <c r="U110" i="3"/>
  <c r="R110" i="3"/>
  <c r="N110" i="3"/>
  <c r="M110" i="3"/>
  <c r="P110" i="3"/>
  <c r="I110" i="3"/>
  <c r="H110" i="3"/>
  <c r="AF109" i="3"/>
  <c r="AD109" i="3"/>
  <c r="AC109" i="3"/>
  <c r="AB109" i="3"/>
  <c r="X109" i="3"/>
  <c r="U109" i="3"/>
  <c r="T109" i="3"/>
  <c r="R109" i="3"/>
  <c r="N109" i="3"/>
  <c r="M109" i="3"/>
  <c r="J109" i="3"/>
  <c r="L109" i="3"/>
  <c r="AG110" i="3"/>
  <c r="AD110" i="3"/>
  <c r="AE110" i="3"/>
  <c r="AA110" i="3"/>
  <c r="Z110" i="3"/>
  <c r="V110" i="3"/>
  <c r="T110" i="3"/>
  <c r="S110" i="3"/>
  <c r="O110" i="3"/>
  <c r="Q110" i="3"/>
  <c r="K110" i="3"/>
  <c r="J110" i="3"/>
  <c r="L110" i="3"/>
  <c r="AG109" i="3"/>
  <c r="AE109" i="3"/>
  <c r="AA109" i="3"/>
  <c r="Y109" i="3"/>
  <c r="Z109" i="3"/>
  <c r="V109" i="3"/>
  <c r="W109" i="3"/>
  <c r="S109" i="3"/>
  <c r="O109" i="3"/>
  <c r="Q109" i="3"/>
  <c r="P109" i="3"/>
  <c r="I109" i="3"/>
  <c r="H109" i="3"/>
  <c r="G110" i="3"/>
  <c r="G109" i="3"/>
  <c r="K109" i="3"/>
  <c r="G85" i="4"/>
  <c r="CD85" i="4"/>
  <c r="CH85" i="4"/>
  <c r="CC85" i="4"/>
  <c r="CG85" i="4"/>
  <c r="BT85" i="4"/>
  <c r="BX85" i="4"/>
  <c r="BS85" i="4"/>
  <c r="CA85" i="4"/>
  <c r="BY85" i="4"/>
  <c r="BL85" i="4"/>
  <c r="BP85" i="4"/>
  <c r="BK85" i="4"/>
  <c r="BO85" i="4"/>
  <c r="AV85" i="4"/>
  <c r="AZ85" i="4"/>
  <c r="BD85" i="4"/>
  <c r="BH85" i="4"/>
  <c r="AW85" i="4"/>
  <c r="BA85" i="4"/>
  <c r="BE85" i="4"/>
  <c r="BI85" i="4"/>
  <c r="AO85" i="4"/>
  <c r="AS85" i="4"/>
  <c r="AF85" i="4"/>
  <c r="AD85" i="4"/>
  <c r="AA85" i="4"/>
  <c r="AN85" i="4"/>
  <c r="AR85" i="4"/>
  <c r="AI85" i="4"/>
  <c r="AG85" i="4"/>
  <c r="AE85" i="4"/>
  <c r="U85" i="4"/>
  <c r="S85" i="4"/>
  <c r="Q85" i="4"/>
  <c r="M85" i="4"/>
  <c r="Y85" i="4"/>
  <c r="W85" i="4"/>
  <c r="O85" i="4"/>
  <c r="K85" i="4"/>
  <c r="H85" i="4"/>
  <c r="CC86" i="4"/>
  <c r="CG86" i="4"/>
  <c r="CB86" i="4"/>
  <c r="CF86" i="4"/>
  <c r="CJ86" i="4"/>
  <c r="BU86" i="4"/>
  <c r="BY86" i="4"/>
  <c r="BV86" i="4"/>
  <c r="BT86" i="4"/>
  <c r="BK86" i="4"/>
  <c r="BO86" i="4"/>
  <c r="BJ86" i="4"/>
  <c r="BN86" i="4"/>
  <c r="BR86" i="4"/>
  <c r="AW86" i="4"/>
  <c r="BA86" i="4"/>
  <c r="BE86" i="4"/>
  <c r="BI86" i="4"/>
  <c r="AX86" i="4"/>
  <c r="BB86" i="4"/>
  <c r="BF86" i="4"/>
  <c r="AL86" i="4"/>
  <c r="AP86" i="4"/>
  <c r="AT86" i="4"/>
  <c r="AK86" i="4"/>
  <c r="AC86" i="4"/>
  <c r="AM86" i="4"/>
  <c r="AQ86" i="4"/>
  <c r="AJ86" i="4"/>
  <c r="AH86" i="4"/>
  <c r="Z86" i="4"/>
  <c r="X86" i="4"/>
  <c r="P86" i="4"/>
  <c r="L86" i="4"/>
  <c r="J86" i="4"/>
  <c r="AB86" i="4"/>
  <c r="V86" i="4"/>
  <c r="T86" i="4"/>
  <c r="R86" i="4"/>
  <c r="N86" i="4"/>
  <c r="I86" i="4"/>
  <c r="CB85" i="4"/>
  <c r="CF85" i="4"/>
  <c r="CJ85" i="4"/>
  <c r="CE85" i="4"/>
  <c r="CI85" i="4"/>
  <c r="BV85" i="4"/>
  <c r="BZ85" i="4"/>
  <c r="BW85" i="4"/>
  <c r="BU85" i="4"/>
  <c r="BJ85" i="4"/>
  <c r="BN85" i="4"/>
  <c r="BR85" i="4"/>
  <c r="BM85" i="4"/>
  <c r="BQ85" i="4"/>
  <c r="AX85" i="4"/>
  <c r="BB85" i="4"/>
  <c r="BF85" i="4"/>
  <c r="AU85" i="4"/>
  <c r="AY85" i="4"/>
  <c r="BC85" i="4"/>
  <c r="BG85" i="4"/>
  <c r="AM85" i="4"/>
  <c r="AQ85" i="4"/>
  <c r="AJ85" i="4"/>
  <c r="AH85" i="4"/>
  <c r="AB85" i="4"/>
  <c r="AL85" i="4"/>
  <c r="AP85" i="4"/>
  <c r="AT85" i="4"/>
  <c r="AK85" i="4"/>
  <c r="AC85" i="4"/>
  <c r="V85" i="4"/>
  <c r="T85" i="4"/>
  <c r="R85" i="4"/>
  <c r="N85" i="4"/>
  <c r="Z85" i="4"/>
  <c r="X85" i="4"/>
  <c r="P85" i="4"/>
  <c r="L85" i="4"/>
  <c r="J85" i="4"/>
  <c r="I85" i="4"/>
  <c r="CE86" i="4"/>
  <c r="CI86" i="4"/>
  <c r="CD86" i="4"/>
  <c r="CH86" i="4"/>
  <c r="BS86" i="4"/>
  <c r="BW86" i="4"/>
  <c r="CA86" i="4"/>
  <c r="BZ86" i="4"/>
  <c r="BX86" i="4"/>
  <c r="BM86" i="4"/>
  <c r="BQ86" i="4"/>
  <c r="BL86" i="4"/>
  <c r="BP86" i="4"/>
  <c r="AU86" i="4"/>
  <c r="AY86" i="4"/>
  <c r="BC86" i="4"/>
  <c r="BG86" i="4"/>
  <c r="AV86" i="4"/>
  <c r="AZ86" i="4"/>
  <c r="BD86" i="4"/>
  <c r="BH86" i="4"/>
  <c r="AN86" i="4"/>
  <c r="AR86" i="4"/>
  <c r="AI86" i="4"/>
  <c r="AG86" i="4"/>
  <c r="AE86" i="4"/>
  <c r="AO86" i="4"/>
  <c r="AS86" i="4"/>
  <c r="AF86" i="4"/>
  <c r="AD86" i="4"/>
  <c r="Y86" i="4"/>
  <c r="W86" i="4"/>
  <c r="O86" i="4"/>
  <c r="K86" i="4"/>
  <c r="H86" i="4"/>
  <c r="AA86" i="4"/>
  <c r="U86" i="4"/>
  <c r="S86" i="4"/>
  <c r="Q86" i="4"/>
  <c r="M86" i="4"/>
  <c r="G86" i="4"/>
  <c r="CB45" i="4"/>
  <c r="CF45" i="4"/>
  <c r="CJ45" i="4"/>
  <c r="CG45" i="4"/>
  <c r="CI45" i="4"/>
  <c r="BV45" i="4"/>
  <c r="BZ45" i="4"/>
  <c r="BU45" i="4"/>
  <c r="BY45" i="4"/>
  <c r="BJ45" i="4"/>
  <c r="BN45" i="4"/>
  <c r="BR45" i="4"/>
  <c r="AW45" i="4"/>
  <c r="BA45" i="4"/>
  <c r="BE45" i="4"/>
  <c r="BI45" i="4"/>
  <c r="BM45" i="4"/>
  <c r="BQ45" i="4"/>
  <c r="BB45" i="4"/>
  <c r="AV45" i="4"/>
  <c r="BD45" i="4"/>
  <c r="AM45" i="4"/>
  <c r="AQ45" i="4"/>
  <c r="AJ45" i="4"/>
  <c r="AH45" i="4"/>
  <c r="AB45" i="4"/>
  <c r="AL45" i="4"/>
  <c r="AP45" i="4"/>
  <c r="AT45" i="4"/>
  <c r="AK45" i="4"/>
  <c r="AC45" i="4"/>
  <c r="V45" i="4"/>
  <c r="T45" i="4"/>
  <c r="R45" i="4"/>
  <c r="N45" i="4"/>
  <c r="I45" i="4"/>
  <c r="Y45" i="4"/>
  <c r="W45" i="4"/>
  <c r="O45" i="4"/>
  <c r="K45" i="4"/>
  <c r="H45" i="4"/>
  <c r="CE46" i="4"/>
  <c r="CI46" i="4"/>
  <c r="CF46" i="4"/>
  <c r="CD46" i="4"/>
  <c r="BS46" i="4"/>
  <c r="BW46" i="4"/>
  <c r="CA46" i="4"/>
  <c r="BV46" i="4"/>
  <c r="BZ46" i="4"/>
  <c r="BM46" i="4"/>
  <c r="BQ46" i="4"/>
  <c r="AX46" i="4"/>
  <c r="BB46" i="4"/>
  <c r="BF46" i="4"/>
  <c r="BJ46" i="4"/>
  <c r="BN46" i="4"/>
  <c r="BR46" i="4"/>
  <c r="AY46" i="4"/>
  <c r="BG46" i="4"/>
  <c r="BA46" i="4"/>
  <c r="BI46" i="4"/>
  <c r="AN46" i="4"/>
  <c r="AR46" i="4"/>
  <c r="AI46" i="4"/>
  <c r="AG46" i="4"/>
  <c r="AE46" i="4"/>
  <c r="AO46" i="4"/>
  <c r="AS46" i="4"/>
  <c r="AF46" i="4"/>
  <c r="AD46" i="4"/>
  <c r="Y46" i="4"/>
  <c r="W46" i="4"/>
  <c r="O46" i="4"/>
  <c r="K46" i="4"/>
  <c r="AA46" i="4"/>
  <c r="U46" i="4"/>
  <c r="S46" i="4"/>
  <c r="Q46" i="4"/>
  <c r="M46" i="4"/>
  <c r="J46" i="4"/>
  <c r="CD45" i="4"/>
  <c r="CH45" i="4"/>
  <c r="CC45" i="4"/>
  <c r="CE45" i="4"/>
  <c r="BT45" i="4"/>
  <c r="BX45" i="4"/>
  <c r="BS45" i="4"/>
  <c r="BW45" i="4"/>
  <c r="CA45" i="4"/>
  <c r="BL45" i="4"/>
  <c r="BP45" i="4"/>
  <c r="AU45" i="4"/>
  <c r="AY45" i="4"/>
  <c r="BC45" i="4"/>
  <c r="BG45" i="4"/>
  <c r="BK45" i="4"/>
  <c r="BO45" i="4"/>
  <c r="AX45" i="4"/>
  <c r="BF45" i="4"/>
  <c r="AZ45" i="4"/>
  <c r="BH45" i="4"/>
  <c r="AO45" i="4"/>
  <c r="AS45" i="4"/>
  <c r="AF45" i="4"/>
  <c r="AD45" i="4"/>
  <c r="AA45" i="4"/>
  <c r="AN45" i="4"/>
  <c r="AR45" i="4"/>
  <c r="AI45" i="4"/>
  <c r="AG45" i="4"/>
  <c r="AE45" i="4"/>
  <c r="U45" i="4"/>
  <c r="S45" i="4"/>
  <c r="Q45" i="4"/>
  <c r="M45" i="4"/>
  <c r="Z45" i="4"/>
  <c r="X45" i="4"/>
  <c r="P45" i="4"/>
  <c r="L45" i="4"/>
  <c r="J45" i="4"/>
  <c r="CC46" i="4"/>
  <c r="CG46" i="4"/>
  <c r="CB46" i="4"/>
  <c r="CJ46" i="4"/>
  <c r="CH46" i="4"/>
  <c r="BU46" i="4"/>
  <c r="BY46" i="4"/>
  <c r="BT46" i="4"/>
  <c r="BX46" i="4"/>
  <c r="BK46" i="4"/>
  <c r="BO46" i="4"/>
  <c r="AV46" i="4"/>
  <c r="AZ46" i="4"/>
  <c r="BD46" i="4"/>
  <c r="BH46" i="4"/>
  <c r="BL46" i="4"/>
  <c r="BP46" i="4"/>
  <c r="AU46" i="4"/>
  <c r="BC46" i="4"/>
  <c r="AW46" i="4"/>
  <c r="BE46" i="4"/>
  <c r="AL46" i="4"/>
  <c r="AP46" i="4"/>
  <c r="AT46" i="4"/>
  <c r="AK46" i="4"/>
  <c r="AC46" i="4"/>
  <c r="AM46" i="4"/>
  <c r="AQ46" i="4"/>
  <c r="AJ46" i="4"/>
  <c r="AH46" i="4"/>
  <c r="Z46" i="4"/>
  <c r="X46" i="4"/>
  <c r="P46" i="4"/>
  <c r="L46" i="4"/>
  <c r="AB46" i="4"/>
  <c r="V46" i="4"/>
  <c r="T46" i="4"/>
  <c r="R46" i="4"/>
  <c r="N46" i="4"/>
  <c r="I46" i="4"/>
  <c r="H46" i="4"/>
  <c r="G45" i="4"/>
  <c r="G46" i="4"/>
  <c r="CE21" i="4"/>
  <c r="CI21" i="4"/>
  <c r="CD21" i="4"/>
  <c r="CH21" i="4"/>
  <c r="BT21" i="4"/>
  <c r="BX21" i="4"/>
  <c r="BS21" i="4"/>
  <c r="BW21" i="4"/>
  <c r="CA21" i="4"/>
  <c r="BL21" i="4"/>
  <c r="BP21" i="4"/>
  <c r="BM21" i="4"/>
  <c r="AU21" i="4"/>
  <c r="AY21" i="4"/>
  <c r="BC21" i="4"/>
  <c r="BG21" i="4"/>
  <c r="BK21" i="4"/>
  <c r="AX21" i="4"/>
  <c r="BF21" i="4"/>
  <c r="AZ21" i="4"/>
  <c r="BH21" i="4"/>
  <c r="AO21" i="4"/>
  <c r="AS21" i="4"/>
  <c r="AF21" i="4"/>
  <c r="AD21" i="4"/>
  <c r="AA21" i="4"/>
  <c r="AN21" i="4"/>
  <c r="AR21" i="4"/>
  <c r="CC21" i="4"/>
  <c r="CG21" i="4"/>
  <c r="CB21" i="4"/>
  <c r="CF21" i="4"/>
  <c r="CJ21" i="4"/>
  <c r="BV21" i="4"/>
  <c r="BZ21" i="4"/>
  <c r="BU21" i="4"/>
  <c r="BY21" i="4"/>
  <c r="BJ21" i="4"/>
  <c r="BN21" i="4"/>
  <c r="BR21" i="4"/>
  <c r="BQ21" i="4"/>
  <c r="AW21" i="4"/>
  <c r="BA21" i="4"/>
  <c r="BE21" i="4"/>
  <c r="BI21" i="4"/>
  <c r="BO21" i="4"/>
  <c r="BB21" i="4"/>
  <c r="AV21" i="4"/>
  <c r="BD21" i="4"/>
  <c r="AM21" i="4"/>
  <c r="AQ21" i="4"/>
  <c r="AJ21" i="4"/>
  <c r="AH21" i="4"/>
  <c r="AB21" i="4"/>
  <c r="AL21" i="4"/>
  <c r="AT21" i="4"/>
  <c r="AK21" i="4"/>
  <c r="AC21" i="4"/>
  <c r="V21" i="4"/>
  <c r="T21" i="4"/>
  <c r="R21" i="4"/>
  <c r="N21" i="4"/>
  <c r="I21" i="4"/>
  <c r="Y21" i="4"/>
  <c r="W21" i="4"/>
  <c r="O21" i="4"/>
  <c r="K21" i="4"/>
  <c r="H21" i="4"/>
  <c r="CD22" i="4"/>
  <c r="CH22" i="4"/>
  <c r="CC22" i="4"/>
  <c r="CG22" i="4"/>
  <c r="BS22" i="4"/>
  <c r="BW22" i="4"/>
  <c r="CA22" i="4"/>
  <c r="BV22" i="4"/>
  <c r="BZ22" i="4"/>
  <c r="BM22" i="4"/>
  <c r="BQ22" i="4"/>
  <c r="BP22" i="4"/>
  <c r="AX22" i="4"/>
  <c r="BB22" i="4"/>
  <c r="BF22" i="4"/>
  <c r="BJ22" i="4"/>
  <c r="BR22" i="4"/>
  <c r="AY22" i="4"/>
  <c r="BG22" i="4"/>
  <c r="BA22" i="4"/>
  <c r="BI22" i="4"/>
  <c r="AN22" i="4"/>
  <c r="AR22" i="4"/>
  <c r="AI22" i="4"/>
  <c r="AG22" i="4"/>
  <c r="AE22" i="4"/>
  <c r="AO22" i="4"/>
  <c r="AS22" i="4"/>
  <c r="AF22" i="4"/>
  <c r="AD22" i="4"/>
  <c r="Y22" i="4"/>
  <c r="W22" i="4"/>
  <c r="O22" i="4"/>
  <c r="K22" i="4"/>
  <c r="AB22" i="4"/>
  <c r="V22" i="4"/>
  <c r="T22" i="4"/>
  <c r="R22" i="4"/>
  <c r="N22" i="4"/>
  <c r="I22" i="4"/>
  <c r="AP21" i="4"/>
  <c r="AI21" i="4"/>
  <c r="AG21" i="4"/>
  <c r="AE21" i="4"/>
  <c r="U21" i="4"/>
  <c r="S21" i="4"/>
  <c r="Q21" i="4"/>
  <c r="M21" i="4"/>
  <c r="Z21" i="4"/>
  <c r="X21" i="4"/>
  <c r="P21" i="4"/>
  <c r="L21" i="4"/>
  <c r="J21" i="4"/>
  <c r="CB22" i="4"/>
  <c r="CF22" i="4"/>
  <c r="CJ22" i="4"/>
  <c r="CE22" i="4"/>
  <c r="CI22" i="4"/>
  <c r="BU22" i="4"/>
  <c r="BY22" i="4"/>
  <c r="BT22" i="4"/>
  <c r="BX22" i="4"/>
  <c r="BK22" i="4"/>
  <c r="BO22" i="4"/>
  <c r="BL22" i="4"/>
  <c r="AV22" i="4"/>
  <c r="AZ22" i="4"/>
  <c r="BD22" i="4"/>
  <c r="BH22" i="4"/>
  <c r="BN22" i="4"/>
  <c r="AU22" i="4"/>
  <c r="BC22" i="4"/>
  <c r="AW22" i="4"/>
  <c r="BE22" i="4"/>
  <c r="AL22" i="4"/>
  <c r="AP22" i="4"/>
  <c r="AT22" i="4"/>
  <c r="AK22" i="4"/>
  <c r="AC22" i="4"/>
  <c r="AM22" i="4"/>
  <c r="AQ22" i="4"/>
  <c r="AJ22" i="4"/>
  <c r="AH22" i="4"/>
  <c r="Z22" i="4"/>
  <c r="X22" i="4"/>
  <c r="P22" i="4"/>
  <c r="L22" i="4"/>
  <c r="H22" i="4"/>
  <c r="AA22" i="4"/>
  <c r="U22" i="4"/>
  <c r="S22" i="4"/>
  <c r="Q22" i="4"/>
  <c r="M22" i="4"/>
  <c r="J22" i="4"/>
  <c r="G21" i="4"/>
  <c r="G22" i="4"/>
  <c r="O19" i="2"/>
  <c r="N19" i="2"/>
  <c r="M19" i="2"/>
  <c r="L19" i="2"/>
  <c r="K19" i="2"/>
  <c r="J19" i="2"/>
  <c r="I19" i="2"/>
  <c r="H19" i="2"/>
  <c r="G19" i="2"/>
  <c r="O35" i="2"/>
  <c r="N35" i="2"/>
  <c r="M35" i="2"/>
  <c r="L35" i="2"/>
  <c r="K35" i="2"/>
  <c r="J35" i="2"/>
  <c r="I35" i="2"/>
  <c r="H35" i="2"/>
  <c r="G35" i="2"/>
  <c r="O51" i="2"/>
  <c r="N51" i="2"/>
  <c r="M51" i="2"/>
  <c r="L51" i="2"/>
  <c r="K51" i="2"/>
  <c r="J51" i="2"/>
  <c r="I51" i="2"/>
  <c r="H51" i="2"/>
  <c r="G51" i="2"/>
  <c r="O67" i="2"/>
  <c r="N67" i="2"/>
  <c r="M67" i="2"/>
  <c r="L67" i="2"/>
  <c r="K67" i="2"/>
  <c r="J67" i="2"/>
  <c r="I67" i="2"/>
  <c r="H67" i="2"/>
  <c r="G67" i="2"/>
  <c r="O83" i="2"/>
  <c r="N83" i="2"/>
  <c r="M83" i="2"/>
  <c r="L83" i="2"/>
  <c r="K83" i="2"/>
  <c r="J83" i="2"/>
  <c r="I83" i="2"/>
  <c r="H83" i="2"/>
  <c r="G83" i="2"/>
  <c r="O99" i="2"/>
  <c r="N99" i="2"/>
  <c r="M99" i="2"/>
  <c r="L99" i="2"/>
  <c r="K99" i="2"/>
  <c r="J99" i="2"/>
  <c r="I99" i="2"/>
  <c r="H99" i="2"/>
  <c r="G99" i="2"/>
  <c r="O115" i="2"/>
  <c r="N115" i="2"/>
  <c r="M115" i="2"/>
  <c r="L115" i="2"/>
  <c r="K115" i="2"/>
  <c r="J115" i="2"/>
  <c r="I115" i="2"/>
  <c r="H115" i="2"/>
  <c r="G115" i="2"/>
  <c r="O131" i="2"/>
  <c r="N131" i="2"/>
  <c r="M131" i="2"/>
  <c r="L131" i="2"/>
  <c r="K131" i="2"/>
  <c r="J131" i="2"/>
  <c r="I131" i="2"/>
  <c r="H131" i="2"/>
  <c r="G131" i="2"/>
  <c r="O147" i="2"/>
  <c r="N147" i="2"/>
  <c r="M147" i="2"/>
  <c r="L147" i="2"/>
  <c r="K147" i="2"/>
  <c r="J147" i="2"/>
  <c r="I147" i="2"/>
  <c r="H147" i="2"/>
  <c r="G147" i="2"/>
  <c r="O163" i="2"/>
  <c r="N163" i="2"/>
  <c r="M163" i="2"/>
  <c r="L163" i="2"/>
  <c r="K163" i="2"/>
  <c r="J163" i="2"/>
  <c r="I163" i="2"/>
  <c r="H163" i="2"/>
  <c r="G163" i="2"/>
  <c r="O179" i="2"/>
  <c r="N179" i="2"/>
  <c r="M179" i="2"/>
  <c r="L179" i="2"/>
  <c r="K179" i="2"/>
  <c r="J179" i="2"/>
  <c r="I179" i="2"/>
  <c r="H179" i="2"/>
  <c r="G179" i="2"/>
  <c r="O195" i="2"/>
  <c r="N195" i="2"/>
  <c r="M195" i="2"/>
  <c r="L195" i="2"/>
  <c r="K195" i="2"/>
  <c r="J195" i="2"/>
  <c r="I195" i="2"/>
  <c r="H195" i="2"/>
  <c r="G195" i="2"/>
  <c r="O211" i="2"/>
  <c r="N211" i="2"/>
  <c r="M211" i="2"/>
  <c r="L211" i="2"/>
  <c r="K211" i="2"/>
  <c r="J211" i="2"/>
  <c r="I211" i="2"/>
  <c r="H211" i="2"/>
  <c r="G211" i="2"/>
  <c r="O227" i="2"/>
  <c r="N227" i="2"/>
  <c r="M227" i="2"/>
  <c r="L227" i="2"/>
  <c r="K227" i="2"/>
  <c r="J227" i="2"/>
  <c r="I227" i="2"/>
  <c r="H227" i="2"/>
  <c r="G227" i="2"/>
  <c r="O243" i="2"/>
  <c r="N243" i="2"/>
  <c r="M243" i="2"/>
  <c r="L243" i="2"/>
  <c r="K243" i="2"/>
  <c r="J243" i="2"/>
  <c r="I243" i="2"/>
  <c r="H243" i="2"/>
  <c r="G243" i="2"/>
  <c r="O58" i="2"/>
  <c r="N58" i="2"/>
  <c r="M58" i="2"/>
  <c r="L58" i="2"/>
  <c r="K58" i="2"/>
  <c r="J58" i="2"/>
  <c r="I58" i="2"/>
  <c r="H58" i="2"/>
  <c r="G58" i="2"/>
  <c r="O65" i="2"/>
  <c r="N65" i="2"/>
  <c r="M65" i="2"/>
  <c r="L65" i="2"/>
  <c r="K65" i="2"/>
  <c r="J65" i="2"/>
  <c r="I65" i="2"/>
  <c r="H65" i="2"/>
  <c r="G65" i="2"/>
  <c r="O116" i="2"/>
  <c r="N116" i="2"/>
  <c r="M116" i="2"/>
  <c r="L116" i="2"/>
  <c r="K116" i="2"/>
  <c r="J116" i="2"/>
  <c r="I116" i="2"/>
  <c r="H116" i="2"/>
  <c r="G116" i="2"/>
  <c r="O167" i="2"/>
  <c r="N167" i="2"/>
  <c r="M167" i="2"/>
  <c r="L167" i="2"/>
  <c r="K167" i="2"/>
  <c r="J167" i="2"/>
  <c r="I167" i="2"/>
  <c r="H167" i="2"/>
  <c r="G167" i="2"/>
  <c r="O4" i="2"/>
  <c r="N4" i="2"/>
  <c r="M4" i="2"/>
  <c r="L4" i="2"/>
  <c r="G4" i="2"/>
  <c r="K4" i="2"/>
  <c r="J4" i="2"/>
  <c r="I4" i="2"/>
  <c r="H4" i="2"/>
  <c r="O24" i="2"/>
  <c r="N24" i="2"/>
  <c r="M24" i="2"/>
  <c r="L24" i="2"/>
  <c r="G24" i="2"/>
  <c r="K24" i="2"/>
  <c r="J24" i="2"/>
  <c r="I24" i="2"/>
  <c r="H24" i="2"/>
  <c r="O88" i="2"/>
  <c r="N88" i="2"/>
  <c r="M88" i="2"/>
  <c r="L88" i="2"/>
  <c r="G88" i="2"/>
  <c r="K88" i="2"/>
  <c r="J88" i="2"/>
  <c r="I88" i="2"/>
  <c r="H88" i="2"/>
  <c r="O160" i="2"/>
  <c r="N160" i="2"/>
  <c r="M160" i="2"/>
  <c r="L160" i="2"/>
  <c r="K160" i="2"/>
  <c r="J160" i="2"/>
  <c r="I160" i="2"/>
  <c r="H160" i="2"/>
  <c r="G160" i="2"/>
  <c r="O224" i="2"/>
  <c r="N224" i="2"/>
  <c r="M224" i="2"/>
  <c r="H224" i="2"/>
  <c r="L224" i="2"/>
  <c r="K224" i="2"/>
  <c r="J224" i="2"/>
  <c r="I224" i="2"/>
  <c r="G224" i="2"/>
  <c r="O241" i="2"/>
  <c r="N241" i="2"/>
  <c r="M241" i="2"/>
  <c r="L241" i="2"/>
  <c r="K241" i="2"/>
  <c r="J241" i="2"/>
  <c r="I241" i="2"/>
  <c r="H241" i="2"/>
  <c r="G241" i="2"/>
  <c r="O20" i="2"/>
  <c r="N20" i="2"/>
  <c r="M20" i="2"/>
  <c r="L20" i="2"/>
  <c r="G20" i="2"/>
  <c r="K20" i="2"/>
  <c r="J20" i="2"/>
  <c r="I20" i="2"/>
  <c r="H20" i="2"/>
  <c r="O44" i="2"/>
  <c r="N44" i="2"/>
  <c r="M44" i="2"/>
  <c r="L44" i="2"/>
  <c r="G44" i="2"/>
  <c r="K44" i="2"/>
  <c r="J44" i="2"/>
  <c r="I44" i="2"/>
  <c r="H44" i="2"/>
  <c r="O60" i="2"/>
  <c r="N60" i="2"/>
  <c r="M60" i="2"/>
  <c r="L60" i="2"/>
  <c r="G60" i="2"/>
  <c r="K60" i="2"/>
  <c r="J60" i="2"/>
  <c r="I60" i="2"/>
  <c r="H60" i="2"/>
  <c r="O76" i="2"/>
  <c r="N76" i="2"/>
  <c r="M76" i="2"/>
  <c r="L76" i="2"/>
  <c r="G76" i="2"/>
  <c r="K76" i="2"/>
  <c r="J76" i="2"/>
  <c r="I76" i="2"/>
  <c r="H76" i="2"/>
  <c r="O92" i="2"/>
  <c r="N92" i="2"/>
  <c r="M92" i="2"/>
  <c r="L92" i="2"/>
  <c r="G92" i="2"/>
  <c r="K92" i="2"/>
  <c r="J92" i="2"/>
  <c r="I92" i="2"/>
  <c r="H92" i="2"/>
  <c r="O108" i="2"/>
  <c r="N108" i="2"/>
  <c r="M108" i="2"/>
  <c r="L108" i="2"/>
  <c r="K108" i="2"/>
  <c r="J108" i="2"/>
  <c r="I108" i="2"/>
  <c r="H108" i="2"/>
  <c r="G108" i="2"/>
  <c r="O132" i="2"/>
  <c r="N132" i="2"/>
  <c r="M132" i="2"/>
  <c r="L132" i="2"/>
  <c r="K132" i="2"/>
  <c r="J132" i="2"/>
  <c r="I132" i="2"/>
  <c r="H132" i="2"/>
  <c r="G132" i="2"/>
  <c r="O148" i="2"/>
  <c r="N148" i="2"/>
  <c r="M148" i="2"/>
  <c r="L148" i="2"/>
  <c r="K148" i="2"/>
  <c r="J148" i="2"/>
  <c r="I148" i="2"/>
  <c r="H148" i="2"/>
  <c r="G148" i="2"/>
  <c r="O164" i="2"/>
  <c r="N164" i="2"/>
  <c r="M164" i="2"/>
  <c r="L164" i="2"/>
  <c r="K164" i="2"/>
  <c r="J164" i="2"/>
  <c r="I164" i="2"/>
  <c r="H164" i="2"/>
  <c r="G164" i="2"/>
  <c r="O180" i="2"/>
  <c r="N180" i="2"/>
  <c r="M180" i="2"/>
  <c r="L180" i="2"/>
  <c r="K180" i="2"/>
  <c r="J180" i="2"/>
  <c r="I180" i="2"/>
  <c r="H180" i="2"/>
  <c r="G180" i="2"/>
  <c r="O196" i="2"/>
  <c r="N196" i="2"/>
  <c r="M196" i="2"/>
  <c r="L196" i="2"/>
  <c r="K196" i="2"/>
  <c r="J196" i="2"/>
  <c r="I196" i="2"/>
  <c r="H196" i="2"/>
  <c r="G196" i="2"/>
  <c r="O212" i="2"/>
  <c r="N212" i="2"/>
  <c r="M212" i="2"/>
  <c r="H212" i="2"/>
  <c r="L212" i="2"/>
  <c r="K212" i="2"/>
  <c r="J212" i="2"/>
  <c r="I212" i="2"/>
  <c r="G212" i="2"/>
  <c r="O228" i="2"/>
  <c r="N228" i="2"/>
  <c r="M228" i="2"/>
  <c r="H228" i="2"/>
  <c r="L228" i="2"/>
  <c r="K228" i="2"/>
  <c r="J228" i="2"/>
  <c r="I228" i="2"/>
  <c r="G228" i="2"/>
  <c r="O244" i="2"/>
  <c r="N244" i="2"/>
  <c r="M244" i="2"/>
  <c r="H244" i="2"/>
  <c r="L244" i="2"/>
  <c r="K244" i="2"/>
  <c r="J244" i="2"/>
  <c r="I244" i="2"/>
  <c r="G244" i="2"/>
  <c r="O62" i="2"/>
  <c r="N62" i="2"/>
  <c r="M62" i="2"/>
  <c r="L62" i="2"/>
  <c r="K62" i="2"/>
  <c r="J62" i="2"/>
  <c r="I62" i="2"/>
  <c r="H62" i="2"/>
  <c r="G62" i="2"/>
  <c r="O190" i="2"/>
  <c r="N190" i="2"/>
  <c r="M190" i="2"/>
  <c r="L190" i="2"/>
  <c r="K190" i="2"/>
  <c r="J190" i="2"/>
  <c r="I190" i="2"/>
  <c r="H190" i="2"/>
  <c r="G190" i="2"/>
  <c r="O191" i="2"/>
  <c r="N191" i="2"/>
  <c r="M191" i="2"/>
  <c r="L191" i="2"/>
  <c r="K191" i="2"/>
  <c r="J191" i="2"/>
  <c r="I191" i="2"/>
  <c r="H191" i="2"/>
  <c r="G191" i="2"/>
  <c r="O61" i="2"/>
  <c r="N61" i="2"/>
  <c r="M61" i="2"/>
  <c r="L61" i="2"/>
  <c r="K61" i="2"/>
  <c r="J61" i="2"/>
  <c r="I61" i="2"/>
  <c r="H61" i="2"/>
  <c r="G61" i="2"/>
  <c r="O216" i="2"/>
  <c r="N216" i="2"/>
  <c r="M216" i="2"/>
  <c r="H216" i="2"/>
  <c r="L216" i="2"/>
  <c r="K216" i="2"/>
  <c r="J216" i="2"/>
  <c r="I216" i="2"/>
  <c r="G216" i="2"/>
  <c r="O5" i="2"/>
  <c r="N5" i="2"/>
  <c r="M5" i="2"/>
  <c r="L5" i="2"/>
  <c r="K5" i="2"/>
  <c r="J5" i="2"/>
  <c r="I5" i="2"/>
  <c r="H5" i="2"/>
  <c r="G5" i="2"/>
  <c r="O37" i="2"/>
  <c r="N37" i="2"/>
  <c r="M37" i="2"/>
  <c r="L37" i="2"/>
  <c r="K37" i="2"/>
  <c r="J37" i="2"/>
  <c r="I37" i="2"/>
  <c r="H37" i="2"/>
  <c r="G37" i="2"/>
  <c r="O53" i="2"/>
  <c r="N53" i="2"/>
  <c r="M53" i="2"/>
  <c r="L53" i="2"/>
  <c r="K53" i="2"/>
  <c r="J53" i="2"/>
  <c r="I53" i="2"/>
  <c r="H53" i="2"/>
  <c r="G53" i="2"/>
  <c r="O77" i="2"/>
  <c r="N77" i="2"/>
  <c r="M77" i="2"/>
  <c r="L77" i="2"/>
  <c r="K77" i="2"/>
  <c r="J77" i="2"/>
  <c r="I77" i="2"/>
  <c r="H77" i="2"/>
  <c r="G77" i="2"/>
  <c r="O93" i="2"/>
  <c r="N93" i="2"/>
  <c r="M93" i="2"/>
  <c r="L93" i="2"/>
  <c r="K93" i="2"/>
  <c r="J93" i="2"/>
  <c r="I93" i="2"/>
  <c r="H93" i="2"/>
  <c r="G93" i="2"/>
  <c r="O109" i="2"/>
  <c r="N109" i="2"/>
  <c r="M109" i="2"/>
  <c r="L109" i="2"/>
  <c r="K109" i="2"/>
  <c r="J109" i="2"/>
  <c r="I109" i="2"/>
  <c r="H109" i="2"/>
  <c r="G109" i="2"/>
  <c r="O125" i="2"/>
  <c r="N125" i="2"/>
  <c r="M125" i="2"/>
  <c r="L125" i="2"/>
  <c r="K125" i="2"/>
  <c r="J125" i="2"/>
  <c r="I125" i="2"/>
  <c r="H125" i="2"/>
  <c r="G125" i="2"/>
  <c r="O141" i="2"/>
  <c r="N141" i="2"/>
  <c r="M141" i="2"/>
  <c r="L141" i="2"/>
  <c r="K141" i="2"/>
  <c r="J141" i="2"/>
  <c r="I141" i="2"/>
  <c r="H141" i="2"/>
  <c r="G141" i="2"/>
  <c r="O157" i="2"/>
  <c r="N157" i="2"/>
  <c r="M157" i="2"/>
  <c r="L157" i="2"/>
  <c r="K157" i="2"/>
  <c r="J157" i="2"/>
  <c r="I157" i="2"/>
  <c r="H157" i="2"/>
  <c r="G157" i="2"/>
  <c r="O173" i="2"/>
  <c r="N173" i="2"/>
  <c r="M173" i="2"/>
  <c r="L173" i="2"/>
  <c r="K173" i="2"/>
  <c r="J173" i="2"/>
  <c r="I173" i="2"/>
  <c r="H173" i="2"/>
  <c r="G173" i="2"/>
  <c r="O189" i="2"/>
  <c r="N189" i="2"/>
  <c r="M189" i="2"/>
  <c r="L189" i="2"/>
  <c r="K189" i="2"/>
  <c r="J189" i="2"/>
  <c r="I189" i="2"/>
  <c r="H189" i="2"/>
  <c r="G189" i="2"/>
  <c r="O205" i="2"/>
  <c r="N205" i="2"/>
  <c r="M205" i="2"/>
  <c r="L205" i="2"/>
  <c r="K205" i="2"/>
  <c r="J205" i="2"/>
  <c r="I205" i="2"/>
  <c r="H205" i="2"/>
  <c r="G205" i="2"/>
  <c r="O221" i="2"/>
  <c r="N221" i="2"/>
  <c r="M221" i="2"/>
  <c r="L221" i="2"/>
  <c r="K221" i="2"/>
  <c r="J221" i="2"/>
  <c r="I221" i="2"/>
  <c r="H221" i="2"/>
  <c r="G221" i="2"/>
  <c r="O237" i="2"/>
  <c r="N237" i="2"/>
  <c r="M237" i="2"/>
  <c r="L237" i="2"/>
  <c r="K237" i="2"/>
  <c r="J237" i="2"/>
  <c r="I237" i="2"/>
  <c r="H237" i="2"/>
  <c r="G237" i="2"/>
  <c r="O253" i="2"/>
  <c r="N253" i="2"/>
  <c r="M253" i="2"/>
  <c r="L253" i="2"/>
  <c r="K253" i="2"/>
  <c r="J253" i="2"/>
  <c r="I253" i="2"/>
  <c r="H253" i="2"/>
  <c r="G253" i="2"/>
  <c r="O137" i="2"/>
  <c r="N137" i="2"/>
  <c r="M137" i="2"/>
  <c r="L137" i="2"/>
  <c r="K137" i="2"/>
  <c r="J137" i="2"/>
  <c r="I137" i="2"/>
  <c r="H137" i="2"/>
  <c r="G137" i="2"/>
  <c r="O47" i="2"/>
  <c r="N47" i="2"/>
  <c r="M47" i="2"/>
  <c r="L47" i="2"/>
  <c r="K47" i="2"/>
  <c r="J47" i="2"/>
  <c r="I47" i="2"/>
  <c r="H47" i="2"/>
  <c r="G47" i="2"/>
  <c r="O79" i="2"/>
  <c r="N79" i="2"/>
  <c r="M79" i="2"/>
  <c r="L79" i="2"/>
  <c r="K79" i="2"/>
  <c r="J79" i="2"/>
  <c r="I79" i="2"/>
  <c r="H79" i="2"/>
  <c r="G79" i="2"/>
  <c r="O111" i="2"/>
  <c r="N111" i="2"/>
  <c r="M111" i="2"/>
  <c r="L111" i="2"/>
  <c r="K111" i="2"/>
  <c r="J111" i="2"/>
  <c r="I111" i="2"/>
  <c r="H111" i="2"/>
  <c r="G111" i="2"/>
  <c r="N143" i="2"/>
  <c r="O143" i="2"/>
  <c r="M143" i="2"/>
  <c r="L143" i="2"/>
  <c r="K143" i="2"/>
  <c r="J143" i="2"/>
  <c r="I143" i="2"/>
  <c r="H143" i="2"/>
  <c r="G143" i="2"/>
  <c r="O175" i="2"/>
  <c r="N175" i="2"/>
  <c r="M175" i="2"/>
  <c r="L175" i="2"/>
  <c r="K175" i="2"/>
  <c r="J175" i="2"/>
  <c r="I175" i="2"/>
  <c r="H175" i="2"/>
  <c r="G175" i="2"/>
  <c r="O223" i="2"/>
  <c r="N223" i="2"/>
  <c r="M223" i="2"/>
  <c r="L223" i="2"/>
  <c r="K223" i="2"/>
  <c r="J223" i="2"/>
  <c r="I223" i="2"/>
  <c r="H223" i="2"/>
  <c r="G223" i="2"/>
  <c r="O217" i="2"/>
  <c r="N217" i="2"/>
  <c r="M217" i="2"/>
  <c r="L217" i="2"/>
  <c r="K217" i="2"/>
  <c r="J217" i="2"/>
  <c r="I217" i="2"/>
  <c r="H217" i="2"/>
  <c r="G217" i="2"/>
  <c r="O48" i="2"/>
  <c r="N48" i="2"/>
  <c r="M48" i="2"/>
  <c r="L48" i="2"/>
  <c r="G48" i="2"/>
  <c r="K48" i="2"/>
  <c r="J48" i="2"/>
  <c r="I48" i="2"/>
  <c r="H48" i="2"/>
  <c r="O80" i="2"/>
  <c r="N80" i="2"/>
  <c r="M80" i="2"/>
  <c r="L80" i="2"/>
  <c r="G80" i="2"/>
  <c r="K80" i="2"/>
  <c r="J80" i="2"/>
  <c r="I80" i="2"/>
  <c r="H80" i="2"/>
  <c r="O112" i="2"/>
  <c r="N112" i="2"/>
  <c r="M112" i="2"/>
  <c r="L112" i="2"/>
  <c r="K112" i="2"/>
  <c r="J112" i="2"/>
  <c r="I112" i="2"/>
  <c r="H112" i="2"/>
  <c r="G112" i="2"/>
  <c r="O168" i="2"/>
  <c r="N168" i="2"/>
  <c r="M168" i="2"/>
  <c r="L168" i="2"/>
  <c r="K168" i="2"/>
  <c r="J168" i="2"/>
  <c r="I168" i="2"/>
  <c r="H168" i="2"/>
  <c r="G168" i="2"/>
  <c r="O232" i="2"/>
  <c r="N232" i="2"/>
  <c r="M232" i="2"/>
  <c r="H232" i="2"/>
  <c r="L232" i="2"/>
  <c r="K232" i="2"/>
  <c r="J232" i="2"/>
  <c r="I232" i="2"/>
  <c r="G232" i="2"/>
  <c r="O145" i="2"/>
  <c r="N145" i="2"/>
  <c r="M145" i="2"/>
  <c r="L145" i="2"/>
  <c r="K145" i="2"/>
  <c r="J145" i="2"/>
  <c r="I145" i="2"/>
  <c r="H145" i="2"/>
  <c r="G145" i="2"/>
  <c r="O14" i="2"/>
  <c r="N14" i="2"/>
  <c r="M14" i="2"/>
  <c r="L14" i="2"/>
  <c r="K14" i="2"/>
  <c r="J14" i="2"/>
  <c r="I14" i="2"/>
  <c r="H14" i="2"/>
  <c r="G14" i="2"/>
  <c r="O38" i="2"/>
  <c r="N38" i="2"/>
  <c r="M38" i="2"/>
  <c r="L38" i="2"/>
  <c r="K38" i="2"/>
  <c r="J38" i="2"/>
  <c r="I38" i="2"/>
  <c r="H38" i="2"/>
  <c r="G38" i="2"/>
  <c r="O54" i="2"/>
  <c r="N54" i="2"/>
  <c r="M54" i="2"/>
  <c r="L54" i="2"/>
  <c r="K54" i="2"/>
  <c r="J54" i="2"/>
  <c r="I54" i="2"/>
  <c r="H54" i="2"/>
  <c r="G54" i="2"/>
  <c r="O78" i="2"/>
  <c r="N78" i="2"/>
  <c r="M78" i="2"/>
  <c r="L78" i="2"/>
  <c r="K78" i="2"/>
  <c r="J78" i="2"/>
  <c r="I78" i="2"/>
  <c r="H78" i="2"/>
  <c r="G78" i="2"/>
  <c r="O94" i="2"/>
  <c r="N94" i="2"/>
  <c r="M94" i="2"/>
  <c r="L94" i="2"/>
  <c r="K94" i="2"/>
  <c r="J94" i="2"/>
  <c r="I94" i="2"/>
  <c r="H94" i="2"/>
  <c r="G94" i="2"/>
  <c r="O118" i="2"/>
  <c r="N118" i="2"/>
  <c r="M118" i="2"/>
  <c r="L118" i="2"/>
  <c r="K118" i="2"/>
  <c r="J118" i="2"/>
  <c r="I118" i="2"/>
  <c r="H118" i="2"/>
  <c r="G118" i="2"/>
  <c r="O134" i="2"/>
  <c r="N134" i="2"/>
  <c r="M134" i="2"/>
  <c r="L134" i="2"/>
  <c r="K134" i="2"/>
  <c r="J134" i="2"/>
  <c r="I134" i="2"/>
  <c r="H134" i="2"/>
  <c r="G134" i="2"/>
  <c r="O150" i="2"/>
  <c r="N150" i="2"/>
  <c r="M150" i="2"/>
  <c r="L150" i="2"/>
  <c r="K150" i="2"/>
  <c r="J150" i="2"/>
  <c r="I150" i="2"/>
  <c r="H150" i="2"/>
  <c r="G150" i="2"/>
  <c r="O166" i="2"/>
  <c r="N166" i="2"/>
  <c r="M166" i="2"/>
  <c r="L166" i="2"/>
  <c r="K166" i="2"/>
  <c r="J166" i="2"/>
  <c r="I166" i="2"/>
  <c r="H166" i="2"/>
  <c r="G166" i="2"/>
  <c r="O182" i="2"/>
  <c r="N182" i="2"/>
  <c r="M182" i="2"/>
  <c r="L182" i="2"/>
  <c r="K182" i="2"/>
  <c r="J182" i="2"/>
  <c r="I182" i="2"/>
  <c r="H182" i="2"/>
  <c r="G182" i="2"/>
  <c r="O206" i="2"/>
  <c r="N206" i="2"/>
  <c r="M206" i="2"/>
  <c r="L206" i="2"/>
  <c r="K206" i="2"/>
  <c r="J206" i="2"/>
  <c r="I206" i="2"/>
  <c r="H206" i="2"/>
  <c r="G206" i="2"/>
  <c r="O222" i="2"/>
  <c r="N222" i="2"/>
  <c r="M222" i="2"/>
  <c r="L222" i="2"/>
  <c r="K222" i="2"/>
  <c r="J222" i="2"/>
  <c r="I222" i="2"/>
  <c r="H222" i="2"/>
  <c r="G222" i="2"/>
  <c r="O238" i="2"/>
  <c r="N238" i="2"/>
  <c r="M238" i="2"/>
  <c r="L238" i="2"/>
  <c r="K238" i="2"/>
  <c r="J238" i="2"/>
  <c r="I238" i="2"/>
  <c r="H238" i="2"/>
  <c r="G238" i="2"/>
  <c r="O193" i="2"/>
  <c r="N193" i="2"/>
  <c r="M193" i="2"/>
  <c r="L193" i="2"/>
  <c r="K193" i="2"/>
  <c r="J193" i="2"/>
  <c r="I193" i="2"/>
  <c r="H193" i="2"/>
  <c r="G193" i="2"/>
  <c r="O39" i="2"/>
  <c r="N39" i="2"/>
  <c r="M39" i="2"/>
  <c r="L39" i="2"/>
  <c r="K39" i="2"/>
  <c r="J39" i="2"/>
  <c r="I39" i="2"/>
  <c r="H39" i="2"/>
  <c r="G39" i="2"/>
  <c r="O71" i="2"/>
  <c r="N71" i="2"/>
  <c r="M71" i="2"/>
  <c r="L71" i="2"/>
  <c r="K71" i="2"/>
  <c r="J71" i="2"/>
  <c r="I71" i="2"/>
  <c r="H71" i="2"/>
  <c r="G71" i="2"/>
  <c r="O103" i="2"/>
  <c r="N103" i="2"/>
  <c r="M103" i="2"/>
  <c r="L103" i="2"/>
  <c r="K103" i="2"/>
  <c r="J103" i="2"/>
  <c r="I103" i="2"/>
  <c r="H103" i="2"/>
  <c r="G103" i="2"/>
  <c r="N135" i="2"/>
  <c r="O135" i="2"/>
  <c r="M135" i="2"/>
  <c r="L135" i="2"/>
  <c r="K135" i="2"/>
  <c r="J135" i="2"/>
  <c r="I135" i="2"/>
  <c r="H135" i="2"/>
  <c r="G135" i="2"/>
  <c r="O183" i="2"/>
  <c r="N183" i="2"/>
  <c r="M183" i="2"/>
  <c r="L183" i="2"/>
  <c r="K183" i="2"/>
  <c r="J183" i="2"/>
  <c r="I183" i="2"/>
  <c r="H183" i="2"/>
  <c r="G183" i="2"/>
  <c r="O231" i="2"/>
  <c r="N231" i="2"/>
  <c r="M231" i="2"/>
  <c r="L231" i="2"/>
  <c r="K231" i="2"/>
  <c r="J231" i="2"/>
  <c r="I231" i="2"/>
  <c r="H231" i="2"/>
  <c r="G231" i="2"/>
  <c r="O40" i="2"/>
  <c r="N40" i="2"/>
  <c r="M40" i="2"/>
  <c r="L40" i="2"/>
  <c r="G40" i="2"/>
  <c r="K40" i="2"/>
  <c r="J40" i="2"/>
  <c r="I40" i="2"/>
  <c r="H40" i="2"/>
  <c r="O96" i="2"/>
  <c r="N96" i="2"/>
  <c r="M96" i="2"/>
  <c r="L96" i="2"/>
  <c r="G96" i="2"/>
  <c r="K96" i="2"/>
  <c r="J96" i="2"/>
  <c r="I96" i="2"/>
  <c r="H96" i="2"/>
  <c r="O152" i="2"/>
  <c r="N152" i="2"/>
  <c r="M152" i="2"/>
  <c r="L152" i="2"/>
  <c r="K152" i="2"/>
  <c r="J152" i="2"/>
  <c r="I152" i="2"/>
  <c r="H152" i="2"/>
  <c r="G152" i="2"/>
  <c r="O192" i="2"/>
  <c r="N192" i="2"/>
  <c r="M192" i="2"/>
  <c r="L192" i="2"/>
  <c r="K192" i="2"/>
  <c r="J192" i="2"/>
  <c r="I192" i="2"/>
  <c r="H192" i="2"/>
  <c r="G192" i="2"/>
  <c r="O240" i="2"/>
  <c r="N240" i="2"/>
  <c r="M240" i="2"/>
  <c r="H240" i="2"/>
  <c r="L240" i="2"/>
  <c r="K240" i="2"/>
  <c r="J240" i="2"/>
  <c r="I240" i="2"/>
  <c r="G240" i="2"/>
  <c r="O17" i="2"/>
  <c r="N17" i="2"/>
  <c r="M17" i="2"/>
  <c r="L17" i="2"/>
  <c r="K17" i="2"/>
  <c r="J17" i="2"/>
  <c r="I17" i="2"/>
  <c r="H17" i="2"/>
  <c r="G17" i="2"/>
  <c r="O33" i="2"/>
  <c r="N33" i="2"/>
  <c r="M33" i="2"/>
  <c r="L33" i="2"/>
  <c r="K33" i="2"/>
  <c r="J33" i="2"/>
  <c r="I33" i="2"/>
  <c r="H33" i="2"/>
  <c r="G33" i="2"/>
  <c r="O49" i="2"/>
  <c r="N49" i="2"/>
  <c r="M49" i="2"/>
  <c r="L49" i="2"/>
  <c r="K49" i="2"/>
  <c r="J49" i="2"/>
  <c r="I49" i="2"/>
  <c r="H49" i="2"/>
  <c r="G49" i="2"/>
  <c r="O73" i="2"/>
  <c r="N73" i="2"/>
  <c r="M73" i="2"/>
  <c r="L73" i="2"/>
  <c r="K73" i="2"/>
  <c r="J73" i="2"/>
  <c r="I73" i="2"/>
  <c r="H73" i="2"/>
  <c r="G73" i="2"/>
  <c r="O105" i="2"/>
  <c r="N105" i="2"/>
  <c r="M105" i="2"/>
  <c r="L105" i="2"/>
  <c r="K105" i="2"/>
  <c r="J105" i="2"/>
  <c r="I105" i="2"/>
  <c r="H105" i="2"/>
  <c r="G105" i="2"/>
  <c r="O129" i="2"/>
  <c r="N129" i="2"/>
  <c r="M129" i="2"/>
  <c r="L129" i="2"/>
  <c r="K129" i="2"/>
  <c r="J129" i="2"/>
  <c r="I129" i="2"/>
  <c r="H129" i="2"/>
  <c r="G129" i="2"/>
  <c r="O161" i="2"/>
  <c r="N161" i="2"/>
  <c r="M161" i="2"/>
  <c r="L161" i="2"/>
  <c r="K161" i="2"/>
  <c r="J161" i="2"/>
  <c r="I161" i="2"/>
  <c r="H161" i="2"/>
  <c r="G161" i="2"/>
  <c r="O177" i="2"/>
  <c r="N177" i="2"/>
  <c r="M177" i="2"/>
  <c r="L177" i="2"/>
  <c r="K177" i="2"/>
  <c r="J177" i="2"/>
  <c r="I177" i="2"/>
  <c r="H177" i="2"/>
  <c r="G177" i="2"/>
  <c r="O201" i="2"/>
  <c r="N201" i="2"/>
  <c r="M201" i="2"/>
  <c r="L201" i="2"/>
  <c r="K201" i="2"/>
  <c r="J201" i="2"/>
  <c r="I201" i="2"/>
  <c r="H201" i="2"/>
  <c r="G201" i="2"/>
  <c r="O225" i="2"/>
  <c r="N225" i="2"/>
  <c r="M225" i="2"/>
  <c r="L225" i="2"/>
  <c r="K225" i="2"/>
  <c r="J225" i="2"/>
  <c r="I225" i="2"/>
  <c r="H225" i="2"/>
  <c r="G225" i="2"/>
  <c r="O249" i="2"/>
  <c r="N249" i="2"/>
  <c r="M249" i="2"/>
  <c r="L249" i="2"/>
  <c r="K249" i="2"/>
  <c r="J249" i="2"/>
  <c r="I249" i="2"/>
  <c r="H249" i="2"/>
  <c r="G249" i="2"/>
  <c r="O18" i="2"/>
  <c r="N18" i="2"/>
  <c r="M18" i="2"/>
  <c r="L18" i="2"/>
  <c r="K18" i="2"/>
  <c r="J18" i="2"/>
  <c r="I18" i="2"/>
  <c r="H18" i="2"/>
  <c r="G18" i="2"/>
  <c r="O34" i="2"/>
  <c r="N34" i="2"/>
  <c r="M34" i="2"/>
  <c r="L34" i="2"/>
  <c r="K34" i="2"/>
  <c r="J34" i="2"/>
  <c r="I34" i="2"/>
  <c r="H34" i="2"/>
  <c r="G34" i="2"/>
  <c r="O50" i="2"/>
  <c r="N50" i="2"/>
  <c r="M50" i="2"/>
  <c r="L50" i="2"/>
  <c r="K50" i="2"/>
  <c r="J50" i="2"/>
  <c r="I50" i="2"/>
  <c r="H50" i="2"/>
  <c r="G50" i="2"/>
  <c r="O74" i="2"/>
  <c r="N74" i="2"/>
  <c r="M74" i="2"/>
  <c r="L74" i="2"/>
  <c r="K74" i="2"/>
  <c r="J74" i="2"/>
  <c r="I74" i="2"/>
  <c r="H74" i="2"/>
  <c r="G74" i="2"/>
  <c r="O90" i="2"/>
  <c r="N90" i="2"/>
  <c r="M90" i="2"/>
  <c r="L90" i="2"/>
  <c r="K90" i="2"/>
  <c r="J90" i="2"/>
  <c r="I90" i="2"/>
  <c r="H90" i="2"/>
  <c r="G90" i="2"/>
  <c r="O106" i="2"/>
  <c r="N106" i="2"/>
  <c r="M106" i="2"/>
  <c r="L106" i="2"/>
  <c r="K106" i="2"/>
  <c r="J106" i="2"/>
  <c r="I106" i="2"/>
  <c r="H106" i="2"/>
  <c r="G106" i="2"/>
  <c r="O122" i="2"/>
  <c r="N122" i="2"/>
  <c r="M122" i="2"/>
  <c r="L122" i="2"/>
  <c r="K122" i="2"/>
  <c r="J122" i="2"/>
  <c r="I122" i="2"/>
  <c r="H122" i="2"/>
  <c r="G122" i="2"/>
  <c r="O138" i="2"/>
  <c r="N138" i="2"/>
  <c r="M138" i="2"/>
  <c r="L138" i="2"/>
  <c r="K138" i="2"/>
  <c r="J138" i="2"/>
  <c r="I138" i="2"/>
  <c r="H138" i="2"/>
  <c r="G138" i="2"/>
  <c r="O154" i="2"/>
  <c r="N154" i="2"/>
  <c r="M154" i="2"/>
  <c r="L154" i="2"/>
  <c r="K154" i="2"/>
  <c r="J154" i="2"/>
  <c r="I154" i="2"/>
  <c r="H154" i="2"/>
  <c r="G154" i="2"/>
  <c r="O170" i="2"/>
  <c r="N170" i="2"/>
  <c r="M170" i="2"/>
  <c r="L170" i="2"/>
  <c r="K170" i="2"/>
  <c r="J170" i="2"/>
  <c r="I170" i="2"/>
  <c r="H170" i="2"/>
  <c r="G170" i="2"/>
  <c r="O186" i="2"/>
  <c r="N186" i="2"/>
  <c r="M186" i="2"/>
  <c r="L186" i="2"/>
  <c r="K186" i="2"/>
  <c r="J186" i="2"/>
  <c r="I186" i="2"/>
  <c r="H186" i="2"/>
  <c r="G186" i="2"/>
  <c r="O202" i="2"/>
  <c r="N202" i="2"/>
  <c r="M202" i="2"/>
  <c r="L202" i="2"/>
  <c r="K202" i="2"/>
  <c r="J202" i="2"/>
  <c r="I202" i="2"/>
  <c r="H202" i="2"/>
  <c r="G202" i="2"/>
  <c r="O218" i="2"/>
  <c r="N218" i="2"/>
  <c r="M218" i="2"/>
  <c r="L218" i="2"/>
  <c r="K218" i="2"/>
  <c r="J218" i="2"/>
  <c r="I218" i="2"/>
  <c r="H218" i="2"/>
  <c r="G218" i="2"/>
  <c r="O234" i="2"/>
  <c r="N234" i="2"/>
  <c r="M234" i="2"/>
  <c r="L234" i="2"/>
  <c r="K234" i="2"/>
  <c r="J234" i="2"/>
  <c r="I234" i="2"/>
  <c r="H234" i="2"/>
  <c r="G234" i="2"/>
  <c r="O250" i="2"/>
  <c r="N250" i="2"/>
  <c r="M250" i="2"/>
  <c r="L250" i="2"/>
  <c r="K250" i="2"/>
  <c r="J250" i="2"/>
  <c r="I250" i="2"/>
  <c r="H250" i="2"/>
  <c r="G250" i="2"/>
  <c r="G209" i="4"/>
  <c r="CC211" i="4"/>
  <c r="CG211" i="4"/>
  <c r="CB211" i="4"/>
  <c r="CF211" i="4"/>
  <c r="CJ211" i="4"/>
  <c r="BU211" i="4"/>
  <c r="BY211" i="4"/>
  <c r="BT211" i="4"/>
  <c r="BX211" i="4"/>
  <c r="BJ211" i="4"/>
  <c r="BN211" i="4"/>
  <c r="BR211" i="4"/>
  <c r="BM211" i="4"/>
  <c r="BQ211" i="4"/>
  <c r="AX211" i="4"/>
  <c r="BB211" i="4"/>
  <c r="BF211" i="4"/>
  <c r="AW211" i="4"/>
  <c r="BE211" i="4"/>
  <c r="AM211" i="4"/>
  <c r="AQ211" i="4"/>
  <c r="AJ211" i="4"/>
  <c r="AH211" i="4"/>
  <c r="AB211" i="4"/>
  <c r="AY211" i="4"/>
  <c r="BG211" i="4"/>
  <c r="AN211" i="4"/>
  <c r="AR211" i="4"/>
  <c r="AI211" i="4"/>
  <c r="AG211" i="4"/>
  <c r="V211" i="4"/>
  <c r="T211" i="4"/>
  <c r="R211" i="4"/>
  <c r="N211" i="4"/>
  <c r="AC211" i="4"/>
  <c r="Z211" i="4"/>
  <c r="X211" i="4"/>
  <c r="P211" i="4"/>
  <c r="L211" i="4"/>
  <c r="J211" i="4"/>
  <c r="I211" i="4"/>
  <c r="CD212" i="4"/>
  <c r="CH212" i="4"/>
  <c r="CC212" i="4"/>
  <c r="CG212" i="4"/>
  <c r="BT212" i="4"/>
  <c r="BX212" i="4"/>
  <c r="BS212" i="4"/>
  <c r="BW212" i="4"/>
  <c r="CA212" i="4"/>
  <c r="BM212" i="4"/>
  <c r="BQ212" i="4"/>
  <c r="BL212" i="4"/>
  <c r="BP212" i="4"/>
  <c r="AU212" i="4"/>
  <c r="AY212" i="4"/>
  <c r="BC212" i="4"/>
  <c r="BG212" i="4"/>
  <c r="AX212" i="4"/>
  <c r="BF212" i="4"/>
  <c r="AN212" i="4"/>
  <c r="AR212" i="4"/>
  <c r="AI212" i="4"/>
  <c r="AG212" i="4"/>
  <c r="AE212" i="4"/>
  <c r="AZ212" i="4"/>
  <c r="BH212" i="4"/>
  <c r="AO212" i="4"/>
  <c r="AS212" i="4"/>
  <c r="AF212" i="4"/>
  <c r="AB212" i="4"/>
  <c r="Z212" i="4"/>
  <c r="X212" i="4"/>
  <c r="P212" i="4"/>
  <c r="L212" i="4"/>
  <c r="AD212" i="4"/>
  <c r="U212" i="4"/>
  <c r="S212" i="4"/>
  <c r="Q212" i="4"/>
  <c r="M212" i="4"/>
  <c r="J212" i="4"/>
  <c r="G211" i="4"/>
  <c r="CE211" i="4"/>
  <c r="CI211" i="4"/>
  <c r="CD211" i="4"/>
  <c r="CH211" i="4"/>
  <c r="BS211" i="4"/>
  <c r="BW211" i="4"/>
  <c r="CA211" i="4"/>
  <c r="BV211" i="4"/>
  <c r="BZ211" i="4"/>
  <c r="BL211" i="4"/>
  <c r="BP211" i="4"/>
  <c r="BK211" i="4"/>
  <c r="BO211" i="4"/>
  <c r="AV211" i="4"/>
  <c r="AZ211" i="4"/>
  <c r="BD211" i="4"/>
  <c r="BH211" i="4"/>
  <c r="BA211" i="4"/>
  <c r="BI211" i="4"/>
  <c r="AO211" i="4"/>
  <c r="AS211" i="4"/>
  <c r="AF211" i="4"/>
  <c r="AD211" i="4"/>
  <c r="AU211" i="4"/>
  <c r="BC211" i="4"/>
  <c r="AL211" i="4"/>
  <c r="AP211" i="4"/>
  <c r="AT211" i="4"/>
  <c r="AK211" i="4"/>
  <c r="AE211" i="4"/>
  <c r="U211" i="4"/>
  <c r="S211" i="4"/>
  <c r="Q211" i="4"/>
  <c r="M211" i="4"/>
  <c r="AA211" i="4"/>
  <c r="Y211" i="4"/>
  <c r="W211" i="4"/>
  <c r="O211" i="4"/>
  <c r="K211" i="4"/>
  <c r="H211" i="4"/>
  <c r="CB212" i="4"/>
  <c r="CF212" i="4"/>
  <c r="CJ212" i="4"/>
  <c r="CE212" i="4"/>
  <c r="CI212" i="4"/>
  <c r="BV212" i="4"/>
  <c r="BZ212" i="4"/>
  <c r="BU212" i="4"/>
  <c r="BY212" i="4"/>
  <c r="BK212" i="4"/>
  <c r="BO212" i="4"/>
  <c r="BJ212" i="4"/>
  <c r="BN212" i="4"/>
  <c r="BR212" i="4"/>
  <c r="AW212" i="4"/>
  <c r="BA212" i="4"/>
  <c r="BE212" i="4"/>
  <c r="BI212" i="4"/>
  <c r="BB212" i="4"/>
  <c r="AL212" i="4"/>
  <c r="AP212" i="4"/>
  <c r="AT212" i="4"/>
  <c r="AK212" i="4"/>
  <c r="AC212" i="4"/>
  <c r="AV212" i="4"/>
  <c r="BD212" i="4"/>
  <c r="AM212" i="4"/>
  <c r="AQ212" i="4"/>
  <c r="AJ212" i="4"/>
  <c r="AH212" i="4"/>
  <c r="AA212" i="4"/>
  <c r="Y212" i="4"/>
  <c r="W212" i="4"/>
  <c r="O212" i="4"/>
  <c r="K212" i="4"/>
  <c r="V212" i="4"/>
  <c r="T212" i="4"/>
  <c r="R212" i="4"/>
  <c r="N212" i="4"/>
  <c r="I212" i="4"/>
  <c r="H212" i="4"/>
  <c r="CC209" i="4"/>
  <c r="CG209" i="4"/>
  <c r="CB209" i="4"/>
  <c r="CF209" i="4"/>
  <c r="CJ209" i="4"/>
  <c r="BU209" i="4"/>
  <c r="BY209" i="4"/>
  <c r="BT209" i="4"/>
  <c r="BX209" i="4"/>
  <c r="BJ209" i="4"/>
  <c r="BN209" i="4"/>
  <c r="BR209" i="4"/>
  <c r="BM209" i="4"/>
  <c r="BQ209" i="4"/>
  <c r="AX209" i="4"/>
  <c r="BB209" i="4"/>
  <c r="BF209" i="4"/>
  <c r="AU209" i="4"/>
  <c r="BC209" i="4"/>
  <c r="AM209" i="4"/>
  <c r="AQ209" i="4"/>
  <c r="AJ209" i="4"/>
  <c r="AH209" i="4"/>
  <c r="AB209" i="4"/>
  <c r="BA209" i="4"/>
  <c r="BI209" i="4"/>
  <c r="AN209" i="4"/>
  <c r="AR209" i="4"/>
  <c r="AI209" i="4"/>
  <c r="AG209" i="4"/>
  <c r="V209" i="4"/>
  <c r="T209" i="4"/>
  <c r="R209" i="4"/>
  <c r="N209" i="4"/>
  <c r="I209" i="4"/>
  <c r="AA209" i="4"/>
  <c r="Y209" i="4"/>
  <c r="W209" i="4"/>
  <c r="O209" i="4"/>
  <c r="K209" i="4"/>
  <c r="H209" i="4"/>
  <c r="CD210" i="4"/>
  <c r="CH210" i="4"/>
  <c r="CC210" i="4"/>
  <c r="CG210" i="4"/>
  <c r="BT210" i="4"/>
  <c r="BX210" i="4"/>
  <c r="BS210" i="4"/>
  <c r="BW210" i="4"/>
  <c r="CA210" i="4"/>
  <c r="BM210" i="4"/>
  <c r="BQ210" i="4"/>
  <c r="BL210" i="4"/>
  <c r="BP210" i="4"/>
  <c r="AU210" i="4"/>
  <c r="AY210" i="4"/>
  <c r="BC210" i="4"/>
  <c r="BG210" i="4"/>
  <c r="AV210" i="4"/>
  <c r="BD210" i="4"/>
  <c r="AL210" i="4"/>
  <c r="AP210" i="4"/>
  <c r="AT210" i="4"/>
  <c r="AK210" i="4"/>
  <c r="AC210" i="4"/>
  <c r="AX210" i="4"/>
  <c r="BF210" i="4"/>
  <c r="AO210" i="4"/>
  <c r="AS210" i="4"/>
  <c r="AF210" i="4"/>
  <c r="AD210" i="4"/>
  <c r="Z210" i="4"/>
  <c r="X210" i="4"/>
  <c r="P210" i="4"/>
  <c r="L210" i="4"/>
  <c r="AB210" i="4"/>
  <c r="U210" i="4"/>
  <c r="S210" i="4"/>
  <c r="Q210" i="4"/>
  <c r="M210" i="4"/>
  <c r="K210" i="4"/>
  <c r="G210" i="4"/>
  <c r="CE209" i="4"/>
  <c r="CI209" i="4"/>
  <c r="CD209" i="4"/>
  <c r="CH209" i="4"/>
  <c r="BS209" i="4"/>
  <c r="BW209" i="4"/>
  <c r="CA209" i="4"/>
  <c r="BV209" i="4"/>
  <c r="BZ209" i="4"/>
  <c r="BL209" i="4"/>
  <c r="BP209" i="4"/>
  <c r="BK209" i="4"/>
  <c r="BO209" i="4"/>
  <c r="AV209" i="4"/>
  <c r="AZ209" i="4"/>
  <c r="BD209" i="4"/>
  <c r="BH209" i="4"/>
  <c r="AY209" i="4"/>
  <c r="BG209" i="4"/>
  <c r="AO209" i="4"/>
  <c r="AS209" i="4"/>
  <c r="AF209" i="4"/>
  <c r="AD209" i="4"/>
  <c r="AW209" i="4"/>
  <c r="BE209" i="4"/>
  <c r="AL209" i="4"/>
  <c r="AP209" i="4"/>
  <c r="AT209" i="4"/>
  <c r="AK209" i="4"/>
  <c r="AC209" i="4"/>
  <c r="U209" i="4"/>
  <c r="S209" i="4"/>
  <c r="Q209" i="4"/>
  <c r="M209" i="4"/>
  <c r="AE209" i="4"/>
  <c r="Z209" i="4"/>
  <c r="X209" i="4"/>
  <c r="P209" i="4"/>
  <c r="L209" i="4"/>
  <c r="J209" i="4"/>
  <c r="CB210" i="4"/>
  <c r="CF210" i="4"/>
  <c r="CJ210" i="4"/>
  <c r="CE210" i="4"/>
  <c r="CI210" i="4"/>
  <c r="BV210" i="4"/>
  <c r="BZ210" i="4"/>
  <c r="BU210" i="4"/>
  <c r="BY210" i="4"/>
  <c r="BK210" i="4"/>
  <c r="BO210" i="4"/>
  <c r="BJ210" i="4"/>
  <c r="BN210" i="4"/>
  <c r="BR210" i="4"/>
  <c r="AW210" i="4"/>
  <c r="BA210" i="4"/>
  <c r="BE210" i="4"/>
  <c r="BI210" i="4"/>
  <c r="AZ210" i="4"/>
  <c r="BH210" i="4"/>
  <c r="AN210" i="4"/>
  <c r="AR210" i="4"/>
  <c r="AI210" i="4"/>
  <c r="AG210" i="4"/>
  <c r="AE210" i="4"/>
  <c r="BB210" i="4"/>
  <c r="AM210" i="4"/>
  <c r="AQ210" i="4"/>
  <c r="AJ210" i="4"/>
  <c r="AH210" i="4"/>
  <c r="AA210" i="4"/>
  <c r="Y210" i="4"/>
  <c r="W210" i="4"/>
  <c r="O210" i="4"/>
  <c r="J210" i="4"/>
  <c r="V210" i="4"/>
  <c r="T210" i="4"/>
  <c r="R210" i="4"/>
  <c r="N210" i="4"/>
  <c r="I210" i="4"/>
  <c r="H210" i="4"/>
  <c r="G212" i="4"/>
  <c r="G233" i="4"/>
  <c r="CC235" i="4"/>
  <c r="CG235" i="4"/>
  <c r="CB235" i="4"/>
  <c r="CF235" i="4"/>
  <c r="CJ235" i="4"/>
  <c r="BU235" i="4"/>
  <c r="BY235" i="4"/>
  <c r="BT235" i="4"/>
  <c r="BX235" i="4"/>
  <c r="BJ235" i="4"/>
  <c r="BN235" i="4"/>
  <c r="BR235" i="4"/>
  <c r="BM235" i="4"/>
  <c r="BQ235" i="4"/>
  <c r="AX235" i="4"/>
  <c r="BB235" i="4"/>
  <c r="BF235" i="4"/>
  <c r="AM235" i="4"/>
  <c r="AQ235" i="4"/>
  <c r="AJ235" i="4"/>
  <c r="AH235" i="4"/>
  <c r="AB235" i="4"/>
  <c r="AW235" i="4"/>
  <c r="BA235" i="4"/>
  <c r="BE235" i="4"/>
  <c r="BI235" i="4"/>
  <c r="AN235" i="4"/>
  <c r="AR235" i="4"/>
  <c r="AI235" i="4"/>
  <c r="AG235" i="4"/>
  <c r="V235" i="4"/>
  <c r="T235" i="4"/>
  <c r="R235" i="4"/>
  <c r="N235" i="4"/>
  <c r="AC235" i="4"/>
  <c r="Z235" i="4"/>
  <c r="X235" i="4"/>
  <c r="P235" i="4"/>
  <c r="L235" i="4"/>
  <c r="J235" i="4"/>
  <c r="I235" i="4"/>
  <c r="CD236" i="4"/>
  <c r="CH236" i="4"/>
  <c r="CC236" i="4"/>
  <c r="CG236" i="4"/>
  <c r="BT236" i="4"/>
  <c r="BX236" i="4"/>
  <c r="BS236" i="4"/>
  <c r="BW236" i="4"/>
  <c r="CA236" i="4"/>
  <c r="BM236" i="4"/>
  <c r="BQ236" i="4"/>
  <c r="BL236" i="4"/>
  <c r="BP236" i="4"/>
  <c r="AU236" i="4"/>
  <c r="AY236" i="4"/>
  <c r="BC236" i="4"/>
  <c r="BG236" i="4"/>
  <c r="AL236" i="4"/>
  <c r="AP236" i="4"/>
  <c r="AT236" i="4"/>
  <c r="AK236" i="4"/>
  <c r="AC236" i="4"/>
  <c r="AV236" i="4"/>
  <c r="AZ236" i="4"/>
  <c r="BD236" i="4"/>
  <c r="BH236" i="4"/>
  <c r="AO236" i="4"/>
  <c r="AS236" i="4"/>
  <c r="AF236" i="4"/>
  <c r="AB236" i="4"/>
  <c r="Z236" i="4"/>
  <c r="X236" i="4"/>
  <c r="P236" i="4"/>
  <c r="L236" i="4"/>
  <c r="J236" i="4"/>
  <c r="V236" i="4"/>
  <c r="T236" i="4"/>
  <c r="R236" i="4"/>
  <c r="N236" i="4"/>
  <c r="I236" i="4"/>
  <c r="G235" i="4"/>
  <c r="CE235" i="4"/>
  <c r="CI235" i="4"/>
  <c r="CD235" i="4"/>
  <c r="CH235" i="4"/>
  <c r="BS235" i="4"/>
  <c r="BW235" i="4"/>
  <c r="CA235" i="4"/>
  <c r="BV235" i="4"/>
  <c r="BZ235" i="4"/>
  <c r="BL235" i="4"/>
  <c r="BP235" i="4"/>
  <c r="BK235" i="4"/>
  <c r="BO235" i="4"/>
  <c r="AV235" i="4"/>
  <c r="AZ235" i="4"/>
  <c r="BD235" i="4"/>
  <c r="BH235" i="4"/>
  <c r="AO235" i="4"/>
  <c r="AS235" i="4"/>
  <c r="AF235" i="4"/>
  <c r="AD235" i="4"/>
  <c r="AU235" i="4"/>
  <c r="AY235" i="4"/>
  <c r="BC235" i="4"/>
  <c r="BG235" i="4"/>
  <c r="AL235" i="4"/>
  <c r="AP235" i="4"/>
  <c r="AT235" i="4"/>
  <c r="AK235" i="4"/>
  <c r="AE235" i="4"/>
  <c r="U235" i="4"/>
  <c r="S235" i="4"/>
  <c r="Q235" i="4"/>
  <c r="M235" i="4"/>
  <c r="AA235" i="4"/>
  <c r="Y235" i="4"/>
  <c r="W235" i="4"/>
  <c r="O235" i="4"/>
  <c r="K235" i="4"/>
  <c r="H235" i="4"/>
  <c r="CB236" i="4"/>
  <c r="CF236" i="4"/>
  <c r="CJ236" i="4"/>
  <c r="CE236" i="4"/>
  <c r="CI236" i="4"/>
  <c r="BV236" i="4"/>
  <c r="BZ236" i="4"/>
  <c r="BU236" i="4"/>
  <c r="BY236" i="4"/>
  <c r="BK236" i="4"/>
  <c r="BO236" i="4"/>
  <c r="BJ236" i="4"/>
  <c r="BN236" i="4"/>
  <c r="BR236" i="4"/>
  <c r="AW236" i="4"/>
  <c r="BA236" i="4"/>
  <c r="BE236" i="4"/>
  <c r="BI236" i="4"/>
  <c r="AN236" i="4"/>
  <c r="AR236" i="4"/>
  <c r="AI236" i="4"/>
  <c r="AG236" i="4"/>
  <c r="AE236" i="4"/>
  <c r="AX236" i="4"/>
  <c r="BB236" i="4"/>
  <c r="BF236" i="4"/>
  <c r="AM236" i="4"/>
  <c r="AQ236" i="4"/>
  <c r="AJ236" i="4"/>
  <c r="AH236" i="4"/>
  <c r="AA236" i="4"/>
  <c r="Y236" i="4"/>
  <c r="W236" i="4"/>
  <c r="O236" i="4"/>
  <c r="K236" i="4"/>
  <c r="AD236" i="4"/>
  <c r="U236" i="4"/>
  <c r="S236" i="4"/>
  <c r="Q236" i="4"/>
  <c r="M236" i="4"/>
  <c r="H236" i="4"/>
  <c r="CC233" i="4"/>
  <c r="CG233" i="4"/>
  <c r="CB233" i="4"/>
  <c r="CF233" i="4"/>
  <c r="CJ233" i="4"/>
  <c r="BU233" i="4"/>
  <c r="BY233" i="4"/>
  <c r="BT233" i="4"/>
  <c r="BX233" i="4"/>
  <c r="BJ233" i="4"/>
  <c r="BN233" i="4"/>
  <c r="BR233" i="4"/>
  <c r="BM233" i="4"/>
  <c r="BQ233" i="4"/>
  <c r="AX233" i="4"/>
  <c r="BB233" i="4"/>
  <c r="BF233" i="4"/>
  <c r="AM233" i="4"/>
  <c r="AQ233" i="4"/>
  <c r="AJ233" i="4"/>
  <c r="AH233" i="4"/>
  <c r="AB233" i="4"/>
  <c r="AW233" i="4"/>
  <c r="BA233" i="4"/>
  <c r="BE233" i="4"/>
  <c r="BI233" i="4"/>
  <c r="AN233" i="4"/>
  <c r="AR233" i="4"/>
  <c r="AI233" i="4"/>
  <c r="AG233" i="4"/>
  <c r="V233" i="4"/>
  <c r="T233" i="4"/>
  <c r="R233" i="4"/>
  <c r="N233" i="4"/>
  <c r="I233" i="4"/>
  <c r="AA233" i="4"/>
  <c r="Y233" i="4"/>
  <c r="W233" i="4"/>
  <c r="O233" i="4"/>
  <c r="K233" i="4"/>
  <c r="H233" i="4"/>
  <c r="CD234" i="4"/>
  <c r="CH234" i="4"/>
  <c r="CC234" i="4"/>
  <c r="CG234" i="4"/>
  <c r="BT234" i="4"/>
  <c r="BX234" i="4"/>
  <c r="BS234" i="4"/>
  <c r="BW234" i="4"/>
  <c r="CA234" i="4"/>
  <c r="BM234" i="4"/>
  <c r="BQ234" i="4"/>
  <c r="BL234" i="4"/>
  <c r="BP234" i="4"/>
  <c r="AU234" i="4"/>
  <c r="AY234" i="4"/>
  <c r="BC234" i="4"/>
  <c r="BG234" i="4"/>
  <c r="AL234" i="4"/>
  <c r="AP234" i="4"/>
  <c r="AT234" i="4"/>
  <c r="AK234" i="4"/>
  <c r="AC234" i="4"/>
  <c r="AV234" i="4"/>
  <c r="AZ234" i="4"/>
  <c r="BD234" i="4"/>
  <c r="BH234" i="4"/>
  <c r="AO234" i="4"/>
  <c r="AS234" i="4"/>
  <c r="AF234" i="4"/>
  <c r="AD234" i="4"/>
  <c r="Z234" i="4"/>
  <c r="X234" i="4"/>
  <c r="P234" i="4"/>
  <c r="L234" i="4"/>
  <c r="AB234" i="4"/>
  <c r="U234" i="4"/>
  <c r="S234" i="4"/>
  <c r="Q234" i="4"/>
  <c r="M234" i="4"/>
  <c r="K234" i="4"/>
  <c r="G234" i="4"/>
  <c r="CE233" i="4"/>
  <c r="CI233" i="4"/>
  <c r="CD233" i="4"/>
  <c r="CH233" i="4"/>
  <c r="BS233" i="4"/>
  <c r="BW233" i="4"/>
  <c r="CA233" i="4"/>
  <c r="BV233" i="4"/>
  <c r="BZ233" i="4"/>
  <c r="BL233" i="4"/>
  <c r="BP233" i="4"/>
  <c r="BK233" i="4"/>
  <c r="BO233" i="4"/>
  <c r="AV233" i="4"/>
  <c r="AZ233" i="4"/>
  <c r="BD233" i="4"/>
  <c r="BH233" i="4"/>
  <c r="AO233" i="4"/>
  <c r="AS233" i="4"/>
  <c r="AF233" i="4"/>
  <c r="AD233" i="4"/>
  <c r="AU233" i="4"/>
  <c r="AY233" i="4"/>
  <c r="BC233" i="4"/>
  <c r="BG233" i="4"/>
  <c r="AL233" i="4"/>
  <c r="AP233" i="4"/>
  <c r="AT233" i="4"/>
  <c r="AK233" i="4"/>
  <c r="AC233" i="4"/>
  <c r="U233" i="4"/>
  <c r="S233" i="4"/>
  <c r="Q233" i="4"/>
  <c r="M233" i="4"/>
  <c r="AE233" i="4"/>
  <c r="Z233" i="4"/>
  <c r="X233" i="4"/>
  <c r="P233" i="4"/>
  <c r="L233" i="4"/>
  <c r="J233" i="4"/>
  <c r="CB234" i="4"/>
  <c r="CF234" i="4"/>
  <c r="CJ234" i="4"/>
  <c r="CE234" i="4"/>
  <c r="CI234" i="4"/>
  <c r="BV234" i="4"/>
  <c r="BZ234" i="4"/>
  <c r="BU234" i="4"/>
  <c r="BY234" i="4"/>
  <c r="BK234" i="4"/>
  <c r="BO234" i="4"/>
  <c r="BJ234" i="4"/>
  <c r="BN234" i="4"/>
  <c r="BR234" i="4"/>
  <c r="AW234" i="4"/>
  <c r="BA234" i="4"/>
  <c r="BE234" i="4"/>
  <c r="BI234" i="4"/>
  <c r="AN234" i="4"/>
  <c r="AR234" i="4"/>
  <c r="AI234" i="4"/>
  <c r="AG234" i="4"/>
  <c r="AE234" i="4"/>
  <c r="AX234" i="4"/>
  <c r="BB234" i="4"/>
  <c r="BF234" i="4"/>
  <c r="AM234" i="4"/>
  <c r="AQ234" i="4"/>
  <c r="AJ234" i="4"/>
  <c r="AH234" i="4"/>
  <c r="AA234" i="4"/>
  <c r="Y234" i="4"/>
  <c r="W234" i="4"/>
  <c r="O234" i="4"/>
  <c r="J234" i="4"/>
  <c r="V234" i="4"/>
  <c r="T234" i="4"/>
  <c r="R234" i="4"/>
  <c r="N234" i="4"/>
  <c r="I234" i="4"/>
  <c r="H234" i="4"/>
  <c r="G236" i="4"/>
  <c r="G163" i="4"/>
  <c r="CE161" i="4"/>
  <c r="CI161" i="4"/>
  <c r="CD161" i="4"/>
  <c r="CH161" i="4"/>
  <c r="BS161" i="4"/>
  <c r="BW161" i="4"/>
  <c r="CA161" i="4"/>
  <c r="BV161" i="4"/>
  <c r="BZ161" i="4"/>
  <c r="BL161" i="4"/>
  <c r="BP161" i="4"/>
  <c r="BK161" i="4"/>
  <c r="BO161" i="4"/>
  <c r="AV161" i="4"/>
  <c r="AZ161" i="4"/>
  <c r="BD161" i="4"/>
  <c r="BH161" i="4"/>
  <c r="AW161" i="4"/>
  <c r="BA161" i="4"/>
  <c r="BE161" i="4"/>
  <c r="BI161" i="4"/>
  <c r="AO161" i="4"/>
  <c r="AS161" i="4"/>
  <c r="AF161" i="4"/>
  <c r="AD161" i="4"/>
  <c r="AA161" i="4"/>
  <c r="AN161" i="4"/>
  <c r="AR161" i="4"/>
  <c r="AI161" i="4"/>
  <c r="AG161" i="4"/>
  <c r="AE161" i="4"/>
  <c r="U161" i="4"/>
  <c r="S161" i="4"/>
  <c r="Q161" i="4"/>
  <c r="M161" i="4"/>
  <c r="Y161" i="4"/>
  <c r="W161" i="4"/>
  <c r="O161" i="4"/>
  <c r="K161" i="4"/>
  <c r="H161" i="4"/>
  <c r="CB162" i="4"/>
  <c r="CF162" i="4"/>
  <c r="CJ162" i="4"/>
  <c r="CE162" i="4"/>
  <c r="CI162" i="4"/>
  <c r="BV162" i="4"/>
  <c r="BZ162" i="4"/>
  <c r="BU162" i="4"/>
  <c r="BY162" i="4"/>
  <c r="BK162" i="4"/>
  <c r="BO162" i="4"/>
  <c r="BJ162" i="4"/>
  <c r="BN162" i="4"/>
  <c r="BR162" i="4"/>
  <c r="AW162" i="4"/>
  <c r="BA162" i="4"/>
  <c r="BE162" i="4"/>
  <c r="BI162" i="4"/>
  <c r="AX162" i="4"/>
  <c r="BB162" i="4"/>
  <c r="BF162" i="4"/>
  <c r="AL162" i="4"/>
  <c r="AP162" i="4"/>
  <c r="AT162" i="4"/>
  <c r="AK162" i="4"/>
  <c r="AC162" i="4"/>
  <c r="AM162" i="4"/>
  <c r="AQ162" i="4"/>
  <c r="AJ162" i="4"/>
  <c r="AH162" i="4"/>
  <c r="Z162" i="4"/>
  <c r="X162" i="4"/>
  <c r="P162" i="4"/>
  <c r="L162" i="4"/>
  <c r="AB162" i="4"/>
  <c r="V162" i="4"/>
  <c r="T162" i="4"/>
  <c r="R162" i="4"/>
  <c r="N162" i="4"/>
  <c r="I162" i="4"/>
  <c r="H162" i="4"/>
  <c r="CD164" i="4"/>
  <c r="CH164" i="4"/>
  <c r="CC164" i="4"/>
  <c r="CG164" i="4"/>
  <c r="BT164" i="4"/>
  <c r="BX164" i="4"/>
  <c r="BS164" i="4"/>
  <c r="BW164" i="4"/>
  <c r="CA164" i="4"/>
  <c r="BM164" i="4"/>
  <c r="BQ164" i="4"/>
  <c r="BL164" i="4"/>
  <c r="BP164" i="4"/>
  <c r="AU164" i="4"/>
  <c r="AY164" i="4"/>
  <c r="BC164" i="4"/>
  <c r="BG164" i="4"/>
  <c r="AV164" i="4"/>
  <c r="AZ164" i="4"/>
  <c r="BD164" i="4"/>
  <c r="BH164" i="4"/>
  <c r="AN164" i="4"/>
  <c r="AR164" i="4"/>
  <c r="AI164" i="4"/>
  <c r="AG164" i="4"/>
  <c r="AE164" i="4"/>
  <c r="AO164" i="4"/>
  <c r="AS164" i="4"/>
  <c r="AF164" i="4"/>
  <c r="AD164" i="4"/>
  <c r="AA164" i="4"/>
  <c r="Y164" i="4"/>
  <c r="W164" i="4"/>
  <c r="O164" i="4"/>
  <c r="K164" i="4"/>
  <c r="V164" i="4"/>
  <c r="T164" i="4"/>
  <c r="R164" i="4"/>
  <c r="N164" i="4"/>
  <c r="I164" i="4"/>
  <c r="G161" i="4"/>
  <c r="CC161" i="4"/>
  <c r="CG161" i="4"/>
  <c r="CB161" i="4"/>
  <c r="CF161" i="4"/>
  <c r="CJ161" i="4"/>
  <c r="BU161" i="4"/>
  <c r="BY161" i="4"/>
  <c r="BT161" i="4"/>
  <c r="BX161" i="4"/>
  <c r="BJ161" i="4"/>
  <c r="BN161" i="4"/>
  <c r="BR161" i="4"/>
  <c r="BM161" i="4"/>
  <c r="BQ161" i="4"/>
  <c r="AX161" i="4"/>
  <c r="BB161" i="4"/>
  <c r="BF161" i="4"/>
  <c r="AU161" i="4"/>
  <c r="AY161" i="4"/>
  <c r="BC161" i="4"/>
  <c r="BG161" i="4"/>
  <c r="AM161" i="4"/>
  <c r="AQ161" i="4"/>
  <c r="AJ161" i="4"/>
  <c r="AH161" i="4"/>
  <c r="AB161" i="4"/>
  <c r="AL161" i="4"/>
  <c r="AP161" i="4"/>
  <c r="AT161" i="4"/>
  <c r="AK161" i="4"/>
  <c r="AC161" i="4"/>
  <c r="V161" i="4"/>
  <c r="T161" i="4"/>
  <c r="R161" i="4"/>
  <c r="N161" i="4"/>
  <c r="Z161" i="4"/>
  <c r="X161" i="4"/>
  <c r="P161" i="4"/>
  <c r="L161" i="4"/>
  <c r="J161" i="4"/>
  <c r="I161" i="4"/>
  <c r="CD162" i="4"/>
  <c r="CH162" i="4"/>
  <c r="CC162" i="4"/>
  <c r="CG162" i="4"/>
  <c r="BT162" i="4"/>
  <c r="BX162" i="4"/>
  <c r="BS162" i="4"/>
  <c r="BW162" i="4"/>
  <c r="CA162" i="4"/>
  <c r="BM162" i="4"/>
  <c r="BQ162" i="4"/>
  <c r="BL162" i="4"/>
  <c r="BP162" i="4"/>
  <c r="AU162" i="4"/>
  <c r="AY162" i="4"/>
  <c r="BC162" i="4"/>
  <c r="BG162" i="4"/>
  <c r="AV162" i="4"/>
  <c r="AZ162" i="4"/>
  <c r="BD162" i="4"/>
  <c r="BH162" i="4"/>
  <c r="AN162" i="4"/>
  <c r="AR162" i="4"/>
  <c r="AI162" i="4"/>
  <c r="AG162" i="4"/>
  <c r="AE162" i="4"/>
  <c r="AO162" i="4"/>
  <c r="AS162" i="4"/>
  <c r="AF162" i="4"/>
  <c r="AD162" i="4"/>
  <c r="Y162" i="4"/>
  <c r="W162" i="4"/>
  <c r="O162" i="4"/>
  <c r="K162" i="4"/>
  <c r="AA162" i="4"/>
  <c r="U162" i="4"/>
  <c r="S162" i="4"/>
  <c r="Q162" i="4"/>
  <c r="M162" i="4"/>
  <c r="J162" i="4"/>
  <c r="CB164" i="4"/>
  <c r="CF164" i="4"/>
  <c r="CJ164" i="4"/>
  <c r="CE164" i="4"/>
  <c r="CI164" i="4"/>
  <c r="BV164" i="4"/>
  <c r="BZ164" i="4"/>
  <c r="BU164" i="4"/>
  <c r="BY164" i="4"/>
  <c r="BK164" i="4"/>
  <c r="BO164" i="4"/>
  <c r="BJ164" i="4"/>
  <c r="BN164" i="4"/>
  <c r="BR164" i="4"/>
  <c r="AW164" i="4"/>
  <c r="BA164" i="4"/>
  <c r="BE164" i="4"/>
  <c r="BI164" i="4"/>
  <c r="AX164" i="4"/>
  <c r="BB164" i="4"/>
  <c r="BF164" i="4"/>
  <c r="AL164" i="4"/>
  <c r="AP164" i="4"/>
  <c r="AT164" i="4"/>
  <c r="AK164" i="4"/>
  <c r="AC164" i="4"/>
  <c r="AM164" i="4"/>
  <c r="AQ164" i="4"/>
  <c r="AJ164" i="4"/>
  <c r="AH164" i="4"/>
  <c r="AB164" i="4"/>
  <c r="Z164" i="4"/>
  <c r="X164" i="4"/>
  <c r="P164" i="4"/>
  <c r="L164" i="4"/>
  <c r="J164" i="4"/>
  <c r="U164" i="4"/>
  <c r="S164" i="4"/>
  <c r="Q164" i="4"/>
  <c r="M164" i="4"/>
  <c r="H164" i="4"/>
  <c r="CC163" i="4"/>
  <c r="CG163" i="4"/>
  <c r="CB163" i="4"/>
  <c r="CF163" i="4"/>
  <c r="CJ163" i="4"/>
  <c r="BU163" i="4"/>
  <c r="BY163" i="4"/>
  <c r="BT163" i="4"/>
  <c r="BX163" i="4"/>
  <c r="BJ163" i="4"/>
  <c r="BN163" i="4"/>
  <c r="BR163" i="4"/>
  <c r="BM163" i="4"/>
  <c r="BQ163" i="4"/>
  <c r="AX163" i="4"/>
  <c r="BB163" i="4"/>
  <c r="BF163" i="4"/>
  <c r="AU163" i="4"/>
  <c r="AY163" i="4"/>
  <c r="BC163" i="4"/>
  <c r="BG163" i="4"/>
  <c r="AM163" i="4"/>
  <c r="AQ163" i="4"/>
  <c r="AJ163" i="4"/>
  <c r="AH163" i="4"/>
  <c r="AB163" i="4"/>
  <c r="AL163" i="4"/>
  <c r="AP163" i="4"/>
  <c r="AT163" i="4"/>
  <c r="AK163" i="4"/>
  <c r="AC163" i="4"/>
  <c r="V163" i="4"/>
  <c r="T163" i="4"/>
  <c r="R163" i="4"/>
  <c r="N163" i="4"/>
  <c r="I163" i="4"/>
  <c r="Y163" i="4"/>
  <c r="W163" i="4"/>
  <c r="O163" i="4"/>
  <c r="K163" i="4"/>
  <c r="H163" i="4"/>
  <c r="G162" i="4"/>
  <c r="CE163" i="4"/>
  <c r="CI163" i="4"/>
  <c r="CD163" i="4"/>
  <c r="CH163" i="4"/>
  <c r="BS163" i="4"/>
  <c r="BW163" i="4"/>
  <c r="CA163" i="4"/>
  <c r="BV163" i="4"/>
  <c r="BZ163" i="4"/>
  <c r="BL163" i="4"/>
  <c r="BP163" i="4"/>
  <c r="BK163" i="4"/>
  <c r="BO163" i="4"/>
  <c r="AV163" i="4"/>
  <c r="AZ163" i="4"/>
  <c r="BD163" i="4"/>
  <c r="BH163" i="4"/>
  <c r="AW163" i="4"/>
  <c r="BA163" i="4"/>
  <c r="BE163" i="4"/>
  <c r="BI163" i="4"/>
  <c r="AO163" i="4"/>
  <c r="AS163" i="4"/>
  <c r="AF163" i="4"/>
  <c r="AD163" i="4"/>
  <c r="AA163" i="4"/>
  <c r="AN163" i="4"/>
  <c r="AR163" i="4"/>
  <c r="AI163" i="4"/>
  <c r="AG163" i="4"/>
  <c r="AE163" i="4"/>
  <c r="U163" i="4"/>
  <c r="S163" i="4"/>
  <c r="Q163" i="4"/>
  <c r="M163" i="4"/>
  <c r="Z163" i="4"/>
  <c r="X163" i="4"/>
  <c r="P163" i="4"/>
  <c r="L163" i="4"/>
  <c r="J163" i="4"/>
  <c r="G164" i="4"/>
  <c r="G201" i="4"/>
  <c r="CD200" i="4"/>
  <c r="CH200" i="4"/>
  <c r="CC200" i="4"/>
  <c r="CG200" i="4"/>
  <c r="BT200" i="4"/>
  <c r="BX200" i="4"/>
  <c r="BS200" i="4"/>
  <c r="BW200" i="4"/>
  <c r="CA200" i="4"/>
  <c r="BM200" i="4"/>
  <c r="BQ200" i="4"/>
  <c r="BL200" i="4"/>
  <c r="BP200" i="4"/>
  <c r="AU200" i="4"/>
  <c r="AY200" i="4"/>
  <c r="BC200" i="4"/>
  <c r="BG200" i="4"/>
  <c r="AV200" i="4"/>
  <c r="AZ200" i="4"/>
  <c r="BD200" i="4"/>
  <c r="BH200" i="4"/>
  <c r="AN200" i="4"/>
  <c r="AR200" i="4"/>
  <c r="AI200" i="4"/>
  <c r="AG200" i="4"/>
  <c r="AE200" i="4"/>
  <c r="AO200" i="4"/>
  <c r="AS200" i="4"/>
  <c r="AF200" i="4"/>
  <c r="AB200" i="4"/>
  <c r="Z200" i="4"/>
  <c r="X200" i="4"/>
  <c r="P200" i="4"/>
  <c r="L200" i="4"/>
  <c r="V200" i="4"/>
  <c r="T200" i="4"/>
  <c r="R200" i="4"/>
  <c r="N200" i="4"/>
  <c r="I200" i="4"/>
  <c r="J200" i="4"/>
  <c r="CC203" i="4"/>
  <c r="CG203" i="4"/>
  <c r="CB203" i="4"/>
  <c r="CF203" i="4"/>
  <c r="CJ203" i="4"/>
  <c r="BU203" i="4"/>
  <c r="BY203" i="4"/>
  <c r="BT203" i="4"/>
  <c r="BX203" i="4"/>
  <c r="BJ203" i="4"/>
  <c r="BN203" i="4"/>
  <c r="BR203" i="4"/>
  <c r="BM203" i="4"/>
  <c r="BQ203" i="4"/>
  <c r="AX203" i="4"/>
  <c r="BB203" i="4"/>
  <c r="BF203" i="4"/>
  <c r="AU203" i="4"/>
  <c r="AY203" i="4"/>
  <c r="BC203" i="4"/>
  <c r="BG203" i="4"/>
  <c r="AM203" i="4"/>
  <c r="AQ203" i="4"/>
  <c r="AJ203" i="4"/>
  <c r="AH203" i="4"/>
  <c r="AB203" i="4"/>
  <c r="AN203" i="4"/>
  <c r="AR203" i="4"/>
  <c r="AI203" i="4"/>
  <c r="AG203" i="4"/>
  <c r="V203" i="4"/>
  <c r="T203" i="4"/>
  <c r="R203" i="4"/>
  <c r="N203" i="4"/>
  <c r="I203" i="4"/>
  <c r="AA203" i="4"/>
  <c r="Y203" i="4"/>
  <c r="W203" i="4"/>
  <c r="O203" i="4"/>
  <c r="K203" i="4"/>
  <c r="H203" i="4"/>
  <c r="G203" i="4"/>
  <c r="CB200" i="4"/>
  <c r="CF200" i="4"/>
  <c r="CJ200" i="4"/>
  <c r="CE200" i="4"/>
  <c r="CI200" i="4"/>
  <c r="BV200" i="4"/>
  <c r="BZ200" i="4"/>
  <c r="BU200" i="4"/>
  <c r="BY200" i="4"/>
  <c r="BK200" i="4"/>
  <c r="BO200" i="4"/>
  <c r="BJ200" i="4"/>
  <c r="BN200" i="4"/>
  <c r="BR200" i="4"/>
  <c r="AW200" i="4"/>
  <c r="BA200" i="4"/>
  <c r="BE200" i="4"/>
  <c r="BI200" i="4"/>
  <c r="AX200" i="4"/>
  <c r="BB200" i="4"/>
  <c r="BF200" i="4"/>
  <c r="AL200" i="4"/>
  <c r="AP200" i="4"/>
  <c r="AT200" i="4"/>
  <c r="AK200" i="4"/>
  <c r="AC200" i="4"/>
  <c r="AM200" i="4"/>
  <c r="AQ200" i="4"/>
  <c r="AJ200" i="4"/>
  <c r="AH200" i="4"/>
  <c r="AA200" i="4"/>
  <c r="Y200" i="4"/>
  <c r="W200" i="4"/>
  <c r="O200" i="4"/>
  <c r="AD200" i="4"/>
  <c r="U200" i="4"/>
  <c r="S200" i="4"/>
  <c r="Q200" i="4"/>
  <c r="M200" i="4"/>
  <c r="K200" i="4"/>
  <c r="H200" i="4"/>
  <c r="CE203" i="4"/>
  <c r="CI203" i="4"/>
  <c r="CD203" i="4"/>
  <c r="CH203" i="4"/>
  <c r="BS203" i="4"/>
  <c r="BW203" i="4"/>
  <c r="CA203" i="4"/>
  <c r="BV203" i="4"/>
  <c r="BZ203" i="4"/>
  <c r="BL203" i="4"/>
  <c r="BP203" i="4"/>
  <c r="BK203" i="4"/>
  <c r="BO203" i="4"/>
  <c r="AV203" i="4"/>
  <c r="AZ203" i="4"/>
  <c r="BD203" i="4"/>
  <c r="BH203" i="4"/>
  <c r="AW203" i="4"/>
  <c r="BA203" i="4"/>
  <c r="BE203" i="4"/>
  <c r="BI203" i="4"/>
  <c r="AO203" i="4"/>
  <c r="AS203" i="4"/>
  <c r="AF203" i="4"/>
  <c r="AD203" i="4"/>
  <c r="AL203" i="4"/>
  <c r="AP203" i="4"/>
  <c r="AT203" i="4"/>
  <c r="AK203" i="4"/>
  <c r="AE203" i="4"/>
  <c r="U203" i="4"/>
  <c r="S203" i="4"/>
  <c r="Q203" i="4"/>
  <c r="M203" i="4"/>
  <c r="AC203" i="4"/>
  <c r="Z203" i="4"/>
  <c r="X203" i="4"/>
  <c r="P203" i="4"/>
  <c r="L203" i="4"/>
  <c r="J203" i="4"/>
  <c r="CC201" i="4"/>
  <c r="CG201" i="4"/>
  <c r="CB201" i="4"/>
  <c r="CF201" i="4"/>
  <c r="CJ201" i="4"/>
  <c r="BU201" i="4"/>
  <c r="BY201" i="4"/>
  <c r="BT201" i="4"/>
  <c r="BX201" i="4"/>
  <c r="BJ201" i="4"/>
  <c r="BN201" i="4"/>
  <c r="BR201" i="4"/>
  <c r="BM201" i="4"/>
  <c r="BQ201" i="4"/>
  <c r="AX201" i="4"/>
  <c r="BB201" i="4"/>
  <c r="BF201" i="4"/>
  <c r="AU201" i="4"/>
  <c r="AY201" i="4"/>
  <c r="BC201" i="4"/>
  <c r="BG201" i="4"/>
  <c r="AM201" i="4"/>
  <c r="AQ201" i="4"/>
  <c r="AJ201" i="4"/>
  <c r="AH201" i="4"/>
  <c r="AB201" i="4"/>
  <c r="AN201" i="4"/>
  <c r="AR201" i="4"/>
  <c r="AI201" i="4"/>
  <c r="AG201" i="4"/>
  <c r="V201" i="4"/>
  <c r="T201" i="4"/>
  <c r="R201" i="4"/>
  <c r="N201" i="4"/>
  <c r="AE201" i="4"/>
  <c r="Z201" i="4"/>
  <c r="X201" i="4"/>
  <c r="P201" i="4"/>
  <c r="L201" i="4"/>
  <c r="J201" i="4"/>
  <c r="I201" i="4"/>
  <c r="CD202" i="4"/>
  <c r="CH202" i="4"/>
  <c r="CC202" i="4"/>
  <c r="CG202" i="4"/>
  <c r="BT202" i="4"/>
  <c r="BX202" i="4"/>
  <c r="BS202" i="4"/>
  <c r="BW202" i="4"/>
  <c r="CA202" i="4"/>
  <c r="BM202" i="4"/>
  <c r="BQ202" i="4"/>
  <c r="BL202" i="4"/>
  <c r="BP202" i="4"/>
  <c r="AU202" i="4"/>
  <c r="AY202" i="4"/>
  <c r="BC202" i="4"/>
  <c r="BG202" i="4"/>
  <c r="AV202" i="4"/>
  <c r="AZ202" i="4"/>
  <c r="BD202" i="4"/>
  <c r="BH202" i="4"/>
  <c r="AN202" i="4"/>
  <c r="AR202" i="4"/>
  <c r="AI202" i="4"/>
  <c r="AG202" i="4"/>
  <c r="AE202" i="4"/>
  <c r="AO202" i="4"/>
  <c r="AS202" i="4"/>
  <c r="AF202" i="4"/>
  <c r="AD202" i="4"/>
  <c r="Z202" i="4"/>
  <c r="X202" i="4"/>
  <c r="P202" i="4"/>
  <c r="L202" i="4"/>
  <c r="J202" i="4"/>
  <c r="V202" i="4"/>
  <c r="T202" i="4"/>
  <c r="R202" i="4"/>
  <c r="N202" i="4"/>
  <c r="I202" i="4"/>
  <c r="G202" i="4"/>
  <c r="CE201" i="4"/>
  <c r="CI201" i="4"/>
  <c r="CD201" i="4"/>
  <c r="CH201" i="4"/>
  <c r="BS201" i="4"/>
  <c r="BW201" i="4"/>
  <c r="CA201" i="4"/>
  <c r="BV201" i="4"/>
  <c r="BZ201" i="4"/>
  <c r="BL201" i="4"/>
  <c r="BP201" i="4"/>
  <c r="BK201" i="4"/>
  <c r="BO201" i="4"/>
  <c r="AV201" i="4"/>
  <c r="AZ201" i="4"/>
  <c r="BD201" i="4"/>
  <c r="BH201" i="4"/>
  <c r="AW201" i="4"/>
  <c r="BA201" i="4"/>
  <c r="BE201" i="4"/>
  <c r="BI201" i="4"/>
  <c r="AO201" i="4"/>
  <c r="AS201" i="4"/>
  <c r="AF201" i="4"/>
  <c r="AD201" i="4"/>
  <c r="AL201" i="4"/>
  <c r="AP201" i="4"/>
  <c r="AT201" i="4"/>
  <c r="AK201" i="4"/>
  <c r="AC201" i="4"/>
  <c r="U201" i="4"/>
  <c r="S201" i="4"/>
  <c r="Q201" i="4"/>
  <c r="M201" i="4"/>
  <c r="AA201" i="4"/>
  <c r="Y201" i="4"/>
  <c r="W201" i="4"/>
  <c r="O201" i="4"/>
  <c r="K201" i="4"/>
  <c r="H201" i="4"/>
  <c r="CB202" i="4"/>
  <c r="CF202" i="4"/>
  <c r="CJ202" i="4"/>
  <c r="CE202" i="4"/>
  <c r="CI202" i="4"/>
  <c r="BV202" i="4"/>
  <c r="BZ202" i="4"/>
  <c r="BU202" i="4"/>
  <c r="BY202" i="4"/>
  <c r="BK202" i="4"/>
  <c r="BO202" i="4"/>
  <c r="BJ202" i="4"/>
  <c r="BN202" i="4"/>
  <c r="BR202" i="4"/>
  <c r="AW202" i="4"/>
  <c r="BA202" i="4"/>
  <c r="BE202" i="4"/>
  <c r="BI202" i="4"/>
  <c r="AX202" i="4"/>
  <c r="BB202" i="4"/>
  <c r="BF202" i="4"/>
  <c r="AL202" i="4"/>
  <c r="AP202" i="4"/>
  <c r="AT202" i="4"/>
  <c r="AK202" i="4"/>
  <c r="AC202" i="4"/>
  <c r="AM202" i="4"/>
  <c r="AQ202" i="4"/>
  <c r="AJ202" i="4"/>
  <c r="AH202" i="4"/>
  <c r="AA202" i="4"/>
  <c r="Y202" i="4"/>
  <c r="W202" i="4"/>
  <c r="O202" i="4"/>
  <c r="K202" i="4"/>
  <c r="AB202" i="4"/>
  <c r="U202" i="4"/>
  <c r="S202" i="4"/>
  <c r="Q202" i="4"/>
  <c r="M202" i="4"/>
  <c r="H202" i="4"/>
  <c r="G200" i="4"/>
  <c r="G169" i="4"/>
  <c r="CD168" i="4"/>
  <c r="CH168" i="4"/>
  <c r="CC168" i="4"/>
  <c r="CG168" i="4"/>
  <c r="BT168" i="4"/>
  <c r="BX168" i="4"/>
  <c r="BS168" i="4"/>
  <c r="BW168" i="4"/>
  <c r="CA168" i="4"/>
  <c r="BM168" i="4"/>
  <c r="BQ168" i="4"/>
  <c r="BL168" i="4"/>
  <c r="BP168" i="4"/>
  <c r="AU168" i="4"/>
  <c r="AY168" i="4"/>
  <c r="BC168" i="4"/>
  <c r="BG168" i="4"/>
  <c r="AV168" i="4"/>
  <c r="AZ168" i="4"/>
  <c r="BD168" i="4"/>
  <c r="BH168" i="4"/>
  <c r="AN168" i="4"/>
  <c r="AR168" i="4"/>
  <c r="AI168" i="4"/>
  <c r="AG168" i="4"/>
  <c r="AE168" i="4"/>
  <c r="AO168" i="4"/>
  <c r="AS168" i="4"/>
  <c r="AF168" i="4"/>
  <c r="AD168" i="4"/>
  <c r="AA168" i="4"/>
  <c r="Y168" i="4"/>
  <c r="W168" i="4"/>
  <c r="O168" i="4"/>
  <c r="K168" i="4"/>
  <c r="V168" i="4"/>
  <c r="T168" i="4"/>
  <c r="R168" i="4"/>
  <c r="N168" i="4"/>
  <c r="I168" i="4"/>
  <c r="CC171" i="4"/>
  <c r="CG171" i="4"/>
  <c r="CB171" i="4"/>
  <c r="CF171" i="4"/>
  <c r="CJ171" i="4"/>
  <c r="BU171" i="4"/>
  <c r="BY171" i="4"/>
  <c r="BT171" i="4"/>
  <c r="BX171" i="4"/>
  <c r="BJ171" i="4"/>
  <c r="BN171" i="4"/>
  <c r="BR171" i="4"/>
  <c r="BM171" i="4"/>
  <c r="BQ171" i="4"/>
  <c r="AX171" i="4"/>
  <c r="BB171" i="4"/>
  <c r="BF171" i="4"/>
  <c r="AU171" i="4"/>
  <c r="AY171" i="4"/>
  <c r="BC171" i="4"/>
  <c r="BG171" i="4"/>
  <c r="AM171" i="4"/>
  <c r="AQ171" i="4"/>
  <c r="AJ171" i="4"/>
  <c r="AH171" i="4"/>
  <c r="AB171" i="4"/>
  <c r="AL171" i="4"/>
  <c r="AP171" i="4"/>
  <c r="AT171" i="4"/>
  <c r="AK171" i="4"/>
  <c r="AC171" i="4"/>
  <c r="V171" i="4"/>
  <c r="T171" i="4"/>
  <c r="R171" i="4"/>
  <c r="N171" i="4"/>
  <c r="Z171" i="4"/>
  <c r="X171" i="4"/>
  <c r="P171" i="4"/>
  <c r="L171" i="4"/>
  <c r="J171" i="4"/>
  <c r="I171" i="4"/>
  <c r="G171" i="4"/>
  <c r="CB168" i="4"/>
  <c r="CF168" i="4"/>
  <c r="CJ168" i="4"/>
  <c r="CE168" i="4"/>
  <c r="CI168" i="4"/>
  <c r="BV168" i="4"/>
  <c r="BZ168" i="4"/>
  <c r="BU168" i="4"/>
  <c r="BY168" i="4"/>
  <c r="BK168" i="4"/>
  <c r="BO168" i="4"/>
  <c r="BJ168" i="4"/>
  <c r="BN168" i="4"/>
  <c r="BR168" i="4"/>
  <c r="AW168" i="4"/>
  <c r="BA168" i="4"/>
  <c r="BE168" i="4"/>
  <c r="BI168" i="4"/>
  <c r="AX168" i="4"/>
  <c r="BB168" i="4"/>
  <c r="BF168" i="4"/>
  <c r="AL168" i="4"/>
  <c r="AP168" i="4"/>
  <c r="AT168" i="4"/>
  <c r="AK168" i="4"/>
  <c r="AC168" i="4"/>
  <c r="AM168" i="4"/>
  <c r="AQ168" i="4"/>
  <c r="AJ168" i="4"/>
  <c r="AH168" i="4"/>
  <c r="AB168" i="4"/>
  <c r="Z168" i="4"/>
  <c r="X168" i="4"/>
  <c r="P168" i="4"/>
  <c r="L168" i="4"/>
  <c r="J168" i="4"/>
  <c r="U168" i="4"/>
  <c r="S168" i="4"/>
  <c r="Q168" i="4"/>
  <c r="M168" i="4"/>
  <c r="H168" i="4"/>
  <c r="CE171" i="4"/>
  <c r="CI171" i="4"/>
  <c r="CD171" i="4"/>
  <c r="CH171" i="4"/>
  <c r="BS171" i="4"/>
  <c r="BW171" i="4"/>
  <c r="CA171" i="4"/>
  <c r="BV171" i="4"/>
  <c r="BZ171" i="4"/>
  <c r="BL171" i="4"/>
  <c r="BP171" i="4"/>
  <c r="BK171" i="4"/>
  <c r="BO171" i="4"/>
  <c r="AV171" i="4"/>
  <c r="AZ171" i="4"/>
  <c r="BD171" i="4"/>
  <c r="BH171" i="4"/>
  <c r="AW171" i="4"/>
  <c r="BA171" i="4"/>
  <c r="BE171" i="4"/>
  <c r="BI171" i="4"/>
  <c r="AO171" i="4"/>
  <c r="AS171" i="4"/>
  <c r="AF171" i="4"/>
  <c r="AD171" i="4"/>
  <c r="AA171" i="4"/>
  <c r="AN171" i="4"/>
  <c r="AR171" i="4"/>
  <c r="AI171" i="4"/>
  <c r="AG171" i="4"/>
  <c r="AE171" i="4"/>
  <c r="U171" i="4"/>
  <c r="S171" i="4"/>
  <c r="Q171" i="4"/>
  <c r="M171" i="4"/>
  <c r="Y171" i="4"/>
  <c r="W171" i="4"/>
  <c r="O171" i="4"/>
  <c r="K171" i="4"/>
  <c r="H171" i="4"/>
  <c r="CE169" i="4"/>
  <c r="CB169" i="4"/>
  <c r="CF169" i="4"/>
  <c r="CI169" i="4"/>
  <c r="BS169" i="4"/>
  <c r="BW169" i="4"/>
  <c r="CA169" i="4"/>
  <c r="BV169" i="4"/>
  <c r="BZ169" i="4"/>
  <c r="BL169" i="4"/>
  <c r="BP169" i="4"/>
  <c r="BK169" i="4"/>
  <c r="BO169" i="4"/>
  <c r="AV169" i="4"/>
  <c r="AZ169" i="4"/>
  <c r="BD169" i="4"/>
  <c r="BH169" i="4"/>
  <c r="AW169" i="4"/>
  <c r="BA169" i="4"/>
  <c r="BE169" i="4"/>
  <c r="BI169" i="4"/>
  <c r="AO169" i="4"/>
  <c r="AS169" i="4"/>
  <c r="AF169" i="4"/>
  <c r="AD169" i="4"/>
  <c r="AA169" i="4"/>
  <c r="AN169" i="4"/>
  <c r="AR169" i="4"/>
  <c r="AI169" i="4"/>
  <c r="AG169" i="4"/>
  <c r="AE169" i="4"/>
  <c r="U169" i="4"/>
  <c r="S169" i="4"/>
  <c r="Q169" i="4"/>
  <c r="M169" i="4"/>
  <c r="Z169" i="4"/>
  <c r="X169" i="4"/>
  <c r="P169" i="4"/>
  <c r="L169" i="4"/>
  <c r="J169" i="4"/>
  <c r="CD170" i="4"/>
  <c r="CH170" i="4"/>
  <c r="CC170" i="4"/>
  <c r="CG170" i="4"/>
  <c r="BT170" i="4"/>
  <c r="BX170" i="4"/>
  <c r="BS170" i="4"/>
  <c r="BW170" i="4"/>
  <c r="CA170" i="4"/>
  <c r="BM170" i="4"/>
  <c r="BQ170" i="4"/>
  <c r="BL170" i="4"/>
  <c r="BP170" i="4"/>
  <c r="AU170" i="4"/>
  <c r="AY170" i="4"/>
  <c r="BC170" i="4"/>
  <c r="BG170" i="4"/>
  <c r="AV170" i="4"/>
  <c r="AZ170" i="4"/>
  <c r="BD170" i="4"/>
  <c r="BH170" i="4"/>
  <c r="AN170" i="4"/>
  <c r="AR170" i="4"/>
  <c r="AI170" i="4"/>
  <c r="AG170" i="4"/>
  <c r="AE170" i="4"/>
  <c r="AO170" i="4"/>
  <c r="AS170" i="4"/>
  <c r="AF170" i="4"/>
  <c r="AD170" i="4"/>
  <c r="Y170" i="4"/>
  <c r="W170" i="4"/>
  <c r="O170" i="4"/>
  <c r="K170" i="4"/>
  <c r="AA170" i="4"/>
  <c r="U170" i="4"/>
  <c r="S170" i="4"/>
  <c r="Q170" i="4"/>
  <c r="M170" i="4"/>
  <c r="J170" i="4"/>
  <c r="G170" i="4"/>
  <c r="CC169" i="4"/>
  <c r="CG169" i="4"/>
  <c r="CD169" i="4"/>
  <c r="CH169" i="4"/>
  <c r="CJ169" i="4"/>
  <c r="BU169" i="4"/>
  <c r="BY169" i="4"/>
  <c r="BT169" i="4"/>
  <c r="BX169" i="4"/>
  <c r="BJ169" i="4"/>
  <c r="BN169" i="4"/>
  <c r="BR169" i="4"/>
  <c r="BM169" i="4"/>
  <c r="BQ169" i="4"/>
  <c r="AX169" i="4"/>
  <c r="BB169" i="4"/>
  <c r="BF169" i="4"/>
  <c r="AU169" i="4"/>
  <c r="AY169" i="4"/>
  <c r="BC169" i="4"/>
  <c r="BG169" i="4"/>
  <c r="AM169" i="4"/>
  <c r="AQ169" i="4"/>
  <c r="AJ169" i="4"/>
  <c r="AH169" i="4"/>
  <c r="AB169" i="4"/>
  <c r="AL169" i="4"/>
  <c r="AP169" i="4"/>
  <c r="AT169" i="4"/>
  <c r="AK169" i="4"/>
  <c r="AC169" i="4"/>
  <c r="V169" i="4"/>
  <c r="T169" i="4"/>
  <c r="R169" i="4"/>
  <c r="N169" i="4"/>
  <c r="I169" i="4"/>
  <c r="Y169" i="4"/>
  <c r="W169" i="4"/>
  <c r="O169" i="4"/>
  <c r="K169" i="4"/>
  <c r="H169" i="4"/>
  <c r="CB170" i="4"/>
  <c r="CF170" i="4"/>
  <c r="CJ170" i="4"/>
  <c r="CE170" i="4"/>
  <c r="CI170" i="4"/>
  <c r="BV170" i="4"/>
  <c r="BZ170" i="4"/>
  <c r="BU170" i="4"/>
  <c r="BY170" i="4"/>
  <c r="BK170" i="4"/>
  <c r="BO170" i="4"/>
  <c r="BJ170" i="4"/>
  <c r="BN170" i="4"/>
  <c r="BR170" i="4"/>
  <c r="AW170" i="4"/>
  <c r="BA170" i="4"/>
  <c r="BE170" i="4"/>
  <c r="BI170" i="4"/>
  <c r="AX170" i="4"/>
  <c r="BB170" i="4"/>
  <c r="BF170" i="4"/>
  <c r="AL170" i="4"/>
  <c r="AP170" i="4"/>
  <c r="AT170" i="4"/>
  <c r="AK170" i="4"/>
  <c r="AC170" i="4"/>
  <c r="AM170" i="4"/>
  <c r="AQ170" i="4"/>
  <c r="AJ170" i="4"/>
  <c r="AH170" i="4"/>
  <c r="Z170" i="4"/>
  <c r="X170" i="4"/>
  <c r="P170" i="4"/>
  <c r="L170" i="4"/>
  <c r="AB170" i="4"/>
  <c r="V170" i="4"/>
  <c r="T170" i="4"/>
  <c r="R170" i="4"/>
  <c r="N170" i="4"/>
  <c r="I170" i="4"/>
  <c r="H170" i="4"/>
  <c r="G168" i="4"/>
  <c r="CD120" i="4"/>
  <c r="CH120" i="4"/>
  <c r="CC120" i="4"/>
  <c r="CG120" i="4"/>
  <c r="BS120" i="4"/>
  <c r="BW120" i="4"/>
  <c r="CA120" i="4"/>
  <c r="BX120" i="4"/>
  <c r="BZ120" i="4"/>
  <c r="BM120" i="4"/>
  <c r="BQ120" i="4"/>
  <c r="BL120" i="4"/>
  <c r="BP120" i="4"/>
  <c r="AU120" i="4"/>
  <c r="AY120" i="4"/>
  <c r="BC120" i="4"/>
  <c r="BG120" i="4"/>
  <c r="AV120" i="4"/>
  <c r="AZ120" i="4"/>
  <c r="BD120" i="4"/>
  <c r="BH120" i="4"/>
  <c r="AN120" i="4"/>
  <c r="AR120" i="4"/>
  <c r="AI120" i="4"/>
  <c r="AG120" i="4"/>
  <c r="AE120" i="4"/>
  <c r="AO120" i="4"/>
  <c r="AS120" i="4"/>
  <c r="AF120" i="4"/>
  <c r="AD120" i="4"/>
  <c r="AA120" i="4"/>
  <c r="Y120" i="4"/>
  <c r="W120" i="4"/>
  <c r="O120" i="4"/>
  <c r="K120" i="4"/>
  <c r="V120" i="4"/>
  <c r="T120" i="4"/>
  <c r="R120" i="4"/>
  <c r="N120" i="4"/>
  <c r="I120" i="4"/>
  <c r="CB120" i="4"/>
  <c r="CF120" i="4"/>
  <c r="CJ120" i="4"/>
  <c r="CE120" i="4"/>
  <c r="CI120" i="4"/>
  <c r="BU120" i="4"/>
  <c r="BY120" i="4"/>
  <c r="BT120" i="4"/>
  <c r="BV120" i="4"/>
  <c r="BK120" i="4"/>
  <c r="BO120" i="4"/>
  <c r="BJ120" i="4"/>
  <c r="BN120" i="4"/>
  <c r="BR120" i="4"/>
  <c r="AW120" i="4"/>
  <c r="BA120" i="4"/>
  <c r="BE120" i="4"/>
  <c r="BI120" i="4"/>
  <c r="AX120" i="4"/>
  <c r="BB120" i="4"/>
  <c r="BF120" i="4"/>
  <c r="AL120" i="4"/>
  <c r="AP120" i="4"/>
  <c r="AT120" i="4"/>
  <c r="AK120" i="4"/>
  <c r="AC120" i="4"/>
  <c r="AM120" i="4"/>
  <c r="AQ120" i="4"/>
  <c r="AJ120" i="4"/>
  <c r="AH120" i="4"/>
  <c r="AB120" i="4"/>
  <c r="Z120" i="4"/>
  <c r="X120" i="4"/>
  <c r="P120" i="4"/>
  <c r="L120" i="4"/>
  <c r="J120" i="4"/>
  <c r="U120" i="4"/>
  <c r="S120" i="4"/>
  <c r="Q120" i="4"/>
  <c r="M120" i="4"/>
  <c r="H120" i="4"/>
  <c r="G120" i="4"/>
  <c r="CC64" i="4"/>
  <c r="CG64" i="4"/>
  <c r="CD64" i="4"/>
  <c r="CB64" i="4"/>
  <c r="CJ64" i="4"/>
  <c r="BU64" i="4"/>
  <c r="BY64" i="4"/>
  <c r="BT64" i="4"/>
  <c r="BV64" i="4"/>
  <c r="BK64" i="4"/>
  <c r="BO64" i="4"/>
  <c r="BJ64" i="4"/>
  <c r="BN64" i="4"/>
  <c r="BR64" i="4"/>
  <c r="AW64" i="4"/>
  <c r="BA64" i="4"/>
  <c r="BE64" i="4"/>
  <c r="BI64" i="4"/>
  <c r="AX64" i="4"/>
  <c r="BB64" i="4"/>
  <c r="BF64" i="4"/>
  <c r="AL64" i="4"/>
  <c r="AP64" i="4"/>
  <c r="AT64" i="4"/>
  <c r="AK64" i="4"/>
  <c r="AC64" i="4"/>
  <c r="AM64" i="4"/>
  <c r="AQ64" i="4"/>
  <c r="AJ64" i="4"/>
  <c r="AH64" i="4"/>
  <c r="AB64" i="4"/>
  <c r="Z64" i="4"/>
  <c r="X64" i="4"/>
  <c r="P64" i="4"/>
  <c r="L64" i="4"/>
  <c r="V64" i="4"/>
  <c r="T64" i="4"/>
  <c r="R64" i="4"/>
  <c r="N64" i="4"/>
  <c r="I64" i="4"/>
  <c r="H64" i="4"/>
  <c r="CD65" i="4"/>
  <c r="CH65" i="4"/>
  <c r="CC65" i="4"/>
  <c r="CE65" i="4"/>
  <c r="BT65" i="4"/>
  <c r="BX65" i="4"/>
  <c r="BS65" i="4"/>
  <c r="CA65" i="4"/>
  <c r="BY65" i="4"/>
  <c r="BL65" i="4"/>
  <c r="BP65" i="4"/>
  <c r="BK65" i="4"/>
  <c r="BO65" i="4"/>
  <c r="AV65" i="4"/>
  <c r="AZ65" i="4"/>
  <c r="BD65" i="4"/>
  <c r="BH65" i="4"/>
  <c r="AW65" i="4"/>
  <c r="BA65" i="4"/>
  <c r="BE65" i="4"/>
  <c r="BI65" i="4"/>
  <c r="AO65" i="4"/>
  <c r="AS65" i="4"/>
  <c r="AF65" i="4"/>
  <c r="AD65" i="4"/>
  <c r="AA65" i="4"/>
  <c r="AN65" i="4"/>
  <c r="AR65" i="4"/>
  <c r="AI65" i="4"/>
  <c r="AG65" i="4"/>
  <c r="AE65" i="4"/>
  <c r="U65" i="4"/>
  <c r="S65" i="4"/>
  <c r="Q65" i="4"/>
  <c r="M65" i="4"/>
  <c r="Y65" i="4"/>
  <c r="W65" i="4"/>
  <c r="O65" i="4"/>
  <c r="K65" i="4"/>
  <c r="H65" i="4"/>
  <c r="CC66" i="4"/>
  <c r="CG66" i="4"/>
  <c r="CB66" i="4"/>
  <c r="CJ66" i="4"/>
  <c r="CH66" i="4"/>
  <c r="BU66" i="4"/>
  <c r="BY66" i="4"/>
  <c r="BV66" i="4"/>
  <c r="BT66" i="4"/>
  <c r="BK66" i="4"/>
  <c r="BO66" i="4"/>
  <c r="BJ66" i="4"/>
  <c r="BN66" i="4"/>
  <c r="BR66" i="4"/>
  <c r="AW66" i="4"/>
  <c r="BA66" i="4"/>
  <c r="BE66" i="4"/>
  <c r="BI66" i="4"/>
  <c r="AX66" i="4"/>
  <c r="BB66" i="4"/>
  <c r="BF66" i="4"/>
  <c r="AL66" i="4"/>
  <c r="AP66" i="4"/>
  <c r="AT66" i="4"/>
  <c r="AK66" i="4"/>
  <c r="AC66" i="4"/>
  <c r="AM66" i="4"/>
  <c r="AQ66" i="4"/>
  <c r="AJ66" i="4"/>
  <c r="AH66" i="4"/>
  <c r="Z66" i="4"/>
  <c r="X66" i="4"/>
  <c r="P66" i="4"/>
  <c r="L66" i="4"/>
  <c r="H66" i="4"/>
  <c r="AA66" i="4"/>
  <c r="U66" i="4"/>
  <c r="S66" i="4"/>
  <c r="Q66" i="4"/>
  <c r="M66" i="4"/>
  <c r="J66" i="4"/>
  <c r="CD67" i="4"/>
  <c r="CH67" i="4"/>
  <c r="CE67" i="4"/>
  <c r="CC67" i="4"/>
  <c r="BT67" i="4"/>
  <c r="BX67" i="4"/>
  <c r="BU67" i="4"/>
  <c r="BS67" i="4"/>
  <c r="CA67" i="4"/>
  <c r="BL67" i="4"/>
  <c r="BP67" i="4"/>
  <c r="BK67" i="4"/>
  <c r="BO67" i="4"/>
  <c r="AV67" i="4"/>
  <c r="AZ67" i="4"/>
  <c r="BD67" i="4"/>
  <c r="BH67" i="4"/>
  <c r="AW67" i="4"/>
  <c r="BA67" i="4"/>
  <c r="BE67" i="4"/>
  <c r="BI67" i="4"/>
  <c r="AO67" i="4"/>
  <c r="AS67" i="4"/>
  <c r="AF67" i="4"/>
  <c r="AD67" i="4"/>
  <c r="AA67" i="4"/>
  <c r="AN67" i="4"/>
  <c r="AR67" i="4"/>
  <c r="AI67" i="4"/>
  <c r="AG67" i="4"/>
  <c r="AE67" i="4"/>
  <c r="U67" i="4"/>
  <c r="S67" i="4"/>
  <c r="Q67" i="4"/>
  <c r="M67" i="4"/>
  <c r="Z67" i="4"/>
  <c r="X67" i="4"/>
  <c r="P67" i="4"/>
  <c r="L67" i="4"/>
  <c r="J67" i="4"/>
  <c r="CE64" i="4"/>
  <c r="CI64" i="4"/>
  <c r="CH64" i="4"/>
  <c r="CF64" i="4"/>
  <c r="BS64" i="4"/>
  <c r="BW64" i="4"/>
  <c r="CA64" i="4"/>
  <c r="BX64" i="4"/>
  <c r="BZ64" i="4"/>
  <c r="BM64" i="4"/>
  <c r="BQ64" i="4"/>
  <c r="BL64" i="4"/>
  <c r="BP64" i="4"/>
  <c r="AU64" i="4"/>
  <c r="AY64" i="4"/>
  <c r="BC64" i="4"/>
  <c r="BG64" i="4"/>
  <c r="AV64" i="4"/>
  <c r="AZ64" i="4"/>
  <c r="BD64" i="4"/>
  <c r="BH64" i="4"/>
  <c r="AN64" i="4"/>
  <c r="AR64" i="4"/>
  <c r="AI64" i="4"/>
  <c r="AG64" i="4"/>
  <c r="AE64" i="4"/>
  <c r="AO64" i="4"/>
  <c r="AS64" i="4"/>
  <c r="AF64" i="4"/>
  <c r="AD64" i="4"/>
  <c r="AA64" i="4"/>
  <c r="Y64" i="4"/>
  <c r="W64" i="4"/>
  <c r="O64" i="4"/>
  <c r="K64" i="4"/>
  <c r="U64" i="4"/>
  <c r="S64" i="4"/>
  <c r="Q64" i="4"/>
  <c r="M64" i="4"/>
  <c r="J64" i="4"/>
  <c r="CB65" i="4"/>
  <c r="CF65" i="4"/>
  <c r="CJ65" i="4"/>
  <c r="CG65" i="4"/>
  <c r="CI65" i="4"/>
  <c r="BV65" i="4"/>
  <c r="BZ65" i="4"/>
  <c r="BW65" i="4"/>
  <c r="BU65" i="4"/>
  <c r="BJ65" i="4"/>
  <c r="BN65" i="4"/>
  <c r="BR65" i="4"/>
  <c r="BM65" i="4"/>
  <c r="BQ65" i="4"/>
  <c r="AX65" i="4"/>
  <c r="BB65" i="4"/>
  <c r="BF65" i="4"/>
  <c r="AU65" i="4"/>
  <c r="AY65" i="4"/>
  <c r="BC65" i="4"/>
  <c r="BG65" i="4"/>
  <c r="AM65" i="4"/>
  <c r="AQ65" i="4"/>
  <c r="AJ65" i="4"/>
  <c r="AH65" i="4"/>
  <c r="AB65" i="4"/>
  <c r="AL65" i="4"/>
  <c r="AP65" i="4"/>
  <c r="AT65" i="4"/>
  <c r="AK65" i="4"/>
  <c r="AC65" i="4"/>
  <c r="V65" i="4"/>
  <c r="T65" i="4"/>
  <c r="R65" i="4"/>
  <c r="N65" i="4"/>
  <c r="Z65" i="4"/>
  <c r="X65" i="4"/>
  <c r="P65" i="4"/>
  <c r="L65" i="4"/>
  <c r="J65" i="4"/>
  <c r="I65" i="4"/>
  <c r="CE66" i="4"/>
  <c r="CI66" i="4"/>
  <c r="CF66" i="4"/>
  <c r="CD66" i="4"/>
  <c r="BS66" i="4"/>
  <c r="BW66" i="4"/>
  <c r="CA66" i="4"/>
  <c r="BZ66" i="4"/>
  <c r="BX66" i="4"/>
  <c r="BM66" i="4"/>
  <c r="BQ66" i="4"/>
  <c r="BL66" i="4"/>
  <c r="BP66" i="4"/>
  <c r="AU66" i="4"/>
  <c r="AY66" i="4"/>
  <c r="BC66" i="4"/>
  <c r="BG66" i="4"/>
  <c r="AV66" i="4"/>
  <c r="AZ66" i="4"/>
  <c r="BD66" i="4"/>
  <c r="BH66" i="4"/>
  <c r="AN66" i="4"/>
  <c r="AR66" i="4"/>
  <c r="AI66" i="4"/>
  <c r="AG66" i="4"/>
  <c r="AE66" i="4"/>
  <c r="AO66" i="4"/>
  <c r="AS66" i="4"/>
  <c r="AF66" i="4"/>
  <c r="AD66" i="4"/>
  <c r="Y66" i="4"/>
  <c r="W66" i="4"/>
  <c r="O66" i="4"/>
  <c r="K66" i="4"/>
  <c r="AB66" i="4"/>
  <c r="V66" i="4"/>
  <c r="T66" i="4"/>
  <c r="R66" i="4"/>
  <c r="N66" i="4"/>
  <c r="I66" i="4"/>
  <c r="CB67" i="4"/>
  <c r="CF67" i="4"/>
  <c r="CJ67" i="4"/>
  <c r="CI67" i="4"/>
  <c r="CG67" i="4"/>
  <c r="BV67" i="4"/>
  <c r="BZ67" i="4"/>
  <c r="BY67" i="4"/>
  <c r="BW67" i="4"/>
  <c r="BJ67" i="4"/>
  <c r="BN67" i="4"/>
  <c r="BR67" i="4"/>
  <c r="BM67" i="4"/>
  <c r="BQ67" i="4"/>
  <c r="AX67" i="4"/>
  <c r="BB67" i="4"/>
  <c r="BF67" i="4"/>
  <c r="AU67" i="4"/>
  <c r="AY67" i="4"/>
  <c r="BC67" i="4"/>
  <c r="BG67" i="4"/>
  <c r="AM67" i="4"/>
  <c r="AQ67" i="4"/>
  <c r="AJ67" i="4"/>
  <c r="AH67" i="4"/>
  <c r="AB67" i="4"/>
  <c r="AL67" i="4"/>
  <c r="AP67" i="4"/>
  <c r="AT67" i="4"/>
  <c r="AK67" i="4"/>
  <c r="AC67" i="4"/>
  <c r="V67" i="4"/>
  <c r="T67" i="4"/>
  <c r="R67" i="4"/>
  <c r="N67" i="4"/>
  <c r="I67" i="4"/>
  <c r="Y67" i="4"/>
  <c r="W67" i="4"/>
  <c r="O67" i="4"/>
  <c r="K67" i="4"/>
  <c r="H67" i="4"/>
  <c r="G67" i="4"/>
  <c r="G65" i="4"/>
  <c r="G66" i="4"/>
  <c r="G64" i="4"/>
  <c r="CE40" i="4"/>
  <c r="CI40" i="4"/>
  <c r="CH40" i="4"/>
  <c r="CF40" i="4"/>
  <c r="BS40" i="4"/>
  <c r="BW40" i="4"/>
  <c r="CA40" i="4"/>
  <c r="BV40" i="4"/>
  <c r="BZ40" i="4"/>
  <c r="BM40" i="4"/>
  <c r="BQ40" i="4"/>
  <c r="AX40" i="4"/>
  <c r="BB40" i="4"/>
  <c r="BF40" i="4"/>
  <c r="BJ40" i="4"/>
  <c r="BN40" i="4"/>
  <c r="BR40" i="4"/>
  <c r="BA40" i="4"/>
  <c r="BI40" i="4"/>
  <c r="AY40" i="4"/>
  <c r="BG40" i="4"/>
  <c r="AN40" i="4"/>
  <c r="AR40" i="4"/>
  <c r="AI40" i="4"/>
  <c r="AG40" i="4"/>
  <c r="AE40" i="4"/>
  <c r="AO40" i="4"/>
  <c r="AS40" i="4"/>
  <c r="AF40" i="4"/>
  <c r="AD40" i="4"/>
  <c r="AA40" i="4"/>
  <c r="Y40" i="4"/>
  <c r="W40" i="4"/>
  <c r="O40" i="4"/>
  <c r="K40" i="4"/>
  <c r="H40" i="4"/>
  <c r="U40" i="4"/>
  <c r="S40" i="4"/>
  <c r="Q40" i="4"/>
  <c r="M40" i="4"/>
  <c r="CC40" i="4"/>
  <c r="CG40" i="4"/>
  <c r="CD40" i="4"/>
  <c r="CB40" i="4"/>
  <c r="CJ40" i="4"/>
  <c r="BU40" i="4"/>
  <c r="BY40" i="4"/>
  <c r="BT40" i="4"/>
  <c r="BX40" i="4"/>
  <c r="BK40" i="4"/>
  <c r="BO40" i="4"/>
  <c r="AV40" i="4"/>
  <c r="AZ40" i="4"/>
  <c r="BD40" i="4"/>
  <c r="BH40" i="4"/>
  <c r="BL40" i="4"/>
  <c r="BP40" i="4"/>
  <c r="AW40" i="4"/>
  <c r="BE40" i="4"/>
  <c r="AU40" i="4"/>
  <c r="BC40" i="4"/>
  <c r="AL40" i="4"/>
  <c r="AP40" i="4"/>
  <c r="AT40" i="4"/>
  <c r="AK40" i="4"/>
  <c r="AC40" i="4"/>
  <c r="AM40" i="4"/>
  <c r="AQ40" i="4"/>
  <c r="AJ40" i="4"/>
  <c r="AH40" i="4"/>
  <c r="AB40" i="4"/>
  <c r="Z40" i="4"/>
  <c r="X40" i="4"/>
  <c r="P40" i="4"/>
  <c r="L40" i="4"/>
  <c r="J40" i="4"/>
  <c r="V40" i="4"/>
  <c r="T40" i="4"/>
  <c r="R40" i="4"/>
  <c r="N40" i="4"/>
  <c r="I40" i="4"/>
  <c r="G40" i="4"/>
  <c r="CC16" i="4"/>
  <c r="CG16" i="4"/>
  <c r="CD16" i="4"/>
  <c r="CH16" i="4"/>
  <c r="CI16" i="4"/>
  <c r="BU16" i="4"/>
  <c r="BY16" i="4"/>
  <c r="BT16" i="4"/>
  <c r="BX16" i="4"/>
  <c r="BK16" i="4"/>
  <c r="BO16" i="4"/>
  <c r="BJ16" i="4"/>
  <c r="BR16" i="4"/>
  <c r="AX16" i="4"/>
  <c r="BB16" i="4"/>
  <c r="BF16" i="4"/>
  <c r="BL16" i="4"/>
  <c r="AW16" i="4"/>
  <c r="BE16" i="4"/>
  <c r="AU16" i="4"/>
  <c r="BC16" i="4"/>
  <c r="AL16" i="4"/>
  <c r="AP16" i="4"/>
  <c r="AT16" i="4"/>
  <c r="AK16" i="4"/>
  <c r="AC16" i="4"/>
  <c r="AM16" i="4"/>
  <c r="AQ16" i="4"/>
  <c r="AJ16" i="4"/>
  <c r="AH16" i="4"/>
  <c r="AB16" i="4"/>
  <c r="Z16" i="4"/>
  <c r="X16" i="4"/>
  <c r="P16" i="4"/>
  <c r="L16" i="4"/>
  <c r="J16" i="4"/>
  <c r="U16" i="4"/>
  <c r="S16" i="4"/>
  <c r="Q16" i="4"/>
  <c r="M16" i="4"/>
  <c r="H16" i="4"/>
  <c r="CE16" i="4"/>
  <c r="CB16" i="4"/>
  <c r="CF16" i="4"/>
  <c r="CJ16" i="4"/>
  <c r="BS16" i="4"/>
  <c r="BW16" i="4"/>
  <c r="CA16" i="4"/>
  <c r="BV16" i="4"/>
  <c r="BZ16" i="4"/>
  <c r="BM16" i="4"/>
  <c r="BQ16" i="4"/>
  <c r="BN16" i="4"/>
  <c r="AV16" i="4"/>
  <c r="AZ16" i="4"/>
  <c r="BD16" i="4"/>
  <c r="BH16" i="4"/>
  <c r="BP16" i="4"/>
  <c r="BA16" i="4"/>
  <c r="BI16" i="4"/>
  <c r="AY16" i="4"/>
  <c r="BG16" i="4"/>
  <c r="AN16" i="4"/>
  <c r="AR16" i="4"/>
  <c r="AI16" i="4"/>
  <c r="AG16" i="4"/>
  <c r="AE16" i="4"/>
  <c r="AO16" i="4"/>
  <c r="AS16" i="4"/>
  <c r="AF16" i="4"/>
  <c r="AD16" i="4"/>
  <c r="AA16" i="4"/>
  <c r="Y16" i="4"/>
  <c r="W16" i="4"/>
  <c r="O16" i="4"/>
  <c r="K16" i="4"/>
  <c r="V16" i="4"/>
  <c r="T16" i="4"/>
  <c r="R16" i="4"/>
  <c r="N16" i="4"/>
  <c r="I16" i="4"/>
  <c r="G16" i="4"/>
  <c r="CC231" i="4"/>
  <c r="CG231" i="4"/>
  <c r="CB231" i="4"/>
  <c r="CF231" i="4"/>
  <c r="CJ231" i="4"/>
  <c r="BU231" i="4"/>
  <c r="BY231" i="4"/>
  <c r="BT231" i="4"/>
  <c r="BX231" i="4"/>
  <c r="BJ231" i="4"/>
  <c r="BN231" i="4"/>
  <c r="BR231" i="4"/>
  <c r="BM231" i="4"/>
  <c r="BQ231" i="4"/>
  <c r="AX231" i="4"/>
  <c r="BB231" i="4"/>
  <c r="BF231" i="4"/>
  <c r="BA231" i="4"/>
  <c r="BH231" i="4"/>
  <c r="AO231" i="4"/>
  <c r="AS231" i="4"/>
  <c r="AF231" i="4"/>
  <c r="AD231" i="4"/>
  <c r="AU231" i="4"/>
  <c r="BC231" i="4"/>
  <c r="BI231" i="4"/>
  <c r="AN231" i="4"/>
  <c r="AR231" i="4"/>
  <c r="AI231" i="4"/>
  <c r="AG231" i="4"/>
  <c r="V231" i="4"/>
  <c r="T231" i="4"/>
  <c r="R231" i="4"/>
  <c r="N231" i="4"/>
  <c r="AC231" i="4"/>
  <c r="Z231" i="4"/>
  <c r="X231" i="4"/>
  <c r="P231" i="4"/>
  <c r="L231" i="4"/>
  <c r="J231" i="4"/>
  <c r="I231" i="4"/>
  <c r="CD232" i="4"/>
  <c r="CH232" i="4"/>
  <c r="CC232" i="4"/>
  <c r="CG232" i="4"/>
  <c r="BT232" i="4"/>
  <c r="BX232" i="4"/>
  <c r="BS232" i="4"/>
  <c r="BW232" i="4"/>
  <c r="CA232" i="4"/>
  <c r="BM232" i="4"/>
  <c r="BQ232" i="4"/>
  <c r="BL232" i="4"/>
  <c r="BP232" i="4"/>
  <c r="AU232" i="4"/>
  <c r="AY232" i="4"/>
  <c r="BC232" i="4"/>
  <c r="BG232" i="4"/>
  <c r="AL232" i="4"/>
  <c r="AP232" i="4"/>
  <c r="AT232" i="4"/>
  <c r="AK232" i="4"/>
  <c r="AC232" i="4"/>
  <c r="AV232" i="4"/>
  <c r="AZ232" i="4"/>
  <c r="BD232" i="4"/>
  <c r="BH232" i="4"/>
  <c r="AO232" i="4"/>
  <c r="AS232" i="4"/>
  <c r="AF232" i="4"/>
  <c r="AB232" i="4"/>
  <c r="Z232" i="4"/>
  <c r="X232" i="4"/>
  <c r="P232" i="4"/>
  <c r="L232" i="4"/>
  <c r="AD232" i="4"/>
  <c r="U232" i="4"/>
  <c r="S232" i="4"/>
  <c r="Q232" i="4"/>
  <c r="M232" i="4"/>
  <c r="J232" i="4"/>
  <c r="CE231" i="4"/>
  <c r="CI231" i="4"/>
  <c r="CD231" i="4"/>
  <c r="CH231" i="4"/>
  <c r="BS231" i="4"/>
  <c r="BW231" i="4"/>
  <c r="CA231" i="4"/>
  <c r="BV231" i="4"/>
  <c r="BZ231" i="4"/>
  <c r="BL231" i="4"/>
  <c r="BP231" i="4"/>
  <c r="BK231" i="4"/>
  <c r="BO231" i="4"/>
  <c r="AV231" i="4"/>
  <c r="AZ231" i="4"/>
  <c r="BD231" i="4"/>
  <c r="AW231" i="4"/>
  <c r="BE231" i="4"/>
  <c r="AM231" i="4"/>
  <c r="AQ231" i="4"/>
  <c r="AJ231" i="4"/>
  <c r="AH231" i="4"/>
  <c r="AB231" i="4"/>
  <c r="AY231" i="4"/>
  <c r="BG231" i="4"/>
  <c r="AL231" i="4"/>
  <c r="AP231" i="4"/>
  <c r="AT231" i="4"/>
  <c r="AK231" i="4"/>
  <c r="AE231" i="4"/>
  <c r="U231" i="4"/>
  <c r="S231" i="4"/>
  <c r="Q231" i="4"/>
  <c r="M231" i="4"/>
  <c r="AA231" i="4"/>
  <c r="Y231" i="4"/>
  <c r="W231" i="4"/>
  <c r="O231" i="4"/>
  <c r="K231" i="4"/>
  <c r="H231" i="4"/>
  <c r="CB232" i="4"/>
  <c r="CF232" i="4"/>
  <c r="CJ232" i="4"/>
  <c r="CE232" i="4"/>
  <c r="CI232" i="4"/>
  <c r="BV232" i="4"/>
  <c r="BZ232" i="4"/>
  <c r="BU232" i="4"/>
  <c r="BY232" i="4"/>
  <c r="BK232" i="4"/>
  <c r="BO232" i="4"/>
  <c r="BJ232" i="4"/>
  <c r="BN232" i="4"/>
  <c r="BR232" i="4"/>
  <c r="AW232" i="4"/>
  <c r="BA232" i="4"/>
  <c r="BE232" i="4"/>
  <c r="BI232" i="4"/>
  <c r="AN232" i="4"/>
  <c r="AR232" i="4"/>
  <c r="AI232" i="4"/>
  <c r="AG232" i="4"/>
  <c r="AE232" i="4"/>
  <c r="AX232" i="4"/>
  <c r="BB232" i="4"/>
  <c r="BF232" i="4"/>
  <c r="AM232" i="4"/>
  <c r="AQ232" i="4"/>
  <c r="AJ232" i="4"/>
  <c r="AH232" i="4"/>
  <c r="AA232" i="4"/>
  <c r="Y232" i="4"/>
  <c r="W232" i="4"/>
  <c r="O232" i="4"/>
  <c r="K232" i="4"/>
  <c r="V232" i="4"/>
  <c r="T232" i="4"/>
  <c r="R232" i="4"/>
  <c r="N232" i="4"/>
  <c r="I232" i="4"/>
  <c r="H232" i="4"/>
  <c r="G231" i="4"/>
  <c r="G232" i="4"/>
  <c r="CC183" i="4"/>
  <c r="CG183" i="4"/>
  <c r="CB183" i="4"/>
  <c r="CF183" i="4"/>
  <c r="CJ183" i="4"/>
  <c r="BU183" i="4"/>
  <c r="BY183" i="4"/>
  <c r="BT183" i="4"/>
  <c r="BX183" i="4"/>
  <c r="BJ183" i="4"/>
  <c r="BN183" i="4"/>
  <c r="BR183" i="4"/>
  <c r="BM183" i="4"/>
  <c r="BQ183" i="4"/>
  <c r="AX183" i="4"/>
  <c r="BB183" i="4"/>
  <c r="BF183" i="4"/>
  <c r="AU183" i="4"/>
  <c r="AY183" i="4"/>
  <c r="BC183" i="4"/>
  <c r="BG183" i="4"/>
  <c r="AM183" i="4"/>
  <c r="AQ183" i="4"/>
  <c r="AJ183" i="4"/>
  <c r="AH183" i="4"/>
  <c r="AB183" i="4"/>
  <c r="AL183" i="4"/>
  <c r="AP183" i="4"/>
  <c r="AT183" i="4"/>
  <c r="AK183" i="4"/>
  <c r="AC183" i="4"/>
  <c r="V183" i="4"/>
  <c r="T183" i="4"/>
  <c r="R183" i="4"/>
  <c r="N183" i="4"/>
  <c r="I183" i="4"/>
  <c r="Y183" i="4"/>
  <c r="W183" i="4"/>
  <c r="O183" i="4"/>
  <c r="K183" i="4"/>
  <c r="H183" i="4"/>
  <c r="CE183" i="4"/>
  <c r="CI183" i="4"/>
  <c r="CD183" i="4"/>
  <c r="CH183" i="4"/>
  <c r="BS183" i="4"/>
  <c r="BW183" i="4"/>
  <c r="CA183" i="4"/>
  <c r="BV183" i="4"/>
  <c r="BZ183" i="4"/>
  <c r="BL183" i="4"/>
  <c r="BP183" i="4"/>
  <c r="BK183" i="4"/>
  <c r="BO183" i="4"/>
  <c r="AV183" i="4"/>
  <c r="AZ183" i="4"/>
  <c r="BD183" i="4"/>
  <c r="BH183" i="4"/>
  <c r="AW183" i="4"/>
  <c r="BA183" i="4"/>
  <c r="BE183" i="4"/>
  <c r="BI183" i="4"/>
  <c r="AO183" i="4"/>
  <c r="AS183" i="4"/>
  <c r="AF183" i="4"/>
  <c r="AD183" i="4"/>
  <c r="AA183" i="4"/>
  <c r="AN183" i="4"/>
  <c r="AR183" i="4"/>
  <c r="AI183" i="4"/>
  <c r="AG183" i="4"/>
  <c r="AE183" i="4"/>
  <c r="U183" i="4"/>
  <c r="S183" i="4"/>
  <c r="Q183" i="4"/>
  <c r="M183" i="4"/>
  <c r="Z183" i="4"/>
  <c r="X183" i="4"/>
  <c r="P183" i="4"/>
  <c r="L183" i="4"/>
  <c r="J183" i="4"/>
  <c r="G183" i="4"/>
  <c r="G143" i="4"/>
  <c r="CE143" i="4"/>
  <c r="CI143" i="4"/>
  <c r="CD143" i="4"/>
  <c r="CH143" i="4"/>
  <c r="BT143" i="4"/>
  <c r="BX143" i="4"/>
  <c r="BU143" i="4"/>
  <c r="BS143" i="4"/>
  <c r="CA143" i="4"/>
  <c r="BL143" i="4"/>
  <c r="BP143" i="4"/>
  <c r="BK143" i="4"/>
  <c r="BO143" i="4"/>
  <c r="AV143" i="4"/>
  <c r="AZ143" i="4"/>
  <c r="BD143" i="4"/>
  <c r="BH143" i="4"/>
  <c r="AW143" i="4"/>
  <c r="BA143" i="4"/>
  <c r="BE143" i="4"/>
  <c r="BI143" i="4"/>
  <c r="AO143" i="4"/>
  <c r="AS143" i="4"/>
  <c r="AF143" i="4"/>
  <c r="AD143" i="4"/>
  <c r="AA143" i="4"/>
  <c r="AN143" i="4"/>
  <c r="AR143" i="4"/>
  <c r="AI143" i="4"/>
  <c r="AG143" i="4"/>
  <c r="AE143" i="4"/>
  <c r="U143" i="4"/>
  <c r="S143" i="4"/>
  <c r="Q143" i="4"/>
  <c r="M143" i="4"/>
  <c r="Z143" i="4"/>
  <c r="X143" i="4"/>
  <c r="P143" i="4"/>
  <c r="L143" i="4"/>
  <c r="J143" i="4"/>
  <c r="CD144" i="4"/>
  <c r="CH144" i="4"/>
  <c r="CC144" i="4"/>
  <c r="CG144" i="4"/>
  <c r="BS144" i="4"/>
  <c r="BW144" i="4"/>
  <c r="CA144" i="4"/>
  <c r="BX144" i="4"/>
  <c r="BZ144" i="4"/>
  <c r="BM144" i="4"/>
  <c r="BQ144" i="4"/>
  <c r="BL144" i="4"/>
  <c r="BP144" i="4"/>
  <c r="AU144" i="4"/>
  <c r="AY144" i="4"/>
  <c r="BC144" i="4"/>
  <c r="BG144" i="4"/>
  <c r="AV144" i="4"/>
  <c r="AZ144" i="4"/>
  <c r="BD144" i="4"/>
  <c r="BH144" i="4"/>
  <c r="AN144" i="4"/>
  <c r="AR144" i="4"/>
  <c r="AI144" i="4"/>
  <c r="AG144" i="4"/>
  <c r="AE144" i="4"/>
  <c r="AO144" i="4"/>
  <c r="AS144" i="4"/>
  <c r="AF144" i="4"/>
  <c r="AD144" i="4"/>
  <c r="AA144" i="4"/>
  <c r="Y144" i="4"/>
  <c r="W144" i="4"/>
  <c r="O144" i="4"/>
  <c r="K144" i="4"/>
  <c r="V144" i="4"/>
  <c r="T144" i="4"/>
  <c r="R144" i="4"/>
  <c r="N144" i="4"/>
  <c r="I144" i="4"/>
  <c r="CC143" i="4"/>
  <c r="CG143" i="4"/>
  <c r="CB143" i="4"/>
  <c r="CF143" i="4"/>
  <c r="CJ143" i="4"/>
  <c r="BV143" i="4"/>
  <c r="BZ143" i="4"/>
  <c r="BY143" i="4"/>
  <c r="BW143" i="4"/>
  <c r="BJ143" i="4"/>
  <c r="BN143" i="4"/>
  <c r="BR143" i="4"/>
  <c r="BM143" i="4"/>
  <c r="BQ143" i="4"/>
  <c r="AX143" i="4"/>
  <c r="BB143" i="4"/>
  <c r="BF143" i="4"/>
  <c r="AU143" i="4"/>
  <c r="AY143" i="4"/>
  <c r="BC143" i="4"/>
  <c r="BG143" i="4"/>
  <c r="AM143" i="4"/>
  <c r="AQ143" i="4"/>
  <c r="AJ143" i="4"/>
  <c r="AH143" i="4"/>
  <c r="AB143" i="4"/>
  <c r="AL143" i="4"/>
  <c r="AP143" i="4"/>
  <c r="AT143" i="4"/>
  <c r="AK143" i="4"/>
  <c r="AC143" i="4"/>
  <c r="V143" i="4"/>
  <c r="T143" i="4"/>
  <c r="R143" i="4"/>
  <c r="N143" i="4"/>
  <c r="I143" i="4"/>
  <c r="Y143" i="4"/>
  <c r="W143" i="4"/>
  <c r="O143" i="4"/>
  <c r="K143" i="4"/>
  <c r="H143" i="4"/>
  <c r="CB144" i="4"/>
  <c r="CF144" i="4"/>
  <c r="CJ144" i="4"/>
  <c r="CE144" i="4"/>
  <c r="CI144" i="4"/>
  <c r="BU144" i="4"/>
  <c r="BY144" i="4"/>
  <c r="BT144" i="4"/>
  <c r="BV144" i="4"/>
  <c r="BK144" i="4"/>
  <c r="BO144" i="4"/>
  <c r="BJ144" i="4"/>
  <c r="BN144" i="4"/>
  <c r="BR144" i="4"/>
  <c r="AW144" i="4"/>
  <c r="BA144" i="4"/>
  <c r="BE144" i="4"/>
  <c r="BI144" i="4"/>
  <c r="AX144" i="4"/>
  <c r="BB144" i="4"/>
  <c r="BF144" i="4"/>
  <c r="AL144" i="4"/>
  <c r="AP144" i="4"/>
  <c r="AT144" i="4"/>
  <c r="AK144" i="4"/>
  <c r="AC144" i="4"/>
  <c r="AM144" i="4"/>
  <c r="AQ144" i="4"/>
  <c r="AJ144" i="4"/>
  <c r="AH144" i="4"/>
  <c r="AB144" i="4"/>
  <c r="Z144" i="4"/>
  <c r="X144" i="4"/>
  <c r="P144" i="4"/>
  <c r="L144" i="4"/>
  <c r="J144" i="4"/>
  <c r="U144" i="4"/>
  <c r="S144" i="4"/>
  <c r="Q144" i="4"/>
  <c r="M144" i="4"/>
  <c r="H144" i="4"/>
  <c r="G144" i="4"/>
  <c r="G249" i="4"/>
  <c r="CB247" i="4"/>
  <c r="CF247" i="4"/>
  <c r="CJ247" i="4"/>
  <c r="CE247" i="4"/>
  <c r="CI247" i="4"/>
  <c r="BU247" i="4"/>
  <c r="BY247" i="4"/>
  <c r="BT247" i="4"/>
  <c r="BX247" i="4"/>
  <c r="BJ247" i="4"/>
  <c r="BN247" i="4"/>
  <c r="BR247" i="4"/>
  <c r="BQ247" i="4"/>
  <c r="BO247" i="4"/>
  <c r="AX247" i="4"/>
  <c r="BB247" i="4"/>
  <c r="BF247" i="4"/>
  <c r="AM247" i="4"/>
  <c r="AQ247" i="4"/>
  <c r="AJ247" i="4"/>
  <c r="AH247" i="4"/>
  <c r="AB247" i="4"/>
  <c r="AW247" i="4"/>
  <c r="BA247" i="4"/>
  <c r="BE247" i="4"/>
  <c r="BI247" i="4"/>
  <c r="AN247" i="4"/>
  <c r="AR247" i="4"/>
  <c r="AI247" i="4"/>
  <c r="AG247" i="4"/>
  <c r="V247" i="4"/>
  <c r="T247" i="4"/>
  <c r="R247" i="4"/>
  <c r="N247" i="4"/>
  <c r="AC247" i="4"/>
  <c r="Z247" i="4"/>
  <c r="X247" i="4"/>
  <c r="P247" i="4"/>
  <c r="L247" i="4"/>
  <c r="J247" i="4"/>
  <c r="I247" i="4"/>
  <c r="CE248" i="4"/>
  <c r="CI248" i="4"/>
  <c r="CD248" i="4"/>
  <c r="CH248" i="4"/>
  <c r="BT248" i="4"/>
  <c r="BX248" i="4"/>
  <c r="BS248" i="4"/>
  <c r="BW248" i="4"/>
  <c r="CA248" i="4"/>
  <c r="BM248" i="4"/>
  <c r="BQ248" i="4"/>
  <c r="BP248" i="4"/>
  <c r="BN248" i="4"/>
  <c r="AU248" i="4"/>
  <c r="AY248" i="4"/>
  <c r="BC248" i="4"/>
  <c r="BG248" i="4"/>
  <c r="AL248" i="4"/>
  <c r="AP248" i="4"/>
  <c r="AT248" i="4"/>
  <c r="AK248" i="4"/>
  <c r="AC248" i="4"/>
  <c r="AV248" i="4"/>
  <c r="AZ248" i="4"/>
  <c r="BD248" i="4"/>
  <c r="BH248" i="4"/>
  <c r="AO248" i="4"/>
  <c r="AS248" i="4"/>
  <c r="AF248" i="4"/>
  <c r="AB248" i="4"/>
  <c r="Z248" i="4"/>
  <c r="X248" i="4"/>
  <c r="P248" i="4"/>
  <c r="L248" i="4"/>
  <c r="J248" i="4"/>
  <c r="V248" i="4"/>
  <c r="T248" i="4"/>
  <c r="R248" i="4"/>
  <c r="N248" i="4"/>
  <c r="I248" i="4"/>
  <c r="CD247" i="4"/>
  <c r="CH247" i="4"/>
  <c r="CC247" i="4"/>
  <c r="CG247" i="4"/>
  <c r="BS247" i="4"/>
  <c r="BW247" i="4"/>
  <c r="CA247" i="4"/>
  <c r="BV247" i="4"/>
  <c r="BZ247" i="4"/>
  <c r="BL247" i="4"/>
  <c r="BP247" i="4"/>
  <c r="BM247" i="4"/>
  <c r="BK247" i="4"/>
  <c r="AV247" i="4"/>
  <c r="AZ247" i="4"/>
  <c r="BD247" i="4"/>
  <c r="BH247" i="4"/>
  <c r="AO247" i="4"/>
  <c r="AS247" i="4"/>
  <c r="AF247" i="4"/>
  <c r="AD247" i="4"/>
  <c r="AU247" i="4"/>
  <c r="AY247" i="4"/>
  <c r="BC247" i="4"/>
  <c r="BG247" i="4"/>
  <c r="AL247" i="4"/>
  <c r="AP247" i="4"/>
  <c r="AT247" i="4"/>
  <c r="AK247" i="4"/>
  <c r="AE247" i="4"/>
  <c r="U247" i="4"/>
  <c r="S247" i="4"/>
  <c r="Q247" i="4"/>
  <c r="M247" i="4"/>
  <c r="AA247" i="4"/>
  <c r="Y247" i="4"/>
  <c r="W247" i="4"/>
  <c r="O247" i="4"/>
  <c r="K247" i="4"/>
  <c r="H247" i="4"/>
  <c r="CC248" i="4"/>
  <c r="CG248" i="4"/>
  <c r="CB248" i="4"/>
  <c r="CF248" i="4"/>
  <c r="CJ248" i="4"/>
  <c r="BV248" i="4"/>
  <c r="BZ248" i="4"/>
  <c r="BU248" i="4"/>
  <c r="BY248" i="4"/>
  <c r="BK248" i="4"/>
  <c r="BO248" i="4"/>
  <c r="BL248" i="4"/>
  <c r="BJ248" i="4"/>
  <c r="BR248" i="4"/>
  <c r="AW248" i="4"/>
  <c r="BA248" i="4"/>
  <c r="BE248" i="4"/>
  <c r="BI248" i="4"/>
  <c r="AN248" i="4"/>
  <c r="AR248" i="4"/>
  <c r="AI248" i="4"/>
  <c r="AG248" i="4"/>
  <c r="AE248" i="4"/>
  <c r="AX248" i="4"/>
  <c r="BB248" i="4"/>
  <c r="BF248" i="4"/>
  <c r="AM248" i="4"/>
  <c r="AQ248" i="4"/>
  <c r="AJ248" i="4"/>
  <c r="AH248" i="4"/>
  <c r="AA248" i="4"/>
  <c r="Y248" i="4"/>
  <c r="W248" i="4"/>
  <c r="O248" i="4"/>
  <c r="K248" i="4"/>
  <c r="AD248" i="4"/>
  <c r="U248" i="4"/>
  <c r="S248" i="4"/>
  <c r="Q248" i="4"/>
  <c r="M248" i="4"/>
  <c r="H248" i="4"/>
  <c r="G247" i="4"/>
  <c r="CE246" i="4"/>
  <c r="CI246" i="4"/>
  <c r="CD246" i="4"/>
  <c r="CH246" i="4"/>
  <c r="BT246" i="4"/>
  <c r="BX246" i="4"/>
  <c r="BS246" i="4"/>
  <c r="BW246" i="4"/>
  <c r="CA246" i="4"/>
  <c r="BM246" i="4"/>
  <c r="BQ246" i="4"/>
  <c r="BN246" i="4"/>
  <c r="BL246" i="4"/>
  <c r="AU246" i="4"/>
  <c r="AY246" i="4"/>
  <c r="BC246" i="4"/>
  <c r="BG246" i="4"/>
  <c r="AL246" i="4"/>
  <c r="AP246" i="4"/>
  <c r="AT246" i="4"/>
  <c r="AK246" i="4"/>
  <c r="AC246" i="4"/>
  <c r="AV246" i="4"/>
  <c r="AZ246" i="4"/>
  <c r="BD246" i="4"/>
  <c r="BH246" i="4"/>
  <c r="AO246" i="4"/>
  <c r="AS246" i="4"/>
  <c r="AF246" i="4"/>
  <c r="AD246" i="4"/>
  <c r="Z246" i="4"/>
  <c r="X246" i="4"/>
  <c r="P246" i="4"/>
  <c r="L246" i="4"/>
  <c r="AB246" i="4"/>
  <c r="U246" i="4"/>
  <c r="S246" i="4"/>
  <c r="Q246" i="4"/>
  <c r="M246" i="4"/>
  <c r="K246" i="4"/>
  <c r="CB249" i="4"/>
  <c r="CF249" i="4"/>
  <c r="CJ249" i="4"/>
  <c r="CE249" i="4"/>
  <c r="CI249" i="4"/>
  <c r="BU249" i="4"/>
  <c r="BY249" i="4"/>
  <c r="BT249" i="4"/>
  <c r="BX249" i="4"/>
  <c r="BJ249" i="4"/>
  <c r="BN249" i="4"/>
  <c r="BR249" i="4"/>
  <c r="BO249" i="4"/>
  <c r="BQ249" i="4"/>
  <c r="AX249" i="4"/>
  <c r="BB249" i="4"/>
  <c r="BF249" i="4"/>
  <c r="AM249" i="4"/>
  <c r="AQ249" i="4"/>
  <c r="AJ249" i="4"/>
  <c r="AH249" i="4"/>
  <c r="AB249" i="4"/>
  <c r="AW249" i="4"/>
  <c r="BA249" i="4"/>
  <c r="BE249" i="4"/>
  <c r="BI249" i="4"/>
  <c r="AN249" i="4"/>
  <c r="AR249" i="4"/>
  <c r="AI249" i="4"/>
  <c r="AG249" i="4"/>
  <c r="V249" i="4"/>
  <c r="T249" i="4"/>
  <c r="R249" i="4"/>
  <c r="N249" i="4"/>
  <c r="I249" i="4"/>
  <c r="AA249" i="4"/>
  <c r="Y249" i="4"/>
  <c r="W249" i="4"/>
  <c r="O249" i="4"/>
  <c r="K249" i="4"/>
  <c r="H249" i="4"/>
  <c r="G246" i="4"/>
  <c r="CC246" i="4"/>
  <c r="CG246" i="4"/>
  <c r="CB246" i="4"/>
  <c r="CF246" i="4"/>
  <c r="CJ246" i="4"/>
  <c r="BV246" i="4"/>
  <c r="BZ246" i="4"/>
  <c r="BU246" i="4"/>
  <c r="BY246" i="4"/>
  <c r="BK246" i="4"/>
  <c r="BO246" i="4"/>
  <c r="BJ246" i="4"/>
  <c r="BR246" i="4"/>
  <c r="BP246" i="4"/>
  <c r="AW246" i="4"/>
  <c r="BA246" i="4"/>
  <c r="BE246" i="4"/>
  <c r="BI246" i="4"/>
  <c r="AN246" i="4"/>
  <c r="AR246" i="4"/>
  <c r="AI246" i="4"/>
  <c r="AG246" i="4"/>
  <c r="AE246" i="4"/>
  <c r="AX246" i="4"/>
  <c r="BB246" i="4"/>
  <c r="BF246" i="4"/>
  <c r="AM246" i="4"/>
  <c r="AQ246" i="4"/>
  <c r="AJ246" i="4"/>
  <c r="AH246" i="4"/>
  <c r="AA246" i="4"/>
  <c r="Y246" i="4"/>
  <c r="W246" i="4"/>
  <c r="O246" i="4"/>
  <c r="J246" i="4"/>
  <c r="V246" i="4"/>
  <c r="T246" i="4"/>
  <c r="R246" i="4"/>
  <c r="N246" i="4"/>
  <c r="I246" i="4"/>
  <c r="H246" i="4"/>
  <c r="CD249" i="4"/>
  <c r="CH249" i="4"/>
  <c r="CC249" i="4"/>
  <c r="CG249" i="4"/>
  <c r="BS249" i="4"/>
  <c r="BW249" i="4"/>
  <c r="CA249" i="4"/>
  <c r="BV249" i="4"/>
  <c r="BZ249" i="4"/>
  <c r="BL249" i="4"/>
  <c r="BP249" i="4"/>
  <c r="BK249" i="4"/>
  <c r="BM249" i="4"/>
  <c r="AV249" i="4"/>
  <c r="AZ249" i="4"/>
  <c r="BD249" i="4"/>
  <c r="BH249" i="4"/>
  <c r="AO249" i="4"/>
  <c r="AS249" i="4"/>
  <c r="AF249" i="4"/>
  <c r="AD249" i="4"/>
  <c r="AU249" i="4"/>
  <c r="AY249" i="4"/>
  <c r="BC249" i="4"/>
  <c r="BG249" i="4"/>
  <c r="AL249" i="4"/>
  <c r="AP249" i="4"/>
  <c r="AT249" i="4"/>
  <c r="AK249" i="4"/>
  <c r="AC249" i="4"/>
  <c r="U249" i="4"/>
  <c r="S249" i="4"/>
  <c r="Q249" i="4"/>
  <c r="M249" i="4"/>
  <c r="AE249" i="4"/>
  <c r="Z249" i="4"/>
  <c r="X249" i="4"/>
  <c r="P249" i="4"/>
  <c r="L249" i="4"/>
  <c r="J249" i="4"/>
  <c r="G248" i="4"/>
  <c r="G173" i="4"/>
  <c r="CD172" i="4"/>
  <c r="CH172" i="4"/>
  <c r="CC172" i="4"/>
  <c r="CG172" i="4"/>
  <c r="BT172" i="4"/>
  <c r="BX172" i="4"/>
  <c r="BS172" i="4"/>
  <c r="BW172" i="4"/>
  <c r="CA172" i="4"/>
  <c r="BM172" i="4"/>
  <c r="BQ172" i="4"/>
  <c r="BL172" i="4"/>
  <c r="BP172" i="4"/>
  <c r="AU172" i="4"/>
  <c r="AY172" i="4"/>
  <c r="BC172" i="4"/>
  <c r="BG172" i="4"/>
  <c r="AV172" i="4"/>
  <c r="AZ172" i="4"/>
  <c r="BD172" i="4"/>
  <c r="BH172" i="4"/>
  <c r="AN172" i="4"/>
  <c r="AR172" i="4"/>
  <c r="AI172" i="4"/>
  <c r="AG172" i="4"/>
  <c r="AE172" i="4"/>
  <c r="AO172" i="4"/>
  <c r="AS172" i="4"/>
  <c r="AF172" i="4"/>
  <c r="AD172" i="4"/>
  <c r="AA172" i="4"/>
  <c r="Y172" i="4"/>
  <c r="W172" i="4"/>
  <c r="O172" i="4"/>
  <c r="K172" i="4"/>
  <c r="V172" i="4"/>
  <c r="T172" i="4"/>
  <c r="R172" i="4"/>
  <c r="N172" i="4"/>
  <c r="I172" i="4"/>
  <c r="CB172" i="4"/>
  <c r="CF172" i="4"/>
  <c r="CJ172" i="4"/>
  <c r="CE172" i="4"/>
  <c r="CI172" i="4"/>
  <c r="BV172" i="4"/>
  <c r="BZ172" i="4"/>
  <c r="BU172" i="4"/>
  <c r="BY172" i="4"/>
  <c r="BK172" i="4"/>
  <c r="BO172" i="4"/>
  <c r="BJ172" i="4"/>
  <c r="BN172" i="4"/>
  <c r="BR172" i="4"/>
  <c r="AW172" i="4"/>
  <c r="BA172" i="4"/>
  <c r="BE172" i="4"/>
  <c r="BI172" i="4"/>
  <c r="AX172" i="4"/>
  <c r="BB172" i="4"/>
  <c r="BF172" i="4"/>
  <c r="AL172" i="4"/>
  <c r="AP172" i="4"/>
  <c r="AT172" i="4"/>
  <c r="AK172" i="4"/>
  <c r="AC172" i="4"/>
  <c r="AM172" i="4"/>
  <c r="AQ172" i="4"/>
  <c r="AJ172" i="4"/>
  <c r="AH172" i="4"/>
  <c r="AB172" i="4"/>
  <c r="Z172" i="4"/>
  <c r="X172" i="4"/>
  <c r="P172" i="4"/>
  <c r="L172" i="4"/>
  <c r="J172" i="4"/>
  <c r="U172" i="4"/>
  <c r="S172" i="4"/>
  <c r="Q172" i="4"/>
  <c r="M172" i="4"/>
  <c r="H172" i="4"/>
  <c r="CC173" i="4"/>
  <c r="CG173" i="4"/>
  <c r="CB173" i="4"/>
  <c r="CF173" i="4"/>
  <c r="CJ173" i="4"/>
  <c r="BU173" i="4"/>
  <c r="BY173" i="4"/>
  <c r="BT173" i="4"/>
  <c r="BX173" i="4"/>
  <c r="BJ173" i="4"/>
  <c r="BN173" i="4"/>
  <c r="BR173" i="4"/>
  <c r="BM173" i="4"/>
  <c r="BQ173" i="4"/>
  <c r="AX173" i="4"/>
  <c r="BB173" i="4"/>
  <c r="BF173" i="4"/>
  <c r="AU173" i="4"/>
  <c r="AY173" i="4"/>
  <c r="BC173" i="4"/>
  <c r="BG173" i="4"/>
  <c r="AM173" i="4"/>
  <c r="AQ173" i="4"/>
  <c r="AJ173" i="4"/>
  <c r="AH173" i="4"/>
  <c r="AB173" i="4"/>
  <c r="AL173" i="4"/>
  <c r="AP173" i="4"/>
  <c r="AT173" i="4"/>
  <c r="AK173" i="4"/>
  <c r="AC173" i="4"/>
  <c r="V173" i="4"/>
  <c r="T173" i="4"/>
  <c r="R173" i="4"/>
  <c r="N173" i="4"/>
  <c r="I173" i="4"/>
  <c r="Y173" i="4"/>
  <c r="W173" i="4"/>
  <c r="O173" i="4"/>
  <c r="K173" i="4"/>
  <c r="H173" i="4"/>
  <c r="CE173" i="4"/>
  <c r="CI173" i="4"/>
  <c r="CD173" i="4"/>
  <c r="CH173" i="4"/>
  <c r="BS173" i="4"/>
  <c r="BW173" i="4"/>
  <c r="CA173" i="4"/>
  <c r="BV173" i="4"/>
  <c r="BZ173" i="4"/>
  <c r="BL173" i="4"/>
  <c r="BP173" i="4"/>
  <c r="BK173" i="4"/>
  <c r="BO173" i="4"/>
  <c r="AV173" i="4"/>
  <c r="AZ173" i="4"/>
  <c r="BD173" i="4"/>
  <c r="BH173" i="4"/>
  <c r="AW173" i="4"/>
  <c r="BA173" i="4"/>
  <c r="BE173" i="4"/>
  <c r="BI173" i="4"/>
  <c r="AO173" i="4"/>
  <c r="AS173" i="4"/>
  <c r="AF173" i="4"/>
  <c r="AD173" i="4"/>
  <c r="AA173" i="4"/>
  <c r="AN173" i="4"/>
  <c r="AR173" i="4"/>
  <c r="AI173" i="4"/>
  <c r="AG173" i="4"/>
  <c r="AE173" i="4"/>
  <c r="U173" i="4"/>
  <c r="S173" i="4"/>
  <c r="Q173" i="4"/>
  <c r="M173" i="4"/>
  <c r="Z173" i="4"/>
  <c r="X173" i="4"/>
  <c r="P173" i="4"/>
  <c r="L173" i="4"/>
  <c r="J173" i="4"/>
  <c r="G172" i="4"/>
  <c r="G149" i="4"/>
  <c r="CD148" i="4"/>
  <c r="CH148" i="4"/>
  <c r="CC148" i="4"/>
  <c r="CG148" i="4"/>
  <c r="BS148" i="4"/>
  <c r="BV148" i="4"/>
  <c r="BZ148" i="4"/>
  <c r="BW148" i="4"/>
  <c r="CA148" i="4"/>
  <c r="BM148" i="4"/>
  <c r="BQ148" i="4"/>
  <c r="BL148" i="4"/>
  <c r="BP148" i="4"/>
  <c r="AU148" i="4"/>
  <c r="AY148" i="4"/>
  <c r="BC148" i="4"/>
  <c r="BG148" i="4"/>
  <c r="AV148" i="4"/>
  <c r="AZ148" i="4"/>
  <c r="BD148" i="4"/>
  <c r="BH148" i="4"/>
  <c r="AN148" i="4"/>
  <c r="AR148" i="4"/>
  <c r="AI148" i="4"/>
  <c r="AG148" i="4"/>
  <c r="AE148" i="4"/>
  <c r="AO148" i="4"/>
  <c r="AS148" i="4"/>
  <c r="AF148" i="4"/>
  <c r="AD148" i="4"/>
  <c r="AA148" i="4"/>
  <c r="Y148" i="4"/>
  <c r="W148" i="4"/>
  <c r="O148" i="4"/>
  <c r="K148" i="4"/>
  <c r="V148" i="4"/>
  <c r="T148" i="4"/>
  <c r="R148" i="4"/>
  <c r="N148" i="4"/>
  <c r="I148" i="4"/>
  <c r="CB148" i="4"/>
  <c r="CF148" i="4"/>
  <c r="CJ148" i="4"/>
  <c r="CE148" i="4"/>
  <c r="CI148" i="4"/>
  <c r="BT148" i="4"/>
  <c r="BX148" i="4"/>
  <c r="BU148" i="4"/>
  <c r="BY148" i="4"/>
  <c r="BK148" i="4"/>
  <c r="BO148" i="4"/>
  <c r="BJ148" i="4"/>
  <c r="BN148" i="4"/>
  <c r="BR148" i="4"/>
  <c r="AW148" i="4"/>
  <c r="BA148" i="4"/>
  <c r="BE148" i="4"/>
  <c r="BI148" i="4"/>
  <c r="AX148" i="4"/>
  <c r="BB148" i="4"/>
  <c r="BF148" i="4"/>
  <c r="AL148" i="4"/>
  <c r="AP148" i="4"/>
  <c r="AT148" i="4"/>
  <c r="AK148" i="4"/>
  <c r="AC148" i="4"/>
  <c r="AM148" i="4"/>
  <c r="AQ148" i="4"/>
  <c r="AJ148" i="4"/>
  <c r="AH148" i="4"/>
  <c r="AB148" i="4"/>
  <c r="Z148" i="4"/>
  <c r="X148" i="4"/>
  <c r="P148" i="4"/>
  <c r="L148" i="4"/>
  <c r="J148" i="4"/>
  <c r="U148" i="4"/>
  <c r="S148" i="4"/>
  <c r="Q148" i="4"/>
  <c r="M148" i="4"/>
  <c r="H148" i="4"/>
  <c r="CE149" i="4"/>
  <c r="CI149" i="4"/>
  <c r="CD149" i="4"/>
  <c r="CH149" i="4"/>
  <c r="BS149" i="4"/>
  <c r="BW149" i="4"/>
  <c r="CA149" i="4"/>
  <c r="BV149" i="4"/>
  <c r="BZ149" i="4"/>
  <c r="BL149" i="4"/>
  <c r="BP149" i="4"/>
  <c r="BK149" i="4"/>
  <c r="BO149" i="4"/>
  <c r="AV149" i="4"/>
  <c r="AZ149" i="4"/>
  <c r="BD149" i="4"/>
  <c r="BH149" i="4"/>
  <c r="AW149" i="4"/>
  <c r="BA149" i="4"/>
  <c r="BE149" i="4"/>
  <c r="BI149" i="4"/>
  <c r="AO149" i="4"/>
  <c r="AS149" i="4"/>
  <c r="AF149" i="4"/>
  <c r="AD149" i="4"/>
  <c r="AA149" i="4"/>
  <c r="AN149" i="4"/>
  <c r="AR149" i="4"/>
  <c r="AI149" i="4"/>
  <c r="AG149" i="4"/>
  <c r="AE149" i="4"/>
  <c r="U149" i="4"/>
  <c r="S149" i="4"/>
  <c r="Q149" i="4"/>
  <c r="M149" i="4"/>
  <c r="Z149" i="4"/>
  <c r="X149" i="4"/>
  <c r="P149" i="4"/>
  <c r="L149" i="4"/>
  <c r="J149" i="4"/>
  <c r="CC149" i="4"/>
  <c r="CG149" i="4"/>
  <c r="CB149" i="4"/>
  <c r="CF149" i="4"/>
  <c r="CJ149" i="4"/>
  <c r="BU149" i="4"/>
  <c r="BY149" i="4"/>
  <c r="BT149" i="4"/>
  <c r="BX149" i="4"/>
  <c r="BJ149" i="4"/>
  <c r="BN149" i="4"/>
  <c r="BR149" i="4"/>
  <c r="BM149" i="4"/>
  <c r="BQ149" i="4"/>
  <c r="AX149" i="4"/>
  <c r="BB149" i="4"/>
  <c r="BF149" i="4"/>
  <c r="AU149" i="4"/>
  <c r="AY149" i="4"/>
  <c r="BC149" i="4"/>
  <c r="BG149" i="4"/>
  <c r="AM149" i="4"/>
  <c r="AQ149" i="4"/>
  <c r="AJ149" i="4"/>
  <c r="AH149" i="4"/>
  <c r="AB149" i="4"/>
  <c r="AL149" i="4"/>
  <c r="AP149" i="4"/>
  <c r="AT149" i="4"/>
  <c r="AK149" i="4"/>
  <c r="AC149" i="4"/>
  <c r="V149" i="4"/>
  <c r="T149" i="4"/>
  <c r="R149" i="4"/>
  <c r="N149" i="4"/>
  <c r="I149" i="4"/>
  <c r="Y149" i="4"/>
  <c r="W149" i="4"/>
  <c r="O149" i="4"/>
  <c r="K149" i="4"/>
  <c r="H149" i="4"/>
  <c r="G148" i="4"/>
  <c r="G133" i="4"/>
  <c r="CD132" i="4"/>
  <c r="CH132" i="4"/>
  <c r="CC132" i="4"/>
  <c r="CG132" i="4"/>
  <c r="BS132" i="4"/>
  <c r="BW132" i="4"/>
  <c r="CA132" i="4"/>
  <c r="BX132" i="4"/>
  <c r="BZ132" i="4"/>
  <c r="BM132" i="4"/>
  <c r="BQ132" i="4"/>
  <c r="BL132" i="4"/>
  <c r="BP132" i="4"/>
  <c r="AU132" i="4"/>
  <c r="AY132" i="4"/>
  <c r="BC132" i="4"/>
  <c r="BG132" i="4"/>
  <c r="AV132" i="4"/>
  <c r="AZ132" i="4"/>
  <c r="BD132" i="4"/>
  <c r="BH132" i="4"/>
  <c r="AN132" i="4"/>
  <c r="AR132" i="4"/>
  <c r="AI132" i="4"/>
  <c r="AG132" i="4"/>
  <c r="AE132" i="4"/>
  <c r="AO132" i="4"/>
  <c r="AS132" i="4"/>
  <c r="AF132" i="4"/>
  <c r="AD132" i="4"/>
  <c r="AA132" i="4"/>
  <c r="Y132" i="4"/>
  <c r="W132" i="4"/>
  <c r="O132" i="4"/>
  <c r="K132" i="4"/>
  <c r="V132" i="4"/>
  <c r="T132" i="4"/>
  <c r="R132" i="4"/>
  <c r="N132" i="4"/>
  <c r="I132" i="4"/>
  <c r="CB132" i="4"/>
  <c r="CF132" i="4"/>
  <c r="CJ132" i="4"/>
  <c r="CE132" i="4"/>
  <c r="CI132" i="4"/>
  <c r="BU132" i="4"/>
  <c r="BY132" i="4"/>
  <c r="BT132" i="4"/>
  <c r="BV132" i="4"/>
  <c r="BK132" i="4"/>
  <c r="BO132" i="4"/>
  <c r="BJ132" i="4"/>
  <c r="BN132" i="4"/>
  <c r="BR132" i="4"/>
  <c r="AW132" i="4"/>
  <c r="BA132" i="4"/>
  <c r="BE132" i="4"/>
  <c r="BI132" i="4"/>
  <c r="AX132" i="4"/>
  <c r="BB132" i="4"/>
  <c r="BF132" i="4"/>
  <c r="AL132" i="4"/>
  <c r="AP132" i="4"/>
  <c r="AT132" i="4"/>
  <c r="AK132" i="4"/>
  <c r="AC132" i="4"/>
  <c r="AM132" i="4"/>
  <c r="AQ132" i="4"/>
  <c r="AJ132" i="4"/>
  <c r="AH132" i="4"/>
  <c r="AB132" i="4"/>
  <c r="Z132" i="4"/>
  <c r="X132" i="4"/>
  <c r="P132" i="4"/>
  <c r="L132" i="4"/>
  <c r="J132" i="4"/>
  <c r="U132" i="4"/>
  <c r="S132" i="4"/>
  <c r="Q132" i="4"/>
  <c r="M132" i="4"/>
  <c r="H132" i="4"/>
  <c r="CC133" i="4"/>
  <c r="CG133" i="4"/>
  <c r="CB133" i="4"/>
  <c r="CF133" i="4"/>
  <c r="CJ133" i="4"/>
  <c r="BV133" i="4"/>
  <c r="BZ133" i="4"/>
  <c r="BW133" i="4"/>
  <c r="BU133" i="4"/>
  <c r="BJ133" i="4"/>
  <c r="BN133" i="4"/>
  <c r="BR133" i="4"/>
  <c r="BM133" i="4"/>
  <c r="BQ133" i="4"/>
  <c r="AX133" i="4"/>
  <c r="BB133" i="4"/>
  <c r="BF133" i="4"/>
  <c r="AU133" i="4"/>
  <c r="AY133" i="4"/>
  <c r="BC133" i="4"/>
  <c r="BG133" i="4"/>
  <c r="AM133" i="4"/>
  <c r="AQ133" i="4"/>
  <c r="AJ133" i="4"/>
  <c r="AH133" i="4"/>
  <c r="AB133" i="4"/>
  <c r="AL133" i="4"/>
  <c r="AP133" i="4"/>
  <c r="AT133" i="4"/>
  <c r="AK133" i="4"/>
  <c r="AC133" i="4"/>
  <c r="V133" i="4"/>
  <c r="T133" i="4"/>
  <c r="R133" i="4"/>
  <c r="N133" i="4"/>
  <c r="I133" i="4"/>
  <c r="Y133" i="4"/>
  <c r="W133" i="4"/>
  <c r="O133" i="4"/>
  <c r="K133" i="4"/>
  <c r="H133" i="4"/>
  <c r="CE133" i="4"/>
  <c r="CI133" i="4"/>
  <c r="CD133" i="4"/>
  <c r="CH133" i="4"/>
  <c r="BT133" i="4"/>
  <c r="BX133" i="4"/>
  <c r="BS133" i="4"/>
  <c r="CA133" i="4"/>
  <c r="BY133" i="4"/>
  <c r="BL133" i="4"/>
  <c r="BP133" i="4"/>
  <c r="BK133" i="4"/>
  <c r="BO133" i="4"/>
  <c r="AV133" i="4"/>
  <c r="AZ133" i="4"/>
  <c r="BD133" i="4"/>
  <c r="BH133" i="4"/>
  <c r="AW133" i="4"/>
  <c r="BA133" i="4"/>
  <c r="BE133" i="4"/>
  <c r="BI133" i="4"/>
  <c r="AO133" i="4"/>
  <c r="AS133" i="4"/>
  <c r="AF133" i="4"/>
  <c r="AD133" i="4"/>
  <c r="AA133" i="4"/>
  <c r="AN133" i="4"/>
  <c r="AR133" i="4"/>
  <c r="AI133" i="4"/>
  <c r="AG133" i="4"/>
  <c r="AE133" i="4"/>
  <c r="U133" i="4"/>
  <c r="S133" i="4"/>
  <c r="Q133" i="4"/>
  <c r="M133" i="4"/>
  <c r="Z133" i="4"/>
  <c r="X133" i="4"/>
  <c r="P133" i="4"/>
  <c r="L133" i="4"/>
  <c r="J133" i="4"/>
  <c r="G132" i="4"/>
  <c r="CC92" i="4"/>
  <c r="CG92" i="4"/>
  <c r="CB92" i="4"/>
  <c r="CF92" i="4"/>
  <c r="CJ92" i="4"/>
  <c r="BU92" i="4"/>
  <c r="BY92" i="4"/>
  <c r="BT92" i="4"/>
  <c r="BV92" i="4"/>
  <c r="BK92" i="4"/>
  <c r="BO92" i="4"/>
  <c r="BJ92" i="4"/>
  <c r="BN92" i="4"/>
  <c r="BR92" i="4"/>
  <c r="AW92" i="4"/>
  <c r="BA92" i="4"/>
  <c r="BE92" i="4"/>
  <c r="BI92" i="4"/>
  <c r="AX92" i="4"/>
  <c r="BB92" i="4"/>
  <c r="BF92" i="4"/>
  <c r="AL92" i="4"/>
  <c r="AP92" i="4"/>
  <c r="AT92" i="4"/>
  <c r="AK92" i="4"/>
  <c r="AC92" i="4"/>
  <c r="AM92" i="4"/>
  <c r="AQ92" i="4"/>
  <c r="AJ92" i="4"/>
  <c r="AH92" i="4"/>
  <c r="AB92" i="4"/>
  <c r="Z92" i="4"/>
  <c r="X92" i="4"/>
  <c r="P92" i="4"/>
  <c r="L92" i="4"/>
  <c r="J92" i="4"/>
  <c r="U92" i="4"/>
  <c r="S92" i="4"/>
  <c r="Q92" i="4"/>
  <c r="M92" i="4"/>
  <c r="H92" i="4"/>
  <c r="CE92" i="4"/>
  <c r="CI92" i="4"/>
  <c r="CD92" i="4"/>
  <c r="CH92" i="4"/>
  <c r="BS92" i="4"/>
  <c r="BW92" i="4"/>
  <c r="CA92" i="4"/>
  <c r="BX92" i="4"/>
  <c r="BZ92" i="4"/>
  <c r="BM92" i="4"/>
  <c r="BQ92" i="4"/>
  <c r="BL92" i="4"/>
  <c r="BP92" i="4"/>
  <c r="AU92" i="4"/>
  <c r="AY92" i="4"/>
  <c r="BC92" i="4"/>
  <c r="BG92" i="4"/>
  <c r="AV92" i="4"/>
  <c r="AZ92" i="4"/>
  <c r="BD92" i="4"/>
  <c r="BH92" i="4"/>
  <c r="AN92" i="4"/>
  <c r="AR92" i="4"/>
  <c r="AI92" i="4"/>
  <c r="AG92" i="4"/>
  <c r="AE92" i="4"/>
  <c r="AO92" i="4"/>
  <c r="AS92" i="4"/>
  <c r="AF92" i="4"/>
  <c r="AD92" i="4"/>
  <c r="AA92" i="4"/>
  <c r="Y92" i="4"/>
  <c r="W92" i="4"/>
  <c r="O92" i="4"/>
  <c r="K92" i="4"/>
  <c r="V92" i="4"/>
  <c r="T92" i="4"/>
  <c r="R92" i="4"/>
  <c r="N92" i="4"/>
  <c r="I92" i="4"/>
  <c r="G92" i="4"/>
  <c r="CC76" i="4"/>
  <c r="CG76" i="4"/>
  <c r="CB76" i="4"/>
  <c r="CF76" i="4"/>
  <c r="CJ76" i="4"/>
  <c r="BU76" i="4"/>
  <c r="BY76" i="4"/>
  <c r="BT76" i="4"/>
  <c r="BV76" i="4"/>
  <c r="BK76" i="4"/>
  <c r="BO76" i="4"/>
  <c r="BJ76" i="4"/>
  <c r="BN76" i="4"/>
  <c r="BR76" i="4"/>
  <c r="AW76" i="4"/>
  <c r="BA76" i="4"/>
  <c r="BE76" i="4"/>
  <c r="BI76" i="4"/>
  <c r="AX76" i="4"/>
  <c r="BB76" i="4"/>
  <c r="BF76" i="4"/>
  <c r="AL76" i="4"/>
  <c r="AP76" i="4"/>
  <c r="AT76" i="4"/>
  <c r="AK76" i="4"/>
  <c r="AC76" i="4"/>
  <c r="AM76" i="4"/>
  <c r="AQ76" i="4"/>
  <c r="AJ76" i="4"/>
  <c r="AH76" i="4"/>
  <c r="AB76" i="4"/>
  <c r="Z76" i="4"/>
  <c r="X76" i="4"/>
  <c r="P76" i="4"/>
  <c r="L76" i="4"/>
  <c r="V76" i="4"/>
  <c r="T76" i="4"/>
  <c r="R76" i="4"/>
  <c r="N76" i="4"/>
  <c r="I76" i="4"/>
  <c r="H76" i="4"/>
  <c r="CD77" i="4"/>
  <c r="CH77" i="4"/>
  <c r="CC77" i="4"/>
  <c r="CG77" i="4"/>
  <c r="BT77" i="4"/>
  <c r="BX77" i="4"/>
  <c r="BS77" i="4"/>
  <c r="CA77" i="4"/>
  <c r="BY77" i="4"/>
  <c r="BL77" i="4"/>
  <c r="BP77" i="4"/>
  <c r="BK77" i="4"/>
  <c r="BO77" i="4"/>
  <c r="AV77" i="4"/>
  <c r="AZ77" i="4"/>
  <c r="BD77" i="4"/>
  <c r="BH77" i="4"/>
  <c r="AW77" i="4"/>
  <c r="BA77" i="4"/>
  <c r="BE77" i="4"/>
  <c r="BI77" i="4"/>
  <c r="AO77" i="4"/>
  <c r="AS77" i="4"/>
  <c r="AF77" i="4"/>
  <c r="AD77" i="4"/>
  <c r="AA77" i="4"/>
  <c r="AN77" i="4"/>
  <c r="AR77" i="4"/>
  <c r="AI77" i="4"/>
  <c r="AG77" i="4"/>
  <c r="AE77" i="4"/>
  <c r="U77" i="4"/>
  <c r="S77" i="4"/>
  <c r="Q77" i="4"/>
  <c r="M77" i="4"/>
  <c r="Z77" i="4"/>
  <c r="X77" i="4"/>
  <c r="P77" i="4"/>
  <c r="L77" i="4"/>
  <c r="J77" i="4"/>
  <c r="CC78" i="4"/>
  <c r="CG78" i="4"/>
  <c r="CB78" i="4"/>
  <c r="CF78" i="4"/>
  <c r="CJ78" i="4"/>
  <c r="BU78" i="4"/>
  <c r="BY78" i="4"/>
  <c r="BV78" i="4"/>
  <c r="BT78" i="4"/>
  <c r="BK78" i="4"/>
  <c r="BO78" i="4"/>
  <c r="BJ78" i="4"/>
  <c r="BN78" i="4"/>
  <c r="BR78" i="4"/>
  <c r="AW78" i="4"/>
  <c r="BA78" i="4"/>
  <c r="BE78" i="4"/>
  <c r="BI78" i="4"/>
  <c r="AX78" i="4"/>
  <c r="BB78" i="4"/>
  <c r="BF78" i="4"/>
  <c r="AL78" i="4"/>
  <c r="AP78" i="4"/>
  <c r="AT78" i="4"/>
  <c r="AK78" i="4"/>
  <c r="AC78" i="4"/>
  <c r="AM78" i="4"/>
  <c r="AQ78" i="4"/>
  <c r="AJ78" i="4"/>
  <c r="AH78" i="4"/>
  <c r="Z78" i="4"/>
  <c r="X78" i="4"/>
  <c r="P78" i="4"/>
  <c r="L78" i="4"/>
  <c r="J78" i="4"/>
  <c r="AB78" i="4"/>
  <c r="V78" i="4"/>
  <c r="T78" i="4"/>
  <c r="R78" i="4"/>
  <c r="N78" i="4"/>
  <c r="I78" i="4"/>
  <c r="CE76" i="4"/>
  <c r="CI76" i="4"/>
  <c r="CD76" i="4"/>
  <c r="CH76" i="4"/>
  <c r="BS76" i="4"/>
  <c r="BW76" i="4"/>
  <c r="CA76" i="4"/>
  <c r="BX76" i="4"/>
  <c r="BZ76" i="4"/>
  <c r="BM76" i="4"/>
  <c r="BQ76" i="4"/>
  <c r="BL76" i="4"/>
  <c r="BP76" i="4"/>
  <c r="AU76" i="4"/>
  <c r="AY76" i="4"/>
  <c r="BC76" i="4"/>
  <c r="BG76" i="4"/>
  <c r="AV76" i="4"/>
  <c r="AZ76" i="4"/>
  <c r="BD76" i="4"/>
  <c r="BH76" i="4"/>
  <c r="AN76" i="4"/>
  <c r="AR76" i="4"/>
  <c r="AI76" i="4"/>
  <c r="AG76" i="4"/>
  <c r="AE76" i="4"/>
  <c r="AO76" i="4"/>
  <c r="AS76" i="4"/>
  <c r="AF76" i="4"/>
  <c r="AD76" i="4"/>
  <c r="AA76" i="4"/>
  <c r="Y76" i="4"/>
  <c r="W76" i="4"/>
  <c r="O76" i="4"/>
  <c r="K76" i="4"/>
  <c r="U76" i="4"/>
  <c r="S76" i="4"/>
  <c r="Q76" i="4"/>
  <c r="M76" i="4"/>
  <c r="J76" i="4"/>
  <c r="CB77" i="4"/>
  <c r="CF77" i="4"/>
  <c r="CJ77" i="4"/>
  <c r="CE77" i="4"/>
  <c r="CI77" i="4"/>
  <c r="BV77" i="4"/>
  <c r="BZ77" i="4"/>
  <c r="BW77" i="4"/>
  <c r="BU77" i="4"/>
  <c r="BJ77" i="4"/>
  <c r="BN77" i="4"/>
  <c r="BR77" i="4"/>
  <c r="BM77" i="4"/>
  <c r="BQ77" i="4"/>
  <c r="AX77" i="4"/>
  <c r="BB77" i="4"/>
  <c r="BF77" i="4"/>
  <c r="AU77" i="4"/>
  <c r="AY77" i="4"/>
  <c r="BC77" i="4"/>
  <c r="BG77" i="4"/>
  <c r="AM77" i="4"/>
  <c r="AQ77" i="4"/>
  <c r="AJ77" i="4"/>
  <c r="AH77" i="4"/>
  <c r="AB77" i="4"/>
  <c r="AL77" i="4"/>
  <c r="AP77" i="4"/>
  <c r="AT77" i="4"/>
  <c r="AK77" i="4"/>
  <c r="AC77" i="4"/>
  <c r="V77" i="4"/>
  <c r="T77" i="4"/>
  <c r="R77" i="4"/>
  <c r="N77" i="4"/>
  <c r="I77" i="4"/>
  <c r="Y77" i="4"/>
  <c r="W77" i="4"/>
  <c r="O77" i="4"/>
  <c r="K77" i="4"/>
  <c r="H77" i="4"/>
  <c r="CE78" i="4"/>
  <c r="CI78" i="4"/>
  <c r="CD78" i="4"/>
  <c r="CH78" i="4"/>
  <c r="BS78" i="4"/>
  <c r="BW78" i="4"/>
  <c r="CA78" i="4"/>
  <c r="BZ78" i="4"/>
  <c r="BX78" i="4"/>
  <c r="BM78" i="4"/>
  <c r="BQ78" i="4"/>
  <c r="BL78" i="4"/>
  <c r="BP78" i="4"/>
  <c r="AU78" i="4"/>
  <c r="AY78" i="4"/>
  <c r="BC78" i="4"/>
  <c r="BG78" i="4"/>
  <c r="AV78" i="4"/>
  <c r="AZ78" i="4"/>
  <c r="BD78" i="4"/>
  <c r="BH78" i="4"/>
  <c r="AN78" i="4"/>
  <c r="AR78" i="4"/>
  <c r="AI78" i="4"/>
  <c r="AG78" i="4"/>
  <c r="AE78" i="4"/>
  <c r="AO78" i="4"/>
  <c r="AS78" i="4"/>
  <c r="AF78" i="4"/>
  <c r="AD78" i="4"/>
  <c r="Y78" i="4"/>
  <c r="W78" i="4"/>
  <c r="O78" i="4"/>
  <c r="K78" i="4"/>
  <c r="H78" i="4"/>
  <c r="AA78" i="4"/>
  <c r="U78" i="4"/>
  <c r="S78" i="4"/>
  <c r="Q78" i="4"/>
  <c r="M78" i="4"/>
  <c r="G77" i="4"/>
  <c r="G78" i="4"/>
  <c r="G76" i="4"/>
  <c r="CE44" i="4"/>
  <c r="CI44" i="4"/>
  <c r="CH44" i="4"/>
  <c r="CF44" i="4"/>
  <c r="BS44" i="4"/>
  <c r="BW44" i="4"/>
  <c r="CA44" i="4"/>
  <c r="BV44" i="4"/>
  <c r="BZ44" i="4"/>
  <c r="BM44" i="4"/>
  <c r="BQ44" i="4"/>
  <c r="AX44" i="4"/>
  <c r="BB44" i="4"/>
  <c r="BF44" i="4"/>
  <c r="BJ44" i="4"/>
  <c r="BN44" i="4"/>
  <c r="BR44" i="4"/>
  <c r="BA44" i="4"/>
  <c r="BI44" i="4"/>
  <c r="AY44" i="4"/>
  <c r="BG44" i="4"/>
  <c r="AN44" i="4"/>
  <c r="AR44" i="4"/>
  <c r="AI44" i="4"/>
  <c r="AG44" i="4"/>
  <c r="AE44" i="4"/>
  <c r="AO44" i="4"/>
  <c r="AS44" i="4"/>
  <c r="AF44" i="4"/>
  <c r="AD44" i="4"/>
  <c r="AA44" i="4"/>
  <c r="Y44" i="4"/>
  <c r="W44" i="4"/>
  <c r="O44" i="4"/>
  <c r="K44" i="4"/>
  <c r="H44" i="4"/>
  <c r="U44" i="4"/>
  <c r="S44" i="4"/>
  <c r="Q44" i="4"/>
  <c r="M44" i="4"/>
  <c r="CC44" i="4"/>
  <c r="CG44" i="4"/>
  <c r="CD44" i="4"/>
  <c r="CB44" i="4"/>
  <c r="CJ44" i="4"/>
  <c r="BU44" i="4"/>
  <c r="BY44" i="4"/>
  <c r="BT44" i="4"/>
  <c r="BX44" i="4"/>
  <c r="BK44" i="4"/>
  <c r="BO44" i="4"/>
  <c r="AV44" i="4"/>
  <c r="AZ44" i="4"/>
  <c r="BD44" i="4"/>
  <c r="BH44" i="4"/>
  <c r="BL44" i="4"/>
  <c r="BP44" i="4"/>
  <c r="AW44" i="4"/>
  <c r="BE44" i="4"/>
  <c r="AU44" i="4"/>
  <c r="BC44" i="4"/>
  <c r="AL44" i="4"/>
  <c r="AP44" i="4"/>
  <c r="AT44" i="4"/>
  <c r="AK44" i="4"/>
  <c r="AC44" i="4"/>
  <c r="AM44" i="4"/>
  <c r="AQ44" i="4"/>
  <c r="AJ44" i="4"/>
  <c r="AH44" i="4"/>
  <c r="AB44" i="4"/>
  <c r="Z44" i="4"/>
  <c r="X44" i="4"/>
  <c r="P44" i="4"/>
  <c r="L44" i="4"/>
  <c r="J44" i="4"/>
  <c r="V44" i="4"/>
  <c r="T44" i="4"/>
  <c r="R44" i="4"/>
  <c r="N44" i="4"/>
  <c r="I44" i="4"/>
  <c r="G44" i="4"/>
  <c r="CB20" i="4"/>
  <c r="CF20" i="4"/>
  <c r="CJ20" i="4"/>
  <c r="CE20" i="4"/>
  <c r="CI20" i="4"/>
  <c r="BU20" i="4"/>
  <c r="BY20" i="4"/>
  <c r="BT20" i="4"/>
  <c r="BX20" i="4"/>
  <c r="BK20" i="4"/>
  <c r="BO20" i="4"/>
  <c r="BJ20" i="4"/>
  <c r="BR20" i="4"/>
  <c r="AX20" i="4"/>
  <c r="BB20" i="4"/>
  <c r="BF20" i="4"/>
  <c r="BL20" i="4"/>
  <c r="AW20" i="4"/>
  <c r="BE20" i="4"/>
  <c r="AU20" i="4"/>
  <c r="BC20" i="4"/>
  <c r="AL20" i="4"/>
  <c r="AP20" i="4"/>
  <c r="AT20" i="4"/>
  <c r="AK20" i="4"/>
  <c r="AC20" i="4"/>
  <c r="AM20" i="4"/>
  <c r="AQ20" i="4"/>
  <c r="AJ20" i="4"/>
  <c r="AH20" i="4"/>
  <c r="AB20" i="4"/>
  <c r="Z20" i="4"/>
  <c r="X20" i="4"/>
  <c r="P20" i="4"/>
  <c r="L20" i="4"/>
  <c r="J20" i="4"/>
  <c r="U20" i="4"/>
  <c r="S20" i="4"/>
  <c r="Q20" i="4"/>
  <c r="M20" i="4"/>
  <c r="H20" i="4"/>
  <c r="CD20" i="4"/>
  <c r="CH20" i="4"/>
  <c r="CC20" i="4"/>
  <c r="CG20" i="4"/>
  <c r="BS20" i="4"/>
  <c r="BW20" i="4"/>
  <c r="CA20" i="4"/>
  <c r="BV20" i="4"/>
  <c r="BZ20" i="4"/>
  <c r="BM20" i="4"/>
  <c r="BQ20" i="4"/>
  <c r="BN20" i="4"/>
  <c r="AV20" i="4"/>
  <c r="AZ20" i="4"/>
  <c r="BD20" i="4"/>
  <c r="BH20" i="4"/>
  <c r="BP20" i="4"/>
  <c r="BA20" i="4"/>
  <c r="BI20" i="4"/>
  <c r="AY20" i="4"/>
  <c r="BG20" i="4"/>
  <c r="AN20" i="4"/>
  <c r="AR20" i="4"/>
  <c r="AI20" i="4"/>
  <c r="AG20" i="4"/>
  <c r="AE20" i="4"/>
  <c r="AO20" i="4"/>
  <c r="AS20" i="4"/>
  <c r="AF20" i="4"/>
  <c r="AD20" i="4"/>
  <c r="AA20" i="4"/>
  <c r="Y20" i="4"/>
  <c r="W20" i="4"/>
  <c r="O20" i="4"/>
  <c r="K20" i="4"/>
  <c r="V20" i="4"/>
  <c r="T20" i="4"/>
  <c r="R20" i="4"/>
  <c r="N20" i="4"/>
  <c r="I20" i="4"/>
  <c r="G20" i="4"/>
  <c r="CD134" i="4"/>
  <c r="CH134" i="4"/>
  <c r="CC134" i="4"/>
  <c r="CG134" i="4"/>
  <c r="BS134" i="4"/>
  <c r="BW134" i="4"/>
  <c r="CA134" i="4"/>
  <c r="BZ134" i="4"/>
  <c r="BX134" i="4"/>
  <c r="BM134" i="4"/>
  <c r="BQ134" i="4"/>
  <c r="BL134" i="4"/>
  <c r="BP134" i="4"/>
  <c r="AU134" i="4"/>
  <c r="AY134" i="4"/>
  <c r="BC134" i="4"/>
  <c r="BG134" i="4"/>
  <c r="AV134" i="4"/>
  <c r="AZ134" i="4"/>
  <c r="BD134" i="4"/>
  <c r="BH134" i="4"/>
  <c r="AN134" i="4"/>
  <c r="AR134" i="4"/>
  <c r="AI134" i="4"/>
  <c r="AG134" i="4"/>
  <c r="AE134" i="4"/>
  <c r="AO134" i="4"/>
  <c r="AS134" i="4"/>
  <c r="AF134" i="4"/>
  <c r="AD134" i="4"/>
  <c r="Y134" i="4"/>
  <c r="W134" i="4"/>
  <c r="O134" i="4"/>
  <c r="K134" i="4"/>
  <c r="AA134" i="4"/>
  <c r="U134" i="4"/>
  <c r="S134" i="4"/>
  <c r="Q134" i="4"/>
  <c r="M134" i="4"/>
  <c r="J134" i="4"/>
  <c r="G134" i="4"/>
  <c r="CB134" i="4"/>
  <c r="CF134" i="4"/>
  <c r="CJ134" i="4"/>
  <c r="CE134" i="4"/>
  <c r="CI134" i="4"/>
  <c r="BU134" i="4"/>
  <c r="BY134" i="4"/>
  <c r="BV134" i="4"/>
  <c r="BT134" i="4"/>
  <c r="BK134" i="4"/>
  <c r="BO134" i="4"/>
  <c r="BJ134" i="4"/>
  <c r="BN134" i="4"/>
  <c r="BR134" i="4"/>
  <c r="AW134" i="4"/>
  <c r="BA134" i="4"/>
  <c r="BE134" i="4"/>
  <c r="BI134" i="4"/>
  <c r="AX134" i="4"/>
  <c r="BB134" i="4"/>
  <c r="BF134" i="4"/>
  <c r="AL134" i="4"/>
  <c r="AP134" i="4"/>
  <c r="AT134" i="4"/>
  <c r="AK134" i="4"/>
  <c r="AC134" i="4"/>
  <c r="AM134" i="4"/>
  <c r="AQ134" i="4"/>
  <c r="AJ134" i="4"/>
  <c r="AH134" i="4"/>
  <c r="Z134" i="4"/>
  <c r="X134" i="4"/>
  <c r="P134" i="4"/>
  <c r="L134" i="4"/>
  <c r="AB134" i="4"/>
  <c r="V134" i="4"/>
  <c r="T134" i="4"/>
  <c r="R134" i="4"/>
  <c r="N134" i="4"/>
  <c r="I134" i="4"/>
  <c r="H134" i="4"/>
  <c r="CD87" i="4"/>
  <c r="CH87" i="4"/>
  <c r="CC87" i="4"/>
  <c r="CG87" i="4"/>
  <c r="BT87" i="4"/>
  <c r="BX87" i="4"/>
  <c r="BU87" i="4"/>
  <c r="BS87" i="4"/>
  <c r="CA87" i="4"/>
  <c r="BL87" i="4"/>
  <c r="BP87" i="4"/>
  <c r="BK87" i="4"/>
  <c r="BO87" i="4"/>
  <c r="AV87" i="4"/>
  <c r="AZ87" i="4"/>
  <c r="BD87" i="4"/>
  <c r="BH87" i="4"/>
  <c r="AW87" i="4"/>
  <c r="BA87" i="4"/>
  <c r="BE87" i="4"/>
  <c r="BI87" i="4"/>
  <c r="AO87" i="4"/>
  <c r="AS87" i="4"/>
  <c r="AF87" i="4"/>
  <c r="AD87" i="4"/>
  <c r="AA87" i="4"/>
  <c r="AN87" i="4"/>
  <c r="AR87" i="4"/>
  <c r="AI87" i="4"/>
  <c r="AG87" i="4"/>
  <c r="AE87" i="4"/>
  <c r="U87" i="4"/>
  <c r="S87" i="4"/>
  <c r="Q87" i="4"/>
  <c r="M87" i="4"/>
  <c r="Z87" i="4"/>
  <c r="X87" i="4"/>
  <c r="P87" i="4"/>
  <c r="L87" i="4"/>
  <c r="J87" i="4"/>
  <c r="CB87" i="4"/>
  <c r="CF87" i="4"/>
  <c r="CJ87" i="4"/>
  <c r="CE87" i="4"/>
  <c r="CI87" i="4"/>
  <c r="BV87" i="4"/>
  <c r="BZ87" i="4"/>
  <c r="BY87" i="4"/>
  <c r="BW87" i="4"/>
  <c r="BJ87" i="4"/>
  <c r="BN87" i="4"/>
  <c r="BR87" i="4"/>
  <c r="BM87" i="4"/>
  <c r="BQ87" i="4"/>
  <c r="AX87" i="4"/>
  <c r="BB87" i="4"/>
  <c r="BF87" i="4"/>
  <c r="AU87" i="4"/>
  <c r="AY87" i="4"/>
  <c r="BC87" i="4"/>
  <c r="BG87" i="4"/>
  <c r="AM87" i="4"/>
  <c r="AQ87" i="4"/>
  <c r="AJ87" i="4"/>
  <c r="AH87" i="4"/>
  <c r="AB87" i="4"/>
  <c r="AL87" i="4"/>
  <c r="AP87" i="4"/>
  <c r="AT87" i="4"/>
  <c r="AK87" i="4"/>
  <c r="AC87" i="4"/>
  <c r="V87" i="4"/>
  <c r="T87" i="4"/>
  <c r="R87" i="4"/>
  <c r="N87" i="4"/>
  <c r="I87" i="4"/>
  <c r="Y87" i="4"/>
  <c r="W87" i="4"/>
  <c r="O87" i="4"/>
  <c r="K87" i="4"/>
  <c r="H87" i="4"/>
  <c r="CE88" i="4"/>
  <c r="CI88" i="4"/>
  <c r="CD88" i="4"/>
  <c r="CH88" i="4"/>
  <c r="BS88" i="4"/>
  <c r="BW88" i="4"/>
  <c r="CA88" i="4"/>
  <c r="BX88" i="4"/>
  <c r="BZ88" i="4"/>
  <c r="BM88" i="4"/>
  <c r="BQ88" i="4"/>
  <c r="BL88" i="4"/>
  <c r="BP88" i="4"/>
  <c r="AU88" i="4"/>
  <c r="AY88" i="4"/>
  <c r="BC88" i="4"/>
  <c r="BG88" i="4"/>
  <c r="AV88" i="4"/>
  <c r="AZ88" i="4"/>
  <c r="BD88" i="4"/>
  <c r="BH88" i="4"/>
  <c r="AN88" i="4"/>
  <c r="AR88" i="4"/>
  <c r="AI88" i="4"/>
  <c r="AG88" i="4"/>
  <c r="AE88" i="4"/>
  <c r="AO88" i="4"/>
  <c r="AS88" i="4"/>
  <c r="AF88" i="4"/>
  <c r="AD88" i="4"/>
  <c r="AA88" i="4"/>
  <c r="Y88" i="4"/>
  <c r="W88" i="4"/>
  <c r="O88" i="4"/>
  <c r="K88" i="4"/>
  <c r="U88" i="4"/>
  <c r="S88" i="4"/>
  <c r="Q88" i="4"/>
  <c r="M88" i="4"/>
  <c r="J88" i="4"/>
  <c r="G87" i="4"/>
  <c r="CC88" i="4"/>
  <c r="CG88" i="4"/>
  <c r="CB88" i="4"/>
  <c r="CF88" i="4"/>
  <c r="CJ88" i="4"/>
  <c r="BU88" i="4"/>
  <c r="BY88" i="4"/>
  <c r="BT88" i="4"/>
  <c r="BV88" i="4"/>
  <c r="BK88" i="4"/>
  <c r="BO88" i="4"/>
  <c r="BJ88" i="4"/>
  <c r="BN88" i="4"/>
  <c r="BR88" i="4"/>
  <c r="AW88" i="4"/>
  <c r="BA88" i="4"/>
  <c r="BE88" i="4"/>
  <c r="BI88" i="4"/>
  <c r="AX88" i="4"/>
  <c r="BB88" i="4"/>
  <c r="BF88" i="4"/>
  <c r="AL88" i="4"/>
  <c r="AP88" i="4"/>
  <c r="AT88" i="4"/>
  <c r="AK88" i="4"/>
  <c r="AC88" i="4"/>
  <c r="AM88" i="4"/>
  <c r="AQ88" i="4"/>
  <c r="AJ88" i="4"/>
  <c r="AH88" i="4"/>
  <c r="AB88" i="4"/>
  <c r="Z88" i="4"/>
  <c r="X88" i="4"/>
  <c r="P88" i="4"/>
  <c r="L88" i="4"/>
  <c r="V88" i="4"/>
  <c r="T88" i="4"/>
  <c r="R88" i="4"/>
  <c r="N88" i="4"/>
  <c r="I88" i="4"/>
  <c r="H88" i="4"/>
  <c r="G88" i="4"/>
  <c r="CD71" i="4"/>
  <c r="CH71" i="4"/>
  <c r="CE71" i="4"/>
  <c r="CC71" i="4"/>
  <c r="BT71" i="4"/>
  <c r="BX71" i="4"/>
  <c r="BU71" i="4"/>
  <c r="BS71" i="4"/>
  <c r="CA71" i="4"/>
  <c r="BL71" i="4"/>
  <c r="BP71" i="4"/>
  <c r="BK71" i="4"/>
  <c r="BO71" i="4"/>
  <c r="AV71" i="4"/>
  <c r="AZ71" i="4"/>
  <c r="BD71" i="4"/>
  <c r="BH71" i="4"/>
  <c r="AW71" i="4"/>
  <c r="BA71" i="4"/>
  <c r="BE71" i="4"/>
  <c r="BI71" i="4"/>
  <c r="AO71" i="4"/>
  <c r="AS71" i="4"/>
  <c r="AF71" i="4"/>
  <c r="AD71" i="4"/>
  <c r="AA71" i="4"/>
  <c r="AN71" i="4"/>
  <c r="AR71" i="4"/>
  <c r="AI71" i="4"/>
  <c r="AG71" i="4"/>
  <c r="AE71" i="4"/>
  <c r="U71" i="4"/>
  <c r="S71" i="4"/>
  <c r="Q71" i="4"/>
  <c r="M71" i="4"/>
  <c r="Y71" i="4"/>
  <c r="W71" i="4"/>
  <c r="O71" i="4"/>
  <c r="K71" i="4"/>
  <c r="H71" i="4"/>
  <c r="CB71" i="4"/>
  <c r="CF71" i="4"/>
  <c r="CJ71" i="4"/>
  <c r="CI71" i="4"/>
  <c r="CG71" i="4"/>
  <c r="BV71" i="4"/>
  <c r="BZ71" i="4"/>
  <c r="BY71" i="4"/>
  <c r="BW71" i="4"/>
  <c r="BJ71" i="4"/>
  <c r="BN71" i="4"/>
  <c r="BR71" i="4"/>
  <c r="BM71" i="4"/>
  <c r="BQ71" i="4"/>
  <c r="AX71" i="4"/>
  <c r="BB71" i="4"/>
  <c r="BF71" i="4"/>
  <c r="AU71" i="4"/>
  <c r="AY71" i="4"/>
  <c r="BC71" i="4"/>
  <c r="BG71" i="4"/>
  <c r="AM71" i="4"/>
  <c r="AQ71" i="4"/>
  <c r="AJ71" i="4"/>
  <c r="AH71" i="4"/>
  <c r="AB71" i="4"/>
  <c r="AL71" i="4"/>
  <c r="AP71" i="4"/>
  <c r="AT71" i="4"/>
  <c r="AK71" i="4"/>
  <c r="AC71" i="4"/>
  <c r="V71" i="4"/>
  <c r="T71" i="4"/>
  <c r="R71" i="4"/>
  <c r="N71" i="4"/>
  <c r="Z71" i="4"/>
  <c r="X71" i="4"/>
  <c r="P71" i="4"/>
  <c r="L71" i="4"/>
  <c r="J71" i="4"/>
  <c r="I71" i="4"/>
  <c r="G71" i="4"/>
  <c r="CD55" i="4"/>
  <c r="CH55" i="4"/>
  <c r="CE55" i="4"/>
  <c r="CC55" i="4"/>
  <c r="BT55" i="4"/>
  <c r="BX55" i="4"/>
  <c r="BU55" i="4"/>
  <c r="BS55" i="4"/>
  <c r="CA55" i="4"/>
  <c r="BL55" i="4"/>
  <c r="BP55" i="4"/>
  <c r="BK55" i="4"/>
  <c r="BO55" i="4"/>
  <c r="AV55" i="4"/>
  <c r="AZ55" i="4"/>
  <c r="BD55" i="4"/>
  <c r="BH55" i="4"/>
  <c r="AW55" i="4"/>
  <c r="BA55" i="4"/>
  <c r="BE55" i="4"/>
  <c r="BI55" i="4"/>
  <c r="AO55" i="4"/>
  <c r="AS55" i="4"/>
  <c r="AF55" i="4"/>
  <c r="AD55" i="4"/>
  <c r="AA55" i="4"/>
  <c r="AN55" i="4"/>
  <c r="AR55" i="4"/>
  <c r="AI55" i="4"/>
  <c r="AG55" i="4"/>
  <c r="AE55" i="4"/>
  <c r="U55" i="4"/>
  <c r="S55" i="4"/>
  <c r="Q55" i="4"/>
  <c r="M55" i="4"/>
  <c r="Y55" i="4"/>
  <c r="W55" i="4"/>
  <c r="O55" i="4"/>
  <c r="K55" i="4"/>
  <c r="H55" i="4"/>
  <c r="CB55" i="4"/>
  <c r="CJ55" i="4"/>
  <c r="CG55" i="4"/>
  <c r="BZ55" i="4"/>
  <c r="BW55" i="4"/>
  <c r="BN55" i="4"/>
  <c r="BM55" i="4"/>
  <c r="AX55" i="4"/>
  <c r="BF55" i="4"/>
  <c r="AY55" i="4"/>
  <c r="BG55" i="4"/>
  <c r="AQ55" i="4"/>
  <c r="AH55" i="4"/>
  <c r="AL55" i="4"/>
  <c r="AT55" i="4"/>
  <c r="AC55" i="4"/>
  <c r="T55" i="4"/>
  <c r="N55" i="4"/>
  <c r="X55" i="4"/>
  <c r="L55" i="4"/>
  <c r="I55" i="4"/>
  <c r="CF55" i="4"/>
  <c r="CI55" i="4"/>
  <c r="BV55" i="4"/>
  <c r="BY55" i="4"/>
  <c r="BJ55" i="4"/>
  <c r="BR55" i="4"/>
  <c r="BQ55" i="4"/>
  <c r="BB55" i="4"/>
  <c r="AU55" i="4"/>
  <c r="BC55" i="4"/>
  <c r="AM55" i="4"/>
  <c r="AJ55" i="4"/>
  <c r="AB55" i="4"/>
  <c r="AP55" i="4"/>
  <c r="AK55" i="4"/>
  <c r="V55" i="4"/>
  <c r="R55" i="4"/>
  <c r="Z55" i="4"/>
  <c r="P55" i="4"/>
  <c r="J55" i="4"/>
  <c r="G55" i="4"/>
  <c r="CB39" i="4"/>
  <c r="CF39" i="4"/>
  <c r="CJ39" i="4"/>
  <c r="CI39" i="4"/>
  <c r="CG39" i="4"/>
  <c r="BV39" i="4"/>
  <c r="BZ39" i="4"/>
  <c r="BU39" i="4"/>
  <c r="BY39" i="4"/>
  <c r="BJ39" i="4"/>
  <c r="BN39" i="4"/>
  <c r="BR39" i="4"/>
  <c r="AW39" i="4"/>
  <c r="BA39" i="4"/>
  <c r="BE39" i="4"/>
  <c r="BI39" i="4"/>
  <c r="BM39" i="4"/>
  <c r="BQ39" i="4"/>
  <c r="AZ39" i="4"/>
  <c r="BH39" i="4"/>
  <c r="BB39" i="4"/>
  <c r="AM39" i="4"/>
  <c r="AQ39" i="4"/>
  <c r="AJ39" i="4"/>
  <c r="AH39" i="4"/>
  <c r="AB39" i="4"/>
  <c r="AL39" i="4"/>
  <c r="AP39" i="4"/>
  <c r="AT39" i="4"/>
  <c r="AK39" i="4"/>
  <c r="AC39" i="4"/>
  <c r="V39" i="4"/>
  <c r="T39" i="4"/>
  <c r="R39" i="4"/>
  <c r="N39" i="4"/>
  <c r="Z39" i="4"/>
  <c r="X39" i="4"/>
  <c r="P39" i="4"/>
  <c r="L39" i="4"/>
  <c r="J39" i="4"/>
  <c r="I39" i="4"/>
  <c r="CD39" i="4"/>
  <c r="CH39" i="4"/>
  <c r="CE39" i="4"/>
  <c r="CC39" i="4"/>
  <c r="BT39" i="4"/>
  <c r="BX39" i="4"/>
  <c r="BS39" i="4"/>
  <c r="BW39" i="4"/>
  <c r="CA39" i="4"/>
  <c r="BL39" i="4"/>
  <c r="BP39" i="4"/>
  <c r="AU39" i="4"/>
  <c r="AY39" i="4"/>
  <c r="BC39" i="4"/>
  <c r="BG39" i="4"/>
  <c r="BK39" i="4"/>
  <c r="BO39" i="4"/>
  <c r="AV39" i="4"/>
  <c r="BD39" i="4"/>
  <c r="AX39" i="4"/>
  <c r="BF39" i="4"/>
  <c r="AO39" i="4"/>
  <c r="AS39" i="4"/>
  <c r="AF39" i="4"/>
  <c r="AD39" i="4"/>
  <c r="AA39" i="4"/>
  <c r="AN39" i="4"/>
  <c r="AR39" i="4"/>
  <c r="AI39" i="4"/>
  <c r="AG39" i="4"/>
  <c r="AE39" i="4"/>
  <c r="U39" i="4"/>
  <c r="S39" i="4"/>
  <c r="Q39" i="4"/>
  <c r="M39" i="4"/>
  <c r="Y39" i="4"/>
  <c r="W39" i="4"/>
  <c r="O39" i="4"/>
  <c r="K39" i="4"/>
  <c r="H39" i="4"/>
  <c r="G39" i="4"/>
  <c r="CC23" i="4"/>
  <c r="CG23" i="4"/>
  <c r="CB23" i="4"/>
  <c r="CF23" i="4"/>
  <c r="CJ23" i="4"/>
  <c r="BV23" i="4"/>
  <c r="BZ23" i="4"/>
  <c r="BU23" i="4"/>
  <c r="BY23" i="4"/>
  <c r="BJ23" i="4"/>
  <c r="BN23" i="4"/>
  <c r="BR23" i="4"/>
  <c r="BO23" i="4"/>
  <c r="AW23" i="4"/>
  <c r="BA23" i="4"/>
  <c r="BE23" i="4"/>
  <c r="BI23" i="4"/>
  <c r="BQ23" i="4"/>
  <c r="AZ23" i="4"/>
  <c r="BH23" i="4"/>
  <c r="BB23" i="4"/>
  <c r="AM23" i="4"/>
  <c r="AQ23" i="4"/>
  <c r="AJ23" i="4"/>
  <c r="AH23" i="4"/>
  <c r="AB23" i="4"/>
  <c r="AL23" i="4"/>
  <c r="AP23" i="4"/>
  <c r="AT23" i="4"/>
  <c r="AK23" i="4"/>
  <c r="AC23" i="4"/>
  <c r="V23" i="4"/>
  <c r="T23" i="4"/>
  <c r="R23" i="4"/>
  <c r="N23" i="4"/>
  <c r="Z23" i="4"/>
  <c r="X23" i="4"/>
  <c r="P23" i="4"/>
  <c r="L23" i="4"/>
  <c r="J23" i="4"/>
  <c r="I23" i="4"/>
  <c r="CE23" i="4"/>
  <c r="CI23" i="4"/>
  <c r="CD23" i="4"/>
  <c r="CH23" i="4"/>
  <c r="BT23" i="4"/>
  <c r="BX23" i="4"/>
  <c r="BS23" i="4"/>
  <c r="BW23" i="4"/>
  <c r="CA23" i="4"/>
  <c r="BL23" i="4"/>
  <c r="BP23" i="4"/>
  <c r="BK23" i="4"/>
  <c r="AU23" i="4"/>
  <c r="AY23" i="4"/>
  <c r="BC23" i="4"/>
  <c r="BG23" i="4"/>
  <c r="BM23" i="4"/>
  <c r="AV23" i="4"/>
  <c r="BD23" i="4"/>
  <c r="AX23" i="4"/>
  <c r="BF23" i="4"/>
  <c r="AO23" i="4"/>
  <c r="AS23" i="4"/>
  <c r="AF23" i="4"/>
  <c r="AD23" i="4"/>
  <c r="AA23" i="4"/>
  <c r="AN23" i="4"/>
  <c r="AR23" i="4"/>
  <c r="AI23" i="4"/>
  <c r="AG23" i="4"/>
  <c r="AE23" i="4"/>
  <c r="U23" i="4"/>
  <c r="S23" i="4"/>
  <c r="Q23" i="4"/>
  <c r="M23" i="4"/>
  <c r="Y23" i="4"/>
  <c r="W23" i="4"/>
  <c r="O23" i="4"/>
  <c r="K23" i="4"/>
  <c r="H23" i="4"/>
  <c r="G23" i="4"/>
  <c r="CD7" i="4"/>
  <c r="CH7" i="4"/>
  <c r="CC7" i="4"/>
  <c r="CG7" i="4"/>
  <c r="BT7" i="4"/>
  <c r="BX7" i="4"/>
  <c r="BS7" i="4"/>
  <c r="BW7" i="4"/>
  <c r="CA7" i="4"/>
  <c r="BL7" i="4"/>
  <c r="BP7" i="4"/>
  <c r="BK7" i="4"/>
  <c r="AU7" i="4"/>
  <c r="AY7" i="4"/>
  <c r="BC7" i="4"/>
  <c r="BG7" i="4"/>
  <c r="BM7" i="4"/>
  <c r="AV7" i="4"/>
  <c r="BD7" i="4"/>
  <c r="AX7" i="4"/>
  <c r="BF7" i="4"/>
  <c r="AO7" i="4"/>
  <c r="AS7" i="4"/>
  <c r="AF7" i="4"/>
  <c r="AD7" i="4"/>
  <c r="AA7" i="4"/>
  <c r="AN7" i="4"/>
  <c r="AR7" i="4"/>
  <c r="AI7" i="4"/>
  <c r="AG7" i="4"/>
  <c r="AE7" i="4"/>
  <c r="U7" i="4"/>
  <c r="S7" i="4"/>
  <c r="Q7" i="4"/>
  <c r="M7" i="4"/>
  <c r="Z7" i="4"/>
  <c r="X7" i="4"/>
  <c r="P7" i="4"/>
  <c r="L7" i="4"/>
  <c r="J7" i="4"/>
  <c r="CC8" i="4"/>
  <c r="CG8" i="4"/>
  <c r="CB8" i="4"/>
  <c r="CF8" i="4"/>
  <c r="CJ8" i="4"/>
  <c r="BU8" i="4"/>
  <c r="BY8" i="4"/>
  <c r="BT8" i="4"/>
  <c r="BX8" i="4"/>
  <c r="BK8" i="4"/>
  <c r="BO8" i="4"/>
  <c r="BJ8" i="4"/>
  <c r="BR8" i="4"/>
  <c r="AX8" i="4"/>
  <c r="BB8" i="4"/>
  <c r="BF8" i="4"/>
  <c r="BL8" i="4"/>
  <c r="AW8" i="4"/>
  <c r="BE8" i="4"/>
  <c r="AU8" i="4"/>
  <c r="BC8" i="4"/>
  <c r="AL8" i="4"/>
  <c r="AP8" i="4"/>
  <c r="AT8" i="4"/>
  <c r="AK8" i="4"/>
  <c r="AC8" i="4"/>
  <c r="AM8" i="4"/>
  <c r="AQ8" i="4"/>
  <c r="AJ8" i="4"/>
  <c r="AH8" i="4"/>
  <c r="AB8" i="4"/>
  <c r="Z8" i="4"/>
  <c r="X8" i="4"/>
  <c r="P8" i="4"/>
  <c r="L8" i="4"/>
  <c r="J8" i="4"/>
  <c r="V8" i="4"/>
  <c r="T8" i="4"/>
  <c r="R8" i="4"/>
  <c r="N8" i="4"/>
  <c r="I8" i="4"/>
  <c r="CD9" i="4"/>
  <c r="CH9" i="4"/>
  <c r="CC9" i="4"/>
  <c r="CG9" i="4"/>
  <c r="BT9" i="4"/>
  <c r="BX9" i="4"/>
  <c r="BS9" i="4"/>
  <c r="BW9" i="4"/>
  <c r="CA9" i="4"/>
  <c r="BL9" i="4"/>
  <c r="BP9" i="4"/>
  <c r="BM9" i="4"/>
  <c r="AU9" i="4"/>
  <c r="AY9" i="4"/>
  <c r="BC9" i="4"/>
  <c r="BG9" i="4"/>
  <c r="BK9" i="4"/>
  <c r="AX9" i="4"/>
  <c r="BF9" i="4"/>
  <c r="AZ9" i="4"/>
  <c r="BH9" i="4"/>
  <c r="AO9" i="4"/>
  <c r="AS9" i="4"/>
  <c r="AF9" i="4"/>
  <c r="AD9" i="4"/>
  <c r="AA9" i="4"/>
  <c r="AN9" i="4"/>
  <c r="AR9" i="4"/>
  <c r="AI9" i="4"/>
  <c r="AG9" i="4"/>
  <c r="AE9" i="4"/>
  <c r="U9" i="4"/>
  <c r="S9" i="4"/>
  <c r="Q9" i="4"/>
  <c r="M9" i="4"/>
  <c r="Y9" i="4"/>
  <c r="W9" i="4"/>
  <c r="O9" i="4"/>
  <c r="K9" i="4"/>
  <c r="H9" i="4"/>
  <c r="CC10" i="4"/>
  <c r="CG10" i="4"/>
  <c r="CB10" i="4"/>
  <c r="CF10" i="4"/>
  <c r="CJ10" i="4"/>
  <c r="BU10" i="4"/>
  <c r="BY10" i="4"/>
  <c r="BT10" i="4"/>
  <c r="BX10" i="4"/>
  <c r="BK10" i="4"/>
  <c r="BO10" i="4"/>
  <c r="BL10" i="4"/>
  <c r="AV10" i="4"/>
  <c r="AZ10" i="4"/>
  <c r="BD10" i="4"/>
  <c r="BH10" i="4"/>
  <c r="BN10" i="4"/>
  <c r="AU10" i="4"/>
  <c r="BC10" i="4"/>
  <c r="AW10" i="4"/>
  <c r="BE10" i="4"/>
  <c r="AL10" i="4"/>
  <c r="AP10" i="4"/>
  <c r="AT10" i="4"/>
  <c r="AK10" i="4"/>
  <c r="AC10" i="4"/>
  <c r="AM10" i="4"/>
  <c r="AQ10" i="4"/>
  <c r="AJ10" i="4"/>
  <c r="AH10" i="4"/>
  <c r="Z10" i="4"/>
  <c r="X10" i="4"/>
  <c r="P10" i="4"/>
  <c r="L10" i="4"/>
  <c r="AB10" i="4"/>
  <c r="V10" i="4"/>
  <c r="T10" i="4"/>
  <c r="R10" i="4"/>
  <c r="N10" i="4"/>
  <c r="I10" i="4"/>
  <c r="H10" i="4"/>
  <c r="CB7" i="4"/>
  <c r="CF7" i="4"/>
  <c r="CJ7" i="4"/>
  <c r="CE7" i="4"/>
  <c r="CI7" i="4"/>
  <c r="BV7" i="4"/>
  <c r="BZ7" i="4"/>
  <c r="BU7" i="4"/>
  <c r="BY7" i="4"/>
  <c r="BJ7" i="4"/>
  <c r="BN7" i="4"/>
  <c r="BR7" i="4"/>
  <c r="BO7" i="4"/>
  <c r="AW7" i="4"/>
  <c r="BA7" i="4"/>
  <c r="BE7" i="4"/>
  <c r="BI7" i="4"/>
  <c r="BQ7" i="4"/>
  <c r="AZ7" i="4"/>
  <c r="BH7" i="4"/>
  <c r="BB7" i="4"/>
  <c r="AM7" i="4"/>
  <c r="AQ7" i="4"/>
  <c r="AJ7" i="4"/>
  <c r="AH7" i="4"/>
  <c r="AB7" i="4"/>
  <c r="AL7" i="4"/>
  <c r="AP7" i="4"/>
  <c r="AT7" i="4"/>
  <c r="AK7" i="4"/>
  <c r="AC7" i="4"/>
  <c r="V7" i="4"/>
  <c r="T7" i="4"/>
  <c r="R7" i="4"/>
  <c r="N7" i="4"/>
  <c r="I7" i="4"/>
  <c r="Y7" i="4"/>
  <c r="W7" i="4"/>
  <c r="O7" i="4"/>
  <c r="K7" i="4"/>
  <c r="H7" i="4"/>
  <c r="CE8" i="4"/>
  <c r="CI8" i="4"/>
  <c r="CD8" i="4"/>
  <c r="CH8" i="4"/>
  <c r="BS8" i="4"/>
  <c r="BW8" i="4"/>
  <c r="CA8" i="4"/>
  <c r="BV8" i="4"/>
  <c r="BZ8" i="4"/>
  <c r="BM8" i="4"/>
  <c r="BQ8" i="4"/>
  <c r="BN8" i="4"/>
  <c r="AV8" i="4"/>
  <c r="AZ8" i="4"/>
  <c r="BD8" i="4"/>
  <c r="BH8" i="4"/>
  <c r="BP8" i="4"/>
  <c r="BA8" i="4"/>
  <c r="BI8" i="4"/>
  <c r="AY8" i="4"/>
  <c r="BG8" i="4"/>
  <c r="AN8" i="4"/>
  <c r="AR8" i="4"/>
  <c r="AI8" i="4"/>
  <c r="AG8" i="4"/>
  <c r="AE8" i="4"/>
  <c r="AO8" i="4"/>
  <c r="AS8" i="4"/>
  <c r="AF8" i="4"/>
  <c r="AD8" i="4"/>
  <c r="AA8" i="4"/>
  <c r="Y8" i="4"/>
  <c r="W8" i="4"/>
  <c r="O8" i="4"/>
  <c r="K8" i="4"/>
  <c r="H8" i="4"/>
  <c r="U8" i="4"/>
  <c r="S8" i="4"/>
  <c r="Q8" i="4"/>
  <c r="M8" i="4"/>
  <c r="CB9" i="4"/>
  <c r="CF9" i="4"/>
  <c r="CJ9" i="4"/>
  <c r="CE9" i="4"/>
  <c r="CI9" i="4"/>
  <c r="BV9" i="4"/>
  <c r="BZ9" i="4"/>
  <c r="BU9" i="4"/>
  <c r="BY9" i="4"/>
  <c r="BJ9" i="4"/>
  <c r="BN9" i="4"/>
  <c r="BR9" i="4"/>
  <c r="BQ9" i="4"/>
  <c r="AW9" i="4"/>
  <c r="BA9" i="4"/>
  <c r="BE9" i="4"/>
  <c r="BI9" i="4"/>
  <c r="BO9" i="4"/>
  <c r="BB9" i="4"/>
  <c r="AV9" i="4"/>
  <c r="BD9" i="4"/>
  <c r="AM9" i="4"/>
  <c r="AQ9" i="4"/>
  <c r="AJ9" i="4"/>
  <c r="AH9" i="4"/>
  <c r="AB9" i="4"/>
  <c r="AL9" i="4"/>
  <c r="AP9" i="4"/>
  <c r="AT9" i="4"/>
  <c r="AK9" i="4"/>
  <c r="AC9" i="4"/>
  <c r="V9" i="4"/>
  <c r="T9" i="4"/>
  <c r="R9" i="4"/>
  <c r="N9" i="4"/>
  <c r="Z9" i="4"/>
  <c r="X9" i="4"/>
  <c r="P9" i="4"/>
  <c r="L9" i="4"/>
  <c r="J9" i="4"/>
  <c r="I9" i="4"/>
  <c r="CE10" i="4"/>
  <c r="CI10" i="4"/>
  <c r="CD10" i="4"/>
  <c r="CH10" i="4"/>
  <c r="BS10" i="4"/>
  <c r="BW10" i="4"/>
  <c r="CA10" i="4"/>
  <c r="BV10" i="4"/>
  <c r="BZ10" i="4"/>
  <c r="BM10" i="4"/>
  <c r="BQ10" i="4"/>
  <c r="BP10" i="4"/>
  <c r="AX10" i="4"/>
  <c r="BB10" i="4"/>
  <c r="BF10" i="4"/>
  <c r="BJ10" i="4"/>
  <c r="BR10" i="4"/>
  <c r="AY10" i="4"/>
  <c r="BG10" i="4"/>
  <c r="BA10" i="4"/>
  <c r="BI10" i="4"/>
  <c r="AN10" i="4"/>
  <c r="AR10" i="4"/>
  <c r="AI10" i="4"/>
  <c r="AG10" i="4"/>
  <c r="AE10" i="4"/>
  <c r="AO10" i="4"/>
  <c r="AS10" i="4"/>
  <c r="AF10" i="4"/>
  <c r="AD10" i="4"/>
  <c r="Y10" i="4"/>
  <c r="W10" i="4"/>
  <c r="O10" i="4"/>
  <c r="K10" i="4"/>
  <c r="AA10" i="4"/>
  <c r="U10" i="4"/>
  <c r="S10" i="4"/>
  <c r="Q10" i="4"/>
  <c r="M10" i="4"/>
  <c r="J10" i="4"/>
  <c r="G7" i="4"/>
  <c r="G9" i="4"/>
  <c r="G10" i="4"/>
  <c r="G8" i="4"/>
  <c r="CC151" i="4"/>
  <c r="CG151" i="4"/>
  <c r="CB151" i="4"/>
  <c r="CF151" i="4"/>
  <c r="CJ151" i="4"/>
  <c r="BU151" i="4"/>
  <c r="BY151" i="4"/>
  <c r="BT151" i="4"/>
  <c r="BX151" i="4"/>
  <c r="BJ151" i="4"/>
  <c r="BN151" i="4"/>
  <c r="BR151" i="4"/>
  <c r="BM151" i="4"/>
  <c r="BQ151" i="4"/>
  <c r="AX151" i="4"/>
  <c r="BB151" i="4"/>
  <c r="BF151" i="4"/>
  <c r="AU151" i="4"/>
  <c r="AY151" i="4"/>
  <c r="BC151" i="4"/>
  <c r="BG151" i="4"/>
  <c r="AM151" i="4"/>
  <c r="AQ151" i="4"/>
  <c r="AJ151" i="4"/>
  <c r="AH151" i="4"/>
  <c r="AB151" i="4"/>
  <c r="AL151" i="4"/>
  <c r="AP151" i="4"/>
  <c r="AT151" i="4"/>
  <c r="AK151" i="4"/>
  <c r="AC151" i="4"/>
  <c r="V151" i="4"/>
  <c r="T151" i="4"/>
  <c r="R151" i="4"/>
  <c r="N151" i="4"/>
  <c r="Z151" i="4"/>
  <c r="X151" i="4"/>
  <c r="P151" i="4"/>
  <c r="L151" i="4"/>
  <c r="J151" i="4"/>
  <c r="I151" i="4"/>
  <c r="CE151" i="4"/>
  <c r="CI151" i="4"/>
  <c r="CD151" i="4"/>
  <c r="CH151" i="4"/>
  <c r="BS151" i="4"/>
  <c r="BW151" i="4"/>
  <c r="CA151" i="4"/>
  <c r="BV151" i="4"/>
  <c r="BZ151" i="4"/>
  <c r="BL151" i="4"/>
  <c r="BP151" i="4"/>
  <c r="BK151" i="4"/>
  <c r="BO151" i="4"/>
  <c r="AV151" i="4"/>
  <c r="AZ151" i="4"/>
  <c r="BD151" i="4"/>
  <c r="BH151" i="4"/>
  <c r="AW151" i="4"/>
  <c r="BA151" i="4"/>
  <c r="BE151" i="4"/>
  <c r="BI151" i="4"/>
  <c r="AO151" i="4"/>
  <c r="AS151" i="4"/>
  <c r="AF151" i="4"/>
  <c r="AD151" i="4"/>
  <c r="AA151" i="4"/>
  <c r="AN151" i="4"/>
  <c r="AR151" i="4"/>
  <c r="AI151" i="4"/>
  <c r="AG151" i="4"/>
  <c r="AE151" i="4"/>
  <c r="U151" i="4"/>
  <c r="S151" i="4"/>
  <c r="Q151" i="4"/>
  <c r="M151" i="4"/>
  <c r="Y151" i="4"/>
  <c r="W151" i="4"/>
  <c r="O151" i="4"/>
  <c r="K151" i="4"/>
  <c r="H151" i="4"/>
  <c r="G151" i="4"/>
  <c r="CB150" i="4"/>
  <c r="CF150" i="4"/>
  <c r="CJ150" i="4"/>
  <c r="CE150" i="4"/>
  <c r="CI150" i="4"/>
  <c r="BV150" i="4"/>
  <c r="BZ150" i="4"/>
  <c r="BU150" i="4"/>
  <c r="BY150" i="4"/>
  <c r="BK150" i="4"/>
  <c r="BO150" i="4"/>
  <c r="BJ150" i="4"/>
  <c r="BN150" i="4"/>
  <c r="BR150" i="4"/>
  <c r="AW150" i="4"/>
  <c r="BA150" i="4"/>
  <c r="BE150" i="4"/>
  <c r="BI150" i="4"/>
  <c r="AX150" i="4"/>
  <c r="BB150" i="4"/>
  <c r="BF150" i="4"/>
  <c r="AL150" i="4"/>
  <c r="AP150" i="4"/>
  <c r="AT150" i="4"/>
  <c r="AK150" i="4"/>
  <c r="AC150" i="4"/>
  <c r="AM150" i="4"/>
  <c r="AQ150" i="4"/>
  <c r="AJ150" i="4"/>
  <c r="AH150" i="4"/>
  <c r="Z150" i="4"/>
  <c r="X150" i="4"/>
  <c r="P150" i="4"/>
  <c r="L150" i="4"/>
  <c r="AB150" i="4"/>
  <c r="V150" i="4"/>
  <c r="T150" i="4"/>
  <c r="R150" i="4"/>
  <c r="N150" i="4"/>
  <c r="I150" i="4"/>
  <c r="H150" i="4"/>
  <c r="G150" i="4"/>
  <c r="CD150" i="4"/>
  <c r="CH150" i="4"/>
  <c r="CC150" i="4"/>
  <c r="CG150" i="4"/>
  <c r="BT150" i="4"/>
  <c r="BX150" i="4"/>
  <c r="BS150" i="4"/>
  <c r="BW150" i="4"/>
  <c r="CA150" i="4"/>
  <c r="BM150" i="4"/>
  <c r="BQ150" i="4"/>
  <c r="BL150" i="4"/>
  <c r="BP150" i="4"/>
  <c r="AU150" i="4"/>
  <c r="AY150" i="4"/>
  <c r="BC150" i="4"/>
  <c r="BG150" i="4"/>
  <c r="AV150" i="4"/>
  <c r="AZ150" i="4"/>
  <c r="BD150" i="4"/>
  <c r="BH150" i="4"/>
  <c r="AN150" i="4"/>
  <c r="AR150" i="4"/>
  <c r="AI150" i="4"/>
  <c r="AG150" i="4"/>
  <c r="AE150" i="4"/>
  <c r="AO150" i="4"/>
  <c r="AS150" i="4"/>
  <c r="AF150" i="4"/>
  <c r="AD150" i="4"/>
  <c r="Y150" i="4"/>
  <c r="W150" i="4"/>
  <c r="O150" i="4"/>
  <c r="K150" i="4"/>
  <c r="AA150" i="4"/>
  <c r="U150" i="4"/>
  <c r="S150" i="4"/>
  <c r="Q150" i="4"/>
  <c r="M150" i="4"/>
  <c r="J150" i="4"/>
  <c r="G95" i="4"/>
  <c r="CD94" i="4"/>
  <c r="CH94" i="4"/>
  <c r="CC94" i="4"/>
  <c r="CG94" i="4"/>
  <c r="BS94" i="4"/>
  <c r="BW94" i="4"/>
  <c r="CA94" i="4"/>
  <c r="BZ94" i="4"/>
  <c r="BX94" i="4"/>
  <c r="BM94" i="4"/>
  <c r="BQ94" i="4"/>
  <c r="BL94" i="4"/>
  <c r="BP94" i="4"/>
  <c r="AU94" i="4"/>
  <c r="AY94" i="4"/>
  <c r="BC94" i="4"/>
  <c r="BG94" i="4"/>
  <c r="AV94" i="4"/>
  <c r="AZ94" i="4"/>
  <c r="BD94" i="4"/>
  <c r="BH94" i="4"/>
  <c r="AN94" i="4"/>
  <c r="AR94" i="4"/>
  <c r="AI94" i="4"/>
  <c r="AG94" i="4"/>
  <c r="AE94" i="4"/>
  <c r="AO94" i="4"/>
  <c r="AS94" i="4"/>
  <c r="AF94" i="4"/>
  <c r="AD94" i="4"/>
  <c r="Y94" i="4"/>
  <c r="W94" i="4"/>
  <c r="O94" i="4"/>
  <c r="K94" i="4"/>
  <c r="AB94" i="4"/>
  <c r="V94" i="4"/>
  <c r="T94" i="4"/>
  <c r="R94" i="4"/>
  <c r="N94" i="4"/>
  <c r="I94" i="4"/>
  <c r="CC97" i="4"/>
  <c r="CG97" i="4"/>
  <c r="CB97" i="4"/>
  <c r="CF97" i="4"/>
  <c r="CJ97" i="4"/>
  <c r="BV97" i="4"/>
  <c r="BZ97" i="4"/>
  <c r="BW97" i="4"/>
  <c r="BU97" i="4"/>
  <c r="BJ97" i="4"/>
  <c r="BN97" i="4"/>
  <c r="BR97" i="4"/>
  <c r="BM97" i="4"/>
  <c r="BQ97" i="4"/>
  <c r="AX97" i="4"/>
  <c r="BB97" i="4"/>
  <c r="BF97" i="4"/>
  <c r="AU97" i="4"/>
  <c r="AY97" i="4"/>
  <c r="BC97" i="4"/>
  <c r="BG97" i="4"/>
  <c r="AM97" i="4"/>
  <c r="AQ97" i="4"/>
  <c r="AJ97" i="4"/>
  <c r="AH97" i="4"/>
  <c r="AB97" i="4"/>
  <c r="AL97" i="4"/>
  <c r="AP97" i="4"/>
  <c r="AT97" i="4"/>
  <c r="AK97" i="4"/>
  <c r="AC97" i="4"/>
  <c r="V97" i="4"/>
  <c r="T97" i="4"/>
  <c r="R97" i="4"/>
  <c r="N97" i="4"/>
  <c r="Z97" i="4"/>
  <c r="X97" i="4"/>
  <c r="P97" i="4"/>
  <c r="L97" i="4"/>
  <c r="J97" i="4"/>
  <c r="I97" i="4"/>
  <c r="CB94" i="4"/>
  <c r="CF94" i="4"/>
  <c r="CJ94" i="4"/>
  <c r="CE94" i="4"/>
  <c r="CI94" i="4"/>
  <c r="BU94" i="4"/>
  <c r="BY94" i="4"/>
  <c r="BV94" i="4"/>
  <c r="BT94" i="4"/>
  <c r="BK94" i="4"/>
  <c r="BO94" i="4"/>
  <c r="BJ94" i="4"/>
  <c r="BN94" i="4"/>
  <c r="BR94" i="4"/>
  <c r="AW94" i="4"/>
  <c r="BA94" i="4"/>
  <c r="BE94" i="4"/>
  <c r="BI94" i="4"/>
  <c r="AX94" i="4"/>
  <c r="BB94" i="4"/>
  <c r="BF94" i="4"/>
  <c r="AL94" i="4"/>
  <c r="AP94" i="4"/>
  <c r="AT94" i="4"/>
  <c r="AK94" i="4"/>
  <c r="AC94" i="4"/>
  <c r="AM94" i="4"/>
  <c r="AQ94" i="4"/>
  <c r="AJ94" i="4"/>
  <c r="AH94" i="4"/>
  <c r="Z94" i="4"/>
  <c r="X94" i="4"/>
  <c r="P94" i="4"/>
  <c r="L94" i="4"/>
  <c r="H94" i="4"/>
  <c r="AA94" i="4"/>
  <c r="U94" i="4"/>
  <c r="S94" i="4"/>
  <c r="Q94" i="4"/>
  <c r="M94" i="4"/>
  <c r="J94" i="4"/>
  <c r="CE97" i="4"/>
  <c r="CI97" i="4"/>
  <c r="CD97" i="4"/>
  <c r="CH97" i="4"/>
  <c r="BT97" i="4"/>
  <c r="BX97" i="4"/>
  <c r="BS97" i="4"/>
  <c r="CA97" i="4"/>
  <c r="BY97" i="4"/>
  <c r="BL97" i="4"/>
  <c r="BP97" i="4"/>
  <c r="BK97" i="4"/>
  <c r="BO97" i="4"/>
  <c r="AV97" i="4"/>
  <c r="AZ97" i="4"/>
  <c r="BD97" i="4"/>
  <c r="BH97" i="4"/>
  <c r="AW97" i="4"/>
  <c r="BA97" i="4"/>
  <c r="BE97" i="4"/>
  <c r="BI97" i="4"/>
  <c r="AO97" i="4"/>
  <c r="AS97" i="4"/>
  <c r="AF97" i="4"/>
  <c r="AD97" i="4"/>
  <c r="AA97" i="4"/>
  <c r="AN97" i="4"/>
  <c r="AR97" i="4"/>
  <c r="AI97" i="4"/>
  <c r="AG97" i="4"/>
  <c r="AE97" i="4"/>
  <c r="U97" i="4"/>
  <c r="S97" i="4"/>
  <c r="Q97" i="4"/>
  <c r="M97" i="4"/>
  <c r="Y97" i="4"/>
  <c r="W97" i="4"/>
  <c r="O97" i="4"/>
  <c r="K97" i="4"/>
  <c r="H97" i="4"/>
  <c r="G97" i="4"/>
  <c r="CE95" i="4"/>
  <c r="CI95" i="4"/>
  <c r="CD95" i="4"/>
  <c r="CH95" i="4"/>
  <c r="BT95" i="4"/>
  <c r="BX95" i="4"/>
  <c r="BU95" i="4"/>
  <c r="BS95" i="4"/>
  <c r="CA95" i="4"/>
  <c r="BL95" i="4"/>
  <c r="BP95" i="4"/>
  <c r="BK95" i="4"/>
  <c r="BO95" i="4"/>
  <c r="AV95" i="4"/>
  <c r="AZ95" i="4"/>
  <c r="BD95" i="4"/>
  <c r="BH95" i="4"/>
  <c r="AW95" i="4"/>
  <c r="BA95" i="4"/>
  <c r="BE95" i="4"/>
  <c r="BI95" i="4"/>
  <c r="AO95" i="4"/>
  <c r="AS95" i="4"/>
  <c r="AF95" i="4"/>
  <c r="AD95" i="4"/>
  <c r="AA95" i="4"/>
  <c r="AN95" i="4"/>
  <c r="AR95" i="4"/>
  <c r="AI95" i="4"/>
  <c r="AG95" i="4"/>
  <c r="AE95" i="4"/>
  <c r="U95" i="4"/>
  <c r="S95" i="4"/>
  <c r="Q95" i="4"/>
  <c r="M95" i="4"/>
  <c r="Z95" i="4"/>
  <c r="X95" i="4"/>
  <c r="P95" i="4"/>
  <c r="L95" i="4"/>
  <c r="J95" i="4"/>
  <c r="CB96" i="4"/>
  <c r="CF96" i="4"/>
  <c r="CJ96" i="4"/>
  <c r="CE96" i="4"/>
  <c r="CI96" i="4"/>
  <c r="BU96" i="4"/>
  <c r="BY96" i="4"/>
  <c r="BT96" i="4"/>
  <c r="BV96" i="4"/>
  <c r="BK96" i="4"/>
  <c r="BO96" i="4"/>
  <c r="BJ96" i="4"/>
  <c r="BN96" i="4"/>
  <c r="BR96" i="4"/>
  <c r="AW96" i="4"/>
  <c r="BA96" i="4"/>
  <c r="BE96" i="4"/>
  <c r="BI96" i="4"/>
  <c r="AX96" i="4"/>
  <c r="BB96" i="4"/>
  <c r="BF96" i="4"/>
  <c r="AL96" i="4"/>
  <c r="AP96" i="4"/>
  <c r="AT96" i="4"/>
  <c r="AK96" i="4"/>
  <c r="AC96" i="4"/>
  <c r="AM96" i="4"/>
  <c r="AQ96" i="4"/>
  <c r="AJ96" i="4"/>
  <c r="AH96" i="4"/>
  <c r="AB96" i="4"/>
  <c r="Z96" i="4"/>
  <c r="X96" i="4"/>
  <c r="P96" i="4"/>
  <c r="L96" i="4"/>
  <c r="J96" i="4"/>
  <c r="U96" i="4"/>
  <c r="S96" i="4"/>
  <c r="Q96" i="4"/>
  <c r="M96" i="4"/>
  <c r="H96" i="4"/>
  <c r="CC95" i="4"/>
  <c r="CG95" i="4"/>
  <c r="CB95" i="4"/>
  <c r="CF95" i="4"/>
  <c r="CJ95" i="4"/>
  <c r="BV95" i="4"/>
  <c r="BZ95" i="4"/>
  <c r="BY95" i="4"/>
  <c r="BW95" i="4"/>
  <c r="BJ95" i="4"/>
  <c r="BN95" i="4"/>
  <c r="BR95" i="4"/>
  <c r="BM95" i="4"/>
  <c r="BQ95" i="4"/>
  <c r="AX95" i="4"/>
  <c r="BB95" i="4"/>
  <c r="BF95" i="4"/>
  <c r="AU95" i="4"/>
  <c r="AY95" i="4"/>
  <c r="BC95" i="4"/>
  <c r="BG95" i="4"/>
  <c r="AM95" i="4"/>
  <c r="AQ95" i="4"/>
  <c r="AJ95" i="4"/>
  <c r="AH95" i="4"/>
  <c r="AB95" i="4"/>
  <c r="AL95" i="4"/>
  <c r="AP95" i="4"/>
  <c r="AT95" i="4"/>
  <c r="AK95" i="4"/>
  <c r="AC95" i="4"/>
  <c r="V95" i="4"/>
  <c r="T95" i="4"/>
  <c r="R95" i="4"/>
  <c r="N95" i="4"/>
  <c r="I95" i="4"/>
  <c r="Y95" i="4"/>
  <c r="W95" i="4"/>
  <c r="O95" i="4"/>
  <c r="K95" i="4"/>
  <c r="H95" i="4"/>
  <c r="CD96" i="4"/>
  <c r="CH96" i="4"/>
  <c r="CC96" i="4"/>
  <c r="CG96" i="4"/>
  <c r="BS96" i="4"/>
  <c r="BW96" i="4"/>
  <c r="CA96" i="4"/>
  <c r="BX96" i="4"/>
  <c r="BZ96" i="4"/>
  <c r="BM96" i="4"/>
  <c r="BQ96" i="4"/>
  <c r="BL96" i="4"/>
  <c r="BP96" i="4"/>
  <c r="AU96" i="4"/>
  <c r="AY96" i="4"/>
  <c r="BC96" i="4"/>
  <c r="BG96" i="4"/>
  <c r="AV96" i="4"/>
  <c r="AZ96" i="4"/>
  <c r="BD96" i="4"/>
  <c r="BH96" i="4"/>
  <c r="AN96" i="4"/>
  <c r="AR96" i="4"/>
  <c r="AI96" i="4"/>
  <c r="AG96" i="4"/>
  <c r="AE96" i="4"/>
  <c r="AO96" i="4"/>
  <c r="AS96" i="4"/>
  <c r="AF96" i="4"/>
  <c r="AD96" i="4"/>
  <c r="AA96" i="4"/>
  <c r="Y96" i="4"/>
  <c r="W96" i="4"/>
  <c r="O96" i="4"/>
  <c r="K96" i="4"/>
  <c r="V96" i="4"/>
  <c r="T96" i="4"/>
  <c r="R96" i="4"/>
  <c r="N96" i="4"/>
  <c r="I96" i="4"/>
  <c r="G94" i="4"/>
  <c r="G96" i="4"/>
  <c r="CD30" i="4"/>
  <c r="CH30" i="4"/>
  <c r="CC30" i="4"/>
  <c r="CG30" i="4"/>
  <c r="BS30" i="4"/>
  <c r="BW30" i="4"/>
  <c r="CA30" i="4"/>
  <c r="BV30" i="4"/>
  <c r="BZ30" i="4"/>
  <c r="BM30" i="4"/>
  <c r="BQ30" i="4"/>
  <c r="BP30" i="4"/>
  <c r="AX30" i="4"/>
  <c r="BB30" i="4"/>
  <c r="BF30" i="4"/>
  <c r="BJ30" i="4"/>
  <c r="BR30" i="4"/>
  <c r="AY30" i="4"/>
  <c r="BG30" i="4"/>
  <c r="BA30" i="4"/>
  <c r="BI30" i="4"/>
  <c r="AN30" i="4"/>
  <c r="AR30" i="4"/>
  <c r="AI30" i="4"/>
  <c r="AG30" i="4"/>
  <c r="AE30" i="4"/>
  <c r="AO30" i="4"/>
  <c r="AS30" i="4"/>
  <c r="AF30" i="4"/>
  <c r="AD30" i="4"/>
  <c r="Y30" i="4"/>
  <c r="W30" i="4"/>
  <c r="O30" i="4"/>
  <c r="K30" i="4"/>
  <c r="AA30" i="4"/>
  <c r="U30" i="4"/>
  <c r="S30" i="4"/>
  <c r="Q30" i="4"/>
  <c r="M30" i="4"/>
  <c r="J30" i="4"/>
  <c r="CB30" i="4"/>
  <c r="CF30" i="4"/>
  <c r="CJ30" i="4"/>
  <c r="CE30" i="4"/>
  <c r="CI30" i="4"/>
  <c r="BU30" i="4"/>
  <c r="BY30" i="4"/>
  <c r="BT30" i="4"/>
  <c r="BX30" i="4"/>
  <c r="BK30" i="4"/>
  <c r="BO30" i="4"/>
  <c r="BL30" i="4"/>
  <c r="AV30" i="4"/>
  <c r="AZ30" i="4"/>
  <c r="BD30" i="4"/>
  <c r="BH30" i="4"/>
  <c r="BN30" i="4"/>
  <c r="AU30" i="4"/>
  <c r="BC30" i="4"/>
  <c r="AW30" i="4"/>
  <c r="BE30" i="4"/>
  <c r="AL30" i="4"/>
  <c r="AP30" i="4"/>
  <c r="AT30" i="4"/>
  <c r="AK30" i="4"/>
  <c r="AC30" i="4"/>
  <c r="AM30" i="4"/>
  <c r="AQ30" i="4"/>
  <c r="AJ30" i="4"/>
  <c r="AH30" i="4"/>
  <c r="Z30" i="4"/>
  <c r="X30" i="4"/>
  <c r="P30" i="4"/>
  <c r="L30" i="4"/>
  <c r="AB30" i="4"/>
  <c r="V30" i="4"/>
  <c r="T30" i="4"/>
  <c r="R30" i="4"/>
  <c r="N30" i="4"/>
  <c r="I30" i="4"/>
  <c r="H30" i="4"/>
  <c r="G30" i="4"/>
  <c r="CD174" i="4"/>
  <c r="CH174" i="4"/>
  <c r="CC174" i="4"/>
  <c r="CG174" i="4"/>
  <c r="BT174" i="4"/>
  <c r="BX174" i="4"/>
  <c r="BS174" i="4"/>
  <c r="BW174" i="4"/>
  <c r="CA174" i="4"/>
  <c r="BM174" i="4"/>
  <c r="BQ174" i="4"/>
  <c r="BL174" i="4"/>
  <c r="BP174" i="4"/>
  <c r="AU174" i="4"/>
  <c r="AY174" i="4"/>
  <c r="BC174" i="4"/>
  <c r="BG174" i="4"/>
  <c r="AV174" i="4"/>
  <c r="AZ174" i="4"/>
  <c r="BD174" i="4"/>
  <c r="BH174" i="4"/>
  <c r="AN174" i="4"/>
  <c r="AR174" i="4"/>
  <c r="AI174" i="4"/>
  <c r="AG174" i="4"/>
  <c r="AE174" i="4"/>
  <c r="AO174" i="4"/>
  <c r="AS174" i="4"/>
  <c r="AF174" i="4"/>
  <c r="AD174" i="4"/>
  <c r="Y174" i="4"/>
  <c r="W174" i="4"/>
  <c r="O174" i="4"/>
  <c r="K174" i="4"/>
  <c r="AA174" i="4"/>
  <c r="U174" i="4"/>
  <c r="S174" i="4"/>
  <c r="Q174" i="4"/>
  <c r="M174" i="4"/>
  <c r="J174" i="4"/>
  <c r="G174" i="4"/>
  <c r="CB174" i="4"/>
  <c r="CF174" i="4"/>
  <c r="CJ174" i="4"/>
  <c r="CE174" i="4"/>
  <c r="CI174" i="4"/>
  <c r="BV174" i="4"/>
  <c r="BZ174" i="4"/>
  <c r="BU174" i="4"/>
  <c r="BY174" i="4"/>
  <c r="BK174" i="4"/>
  <c r="BO174" i="4"/>
  <c r="BJ174" i="4"/>
  <c r="BN174" i="4"/>
  <c r="BR174" i="4"/>
  <c r="AW174" i="4"/>
  <c r="BA174" i="4"/>
  <c r="BE174" i="4"/>
  <c r="BI174" i="4"/>
  <c r="AX174" i="4"/>
  <c r="BB174" i="4"/>
  <c r="BF174" i="4"/>
  <c r="AL174" i="4"/>
  <c r="AP174" i="4"/>
  <c r="AT174" i="4"/>
  <c r="AK174" i="4"/>
  <c r="AC174" i="4"/>
  <c r="AM174" i="4"/>
  <c r="AQ174" i="4"/>
  <c r="AJ174" i="4"/>
  <c r="AH174" i="4"/>
  <c r="Z174" i="4"/>
  <c r="X174" i="4"/>
  <c r="P174" i="4"/>
  <c r="L174" i="4"/>
  <c r="AB174" i="4"/>
  <c r="V174" i="4"/>
  <c r="T174" i="4"/>
  <c r="R174" i="4"/>
  <c r="N174" i="4"/>
  <c r="I174" i="4"/>
  <c r="H174" i="4"/>
  <c r="G115" i="4"/>
  <c r="CC113" i="4"/>
  <c r="CG113" i="4"/>
  <c r="CB113" i="4"/>
  <c r="CF113" i="4"/>
  <c r="CJ113" i="4"/>
  <c r="BV113" i="4"/>
  <c r="BZ113" i="4"/>
  <c r="BW113" i="4"/>
  <c r="BU113" i="4"/>
  <c r="BJ113" i="4"/>
  <c r="BN113" i="4"/>
  <c r="BR113" i="4"/>
  <c r="BM113" i="4"/>
  <c r="BQ113" i="4"/>
  <c r="AX113" i="4"/>
  <c r="BB113" i="4"/>
  <c r="BF113" i="4"/>
  <c r="AU113" i="4"/>
  <c r="AY113" i="4"/>
  <c r="BC113" i="4"/>
  <c r="BG113" i="4"/>
  <c r="AM113" i="4"/>
  <c r="AQ113" i="4"/>
  <c r="AJ113" i="4"/>
  <c r="AH113" i="4"/>
  <c r="AB113" i="4"/>
  <c r="AL113" i="4"/>
  <c r="AP113" i="4"/>
  <c r="AT113" i="4"/>
  <c r="AK113" i="4"/>
  <c r="AC113" i="4"/>
  <c r="V113" i="4"/>
  <c r="T113" i="4"/>
  <c r="R113" i="4"/>
  <c r="N113" i="4"/>
  <c r="I113" i="4"/>
  <c r="Y113" i="4"/>
  <c r="W113" i="4"/>
  <c r="O113" i="4"/>
  <c r="K113" i="4"/>
  <c r="H113" i="4"/>
  <c r="CE113" i="4"/>
  <c r="CI113" i="4"/>
  <c r="CD113" i="4"/>
  <c r="CH113" i="4"/>
  <c r="BT113" i="4"/>
  <c r="BX113" i="4"/>
  <c r="BS113" i="4"/>
  <c r="CA113" i="4"/>
  <c r="BY113" i="4"/>
  <c r="BL113" i="4"/>
  <c r="BP113" i="4"/>
  <c r="BK113" i="4"/>
  <c r="BO113" i="4"/>
  <c r="AV113" i="4"/>
  <c r="AZ113" i="4"/>
  <c r="BD113" i="4"/>
  <c r="BH113" i="4"/>
  <c r="AW113" i="4"/>
  <c r="BA113" i="4"/>
  <c r="BE113" i="4"/>
  <c r="BI113" i="4"/>
  <c r="AO113" i="4"/>
  <c r="AS113" i="4"/>
  <c r="AF113" i="4"/>
  <c r="AD113" i="4"/>
  <c r="AA113" i="4"/>
  <c r="AN113" i="4"/>
  <c r="AR113" i="4"/>
  <c r="AI113" i="4"/>
  <c r="AG113" i="4"/>
  <c r="AE113" i="4"/>
  <c r="U113" i="4"/>
  <c r="S113" i="4"/>
  <c r="Q113" i="4"/>
  <c r="M113" i="4"/>
  <c r="Z113" i="4"/>
  <c r="X113" i="4"/>
  <c r="P113" i="4"/>
  <c r="L113" i="4"/>
  <c r="J113" i="4"/>
  <c r="CB114" i="4"/>
  <c r="CF114" i="4"/>
  <c r="CJ114" i="4"/>
  <c r="CE114" i="4"/>
  <c r="CI114" i="4"/>
  <c r="BU114" i="4"/>
  <c r="BY114" i="4"/>
  <c r="BV114" i="4"/>
  <c r="BT114" i="4"/>
  <c r="BK114" i="4"/>
  <c r="BO114" i="4"/>
  <c r="BJ114" i="4"/>
  <c r="BN114" i="4"/>
  <c r="BR114" i="4"/>
  <c r="AW114" i="4"/>
  <c r="BA114" i="4"/>
  <c r="BE114" i="4"/>
  <c r="BI114" i="4"/>
  <c r="AX114" i="4"/>
  <c r="BB114" i="4"/>
  <c r="BF114" i="4"/>
  <c r="AL114" i="4"/>
  <c r="AP114" i="4"/>
  <c r="AT114" i="4"/>
  <c r="AK114" i="4"/>
  <c r="AC114" i="4"/>
  <c r="AM114" i="4"/>
  <c r="AQ114" i="4"/>
  <c r="AJ114" i="4"/>
  <c r="AH114" i="4"/>
  <c r="Z114" i="4"/>
  <c r="X114" i="4"/>
  <c r="P114" i="4"/>
  <c r="L114" i="4"/>
  <c r="H114" i="4"/>
  <c r="AA114" i="4"/>
  <c r="U114" i="4"/>
  <c r="S114" i="4"/>
  <c r="Q114" i="4"/>
  <c r="M114" i="4"/>
  <c r="J114" i="4"/>
  <c r="CD116" i="4"/>
  <c r="CH116" i="4"/>
  <c r="CC116" i="4"/>
  <c r="CG116" i="4"/>
  <c r="BS116" i="4"/>
  <c r="BW116" i="4"/>
  <c r="CA116" i="4"/>
  <c r="BX116" i="4"/>
  <c r="BZ116" i="4"/>
  <c r="BM116" i="4"/>
  <c r="BQ116" i="4"/>
  <c r="BL116" i="4"/>
  <c r="BP116" i="4"/>
  <c r="AU116" i="4"/>
  <c r="AY116" i="4"/>
  <c r="BC116" i="4"/>
  <c r="BG116" i="4"/>
  <c r="AV116" i="4"/>
  <c r="AZ116" i="4"/>
  <c r="BD116" i="4"/>
  <c r="BH116" i="4"/>
  <c r="AN116" i="4"/>
  <c r="AR116" i="4"/>
  <c r="AI116" i="4"/>
  <c r="AG116" i="4"/>
  <c r="AE116" i="4"/>
  <c r="AO116" i="4"/>
  <c r="AS116" i="4"/>
  <c r="AF116" i="4"/>
  <c r="AD116" i="4"/>
  <c r="AA116" i="4"/>
  <c r="Y116" i="4"/>
  <c r="W116" i="4"/>
  <c r="O116" i="4"/>
  <c r="K116" i="4"/>
  <c r="V116" i="4"/>
  <c r="T116" i="4"/>
  <c r="R116" i="4"/>
  <c r="N116" i="4"/>
  <c r="I116" i="4"/>
  <c r="G113" i="4"/>
  <c r="CE115" i="4"/>
  <c r="CI115" i="4"/>
  <c r="CD115" i="4"/>
  <c r="CH115" i="4"/>
  <c r="BT115" i="4"/>
  <c r="BX115" i="4"/>
  <c r="BU115" i="4"/>
  <c r="BS115" i="4"/>
  <c r="CA115" i="4"/>
  <c r="BL115" i="4"/>
  <c r="BP115" i="4"/>
  <c r="BK115" i="4"/>
  <c r="BO115" i="4"/>
  <c r="AV115" i="4"/>
  <c r="AZ115" i="4"/>
  <c r="BD115" i="4"/>
  <c r="BH115" i="4"/>
  <c r="AW115" i="4"/>
  <c r="BA115" i="4"/>
  <c r="BE115" i="4"/>
  <c r="BI115" i="4"/>
  <c r="AO115" i="4"/>
  <c r="AS115" i="4"/>
  <c r="AF115" i="4"/>
  <c r="AD115" i="4"/>
  <c r="AA115" i="4"/>
  <c r="AN115" i="4"/>
  <c r="AR115" i="4"/>
  <c r="AI115" i="4"/>
  <c r="AG115" i="4"/>
  <c r="AE115" i="4"/>
  <c r="U115" i="4"/>
  <c r="S115" i="4"/>
  <c r="Q115" i="4"/>
  <c r="M115" i="4"/>
  <c r="Y115" i="4"/>
  <c r="W115" i="4"/>
  <c r="O115" i="4"/>
  <c r="K115" i="4"/>
  <c r="H115" i="4"/>
  <c r="CD114" i="4"/>
  <c r="CH114" i="4"/>
  <c r="CC114" i="4"/>
  <c r="CG114" i="4"/>
  <c r="BS114" i="4"/>
  <c r="BW114" i="4"/>
  <c r="CA114" i="4"/>
  <c r="BZ114" i="4"/>
  <c r="BX114" i="4"/>
  <c r="BM114" i="4"/>
  <c r="BQ114" i="4"/>
  <c r="BL114" i="4"/>
  <c r="BP114" i="4"/>
  <c r="AU114" i="4"/>
  <c r="AY114" i="4"/>
  <c r="BC114" i="4"/>
  <c r="BG114" i="4"/>
  <c r="AV114" i="4"/>
  <c r="AZ114" i="4"/>
  <c r="BD114" i="4"/>
  <c r="BH114" i="4"/>
  <c r="AN114" i="4"/>
  <c r="AR114" i="4"/>
  <c r="AI114" i="4"/>
  <c r="AG114" i="4"/>
  <c r="AE114" i="4"/>
  <c r="AO114" i="4"/>
  <c r="AS114" i="4"/>
  <c r="AF114" i="4"/>
  <c r="AD114" i="4"/>
  <c r="Y114" i="4"/>
  <c r="W114" i="4"/>
  <c r="O114" i="4"/>
  <c r="K114" i="4"/>
  <c r="AB114" i="4"/>
  <c r="V114" i="4"/>
  <c r="T114" i="4"/>
  <c r="R114" i="4"/>
  <c r="N114" i="4"/>
  <c r="I114" i="4"/>
  <c r="CB116" i="4"/>
  <c r="CF116" i="4"/>
  <c r="CJ116" i="4"/>
  <c r="CE116" i="4"/>
  <c r="CI116" i="4"/>
  <c r="BU116" i="4"/>
  <c r="BY116" i="4"/>
  <c r="BT116" i="4"/>
  <c r="BV116" i="4"/>
  <c r="BK116" i="4"/>
  <c r="BO116" i="4"/>
  <c r="BJ116" i="4"/>
  <c r="BN116" i="4"/>
  <c r="BR116" i="4"/>
  <c r="AW116" i="4"/>
  <c r="BA116" i="4"/>
  <c r="BE116" i="4"/>
  <c r="BI116" i="4"/>
  <c r="AX116" i="4"/>
  <c r="BB116" i="4"/>
  <c r="BF116" i="4"/>
  <c r="AL116" i="4"/>
  <c r="AP116" i="4"/>
  <c r="AT116" i="4"/>
  <c r="AK116" i="4"/>
  <c r="AC116" i="4"/>
  <c r="AM116" i="4"/>
  <c r="AQ116" i="4"/>
  <c r="AJ116" i="4"/>
  <c r="AH116" i="4"/>
  <c r="AB116" i="4"/>
  <c r="Z116" i="4"/>
  <c r="X116" i="4"/>
  <c r="P116" i="4"/>
  <c r="L116" i="4"/>
  <c r="J116" i="4"/>
  <c r="U116" i="4"/>
  <c r="S116" i="4"/>
  <c r="Q116" i="4"/>
  <c r="M116" i="4"/>
  <c r="H116" i="4"/>
  <c r="CC115" i="4"/>
  <c r="CG115" i="4"/>
  <c r="CB115" i="4"/>
  <c r="CF115" i="4"/>
  <c r="CJ115" i="4"/>
  <c r="BV115" i="4"/>
  <c r="BZ115" i="4"/>
  <c r="BY115" i="4"/>
  <c r="BW115" i="4"/>
  <c r="BJ115" i="4"/>
  <c r="BN115" i="4"/>
  <c r="BR115" i="4"/>
  <c r="BM115" i="4"/>
  <c r="BQ115" i="4"/>
  <c r="AX115" i="4"/>
  <c r="BB115" i="4"/>
  <c r="BF115" i="4"/>
  <c r="AU115" i="4"/>
  <c r="AY115" i="4"/>
  <c r="BC115" i="4"/>
  <c r="BG115" i="4"/>
  <c r="AM115" i="4"/>
  <c r="AQ115" i="4"/>
  <c r="AJ115" i="4"/>
  <c r="AH115" i="4"/>
  <c r="AB115" i="4"/>
  <c r="AL115" i="4"/>
  <c r="AP115" i="4"/>
  <c r="AT115" i="4"/>
  <c r="AK115" i="4"/>
  <c r="AC115" i="4"/>
  <c r="V115" i="4"/>
  <c r="T115" i="4"/>
  <c r="R115" i="4"/>
  <c r="N115" i="4"/>
  <c r="Z115" i="4"/>
  <c r="X115" i="4"/>
  <c r="P115" i="4"/>
  <c r="L115" i="4"/>
  <c r="J115" i="4"/>
  <c r="I115" i="4"/>
  <c r="G114" i="4"/>
  <c r="G116" i="4"/>
  <c r="G57" i="3"/>
  <c r="G58" i="3"/>
  <c r="G59" i="3"/>
  <c r="AE58" i="3"/>
  <c r="AF58" i="3"/>
  <c r="AC58" i="3"/>
  <c r="AA58" i="3"/>
  <c r="Y58" i="3"/>
  <c r="X58" i="3"/>
  <c r="V58" i="3"/>
  <c r="S58" i="3"/>
  <c r="Q58" i="3"/>
  <c r="P58" i="3"/>
  <c r="O58" i="3"/>
  <c r="N58" i="3"/>
  <c r="K58" i="3"/>
  <c r="AE59" i="3"/>
  <c r="AD59" i="3"/>
  <c r="AA59" i="3"/>
  <c r="Z59" i="3"/>
  <c r="X59" i="3"/>
  <c r="U59" i="3"/>
  <c r="V59" i="3"/>
  <c r="R59" i="3"/>
  <c r="Q59" i="3"/>
  <c r="P59" i="3"/>
  <c r="O59" i="3"/>
  <c r="H59" i="3"/>
  <c r="AE57" i="3"/>
  <c r="AG57" i="3"/>
  <c r="AA57" i="3"/>
  <c r="AB57" i="3"/>
  <c r="X57" i="3"/>
  <c r="W57" i="3"/>
  <c r="V57" i="3"/>
  <c r="S57" i="3"/>
  <c r="Q57" i="3"/>
  <c r="P57" i="3"/>
  <c r="O57" i="3"/>
  <c r="H57" i="3"/>
  <c r="J57" i="3"/>
  <c r="J59" i="3"/>
  <c r="I57" i="3"/>
  <c r="AG58" i="3"/>
  <c r="AD58" i="3"/>
  <c r="AB58" i="3"/>
  <c r="Z58" i="3"/>
  <c r="W58" i="3"/>
  <c r="T58" i="3"/>
  <c r="U58" i="3"/>
  <c r="R58" i="3"/>
  <c r="M58" i="3"/>
  <c r="L58" i="3"/>
  <c r="I58" i="3"/>
  <c r="H58" i="3"/>
  <c r="J58" i="3"/>
  <c r="AF59" i="3"/>
  <c r="AG59" i="3"/>
  <c r="AC59" i="3"/>
  <c r="AB59" i="3"/>
  <c r="W59" i="3"/>
  <c r="Y59" i="3"/>
  <c r="T59" i="3"/>
  <c r="S59" i="3"/>
  <c r="N59" i="3"/>
  <c r="M59" i="3"/>
  <c r="L59" i="3"/>
  <c r="I59" i="3"/>
  <c r="K59" i="3"/>
  <c r="AF57" i="3"/>
  <c r="AD57" i="3"/>
  <c r="AC57" i="3"/>
  <c r="Z57" i="3"/>
  <c r="Y57" i="3"/>
  <c r="T57" i="3"/>
  <c r="U57" i="3"/>
  <c r="R57" i="3"/>
  <c r="M57" i="3"/>
  <c r="L57" i="3"/>
  <c r="N57" i="3"/>
  <c r="K57" i="3"/>
  <c r="I41" i="3"/>
  <c r="N42" i="3"/>
  <c r="AE41" i="3"/>
  <c r="AG41" i="3"/>
  <c r="AA41" i="3"/>
  <c r="AB41" i="3"/>
  <c r="X41" i="3"/>
  <c r="T41" i="3"/>
  <c r="V41" i="3"/>
  <c r="S41" i="3"/>
  <c r="Q41" i="3"/>
  <c r="P41" i="3"/>
  <c r="O41" i="3"/>
  <c r="H41" i="3"/>
  <c r="J41" i="3"/>
  <c r="G43" i="3"/>
  <c r="G42" i="3"/>
  <c r="AF41" i="3"/>
  <c r="AC41" i="3"/>
  <c r="AD41" i="3"/>
  <c r="Z41" i="3"/>
  <c r="Y41" i="3"/>
  <c r="W41" i="3"/>
  <c r="U41" i="3"/>
  <c r="R41" i="3"/>
  <c r="M41" i="3"/>
  <c r="L41" i="3"/>
  <c r="N41" i="3"/>
  <c r="K41" i="3"/>
  <c r="G41" i="3"/>
  <c r="AE42" i="3"/>
  <c r="AF42" i="3"/>
  <c r="AC42" i="3"/>
  <c r="AA42" i="3"/>
  <c r="Y42" i="3"/>
  <c r="X42" i="3"/>
  <c r="V42" i="3"/>
  <c r="S42" i="3"/>
  <c r="Q42" i="3"/>
  <c r="P42" i="3"/>
  <c r="O42" i="3"/>
  <c r="H42" i="3"/>
  <c r="J42" i="3"/>
  <c r="AE43" i="3"/>
  <c r="AC43" i="3"/>
  <c r="AA43" i="3"/>
  <c r="Z43" i="3"/>
  <c r="W43" i="3"/>
  <c r="U43" i="3"/>
  <c r="V43" i="3"/>
  <c r="R43" i="3"/>
  <c r="Q43" i="3"/>
  <c r="P43" i="3"/>
  <c r="O43" i="3"/>
  <c r="H43" i="3"/>
  <c r="AG42" i="3"/>
  <c r="AD42" i="3"/>
  <c r="AB42" i="3"/>
  <c r="Z42" i="3"/>
  <c r="W42" i="3"/>
  <c r="T42" i="3"/>
  <c r="U42" i="3"/>
  <c r="R42" i="3"/>
  <c r="M42" i="3"/>
  <c r="L42" i="3"/>
  <c r="I42" i="3"/>
  <c r="K42" i="3"/>
  <c r="AF43" i="3"/>
  <c r="AG43" i="3"/>
  <c r="AD43" i="3"/>
  <c r="AB43" i="3"/>
  <c r="X43" i="3"/>
  <c r="Y43" i="3"/>
  <c r="T43" i="3"/>
  <c r="S43" i="3"/>
  <c r="N43" i="3"/>
  <c r="M43" i="3"/>
  <c r="L43" i="3"/>
  <c r="I43" i="3"/>
  <c r="K43" i="3"/>
  <c r="J43" i="3"/>
  <c r="G19" i="3"/>
  <c r="J19" i="3"/>
  <c r="I17" i="3"/>
  <c r="AE18" i="3"/>
  <c r="AC18" i="3"/>
  <c r="AF18" i="3"/>
  <c r="AA18" i="3"/>
  <c r="Y18" i="3"/>
  <c r="X18" i="3"/>
  <c r="V18" i="3"/>
  <c r="S18" i="3"/>
  <c r="Q18" i="3"/>
  <c r="P18" i="3"/>
  <c r="O18" i="3"/>
  <c r="H18" i="3"/>
  <c r="K18" i="3"/>
  <c r="G18" i="3"/>
  <c r="AG18" i="3"/>
  <c r="AD18" i="3"/>
  <c r="AB18" i="3"/>
  <c r="Z18" i="3"/>
  <c r="W18" i="3"/>
  <c r="T18" i="3"/>
  <c r="U18" i="3"/>
  <c r="R18" i="3"/>
  <c r="M18" i="3"/>
  <c r="L18" i="3"/>
  <c r="I18" i="3"/>
  <c r="N18" i="3"/>
  <c r="J18" i="3"/>
  <c r="AE19" i="3"/>
  <c r="AC19" i="3"/>
  <c r="AA19" i="3"/>
  <c r="AB19" i="3"/>
  <c r="X19" i="3"/>
  <c r="U19" i="3"/>
  <c r="V19" i="3"/>
  <c r="R19" i="3"/>
  <c r="Q19" i="3"/>
  <c r="P19" i="3"/>
  <c r="O19" i="3"/>
  <c r="H19" i="3"/>
  <c r="AE17" i="3"/>
  <c r="AG17" i="3"/>
  <c r="AC17" i="3"/>
  <c r="AA17" i="3"/>
  <c r="X17" i="3"/>
  <c r="T17" i="3"/>
  <c r="V17" i="3"/>
  <c r="S17" i="3"/>
  <c r="Q17" i="3"/>
  <c r="P17" i="3"/>
  <c r="O17" i="3"/>
  <c r="H17" i="3"/>
  <c r="J17" i="3"/>
  <c r="G17" i="3"/>
  <c r="AF19" i="3"/>
  <c r="AG19" i="3"/>
  <c r="AD19" i="3"/>
  <c r="Z19" i="3"/>
  <c r="W19" i="3"/>
  <c r="Y19" i="3"/>
  <c r="T19" i="3"/>
  <c r="S19" i="3"/>
  <c r="N19" i="3"/>
  <c r="M19" i="3"/>
  <c r="L19" i="3"/>
  <c r="I19" i="3"/>
  <c r="K19" i="3"/>
  <c r="AF17" i="3"/>
  <c r="AD17" i="3"/>
  <c r="AB17" i="3"/>
  <c r="Z17" i="3"/>
  <c r="Y17" i="3"/>
  <c r="W17" i="3"/>
  <c r="U17" i="3"/>
  <c r="R17" i="3"/>
  <c r="M17" i="3"/>
  <c r="L17" i="3"/>
  <c r="N17" i="3"/>
  <c r="K17" i="3"/>
  <c r="G229" i="4"/>
  <c r="CC229" i="4"/>
  <c r="CG229" i="4"/>
  <c r="CB229" i="4"/>
  <c r="CF229" i="4"/>
  <c r="CJ229" i="4"/>
  <c r="BU229" i="4"/>
  <c r="BY229" i="4"/>
  <c r="BT229" i="4"/>
  <c r="BX229" i="4"/>
  <c r="BJ229" i="4"/>
  <c r="BN229" i="4"/>
  <c r="BR229" i="4"/>
  <c r="BM229" i="4"/>
  <c r="BQ229" i="4"/>
  <c r="AX229" i="4"/>
  <c r="BB229" i="4"/>
  <c r="BF229" i="4"/>
  <c r="AU229" i="4"/>
  <c r="BC229" i="4"/>
  <c r="AM229" i="4"/>
  <c r="AQ229" i="4"/>
  <c r="AJ229" i="4"/>
  <c r="AH229" i="4"/>
  <c r="AB229" i="4"/>
  <c r="BA229" i="4"/>
  <c r="BI229" i="4"/>
  <c r="AN229" i="4"/>
  <c r="AR229" i="4"/>
  <c r="AI229" i="4"/>
  <c r="AG229" i="4"/>
  <c r="V229" i="4"/>
  <c r="T229" i="4"/>
  <c r="R229" i="4"/>
  <c r="N229" i="4"/>
  <c r="I229" i="4"/>
  <c r="AA229" i="4"/>
  <c r="Y229" i="4"/>
  <c r="W229" i="4"/>
  <c r="O229" i="4"/>
  <c r="K229" i="4"/>
  <c r="H229" i="4"/>
  <c r="CD230" i="4"/>
  <c r="CH230" i="4"/>
  <c r="CC230" i="4"/>
  <c r="CG230" i="4"/>
  <c r="BT230" i="4"/>
  <c r="BX230" i="4"/>
  <c r="BS230" i="4"/>
  <c r="BW230" i="4"/>
  <c r="CA230" i="4"/>
  <c r="BM230" i="4"/>
  <c r="BQ230" i="4"/>
  <c r="BL230" i="4"/>
  <c r="BP230" i="4"/>
  <c r="AU230" i="4"/>
  <c r="AY230" i="4"/>
  <c r="BC230" i="4"/>
  <c r="BG230" i="4"/>
  <c r="AV230" i="4"/>
  <c r="BD230" i="4"/>
  <c r="AL230" i="4"/>
  <c r="AP230" i="4"/>
  <c r="AT230" i="4"/>
  <c r="AK230" i="4"/>
  <c r="AC230" i="4"/>
  <c r="AX230" i="4"/>
  <c r="BF230" i="4"/>
  <c r="AO230" i="4"/>
  <c r="AS230" i="4"/>
  <c r="AF230" i="4"/>
  <c r="AD230" i="4"/>
  <c r="Z230" i="4"/>
  <c r="X230" i="4"/>
  <c r="P230" i="4"/>
  <c r="L230" i="4"/>
  <c r="AB230" i="4"/>
  <c r="U230" i="4"/>
  <c r="S230" i="4"/>
  <c r="Q230" i="4"/>
  <c r="M230" i="4"/>
  <c r="K230" i="4"/>
  <c r="G230" i="4"/>
  <c r="CE229" i="4"/>
  <c r="CI229" i="4"/>
  <c r="CD229" i="4"/>
  <c r="CH229" i="4"/>
  <c r="BS229" i="4"/>
  <c r="BW229" i="4"/>
  <c r="CA229" i="4"/>
  <c r="BV229" i="4"/>
  <c r="BZ229" i="4"/>
  <c r="BL229" i="4"/>
  <c r="BP229" i="4"/>
  <c r="BK229" i="4"/>
  <c r="BO229" i="4"/>
  <c r="AV229" i="4"/>
  <c r="AZ229" i="4"/>
  <c r="BD229" i="4"/>
  <c r="BH229" i="4"/>
  <c r="AY229" i="4"/>
  <c r="BG229" i="4"/>
  <c r="AO229" i="4"/>
  <c r="AS229" i="4"/>
  <c r="AF229" i="4"/>
  <c r="AD229" i="4"/>
  <c r="AW229" i="4"/>
  <c r="BE229" i="4"/>
  <c r="AL229" i="4"/>
  <c r="AP229" i="4"/>
  <c r="AT229" i="4"/>
  <c r="AK229" i="4"/>
  <c r="AC229" i="4"/>
  <c r="U229" i="4"/>
  <c r="S229" i="4"/>
  <c r="Q229" i="4"/>
  <c r="M229" i="4"/>
  <c r="AE229" i="4"/>
  <c r="Z229" i="4"/>
  <c r="X229" i="4"/>
  <c r="P229" i="4"/>
  <c r="L229" i="4"/>
  <c r="J229" i="4"/>
  <c r="CB230" i="4"/>
  <c r="CF230" i="4"/>
  <c r="CJ230" i="4"/>
  <c r="CE230" i="4"/>
  <c r="CI230" i="4"/>
  <c r="BV230" i="4"/>
  <c r="BZ230" i="4"/>
  <c r="BU230" i="4"/>
  <c r="BY230" i="4"/>
  <c r="BK230" i="4"/>
  <c r="BO230" i="4"/>
  <c r="BJ230" i="4"/>
  <c r="BN230" i="4"/>
  <c r="BR230" i="4"/>
  <c r="AW230" i="4"/>
  <c r="BA230" i="4"/>
  <c r="BE230" i="4"/>
  <c r="BI230" i="4"/>
  <c r="AZ230" i="4"/>
  <c r="BH230" i="4"/>
  <c r="AN230" i="4"/>
  <c r="AR230" i="4"/>
  <c r="AI230" i="4"/>
  <c r="AG230" i="4"/>
  <c r="AE230" i="4"/>
  <c r="BB230" i="4"/>
  <c r="AM230" i="4"/>
  <c r="AQ230" i="4"/>
  <c r="AJ230" i="4"/>
  <c r="AH230" i="4"/>
  <c r="AA230" i="4"/>
  <c r="Y230" i="4"/>
  <c r="W230" i="4"/>
  <c r="O230" i="4"/>
  <c r="J230" i="4"/>
  <c r="V230" i="4"/>
  <c r="T230" i="4"/>
  <c r="R230" i="4"/>
  <c r="N230" i="4"/>
  <c r="I230" i="4"/>
  <c r="H230" i="4"/>
  <c r="G189" i="4"/>
  <c r="CC191" i="4"/>
  <c r="CG191" i="4"/>
  <c r="CB191" i="4"/>
  <c r="CF191" i="4"/>
  <c r="CJ191" i="4"/>
  <c r="BU191" i="4"/>
  <c r="BY191" i="4"/>
  <c r="BT191" i="4"/>
  <c r="BX191" i="4"/>
  <c r="BJ191" i="4"/>
  <c r="BN191" i="4"/>
  <c r="BR191" i="4"/>
  <c r="BM191" i="4"/>
  <c r="BQ191" i="4"/>
  <c r="AX191" i="4"/>
  <c r="BB191" i="4"/>
  <c r="BF191" i="4"/>
  <c r="AU191" i="4"/>
  <c r="AY191" i="4"/>
  <c r="BC191" i="4"/>
  <c r="BG191" i="4"/>
  <c r="AM191" i="4"/>
  <c r="AQ191" i="4"/>
  <c r="AJ191" i="4"/>
  <c r="AH191" i="4"/>
  <c r="AB191" i="4"/>
  <c r="AL191" i="4"/>
  <c r="AP191" i="4"/>
  <c r="AT191" i="4"/>
  <c r="AK191" i="4"/>
  <c r="AE191" i="4"/>
  <c r="U191" i="4"/>
  <c r="S191" i="4"/>
  <c r="Q191" i="4"/>
  <c r="M191" i="4"/>
  <c r="Z191" i="4"/>
  <c r="X191" i="4"/>
  <c r="P191" i="4"/>
  <c r="L191" i="4"/>
  <c r="J191" i="4"/>
  <c r="I191" i="4"/>
  <c r="CD192" i="4"/>
  <c r="CH192" i="4"/>
  <c r="CC192" i="4"/>
  <c r="CG192" i="4"/>
  <c r="BT192" i="4"/>
  <c r="BX192" i="4"/>
  <c r="BS192" i="4"/>
  <c r="BW192" i="4"/>
  <c r="CA192" i="4"/>
  <c r="BM192" i="4"/>
  <c r="BQ192" i="4"/>
  <c r="BL192" i="4"/>
  <c r="BP192" i="4"/>
  <c r="AU192" i="4"/>
  <c r="AY192" i="4"/>
  <c r="BC192" i="4"/>
  <c r="BG192" i="4"/>
  <c r="AV192" i="4"/>
  <c r="AZ192" i="4"/>
  <c r="BD192" i="4"/>
  <c r="BH192" i="4"/>
  <c r="AN192" i="4"/>
  <c r="AR192" i="4"/>
  <c r="AI192" i="4"/>
  <c r="AG192" i="4"/>
  <c r="AE192" i="4"/>
  <c r="AO192" i="4"/>
  <c r="AS192" i="4"/>
  <c r="AF192" i="4"/>
  <c r="AB192" i="4"/>
  <c r="Z192" i="4"/>
  <c r="X192" i="4"/>
  <c r="P192" i="4"/>
  <c r="L192" i="4"/>
  <c r="V192" i="4"/>
  <c r="T192" i="4"/>
  <c r="R192" i="4"/>
  <c r="N192" i="4"/>
  <c r="I192" i="4"/>
  <c r="J192" i="4"/>
  <c r="CE191" i="4"/>
  <c r="CI191" i="4"/>
  <c r="CD191" i="4"/>
  <c r="CH191" i="4"/>
  <c r="BS191" i="4"/>
  <c r="BW191" i="4"/>
  <c r="CA191" i="4"/>
  <c r="BV191" i="4"/>
  <c r="BZ191" i="4"/>
  <c r="BL191" i="4"/>
  <c r="BP191" i="4"/>
  <c r="BK191" i="4"/>
  <c r="BO191" i="4"/>
  <c r="AV191" i="4"/>
  <c r="AZ191" i="4"/>
  <c r="BD191" i="4"/>
  <c r="BH191" i="4"/>
  <c r="AW191" i="4"/>
  <c r="BA191" i="4"/>
  <c r="BE191" i="4"/>
  <c r="BI191" i="4"/>
  <c r="AO191" i="4"/>
  <c r="AS191" i="4"/>
  <c r="AF191" i="4"/>
  <c r="AD191" i="4"/>
  <c r="AA191" i="4"/>
  <c r="AN191" i="4"/>
  <c r="AR191" i="4"/>
  <c r="AI191" i="4"/>
  <c r="AG191" i="4"/>
  <c r="V191" i="4"/>
  <c r="T191" i="4"/>
  <c r="R191" i="4"/>
  <c r="N191" i="4"/>
  <c r="AC191" i="4"/>
  <c r="Y191" i="4"/>
  <c r="W191" i="4"/>
  <c r="O191" i="4"/>
  <c r="K191" i="4"/>
  <c r="H191" i="4"/>
  <c r="CB192" i="4"/>
  <c r="CF192" i="4"/>
  <c r="CJ192" i="4"/>
  <c r="CE192" i="4"/>
  <c r="CI192" i="4"/>
  <c r="BV192" i="4"/>
  <c r="BZ192" i="4"/>
  <c r="BU192" i="4"/>
  <c r="BY192" i="4"/>
  <c r="BK192" i="4"/>
  <c r="BO192" i="4"/>
  <c r="BJ192" i="4"/>
  <c r="BN192" i="4"/>
  <c r="BR192" i="4"/>
  <c r="AW192" i="4"/>
  <c r="BA192" i="4"/>
  <c r="BE192" i="4"/>
  <c r="BI192" i="4"/>
  <c r="AX192" i="4"/>
  <c r="BB192" i="4"/>
  <c r="BF192" i="4"/>
  <c r="AL192" i="4"/>
  <c r="AP192" i="4"/>
  <c r="AT192" i="4"/>
  <c r="AK192" i="4"/>
  <c r="AC192" i="4"/>
  <c r="AM192" i="4"/>
  <c r="AQ192" i="4"/>
  <c r="AJ192" i="4"/>
  <c r="AH192" i="4"/>
  <c r="AA192" i="4"/>
  <c r="Y192" i="4"/>
  <c r="W192" i="4"/>
  <c r="O192" i="4"/>
  <c r="AD192" i="4"/>
  <c r="U192" i="4"/>
  <c r="S192" i="4"/>
  <c r="Q192" i="4"/>
  <c r="M192" i="4"/>
  <c r="K192" i="4"/>
  <c r="H192" i="4"/>
  <c r="G191" i="4"/>
  <c r="CC189" i="4"/>
  <c r="CG189" i="4"/>
  <c r="CB189" i="4"/>
  <c r="CF189" i="4"/>
  <c r="CJ189" i="4"/>
  <c r="BU189" i="4"/>
  <c r="BY189" i="4"/>
  <c r="BT189" i="4"/>
  <c r="BX189" i="4"/>
  <c r="BJ189" i="4"/>
  <c r="BN189" i="4"/>
  <c r="BR189" i="4"/>
  <c r="BM189" i="4"/>
  <c r="BQ189" i="4"/>
  <c r="AX189" i="4"/>
  <c r="BB189" i="4"/>
  <c r="BF189" i="4"/>
  <c r="AU189" i="4"/>
  <c r="AY189" i="4"/>
  <c r="BC189" i="4"/>
  <c r="BG189" i="4"/>
  <c r="AM189" i="4"/>
  <c r="AQ189" i="4"/>
  <c r="AJ189" i="4"/>
  <c r="AH189" i="4"/>
  <c r="AB189" i="4"/>
  <c r="AL189" i="4"/>
  <c r="AP189" i="4"/>
  <c r="AT189" i="4"/>
  <c r="AK189" i="4"/>
  <c r="AC189" i="4"/>
  <c r="U189" i="4"/>
  <c r="S189" i="4"/>
  <c r="Q189" i="4"/>
  <c r="M189" i="4"/>
  <c r="AE189" i="4"/>
  <c r="Y189" i="4"/>
  <c r="W189" i="4"/>
  <c r="O189" i="4"/>
  <c r="K189" i="4"/>
  <c r="H189" i="4"/>
  <c r="CD190" i="4"/>
  <c r="CH190" i="4"/>
  <c r="CC190" i="4"/>
  <c r="CG190" i="4"/>
  <c r="BT190" i="4"/>
  <c r="BX190" i="4"/>
  <c r="BS190" i="4"/>
  <c r="BW190" i="4"/>
  <c r="CA190" i="4"/>
  <c r="BM190" i="4"/>
  <c r="BQ190" i="4"/>
  <c r="BL190" i="4"/>
  <c r="BP190" i="4"/>
  <c r="AU190" i="4"/>
  <c r="AY190" i="4"/>
  <c r="BC190" i="4"/>
  <c r="BG190" i="4"/>
  <c r="AV190" i="4"/>
  <c r="AZ190" i="4"/>
  <c r="BD190" i="4"/>
  <c r="BH190" i="4"/>
  <c r="AN190" i="4"/>
  <c r="AR190" i="4"/>
  <c r="AI190" i="4"/>
  <c r="AG190" i="4"/>
  <c r="AE190" i="4"/>
  <c r="AO190" i="4"/>
  <c r="AS190" i="4"/>
  <c r="AF190" i="4"/>
  <c r="AD190" i="4"/>
  <c r="Y190" i="4"/>
  <c r="W190" i="4"/>
  <c r="O190" i="4"/>
  <c r="K190" i="4"/>
  <c r="AB190" i="4"/>
  <c r="V190" i="4"/>
  <c r="T190" i="4"/>
  <c r="R190" i="4"/>
  <c r="N190" i="4"/>
  <c r="I190" i="4"/>
  <c r="G190" i="4"/>
  <c r="CE189" i="4"/>
  <c r="CI189" i="4"/>
  <c r="CD189" i="4"/>
  <c r="CH189" i="4"/>
  <c r="BS189" i="4"/>
  <c r="BW189" i="4"/>
  <c r="CA189" i="4"/>
  <c r="BV189" i="4"/>
  <c r="BZ189" i="4"/>
  <c r="BL189" i="4"/>
  <c r="BP189" i="4"/>
  <c r="BK189" i="4"/>
  <c r="BO189" i="4"/>
  <c r="AV189" i="4"/>
  <c r="AZ189" i="4"/>
  <c r="BD189" i="4"/>
  <c r="BH189" i="4"/>
  <c r="AW189" i="4"/>
  <c r="BA189" i="4"/>
  <c r="BE189" i="4"/>
  <c r="BI189" i="4"/>
  <c r="AO189" i="4"/>
  <c r="AS189" i="4"/>
  <c r="AF189" i="4"/>
  <c r="AD189" i="4"/>
  <c r="AA189" i="4"/>
  <c r="AN189" i="4"/>
  <c r="AR189" i="4"/>
  <c r="AI189" i="4"/>
  <c r="AG189" i="4"/>
  <c r="V189" i="4"/>
  <c r="T189" i="4"/>
  <c r="R189" i="4"/>
  <c r="N189" i="4"/>
  <c r="I189" i="4"/>
  <c r="Z189" i="4"/>
  <c r="X189" i="4"/>
  <c r="P189" i="4"/>
  <c r="L189" i="4"/>
  <c r="J189" i="4"/>
  <c r="CB190" i="4"/>
  <c r="CF190" i="4"/>
  <c r="CJ190" i="4"/>
  <c r="CE190" i="4"/>
  <c r="CI190" i="4"/>
  <c r="BV190" i="4"/>
  <c r="BZ190" i="4"/>
  <c r="BU190" i="4"/>
  <c r="BY190" i="4"/>
  <c r="BK190" i="4"/>
  <c r="BO190" i="4"/>
  <c r="BJ190" i="4"/>
  <c r="BN190" i="4"/>
  <c r="BR190" i="4"/>
  <c r="AW190" i="4"/>
  <c r="BA190" i="4"/>
  <c r="BE190" i="4"/>
  <c r="BI190" i="4"/>
  <c r="AX190" i="4"/>
  <c r="BB190" i="4"/>
  <c r="BF190" i="4"/>
  <c r="AL190" i="4"/>
  <c r="AP190" i="4"/>
  <c r="AT190" i="4"/>
  <c r="AK190" i="4"/>
  <c r="AC190" i="4"/>
  <c r="AM190" i="4"/>
  <c r="AQ190" i="4"/>
  <c r="AJ190" i="4"/>
  <c r="AH190" i="4"/>
  <c r="Z190" i="4"/>
  <c r="X190" i="4"/>
  <c r="P190" i="4"/>
  <c r="L190" i="4"/>
  <c r="J190" i="4"/>
  <c r="AA190" i="4"/>
  <c r="U190" i="4"/>
  <c r="S190" i="4"/>
  <c r="Q190" i="4"/>
  <c r="M190" i="4"/>
  <c r="H190" i="4"/>
  <c r="G192" i="4"/>
  <c r="G157" i="4"/>
  <c r="G159" i="4"/>
  <c r="CB158" i="4"/>
  <c r="CF158" i="4"/>
  <c r="CJ158" i="4"/>
  <c r="CE158" i="4"/>
  <c r="CI158" i="4"/>
  <c r="BV158" i="4"/>
  <c r="BZ158" i="4"/>
  <c r="BU158" i="4"/>
  <c r="BY158" i="4"/>
  <c r="BK158" i="4"/>
  <c r="BO158" i="4"/>
  <c r="BJ158" i="4"/>
  <c r="BN158" i="4"/>
  <c r="BR158" i="4"/>
  <c r="AW158" i="4"/>
  <c r="BA158" i="4"/>
  <c r="BE158" i="4"/>
  <c r="BI158" i="4"/>
  <c r="AX158" i="4"/>
  <c r="BB158" i="4"/>
  <c r="BF158" i="4"/>
  <c r="AL158" i="4"/>
  <c r="AP158" i="4"/>
  <c r="AT158" i="4"/>
  <c r="AK158" i="4"/>
  <c r="AC158" i="4"/>
  <c r="AM158" i="4"/>
  <c r="AQ158" i="4"/>
  <c r="AJ158" i="4"/>
  <c r="AH158" i="4"/>
  <c r="Z158" i="4"/>
  <c r="X158" i="4"/>
  <c r="P158" i="4"/>
  <c r="L158" i="4"/>
  <c r="AB158" i="4"/>
  <c r="V158" i="4"/>
  <c r="T158" i="4"/>
  <c r="R158" i="4"/>
  <c r="N158" i="4"/>
  <c r="I158" i="4"/>
  <c r="H158" i="4"/>
  <c r="CD158" i="4"/>
  <c r="CH158" i="4"/>
  <c r="CC158" i="4"/>
  <c r="CG158" i="4"/>
  <c r="BT158" i="4"/>
  <c r="BX158" i="4"/>
  <c r="BS158" i="4"/>
  <c r="BW158" i="4"/>
  <c r="CA158" i="4"/>
  <c r="BM158" i="4"/>
  <c r="BQ158" i="4"/>
  <c r="BL158" i="4"/>
  <c r="BP158" i="4"/>
  <c r="AU158" i="4"/>
  <c r="AY158" i="4"/>
  <c r="BC158" i="4"/>
  <c r="BG158" i="4"/>
  <c r="AV158" i="4"/>
  <c r="AZ158" i="4"/>
  <c r="BD158" i="4"/>
  <c r="BH158" i="4"/>
  <c r="AN158" i="4"/>
  <c r="AR158" i="4"/>
  <c r="AI158" i="4"/>
  <c r="AG158" i="4"/>
  <c r="AE158" i="4"/>
  <c r="AO158" i="4"/>
  <c r="AS158" i="4"/>
  <c r="AF158" i="4"/>
  <c r="AD158" i="4"/>
  <c r="Y158" i="4"/>
  <c r="W158" i="4"/>
  <c r="O158" i="4"/>
  <c r="K158" i="4"/>
  <c r="AA158" i="4"/>
  <c r="U158" i="4"/>
  <c r="S158" i="4"/>
  <c r="Q158" i="4"/>
  <c r="M158" i="4"/>
  <c r="J158" i="4"/>
  <c r="CC157" i="4"/>
  <c r="CG157" i="4"/>
  <c r="CB157" i="4"/>
  <c r="CF157" i="4"/>
  <c r="CJ157" i="4"/>
  <c r="BU157" i="4"/>
  <c r="BY157" i="4"/>
  <c r="BT157" i="4"/>
  <c r="BX157" i="4"/>
  <c r="BJ157" i="4"/>
  <c r="BN157" i="4"/>
  <c r="BR157" i="4"/>
  <c r="BM157" i="4"/>
  <c r="BQ157" i="4"/>
  <c r="AX157" i="4"/>
  <c r="BB157" i="4"/>
  <c r="BF157" i="4"/>
  <c r="AU157" i="4"/>
  <c r="AY157" i="4"/>
  <c r="BC157" i="4"/>
  <c r="BG157" i="4"/>
  <c r="AM157" i="4"/>
  <c r="AQ157" i="4"/>
  <c r="AJ157" i="4"/>
  <c r="AH157" i="4"/>
  <c r="AB157" i="4"/>
  <c r="AL157" i="4"/>
  <c r="AP157" i="4"/>
  <c r="AT157" i="4"/>
  <c r="AK157" i="4"/>
  <c r="AC157" i="4"/>
  <c r="V157" i="4"/>
  <c r="T157" i="4"/>
  <c r="R157" i="4"/>
  <c r="N157" i="4"/>
  <c r="Z157" i="4"/>
  <c r="X157" i="4"/>
  <c r="P157" i="4"/>
  <c r="L157" i="4"/>
  <c r="J157" i="4"/>
  <c r="I157" i="4"/>
  <c r="CE159" i="4"/>
  <c r="CI159" i="4"/>
  <c r="CD159" i="4"/>
  <c r="CH159" i="4"/>
  <c r="BS159" i="4"/>
  <c r="BW159" i="4"/>
  <c r="CA159" i="4"/>
  <c r="BV159" i="4"/>
  <c r="BZ159" i="4"/>
  <c r="BL159" i="4"/>
  <c r="BP159" i="4"/>
  <c r="BK159" i="4"/>
  <c r="BO159" i="4"/>
  <c r="AV159" i="4"/>
  <c r="AZ159" i="4"/>
  <c r="BD159" i="4"/>
  <c r="BH159" i="4"/>
  <c r="AW159" i="4"/>
  <c r="BA159" i="4"/>
  <c r="BE159" i="4"/>
  <c r="BI159" i="4"/>
  <c r="AO159" i="4"/>
  <c r="AS159" i="4"/>
  <c r="AF159" i="4"/>
  <c r="AD159" i="4"/>
  <c r="AA159" i="4"/>
  <c r="AN159" i="4"/>
  <c r="AR159" i="4"/>
  <c r="AI159" i="4"/>
  <c r="AG159" i="4"/>
  <c r="AE159" i="4"/>
  <c r="U159" i="4"/>
  <c r="S159" i="4"/>
  <c r="Q159" i="4"/>
  <c r="M159" i="4"/>
  <c r="Z159" i="4"/>
  <c r="X159" i="4"/>
  <c r="P159" i="4"/>
  <c r="L159" i="4"/>
  <c r="J159" i="4"/>
  <c r="CD160" i="4"/>
  <c r="CH160" i="4"/>
  <c r="CC160" i="4"/>
  <c r="CG160" i="4"/>
  <c r="BT160" i="4"/>
  <c r="BX160" i="4"/>
  <c r="BS160" i="4"/>
  <c r="BW160" i="4"/>
  <c r="CA160" i="4"/>
  <c r="BM160" i="4"/>
  <c r="BQ160" i="4"/>
  <c r="BL160" i="4"/>
  <c r="BP160" i="4"/>
  <c r="AU160" i="4"/>
  <c r="AY160" i="4"/>
  <c r="BC160" i="4"/>
  <c r="BG160" i="4"/>
  <c r="AV160" i="4"/>
  <c r="AZ160" i="4"/>
  <c r="BD160" i="4"/>
  <c r="BH160" i="4"/>
  <c r="AN160" i="4"/>
  <c r="AR160" i="4"/>
  <c r="AI160" i="4"/>
  <c r="AG160" i="4"/>
  <c r="AE160" i="4"/>
  <c r="AO160" i="4"/>
  <c r="AS160" i="4"/>
  <c r="AF160" i="4"/>
  <c r="AD160" i="4"/>
  <c r="AA160" i="4"/>
  <c r="Y160" i="4"/>
  <c r="W160" i="4"/>
  <c r="O160" i="4"/>
  <c r="K160" i="4"/>
  <c r="V160" i="4"/>
  <c r="T160" i="4"/>
  <c r="R160" i="4"/>
  <c r="N160" i="4"/>
  <c r="I160" i="4"/>
  <c r="G158" i="4"/>
  <c r="CE157" i="4"/>
  <c r="CI157" i="4"/>
  <c r="CD157" i="4"/>
  <c r="CH157" i="4"/>
  <c r="BS157" i="4"/>
  <c r="BW157" i="4"/>
  <c r="CA157" i="4"/>
  <c r="BV157" i="4"/>
  <c r="BZ157" i="4"/>
  <c r="BL157" i="4"/>
  <c r="BP157" i="4"/>
  <c r="BK157" i="4"/>
  <c r="BO157" i="4"/>
  <c r="AV157" i="4"/>
  <c r="AZ157" i="4"/>
  <c r="BD157" i="4"/>
  <c r="BH157" i="4"/>
  <c r="AW157" i="4"/>
  <c r="BA157" i="4"/>
  <c r="BE157" i="4"/>
  <c r="BI157" i="4"/>
  <c r="AO157" i="4"/>
  <c r="AS157" i="4"/>
  <c r="AF157" i="4"/>
  <c r="AD157" i="4"/>
  <c r="AA157" i="4"/>
  <c r="AN157" i="4"/>
  <c r="AR157" i="4"/>
  <c r="AI157" i="4"/>
  <c r="AG157" i="4"/>
  <c r="AE157" i="4"/>
  <c r="U157" i="4"/>
  <c r="S157" i="4"/>
  <c r="Q157" i="4"/>
  <c r="M157" i="4"/>
  <c r="Y157" i="4"/>
  <c r="W157" i="4"/>
  <c r="O157" i="4"/>
  <c r="K157" i="4"/>
  <c r="H157" i="4"/>
  <c r="CC159" i="4"/>
  <c r="CG159" i="4"/>
  <c r="CB159" i="4"/>
  <c r="CF159" i="4"/>
  <c r="CJ159" i="4"/>
  <c r="BU159" i="4"/>
  <c r="BY159" i="4"/>
  <c r="BT159" i="4"/>
  <c r="BX159" i="4"/>
  <c r="BJ159" i="4"/>
  <c r="BN159" i="4"/>
  <c r="BR159" i="4"/>
  <c r="BM159" i="4"/>
  <c r="BQ159" i="4"/>
  <c r="AX159" i="4"/>
  <c r="BB159" i="4"/>
  <c r="BF159" i="4"/>
  <c r="AU159" i="4"/>
  <c r="AY159" i="4"/>
  <c r="BC159" i="4"/>
  <c r="BG159" i="4"/>
  <c r="AM159" i="4"/>
  <c r="AQ159" i="4"/>
  <c r="AJ159" i="4"/>
  <c r="AH159" i="4"/>
  <c r="AB159" i="4"/>
  <c r="AL159" i="4"/>
  <c r="AP159" i="4"/>
  <c r="AT159" i="4"/>
  <c r="AK159" i="4"/>
  <c r="AC159" i="4"/>
  <c r="V159" i="4"/>
  <c r="T159" i="4"/>
  <c r="R159" i="4"/>
  <c r="N159" i="4"/>
  <c r="I159" i="4"/>
  <c r="Y159" i="4"/>
  <c r="W159" i="4"/>
  <c r="O159" i="4"/>
  <c r="K159" i="4"/>
  <c r="H159" i="4"/>
  <c r="CB160" i="4"/>
  <c r="CF160" i="4"/>
  <c r="CJ160" i="4"/>
  <c r="CE160" i="4"/>
  <c r="CI160" i="4"/>
  <c r="BV160" i="4"/>
  <c r="BZ160" i="4"/>
  <c r="BU160" i="4"/>
  <c r="BY160" i="4"/>
  <c r="BK160" i="4"/>
  <c r="BO160" i="4"/>
  <c r="BJ160" i="4"/>
  <c r="BN160" i="4"/>
  <c r="BR160" i="4"/>
  <c r="AW160" i="4"/>
  <c r="BA160" i="4"/>
  <c r="BE160" i="4"/>
  <c r="BI160" i="4"/>
  <c r="AX160" i="4"/>
  <c r="BB160" i="4"/>
  <c r="BF160" i="4"/>
  <c r="AL160" i="4"/>
  <c r="AP160" i="4"/>
  <c r="AT160" i="4"/>
  <c r="AK160" i="4"/>
  <c r="AC160" i="4"/>
  <c r="AM160" i="4"/>
  <c r="AQ160" i="4"/>
  <c r="AJ160" i="4"/>
  <c r="AH160" i="4"/>
  <c r="AB160" i="4"/>
  <c r="Z160" i="4"/>
  <c r="X160" i="4"/>
  <c r="P160" i="4"/>
  <c r="L160" i="4"/>
  <c r="J160" i="4"/>
  <c r="U160" i="4"/>
  <c r="S160" i="4"/>
  <c r="Q160" i="4"/>
  <c r="M160" i="4"/>
  <c r="H160" i="4"/>
  <c r="G160" i="4"/>
  <c r="G93" i="4"/>
  <c r="CB93" i="4"/>
  <c r="CF93" i="4"/>
  <c r="CJ93" i="4"/>
  <c r="CE93" i="4"/>
  <c r="CI93" i="4"/>
  <c r="BV93" i="4"/>
  <c r="BZ93" i="4"/>
  <c r="BW93" i="4"/>
  <c r="BU93" i="4"/>
  <c r="BJ93" i="4"/>
  <c r="BN93" i="4"/>
  <c r="BR93" i="4"/>
  <c r="BM93" i="4"/>
  <c r="BQ93" i="4"/>
  <c r="AX93" i="4"/>
  <c r="BB93" i="4"/>
  <c r="BF93" i="4"/>
  <c r="AU93" i="4"/>
  <c r="AY93" i="4"/>
  <c r="BC93" i="4"/>
  <c r="BG93" i="4"/>
  <c r="AM93" i="4"/>
  <c r="AQ93" i="4"/>
  <c r="AJ93" i="4"/>
  <c r="AH93" i="4"/>
  <c r="AB93" i="4"/>
  <c r="AL93" i="4"/>
  <c r="AP93" i="4"/>
  <c r="AT93" i="4"/>
  <c r="AK93" i="4"/>
  <c r="AC93" i="4"/>
  <c r="V93" i="4"/>
  <c r="T93" i="4"/>
  <c r="R93" i="4"/>
  <c r="N93" i="4"/>
  <c r="Z93" i="4"/>
  <c r="X93" i="4"/>
  <c r="P93" i="4"/>
  <c r="L93" i="4"/>
  <c r="J93" i="4"/>
  <c r="I93" i="4"/>
  <c r="CD93" i="4"/>
  <c r="CH93" i="4"/>
  <c r="CC93" i="4"/>
  <c r="CG93" i="4"/>
  <c r="BT93" i="4"/>
  <c r="BX93" i="4"/>
  <c r="BS93" i="4"/>
  <c r="CA93" i="4"/>
  <c r="BY93" i="4"/>
  <c r="BL93" i="4"/>
  <c r="BP93" i="4"/>
  <c r="BK93" i="4"/>
  <c r="BO93" i="4"/>
  <c r="AV93" i="4"/>
  <c r="AZ93" i="4"/>
  <c r="BD93" i="4"/>
  <c r="BH93" i="4"/>
  <c r="AW93" i="4"/>
  <c r="BA93" i="4"/>
  <c r="BE93" i="4"/>
  <c r="BI93" i="4"/>
  <c r="AO93" i="4"/>
  <c r="AS93" i="4"/>
  <c r="AF93" i="4"/>
  <c r="AD93" i="4"/>
  <c r="AA93" i="4"/>
  <c r="AN93" i="4"/>
  <c r="AR93" i="4"/>
  <c r="AI93" i="4"/>
  <c r="AG93" i="4"/>
  <c r="AE93" i="4"/>
  <c r="U93" i="4"/>
  <c r="S93" i="4"/>
  <c r="Q93" i="4"/>
  <c r="M93" i="4"/>
  <c r="Y93" i="4"/>
  <c r="W93" i="4"/>
  <c r="O93" i="4"/>
  <c r="K93" i="4"/>
  <c r="H93" i="4"/>
  <c r="G70" i="3"/>
  <c r="K69" i="3"/>
  <c r="AG69" i="3"/>
  <c r="AE69" i="3"/>
  <c r="AC69" i="3"/>
  <c r="AA69" i="3"/>
  <c r="Z69" i="3"/>
  <c r="V69" i="3"/>
  <c r="W69" i="3"/>
  <c r="S69" i="3"/>
  <c r="O69" i="3"/>
  <c r="Q69" i="3"/>
  <c r="P69" i="3"/>
  <c r="I69" i="3"/>
  <c r="H69" i="3"/>
  <c r="G69" i="3"/>
  <c r="AG70" i="3"/>
  <c r="AE70" i="3"/>
  <c r="AD70" i="3"/>
  <c r="AA70" i="3"/>
  <c r="X70" i="3"/>
  <c r="V70" i="3"/>
  <c r="W70" i="3"/>
  <c r="S70" i="3"/>
  <c r="O70" i="3"/>
  <c r="Q70" i="3"/>
  <c r="K70" i="3"/>
  <c r="P70" i="3"/>
  <c r="L70" i="3"/>
  <c r="AF69" i="3"/>
  <c r="AD69" i="3"/>
  <c r="AB69" i="3"/>
  <c r="Y69" i="3"/>
  <c r="X69" i="3"/>
  <c r="U69" i="3"/>
  <c r="T69" i="3"/>
  <c r="R69" i="3"/>
  <c r="N69" i="3"/>
  <c r="M69" i="3"/>
  <c r="J69" i="3"/>
  <c r="L69" i="3"/>
  <c r="AF70" i="3"/>
  <c r="AC70" i="3"/>
  <c r="AB70" i="3"/>
  <c r="Y70" i="3"/>
  <c r="Z70" i="3"/>
  <c r="U70" i="3"/>
  <c r="T70" i="3"/>
  <c r="R70" i="3"/>
  <c r="N70" i="3"/>
  <c r="M70" i="3"/>
  <c r="J70" i="3"/>
  <c r="I70" i="3"/>
  <c r="H70" i="3"/>
  <c r="AF38" i="3"/>
  <c r="AB38" i="3"/>
  <c r="AC38" i="3"/>
  <c r="Y38" i="3"/>
  <c r="Z38" i="3"/>
  <c r="V38" i="3"/>
  <c r="T38" i="3"/>
  <c r="R38" i="3"/>
  <c r="N38" i="3"/>
  <c r="M38" i="3"/>
  <c r="K38" i="3"/>
  <c r="I38" i="3"/>
  <c r="H38" i="3"/>
  <c r="AG38" i="3"/>
  <c r="AE38" i="3"/>
  <c r="AD38" i="3"/>
  <c r="AA38" i="3"/>
  <c r="X38" i="3"/>
  <c r="W38" i="3"/>
  <c r="U38" i="3"/>
  <c r="S38" i="3"/>
  <c r="O38" i="3"/>
  <c r="Q38" i="3"/>
  <c r="P38" i="3"/>
  <c r="J38" i="3"/>
  <c r="L38" i="3"/>
  <c r="AF37" i="3"/>
  <c r="AE37" i="3"/>
  <c r="AB37" i="3"/>
  <c r="Y37" i="3"/>
  <c r="X37" i="3"/>
  <c r="V37" i="3"/>
  <c r="T37" i="3"/>
  <c r="R37" i="3"/>
  <c r="N37" i="3"/>
  <c r="M37" i="3"/>
  <c r="L37" i="3"/>
  <c r="I37" i="3"/>
  <c r="G37" i="3"/>
  <c r="G38" i="3"/>
  <c r="AG37" i="3"/>
  <c r="AC37" i="3"/>
  <c r="AD37" i="3"/>
  <c r="AA37" i="3"/>
  <c r="Z37" i="3"/>
  <c r="W37" i="3"/>
  <c r="U37" i="3"/>
  <c r="S37" i="3"/>
  <c r="O37" i="3"/>
  <c r="Q37" i="3"/>
  <c r="P37" i="3"/>
  <c r="J37" i="3"/>
  <c r="H37" i="3"/>
  <c r="K37" i="3"/>
  <c r="G5" i="3"/>
  <c r="AF6" i="3"/>
  <c r="AD6" i="3"/>
  <c r="AC6" i="3"/>
  <c r="Y6" i="3"/>
  <c r="Z6" i="3"/>
  <c r="V6" i="3"/>
  <c r="T6" i="3"/>
  <c r="R6" i="3"/>
  <c r="N6" i="3"/>
  <c r="M6" i="3"/>
  <c r="L6" i="3"/>
  <c r="P6" i="3"/>
  <c r="H6" i="3"/>
  <c r="AG6" i="3"/>
  <c r="AE6" i="3"/>
  <c r="AB6" i="3"/>
  <c r="AA6" i="3"/>
  <c r="X6" i="3"/>
  <c r="W6" i="3"/>
  <c r="U6" i="3"/>
  <c r="S6" i="3"/>
  <c r="O6" i="3"/>
  <c r="Q6" i="3"/>
  <c r="K6" i="3"/>
  <c r="J6" i="3"/>
  <c r="I6" i="3"/>
  <c r="K5" i="3"/>
  <c r="AG5" i="3"/>
  <c r="AC5" i="3"/>
  <c r="AD5" i="3"/>
  <c r="AB5" i="3"/>
  <c r="X5" i="3"/>
  <c r="W5" i="3"/>
  <c r="U5" i="3"/>
  <c r="S5" i="3"/>
  <c r="O5" i="3"/>
  <c r="Q5" i="3"/>
  <c r="P5" i="3"/>
  <c r="J5" i="3"/>
  <c r="H5" i="3"/>
  <c r="G6" i="3"/>
  <c r="AF5" i="3"/>
  <c r="AE5" i="3"/>
  <c r="AA5" i="3"/>
  <c r="Y5" i="3"/>
  <c r="Z5" i="3"/>
  <c r="V5" i="3"/>
  <c r="T5" i="3"/>
  <c r="R5" i="3"/>
  <c r="N5" i="3"/>
  <c r="M5" i="3"/>
  <c r="L5" i="3"/>
  <c r="I5" i="3"/>
  <c r="G225" i="4"/>
  <c r="CC227" i="4"/>
  <c r="CG227" i="4"/>
  <c r="CB227" i="4"/>
  <c r="CF227" i="4"/>
  <c r="CJ227" i="4"/>
  <c r="BU227" i="4"/>
  <c r="BY227" i="4"/>
  <c r="BT227" i="4"/>
  <c r="BX227" i="4"/>
  <c r="BJ227" i="4"/>
  <c r="BN227" i="4"/>
  <c r="BR227" i="4"/>
  <c r="BM227" i="4"/>
  <c r="BQ227" i="4"/>
  <c r="AX227" i="4"/>
  <c r="BB227" i="4"/>
  <c r="BF227" i="4"/>
  <c r="AW227" i="4"/>
  <c r="BE227" i="4"/>
  <c r="AM227" i="4"/>
  <c r="AQ227" i="4"/>
  <c r="AJ227" i="4"/>
  <c r="AH227" i="4"/>
  <c r="AB227" i="4"/>
  <c r="AY227" i="4"/>
  <c r="BG227" i="4"/>
  <c r="AN227" i="4"/>
  <c r="AR227" i="4"/>
  <c r="AI227" i="4"/>
  <c r="AG227" i="4"/>
  <c r="V227" i="4"/>
  <c r="T227" i="4"/>
  <c r="R227" i="4"/>
  <c r="N227" i="4"/>
  <c r="AC227" i="4"/>
  <c r="Z227" i="4"/>
  <c r="X227" i="4"/>
  <c r="P227" i="4"/>
  <c r="L227" i="4"/>
  <c r="J227" i="4"/>
  <c r="I227" i="4"/>
  <c r="CD228" i="4"/>
  <c r="CH228" i="4"/>
  <c r="CC228" i="4"/>
  <c r="CG228" i="4"/>
  <c r="BT228" i="4"/>
  <c r="BX228" i="4"/>
  <c r="BS228" i="4"/>
  <c r="BW228" i="4"/>
  <c r="CA228" i="4"/>
  <c r="BM228" i="4"/>
  <c r="BQ228" i="4"/>
  <c r="BL228" i="4"/>
  <c r="BP228" i="4"/>
  <c r="AU228" i="4"/>
  <c r="AY228" i="4"/>
  <c r="BC228" i="4"/>
  <c r="BG228" i="4"/>
  <c r="AX228" i="4"/>
  <c r="BF228" i="4"/>
  <c r="AN228" i="4"/>
  <c r="AR228" i="4"/>
  <c r="AI228" i="4"/>
  <c r="AG228" i="4"/>
  <c r="AE228" i="4"/>
  <c r="AZ228" i="4"/>
  <c r="BH228" i="4"/>
  <c r="AO228" i="4"/>
  <c r="AS228" i="4"/>
  <c r="AF228" i="4"/>
  <c r="AB228" i="4"/>
  <c r="Z228" i="4"/>
  <c r="X228" i="4"/>
  <c r="P228" i="4"/>
  <c r="L228" i="4"/>
  <c r="AD228" i="4"/>
  <c r="U228" i="4"/>
  <c r="S228" i="4"/>
  <c r="Q228" i="4"/>
  <c r="M228" i="4"/>
  <c r="J228" i="4"/>
  <c r="G227" i="4"/>
  <c r="CE227" i="4"/>
  <c r="CI227" i="4"/>
  <c r="CD227" i="4"/>
  <c r="CH227" i="4"/>
  <c r="BS227" i="4"/>
  <c r="BW227" i="4"/>
  <c r="CA227" i="4"/>
  <c r="BV227" i="4"/>
  <c r="BZ227" i="4"/>
  <c r="BL227" i="4"/>
  <c r="BP227" i="4"/>
  <c r="BK227" i="4"/>
  <c r="BO227" i="4"/>
  <c r="AV227" i="4"/>
  <c r="AZ227" i="4"/>
  <c r="BD227" i="4"/>
  <c r="BH227" i="4"/>
  <c r="BA227" i="4"/>
  <c r="BI227" i="4"/>
  <c r="AO227" i="4"/>
  <c r="AS227" i="4"/>
  <c r="AF227" i="4"/>
  <c r="AD227" i="4"/>
  <c r="AU227" i="4"/>
  <c r="BC227" i="4"/>
  <c r="AL227" i="4"/>
  <c r="AP227" i="4"/>
  <c r="AT227" i="4"/>
  <c r="AK227" i="4"/>
  <c r="AE227" i="4"/>
  <c r="U227" i="4"/>
  <c r="S227" i="4"/>
  <c r="Q227" i="4"/>
  <c r="M227" i="4"/>
  <c r="AA227" i="4"/>
  <c r="Y227" i="4"/>
  <c r="W227" i="4"/>
  <c r="O227" i="4"/>
  <c r="K227" i="4"/>
  <c r="H227" i="4"/>
  <c r="CB228" i="4"/>
  <c r="CF228" i="4"/>
  <c r="CJ228" i="4"/>
  <c r="CE228" i="4"/>
  <c r="CI228" i="4"/>
  <c r="BV228" i="4"/>
  <c r="BZ228" i="4"/>
  <c r="BU228" i="4"/>
  <c r="BY228" i="4"/>
  <c r="BK228" i="4"/>
  <c r="BO228" i="4"/>
  <c r="BJ228" i="4"/>
  <c r="BN228" i="4"/>
  <c r="BR228" i="4"/>
  <c r="AW228" i="4"/>
  <c r="BA228" i="4"/>
  <c r="BE228" i="4"/>
  <c r="BI228" i="4"/>
  <c r="BB228" i="4"/>
  <c r="AL228" i="4"/>
  <c r="AP228" i="4"/>
  <c r="AT228" i="4"/>
  <c r="AK228" i="4"/>
  <c r="AC228" i="4"/>
  <c r="AV228" i="4"/>
  <c r="BD228" i="4"/>
  <c r="AM228" i="4"/>
  <c r="AQ228" i="4"/>
  <c r="AJ228" i="4"/>
  <c r="AH228" i="4"/>
  <c r="AA228" i="4"/>
  <c r="Y228" i="4"/>
  <c r="W228" i="4"/>
  <c r="O228" i="4"/>
  <c r="K228" i="4"/>
  <c r="V228" i="4"/>
  <c r="T228" i="4"/>
  <c r="R228" i="4"/>
  <c r="N228" i="4"/>
  <c r="I228" i="4"/>
  <c r="H228" i="4"/>
  <c r="CC225" i="4"/>
  <c r="CG225" i="4"/>
  <c r="CB225" i="4"/>
  <c r="CF225" i="4"/>
  <c r="CJ225" i="4"/>
  <c r="BU225" i="4"/>
  <c r="BY225" i="4"/>
  <c r="BT225" i="4"/>
  <c r="BX225" i="4"/>
  <c r="BJ225" i="4"/>
  <c r="BN225" i="4"/>
  <c r="BR225" i="4"/>
  <c r="BM225" i="4"/>
  <c r="BQ225" i="4"/>
  <c r="AX225" i="4"/>
  <c r="BB225" i="4"/>
  <c r="BF225" i="4"/>
  <c r="AU225" i="4"/>
  <c r="BC225" i="4"/>
  <c r="AM225" i="4"/>
  <c r="AQ225" i="4"/>
  <c r="AJ225" i="4"/>
  <c r="AH225" i="4"/>
  <c r="AB225" i="4"/>
  <c r="BA225" i="4"/>
  <c r="BI225" i="4"/>
  <c r="AN225" i="4"/>
  <c r="AR225" i="4"/>
  <c r="AI225" i="4"/>
  <c r="AG225" i="4"/>
  <c r="V225" i="4"/>
  <c r="T225" i="4"/>
  <c r="R225" i="4"/>
  <c r="N225" i="4"/>
  <c r="I225" i="4"/>
  <c r="AA225" i="4"/>
  <c r="Y225" i="4"/>
  <c r="W225" i="4"/>
  <c r="O225" i="4"/>
  <c r="K225" i="4"/>
  <c r="H225" i="4"/>
  <c r="CD226" i="4"/>
  <c r="CH226" i="4"/>
  <c r="CC226" i="4"/>
  <c r="CG226" i="4"/>
  <c r="BT226" i="4"/>
  <c r="BX226" i="4"/>
  <c r="BS226" i="4"/>
  <c r="BW226" i="4"/>
  <c r="CA226" i="4"/>
  <c r="BM226" i="4"/>
  <c r="BQ226" i="4"/>
  <c r="BL226" i="4"/>
  <c r="BP226" i="4"/>
  <c r="AU226" i="4"/>
  <c r="AY226" i="4"/>
  <c r="BC226" i="4"/>
  <c r="BG226" i="4"/>
  <c r="AV226" i="4"/>
  <c r="BD226" i="4"/>
  <c r="AL226" i="4"/>
  <c r="AP226" i="4"/>
  <c r="AT226" i="4"/>
  <c r="AK226" i="4"/>
  <c r="AC226" i="4"/>
  <c r="AX226" i="4"/>
  <c r="BF226" i="4"/>
  <c r="AO226" i="4"/>
  <c r="AS226" i="4"/>
  <c r="AF226" i="4"/>
  <c r="AD226" i="4"/>
  <c r="Z226" i="4"/>
  <c r="X226" i="4"/>
  <c r="P226" i="4"/>
  <c r="L226" i="4"/>
  <c r="AB226" i="4"/>
  <c r="U226" i="4"/>
  <c r="S226" i="4"/>
  <c r="Q226" i="4"/>
  <c r="M226" i="4"/>
  <c r="K226" i="4"/>
  <c r="G226" i="4"/>
  <c r="CE225" i="4"/>
  <c r="CI225" i="4"/>
  <c r="CD225" i="4"/>
  <c r="CH225" i="4"/>
  <c r="BS225" i="4"/>
  <c r="BW225" i="4"/>
  <c r="CA225" i="4"/>
  <c r="BV225" i="4"/>
  <c r="BZ225" i="4"/>
  <c r="BL225" i="4"/>
  <c r="BP225" i="4"/>
  <c r="BK225" i="4"/>
  <c r="BO225" i="4"/>
  <c r="AV225" i="4"/>
  <c r="AZ225" i="4"/>
  <c r="BD225" i="4"/>
  <c r="BH225" i="4"/>
  <c r="AY225" i="4"/>
  <c r="BG225" i="4"/>
  <c r="AO225" i="4"/>
  <c r="AS225" i="4"/>
  <c r="AF225" i="4"/>
  <c r="AD225" i="4"/>
  <c r="AW225" i="4"/>
  <c r="BE225" i="4"/>
  <c r="AL225" i="4"/>
  <c r="AP225" i="4"/>
  <c r="AT225" i="4"/>
  <c r="AK225" i="4"/>
  <c r="AC225" i="4"/>
  <c r="U225" i="4"/>
  <c r="S225" i="4"/>
  <c r="Q225" i="4"/>
  <c r="M225" i="4"/>
  <c r="AE225" i="4"/>
  <c r="Z225" i="4"/>
  <c r="X225" i="4"/>
  <c r="P225" i="4"/>
  <c r="L225" i="4"/>
  <c r="J225" i="4"/>
  <c r="CB226" i="4"/>
  <c r="CF226" i="4"/>
  <c r="CJ226" i="4"/>
  <c r="CE226" i="4"/>
  <c r="CI226" i="4"/>
  <c r="BV226" i="4"/>
  <c r="BZ226" i="4"/>
  <c r="BU226" i="4"/>
  <c r="BY226" i="4"/>
  <c r="BK226" i="4"/>
  <c r="BO226" i="4"/>
  <c r="BJ226" i="4"/>
  <c r="BN226" i="4"/>
  <c r="BR226" i="4"/>
  <c r="AW226" i="4"/>
  <c r="BA226" i="4"/>
  <c r="BE226" i="4"/>
  <c r="BI226" i="4"/>
  <c r="AZ226" i="4"/>
  <c r="BH226" i="4"/>
  <c r="AN226" i="4"/>
  <c r="AR226" i="4"/>
  <c r="AI226" i="4"/>
  <c r="AG226" i="4"/>
  <c r="AE226" i="4"/>
  <c r="BB226" i="4"/>
  <c r="AM226" i="4"/>
  <c r="AQ226" i="4"/>
  <c r="AJ226" i="4"/>
  <c r="AH226" i="4"/>
  <c r="AA226" i="4"/>
  <c r="Y226" i="4"/>
  <c r="W226" i="4"/>
  <c r="O226" i="4"/>
  <c r="J226" i="4"/>
  <c r="V226" i="4"/>
  <c r="T226" i="4"/>
  <c r="R226" i="4"/>
  <c r="N226" i="4"/>
  <c r="I226" i="4"/>
  <c r="H226" i="4"/>
  <c r="G228" i="4"/>
  <c r="G177" i="4"/>
  <c r="CC179" i="4"/>
  <c r="CG179" i="4"/>
  <c r="CB179" i="4"/>
  <c r="CF179" i="4"/>
  <c r="CJ179" i="4"/>
  <c r="BU179" i="4"/>
  <c r="BY179" i="4"/>
  <c r="BT179" i="4"/>
  <c r="BX179" i="4"/>
  <c r="BJ179" i="4"/>
  <c r="BN179" i="4"/>
  <c r="BR179" i="4"/>
  <c r="BM179" i="4"/>
  <c r="BQ179" i="4"/>
  <c r="AX179" i="4"/>
  <c r="BB179" i="4"/>
  <c r="BF179" i="4"/>
  <c r="AU179" i="4"/>
  <c r="AY179" i="4"/>
  <c r="BC179" i="4"/>
  <c r="BG179" i="4"/>
  <c r="AM179" i="4"/>
  <c r="AQ179" i="4"/>
  <c r="AJ179" i="4"/>
  <c r="AH179" i="4"/>
  <c r="AB179" i="4"/>
  <c r="AL179" i="4"/>
  <c r="AP179" i="4"/>
  <c r="AT179" i="4"/>
  <c r="AK179" i="4"/>
  <c r="AC179" i="4"/>
  <c r="V179" i="4"/>
  <c r="T179" i="4"/>
  <c r="R179" i="4"/>
  <c r="N179" i="4"/>
  <c r="I179" i="4"/>
  <c r="Y179" i="4"/>
  <c r="W179" i="4"/>
  <c r="O179" i="4"/>
  <c r="K179" i="4"/>
  <c r="H179" i="4"/>
  <c r="CD180" i="4"/>
  <c r="CH180" i="4"/>
  <c r="CC180" i="4"/>
  <c r="CG180" i="4"/>
  <c r="BT180" i="4"/>
  <c r="BX180" i="4"/>
  <c r="BS180" i="4"/>
  <c r="BW180" i="4"/>
  <c r="CA180" i="4"/>
  <c r="BM180" i="4"/>
  <c r="BQ180" i="4"/>
  <c r="BL180" i="4"/>
  <c r="BP180" i="4"/>
  <c r="AU180" i="4"/>
  <c r="AY180" i="4"/>
  <c r="BC180" i="4"/>
  <c r="BG180" i="4"/>
  <c r="AV180" i="4"/>
  <c r="AZ180" i="4"/>
  <c r="BD180" i="4"/>
  <c r="BH180" i="4"/>
  <c r="AN180" i="4"/>
  <c r="AR180" i="4"/>
  <c r="AI180" i="4"/>
  <c r="AG180" i="4"/>
  <c r="AE180" i="4"/>
  <c r="AO180" i="4"/>
  <c r="AS180" i="4"/>
  <c r="AF180" i="4"/>
  <c r="AD180" i="4"/>
  <c r="AA180" i="4"/>
  <c r="Y180" i="4"/>
  <c r="W180" i="4"/>
  <c r="O180" i="4"/>
  <c r="K180" i="4"/>
  <c r="U180" i="4"/>
  <c r="S180" i="4"/>
  <c r="Q180" i="4"/>
  <c r="M180" i="4"/>
  <c r="J180" i="4"/>
  <c r="G179" i="4"/>
  <c r="CE179" i="4"/>
  <c r="CI179" i="4"/>
  <c r="CD179" i="4"/>
  <c r="CH179" i="4"/>
  <c r="BS179" i="4"/>
  <c r="BW179" i="4"/>
  <c r="CA179" i="4"/>
  <c r="BV179" i="4"/>
  <c r="BZ179" i="4"/>
  <c r="BL179" i="4"/>
  <c r="BP179" i="4"/>
  <c r="BK179" i="4"/>
  <c r="BO179" i="4"/>
  <c r="AV179" i="4"/>
  <c r="AZ179" i="4"/>
  <c r="BD179" i="4"/>
  <c r="BH179" i="4"/>
  <c r="AW179" i="4"/>
  <c r="BA179" i="4"/>
  <c r="BE179" i="4"/>
  <c r="BI179" i="4"/>
  <c r="AO179" i="4"/>
  <c r="AS179" i="4"/>
  <c r="AF179" i="4"/>
  <c r="AD179" i="4"/>
  <c r="AA179" i="4"/>
  <c r="AN179" i="4"/>
  <c r="AR179" i="4"/>
  <c r="AI179" i="4"/>
  <c r="AG179" i="4"/>
  <c r="AE179" i="4"/>
  <c r="U179" i="4"/>
  <c r="S179" i="4"/>
  <c r="Q179" i="4"/>
  <c r="M179" i="4"/>
  <c r="Z179" i="4"/>
  <c r="X179" i="4"/>
  <c r="P179" i="4"/>
  <c r="L179" i="4"/>
  <c r="J179" i="4"/>
  <c r="CB180" i="4"/>
  <c r="CF180" i="4"/>
  <c r="CJ180" i="4"/>
  <c r="CE180" i="4"/>
  <c r="CI180" i="4"/>
  <c r="BV180" i="4"/>
  <c r="BZ180" i="4"/>
  <c r="BU180" i="4"/>
  <c r="BY180" i="4"/>
  <c r="BK180" i="4"/>
  <c r="BO180" i="4"/>
  <c r="BJ180" i="4"/>
  <c r="BN180" i="4"/>
  <c r="BR180" i="4"/>
  <c r="AW180" i="4"/>
  <c r="BA180" i="4"/>
  <c r="BE180" i="4"/>
  <c r="BI180" i="4"/>
  <c r="AX180" i="4"/>
  <c r="BB180" i="4"/>
  <c r="BF180" i="4"/>
  <c r="AL180" i="4"/>
  <c r="AP180" i="4"/>
  <c r="AT180" i="4"/>
  <c r="AK180" i="4"/>
  <c r="AC180" i="4"/>
  <c r="AM180" i="4"/>
  <c r="AQ180" i="4"/>
  <c r="AJ180" i="4"/>
  <c r="AH180" i="4"/>
  <c r="AB180" i="4"/>
  <c r="Z180" i="4"/>
  <c r="X180" i="4"/>
  <c r="P180" i="4"/>
  <c r="L180" i="4"/>
  <c r="V180" i="4"/>
  <c r="T180" i="4"/>
  <c r="R180" i="4"/>
  <c r="N180" i="4"/>
  <c r="I180" i="4"/>
  <c r="H180" i="4"/>
  <c r="CC177" i="4"/>
  <c r="CG177" i="4"/>
  <c r="CB177" i="4"/>
  <c r="CF177" i="4"/>
  <c r="CJ177" i="4"/>
  <c r="BU177" i="4"/>
  <c r="BY177" i="4"/>
  <c r="BT177" i="4"/>
  <c r="BX177" i="4"/>
  <c r="BJ177" i="4"/>
  <c r="BN177" i="4"/>
  <c r="BR177" i="4"/>
  <c r="BM177" i="4"/>
  <c r="BQ177" i="4"/>
  <c r="AX177" i="4"/>
  <c r="BB177" i="4"/>
  <c r="BF177" i="4"/>
  <c r="AU177" i="4"/>
  <c r="AY177" i="4"/>
  <c r="BC177" i="4"/>
  <c r="BG177" i="4"/>
  <c r="AM177" i="4"/>
  <c r="AQ177" i="4"/>
  <c r="AJ177" i="4"/>
  <c r="AH177" i="4"/>
  <c r="AB177" i="4"/>
  <c r="AL177" i="4"/>
  <c r="AP177" i="4"/>
  <c r="AT177" i="4"/>
  <c r="AK177" i="4"/>
  <c r="AC177" i="4"/>
  <c r="V177" i="4"/>
  <c r="T177" i="4"/>
  <c r="R177" i="4"/>
  <c r="N177" i="4"/>
  <c r="Z177" i="4"/>
  <c r="X177" i="4"/>
  <c r="P177" i="4"/>
  <c r="L177" i="4"/>
  <c r="J177" i="4"/>
  <c r="I177" i="4"/>
  <c r="CD178" i="4"/>
  <c r="CH178" i="4"/>
  <c r="CC178" i="4"/>
  <c r="CG178" i="4"/>
  <c r="BT178" i="4"/>
  <c r="BX178" i="4"/>
  <c r="BS178" i="4"/>
  <c r="BW178" i="4"/>
  <c r="CA178" i="4"/>
  <c r="BM178" i="4"/>
  <c r="BQ178" i="4"/>
  <c r="BL178" i="4"/>
  <c r="BP178" i="4"/>
  <c r="AU178" i="4"/>
  <c r="AY178" i="4"/>
  <c r="BC178" i="4"/>
  <c r="BG178" i="4"/>
  <c r="AV178" i="4"/>
  <c r="AZ178" i="4"/>
  <c r="BD178" i="4"/>
  <c r="BH178" i="4"/>
  <c r="AN178" i="4"/>
  <c r="AR178" i="4"/>
  <c r="AI178" i="4"/>
  <c r="AG178" i="4"/>
  <c r="AE178" i="4"/>
  <c r="AO178" i="4"/>
  <c r="AS178" i="4"/>
  <c r="AF178" i="4"/>
  <c r="AD178" i="4"/>
  <c r="Y178" i="4"/>
  <c r="W178" i="4"/>
  <c r="O178" i="4"/>
  <c r="K178" i="4"/>
  <c r="AB178" i="4"/>
  <c r="V178" i="4"/>
  <c r="T178" i="4"/>
  <c r="R178" i="4"/>
  <c r="N178" i="4"/>
  <c r="I178" i="4"/>
  <c r="G178" i="4"/>
  <c r="CE177" i="4"/>
  <c r="CI177" i="4"/>
  <c r="CD177" i="4"/>
  <c r="CH177" i="4"/>
  <c r="BS177" i="4"/>
  <c r="BW177" i="4"/>
  <c r="CA177" i="4"/>
  <c r="BV177" i="4"/>
  <c r="BZ177" i="4"/>
  <c r="BL177" i="4"/>
  <c r="BP177" i="4"/>
  <c r="BK177" i="4"/>
  <c r="BO177" i="4"/>
  <c r="AV177" i="4"/>
  <c r="AZ177" i="4"/>
  <c r="BD177" i="4"/>
  <c r="BH177" i="4"/>
  <c r="AW177" i="4"/>
  <c r="BA177" i="4"/>
  <c r="BE177" i="4"/>
  <c r="BI177" i="4"/>
  <c r="AO177" i="4"/>
  <c r="AS177" i="4"/>
  <c r="AF177" i="4"/>
  <c r="AD177" i="4"/>
  <c r="AA177" i="4"/>
  <c r="AN177" i="4"/>
  <c r="AR177" i="4"/>
  <c r="AI177" i="4"/>
  <c r="AG177" i="4"/>
  <c r="AE177" i="4"/>
  <c r="U177" i="4"/>
  <c r="S177" i="4"/>
  <c r="Q177" i="4"/>
  <c r="M177" i="4"/>
  <c r="Y177" i="4"/>
  <c r="W177" i="4"/>
  <c r="O177" i="4"/>
  <c r="K177" i="4"/>
  <c r="H177" i="4"/>
  <c r="CB178" i="4"/>
  <c r="CF178" i="4"/>
  <c r="CJ178" i="4"/>
  <c r="CE178" i="4"/>
  <c r="CI178" i="4"/>
  <c r="BV178" i="4"/>
  <c r="BZ178" i="4"/>
  <c r="BU178" i="4"/>
  <c r="BY178" i="4"/>
  <c r="BK178" i="4"/>
  <c r="BO178" i="4"/>
  <c r="BJ178" i="4"/>
  <c r="BN178" i="4"/>
  <c r="BR178" i="4"/>
  <c r="AW178" i="4"/>
  <c r="BA178" i="4"/>
  <c r="BE178" i="4"/>
  <c r="BI178" i="4"/>
  <c r="AX178" i="4"/>
  <c r="BB178" i="4"/>
  <c r="BF178" i="4"/>
  <c r="AL178" i="4"/>
  <c r="AP178" i="4"/>
  <c r="AT178" i="4"/>
  <c r="AK178" i="4"/>
  <c r="AC178" i="4"/>
  <c r="AM178" i="4"/>
  <c r="AQ178" i="4"/>
  <c r="AJ178" i="4"/>
  <c r="AH178" i="4"/>
  <c r="Z178" i="4"/>
  <c r="X178" i="4"/>
  <c r="P178" i="4"/>
  <c r="L178" i="4"/>
  <c r="J178" i="4"/>
  <c r="AA178" i="4"/>
  <c r="U178" i="4"/>
  <c r="S178" i="4"/>
  <c r="Q178" i="4"/>
  <c r="M178" i="4"/>
  <c r="H178" i="4"/>
  <c r="G180" i="4"/>
  <c r="G185" i="4"/>
  <c r="CC187" i="4"/>
  <c r="CG187" i="4"/>
  <c r="CB187" i="4"/>
  <c r="CF187" i="4"/>
  <c r="CJ187" i="4"/>
  <c r="BU187" i="4"/>
  <c r="BY187" i="4"/>
  <c r="BT187" i="4"/>
  <c r="BX187" i="4"/>
  <c r="BJ187" i="4"/>
  <c r="BN187" i="4"/>
  <c r="BR187" i="4"/>
  <c r="BM187" i="4"/>
  <c r="BQ187" i="4"/>
  <c r="AX187" i="4"/>
  <c r="BB187" i="4"/>
  <c r="BF187" i="4"/>
  <c r="AU187" i="4"/>
  <c r="AY187" i="4"/>
  <c r="BC187" i="4"/>
  <c r="BG187" i="4"/>
  <c r="AM187" i="4"/>
  <c r="AQ187" i="4"/>
  <c r="AJ187" i="4"/>
  <c r="AH187" i="4"/>
  <c r="AB187" i="4"/>
  <c r="AL187" i="4"/>
  <c r="AP187" i="4"/>
  <c r="AT187" i="4"/>
  <c r="AK187" i="4"/>
  <c r="AE187" i="4"/>
  <c r="U187" i="4"/>
  <c r="S187" i="4"/>
  <c r="Q187" i="4"/>
  <c r="M187" i="4"/>
  <c r="Z187" i="4"/>
  <c r="X187" i="4"/>
  <c r="P187" i="4"/>
  <c r="L187" i="4"/>
  <c r="J187" i="4"/>
  <c r="I187" i="4"/>
  <c r="CD188" i="4"/>
  <c r="CH188" i="4"/>
  <c r="CC188" i="4"/>
  <c r="CG188" i="4"/>
  <c r="BT188" i="4"/>
  <c r="BX188" i="4"/>
  <c r="BS188" i="4"/>
  <c r="BW188" i="4"/>
  <c r="CA188" i="4"/>
  <c r="BM188" i="4"/>
  <c r="BQ188" i="4"/>
  <c r="BL188" i="4"/>
  <c r="BP188" i="4"/>
  <c r="AU188" i="4"/>
  <c r="AY188" i="4"/>
  <c r="BC188" i="4"/>
  <c r="BG188" i="4"/>
  <c r="AV188" i="4"/>
  <c r="AZ188" i="4"/>
  <c r="BD188" i="4"/>
  <c r="BH188" i="4"/>
  <c r="AN188" i="4"/>
  <c r="AR188" i="4"/>
  <c r="AI188" i="4"/>
  <c r="AG188" i="4"/>
  <c r="AE188" i="4"/>
  <c r="AO188" i="4"/>
  <c r="AS188" i="4"/>
  <c r="AF188" i="4"/>
  <c r="AB188" i="4"/>
  <c r="Z188" i="4"/>
  <c r="X188" i="4"/>
  <c r="P188" i="4"/>
  <c r="L188" i="4"/>
  <c r="AD188" i="4"/>
  <c r="U188" i="4"/>
  <c r="S188" i="4"/>
  <c r="Q188" i="4"/>
  <c r="M188" i="4"/>
  <c r="J188" i="4"/>
  <c r="G187" i="4"/>
  <c r="CE187" i="4"/>
  <c r="CI187" i="4"/>
  <c r="CD187" i="4"/>
  <c r="CH187" i="4"/>
  <c r="BS187" i="4"/>
  <c r="BW187" i="4"/>
  <c r="CA187" i="4"/>
  <c r="BV187" i="4"/>
  <c r="BZ187" i="4"/>
  <c r="BL187" i="4"/>
  <c r="BP187" i="4"/>
  <c r="BK187" i="4"/>
  <c r="BO187" i="4"/>
  <c r="AV187" i="4"/>
  <c r="AZ187" i="4"/>
  <c r="BD187" i="4"/>
  <c r="BH187" i="4"/>
  <c r="AW187" i="4"/>
  <c r="BA187" i="4"/>
  <c r="BE187" i="4"/>
  <c r="BI187" i="4"/>
  <c r="AO187" i="4"/>
  <c r="AS187" i="4"/>
  <c r="AF187" i="4"/>
  <c r="AD187" i="4"/>
  <c r="AA187" i="4"/>
  <c r="AN187" i="4"/>
  <c r="AR187" i="4"/>
  <c r="AI187" i="4"/>
  <c r="AG187" i="4"/>
  <c r="V187" i="4"/>
  <c r="T187" i="4"/>
  <c r="R187" i="4"/>
  <c r="N187" i="4"/>
  <c r="AC187" i="4"/>
  <c r="Y187" i="4"/>
  <c r="W187" i="4"/>
  <c r="O187" i="4"/>
  <c r="K187" i="4"/>
  <c r="H187" i="4"/>
  <c r="CB188" i="4"/>
  <c r="CF188" i="4"/>
  <c r="CJ188" i="4"/>
  <c r="CE188" i="4"/>
  <c r="CI188" i="4"/>
  <c r="BV188" i="4"/>
  <c r="BZ188" i="4"/>
  <c r="BU188" i="4"/>
  <c r="BY188" i="4"/>
  <c r="BK188" i="4"/>
  <c r="BO188" i="4"/>
  <c r="BJ188" i="4"/>
  <c r="BN188" i="4"/>
  <c r="BR188" i="4"/>
  <c r="AW188" i="4"/>
  <c r="BA188" i="4"/>
  <c r="BE188" i="4"/>
  <c r="BI188" i="4"/>
  <c r="AX188" i="4"/>
  <c r="BB188" i="4"/>
  <c r="BF188" i="4"/>
  <c r="AL188" i="4"/>
  <c r="AP188" i="4"/>
  <c r="AT188" i="4"/>
  <c r="AK188" i="4"/>
  <c r="AC188" i="4"/>
  <c r="AM188" i="4"/>
  <c r="AQ188" i="4"/>
  <c r="AJ188" i="4"/>
  <c r="AH188" i="4"/>
  <c r="AA188" i="4"/>
  <c r="Y188" i="4"/>
  <c r="W188" i="4"/>
  <c r="O188" i="4"/>
  <c r="K188" i="4"/>
  <c r="V188" i="4"/>
  <c r="T188" i="4"/>
  <c r="R188" i="4"/>
  <c r="N188" i="4"/>
  <c r="I188" i="4"/>
  <c r="H188" i="4"/>
  <c r="CC185" i="4"/>
  <c r="CG185" i="4"/>
  <c r="CB185" i="4"/>
  <c r="CF185" i="4"/>
  <c r="CJ185" i="4"/>
  <c r="BU185" i="4"/>
  <c r="BY185" i="4"/>
  <c r="BT185" i="4"/>
  <c r="BX185" i="4"/>
  <c r="BJ185" i="4"/>
  <c r="BN185" i="4"/>
  <c r="BR185" i="4"/>
  <c r="BM185" i="4"/>
  <c r="BQ185" i="4"/>
  <c r="AX185" i="4"/>
  <c r="BB185" i="4"/>
  <c r="BF185" i="4"/>
  <c r="AU185" i="4"/>
  <c r="AY185" i="4"/>
  <c r="BC185" i="4"/>
  <c r="BG185" i="4"/>
  <c r="AM185" i="4"/>
  <c r="AQ185" i="4"/>
  <c r="AJ185" i="4"/>
  <c r="AH185" i="4"/>
  <c r="AB185" i="4"/>
  <c r="AL185" i="4"/>
  <c r="AP185" i="4"/>
  <c r="AT185" i="4"/>
  <c r="AK185" i="4"/>
  <c r="AC185" i="4"/>
  <c r="U185" i="4"/>
  <c r="S185" i="4"/>
  <c r="Q185" i="4"/>
  <c r="M185" i="4"/>
  <c r="AE185" i="4"/>
  <c r="Y185" i="4"/>
  <c r="W185" i="4"/>
  <c r="O185" i="4"/>
  <c r="K185" i="4"/>
  <c r="H185" i="4"/>
  <c r="CD186" i="4"/>
  <c r="CH186" i="4"/>
  <c r="CC186" i="4"/>
  <c r="CG186" i="4"/>
  <c r="BT186" i="4"/>
  <c r="BX186" i="4"/>
  <c r="BS186" i="4"/>
  <c r="BW186" i="4"/>
  <c r="CA186" i="4"/>
  <c r="BM186" i="4"/>
  <c r="BQ186" i="4"/>
  <c r="BL186" i="4"/>
  <c r="BP186" i="4"/>
  <c r="AU186" i="4"/>
  <c r="AY186" i="4"/>
  <c r="BC186" i="4"/>
  <c r="BG186" i="4"/>
  <c r="AV186" i="4"/>
  <c r="AZ186" i="4"/>
  <c r="BD186" i="4"/>
  <c r="BH186" i="4"/>
  <c r="AN186" i="4"/>
  <c r="AR186" i="4"/>
  <c r="AI186" i="4"/>
  <c r="AG186" i="4"/>
  <c r="AE186" i="4"/>
  <c r="AO186" i="4"/>
  <c r="AS186" i="4"/>
  <c r="AF186" i="4"/>
  <c r="AD186" i="4"/>
  <c r="Y186" i="4"/>
  <c r="W186" i="4"/>
  <c r="O186" i="4"/>
  <c r="K186" i="4"/>
  <c r="AB186" i="4"/>
  <c r="V186" i="4"/>
  <c r="T186" i="4"/>
  <c r="R186" i="4"/>
  <c r="N186" i="4"/>
  <c r="I186" i="4"/>
  <c r="G186" i="4"/>
  <c r="CE185" i="4"/>
  <c r="CI185" i="4"/>
  <c r="CD185" i="4"/>
  <c r="CH185" i="4"/>
  <c r="BS185" i="4"/>
  <c r="BW185" i="4"/>
  <c r="CA185" i="4"/>
  <c r="BV185" i="4"/>
  <c r="BZ185" i="4"/>
  <c r="BL185" i="4"/>
  <c r="BP185" i="4"/>
  <c r="BK185" i="4"/>
  <c r="BO185" i="4"/>
  <c r="AV185" i="4"/>
  <c r="AZ185" i="4"/>
  <c r="BD185" i="4"/>
  <c r="BH185" i="4"/>
  <c r="AW185" i="4"/>
  <c r="BA185" i="4"/>
  <c r="BE185" i="4"/>
  <c r="BI185" i="4"/>
  <c r="AO185" i="4"/>
  <c r="AS185" i="4"/>
  <c r="AF185" i="4"/>
  <c r="AD185" i="4"/>
  <c r="AA185" i="4"/>
  <c r="AN185" i="4"/>
  <c r="AR185" i="4"/>
  <c r="AI185" i="4"/>
  <c r="AG185" i="4"/>
  <c r="V185" i="4"/>
  <c r="T185" i="4"/>
  <c r="R185" i="4"/>
  <c r="N185" i="4"/>
  <c r="I185" i="4"/>
  <c r="Z185" i="4"/>
  <c r="X185" i="4"/>
  <c r="P185" i="4"/>
  <c r="L185" i="4"/>
  <c r="J185" i="4"/>
  <c r="CB186" i="4"/>
  <c r="CF186" i="4"/>
  <c r="CJ186" i="4"/>
  <c r="CE186" i="4"/>
  <c r="CI186" i="4"/>
  <c r="BV186" i="4"/>
  <c r="BZ186" i="4"/>
  <c r="BU186" i="4"/>
  <c r="BY186" i="4"/>
  <c r="BK186" i="4"/>
  <c r="BO186" i="4"/>
  <c r="BJ186" i="4"/>
  <c r="BN186" i="4"/>
  <c r="BR186" i="4"/>
  <c r="AW186" i="4"/>
  <c r="BA186" i="4"/>
  <c r="BE186" i="4"/>
  <c r="BI186" i="4"/>
  <c r="AX186" i="4"/>
  <c r="BB186" i="4"/>
  <c r="BF186" i="4"/>
  <c r="AL186" i="4"/>
  <c r="AP186" i="4"/>
  <c r="AT186" i="4"/>
  <c r="AK186" i="4"/>
  <c r="AC186" i="4"/>
  <c r="AM186" i="4"/>
  <c r="AQ186" i="4"/>
  <c r="AJ186" i="4"/>
  <c r="AH186" i="4"/>
  <c r="Z186" i="4"/>
  <c r="X186" i="4"/>
  <c r="P186" i="4"/>
  <c r="L186" i="4"/>
  <c r="J186" i="4"/>
  <c r="AA186" i="4"/>
  <c r="U186" i="4"/>
  <c r="S186" i="4"/>
  <c r="Q186" i="4"/>
  <c r="M186" i="4"/>
  <c r="H186" i="4"/>
  <c r="G188" i="4"/>
  <c r="G147" i="4"/>
  <c r="CE145" i="4"/>
  <c r="CI145" i="4"/>
  <c r="CD145" i="4"/>
  <c r="CH145" i="4"/>
  <c r="BT145" i="4"/>
  <c r="BX145" i="4"/>
  <c r="BS145" i="4"/>
  <c r="CA145" i="4"/>
  <c r="BY145" i="4"/>
  <c r="BL145" i="4"/>
  <c r="BP145" i="4"/>
  <c r="BK145" i="4"/>
  <c r="BO145" i="4"/>
  <c r="AV145" i="4"/>
  <c r="AZ145" i="4"/>
  <c r="BD145" i="4"/>
  <c r="BH145" i="4"/>
  <c r="AW145" i="4"/>
  <c r="BA145" i="4"/>
  <c r="BE145" i="4"/>
  <c r="BI145" i="4"/>
  <c r="AO145" i="4"/>
  <c r="AS145" i="4"/>
  <c r="AF145" i="4"/>
  <c r="AD145" i="4"/>
  <c r="AA145" i="4"/>
  <c r="AN145" i="4"/>
  <c r="AR145" i="4"/>
  <c r="AI145" i="4"/>
  <c r="AG145" i="4"/>
  <c r="AE145" i="4"/>
  <c r="U145" i="4"/>
  <c r="S145" i="4"/>
  <c r="Q145" i="4"/>
  <c r="M145" i="4"/>
  <c r="Z145" i="4"/>
  <c r="X145" i="4"/>
  <c r="P145" i="4"/>
  <c r="L145" i="4"/>
  <c r="J145" i="4"/>
  <c r="CB146" i="4"/>
  <c r="CF146" i="4"/>
  <c r="CJ146" i="4"/>
  <c r="CE146" i="4"/>
  <c r="CI146" i="4"/>
  <c r="BU146" i="4"/>
  <c r="BY146" i="4"/>
  <c r="BV146" i="4"/>
  <c r="BT146" i="4"/>
  <c r="BK146" i="4"/>
  <c r="BO146" i="4"/>
  <c r="BJ146" i="4"/>
  <c r="BN146" i="4"/>
  <c r="BR146" i="4"/>
  <c r="AW146" i="4"/>
  <c r="BA146" i="4"/>
  <c r="BE146" i="4"/>
  <c r="BI146" i="4"/>
  <c r="AX146" i="4"/>
  <c r="BB146" i="4"/>
  <c r="BF146" i="4"/>
  <c r="AL146" i="4"/>
  <c r="AP146" i="4"/>
  <c r="AT146" i="4"/>
  <c r="AK146" i="4"/>
  <c r="AC146" i="4"/>
  <c r="AM146" i="4"/>
  <c r="AQ146" i="4"/>
  <c r="AJ146" i="4"/>
  <c r="AH146" i="4"/>
  <c r="Z146" i="4"/>
  <c r="X146" i="4"/>
  <c r="P146" i="4"/>
  <c r="L146" i="4"/>
  <c r="AB146" i="4"/>
  <c r="V146" i="4"/>
  <c r="T146" i="4"/>
  <c r="R146" i="4"/>
  <c r="N146" i="4"/>
  <c r="I146" i="4"/>
  <c r="H146" i="4"/>
  <c r="G145" i="4"/>
  <c r="CC145" i="4"/>
  <c r="CG145" i="4"/>
  <c r="CB145" i="4"/>
  <c r="CF145" i="4"/>
  <c r="CJ145" i="4"/>
  <c r="BV145" i="4"/>
  <c r="BZ145" i="4"/>
  <c r="BW145" i="4"/>
  <c r="BU145" i="4"/>
  <c r="BJ145" i="4"/>
  <c r="BN145" i="4"/>
  <c r="BR145" i="4"/>
  <c r="BM145" i="4"/>
  <c r="BQ145" i="4"/>
  <c r="AX145" i="4"/>
  <c r="BB145" i="4"/>
  <c r="BF145" i="4"/>
  <c r="AU145" i="4"/>
  <c r="AY145" i="4"/>
  <c r="BC145" i="4"/>
  <c r="BG145" i="4"/>
  <c r="AM145" i="4"/>
  <c r="AQ145" i="4"/>
  <c r="AJ145" i="4"/>
  <c r="AH145" i="4"/>
  <c r="AB145" i="4"/>
  <c r="AL145" i="4"/>
  <c r="AP145" i="4"/>
  <c r="AT145" i="4"/>
  <c r="AK145" i="4"/>
  <c r="AC145" i="4"/>
  <c r="V145" i="4"/>
  <c r="T145" i="4"/>
  <c r="R145" i="4"/>
  <c r="N145" i="4"/>
  <c r="I145" i="4"/>
  <c r="Y145" i="4"/>
  <c r="W145" i="4"/>
  <c r="O145" i="4"/>
  <c r="K145" i="4"/>
  <c r="H145" i="4"/>
  <c r="CD146" i="4"/>
  <c r="CH146" i="4"/>
  <c r="CC146" i="4"/>
  <c r="CG146" i="4"/>
  <c r="BS146" i="4"/>
  <c r="BW146" i="4"/>
  <c r="CA146" i="4"/>
  <c r="BZ146" i="4"/>
  <c r="BX146" i="4"/>
  <c r="BM146" i="4"/>
  <c r="BQ146" i="4"/>
  <c r="BL146" i="4"/>
  <c r="BP146" i="4"/>
  <c r="AU146" i="4"/>
  <c r="AY146" i="4"/>
  <c r="BC146" i="4"/>
  <c r="BG146" i="4"/>
  <c r="AV146" i="4"/>
  <c r="AZ146" i="4"/>
  <c r="BD146" i="4"/>
  <c r="BH146" i="4"/>
  <c r="AN146" i="4"/>
  <c r="AR146" i="4"/>
  <c r="AI146" i="4"/>
  <c r="AG146" i="4"/>
  <c r="AE146" i="4"/>
  <c r="AO146" i="4"/>
  <c r="AS146" i="4"/>
  <c r="AF146" i="4"/>
  <c r="AD146" i="4"/>
  <c r="Y146" i="4"/>
  <c r="W146" i="4"/>
  <c r="O146" i="4"/>
  <c r="K146" i="4"/>
  <c r="AA146" i="4"/>
  <c r="U146" i="4"/>
  <c r="S146" i="4"/>
  <c r="Q146" i="4"/>
  <c r="M146" i="4"/>
  <c r="J146" i="4"/>
  <c r="CC147" i="4"/>
  <c r="CG147" i="4"/>
  <c r="CB147" i="4"/>
  <c r="CF147" i="4"/>
  <c r="CJ147" i="4"/>
  <c r="BV147" i="4"/>
  <c r="BZ147" i="4"/>
  <c r="BY147" i="4"/>
  <c r="BW147" i="4"/>
  <c r="BJ147" i="4"/>
  <c r="BN147" i="4"/>
  <c r="BR147" i="4"/>
  <c r="BM147" i="4"/>
  <c r="BQ147" i="4"/>
  <c r="AX147" i="4"/>
  <c r="BB147" i="4"/>
  <c r="BF147" i="4"/>
  <c r="AU147" i="4"/>
  <c r="AY147" i="4"/>
  <c r="BC147" i="4"/>
  <c r="BG147" i="4"/>
  <c r="AM147" i="4"/>
  <c r="AQ147" i="4"/>
  <c r="AJ147" i="4"/>
  <c r="AH147" i="4"/>
  <c r="AB147" i="4"/>
  <c r="AL147" i="4"/>
  <c r="AP147" i="4"/>
  <c r="AT147" i="4"/>
  <c r="AK147" i="4"/>
  <c r="AC147" i="4"/>
  <c r="V147" i="4"/>
  <c r="T147" i="4"/>
  <c r="R147" i="4"/>
  <c r="N147" i="4"/>
  <c r="Z147" i="4"/>
  <c r="X147" i="4"/>
  <c r="P147" i="4"/>
  <c r="L147" i="4"/>
  <c r="J147" i="4"/>
  <c r="I147" i="4"/>
  <c r="G146" i="4"/>
  <c r="CE147" i="4"/>
  <c r="CI147" i="4"/>
  <c r="CD147" i="4"/>
  <c r="CH147" i="4"/>
  <c r="BT147" i="4"/>
  <c r="BX147" i="4"/>
  <c r="BU147" i="4"/>
  <c r="BS147" i="4"/>
  <c r="CA147" i="4"/>
  <c r="BL147" i="4"/>
  <c r="BP147" i="4"/>
  <c r="BK147" i="4"/>
  <c r="BO147" i="4"/>
  <c r="AV147" i="4"/>
  <c r="AZ147" i="4"/>
  <c r="BD147" i="4"/>
  <c r="BH147" i="4"/>
  <c r="AW147" i="4"/>
  <c r="BA147" i="4"/>
  <c r="BE147" i="4"/>
  <c r="BI147" i="4"/>
  <c r="AO147" i="4"/>
  <c r="AS147" i="4"/>
  <c r="AF147" i="4"/>
  <c r="AD147" i="4"/>
  <c r="AA147" i="4"/>
  <c r="AN147" i="4"/>
  <c r="AR147" i="4"/>
  <c r="AI147" i="4"/>
  <c r="AG147" i="4"/>
  <c r="AE147" i="4"/>
  <c r="U147" i="4"/>
  <c r="S147" i="4"/>
  <c r="Q147" i="4"/>
  <c r="M147" i="4"/>
  <c r="Y147" i="4"/>
  <c r="W147" i="4"/>
  <c r="O147" i="4"/>
  <c r="K147" i="4"/>
  <c r="H147" i="4"/>
  <c r="CD184" i="4"/>
  <c r="CH184" i="4"/>
  <c r="CC184" i="4"/>
  <c r="CG184" i="4"/>
  <c r="BT184" i="4"/>
  <c r="BX184" i="4"/>
  <c r="BS184" i="4"/>
  <c r="BW184" i="4"/>
  <c r="CA184" i="4"/>
  <c r="BM184" i="4"/>
  <c r="BQ184" i="4"/>
  <c r="BL184" i="4"/>
  <c r="BP184" i="4"/>
  <c r="AU184" i="4"/>
  <c r="AY184" i="4"/>
  <c r="BC184" i="4"/>
  <c r="BG184" i="4"/>
  <c r="AV184" i="4"/>
  <c r="AZ184" i="4"/>
  <c r="BD184" i="4"/>
  <c r="BH184" i="4"/>
  <c r="AN184" i="4"/>
  <c r="AR184" i="4"/>
  <c r="AI184" i="4"/>
  <c r="AG184" i="4"/>
  <c r="AE184" i="4"/>
  <c r="AO184" i="4"/>
  <c r="AS184" i="4"/>
  <c r="AF184" i="4"/>
  <c r="AD184" i="4"/>
  <c r="AA184" i="4"/>
  <c r="Y184" i="4"/>
  <c r="W184" i="4"/>
  <c r="O184" i="4"/>
  <c r="V184" i="4"/>
  <c r="T184" i="4"/>
  <c r="R184" i="4"/>
  <c r="N184" i="4"/>
  <c r="I184" i="4"/>
  <c r="J184" i="4"/>
  <c r="CB184" i="4"/>
  <c r="CF184" i="4"/>
  <c r="CJ184" i="4"/>
  <c r="CE184" i="4"/>
  <c r="CI184" i="4"/>
  <c r="BV184" i="4"/>
  <c r="BZ184" i="4"/>
  <c r="BU184" i="4"/>
  <c r="BY184" i="4"/>
  <c r="BK184" i="4"/>
  <c r="BO184" i="4"/>
  <c r="BJ184" i="4"/>
  <c r="BN184" i="4"/>
  <c r="BR184" i="4"/>
  <c r="AW184" i="4"/>
  <c r="BA184" i="4"/>
  <c r="BE184" i="4"/>
  <c r="BI184" i="4"/>
  <c r="AX184" i="4"/>
  <c r="BB184" i="4"/>
  <c r="BF184" i="4"/>
  <c r="AL184" i="4"/>
  <c r="AP184" i="4"/>
  <c r="AT184" i="4"/>
  <c r="AK184" i="4"/>
  <c r="AC184" i="4"/>
  <c r="AM184" i="4"/>
  <c r="AQ184" i="4"/>
  <c r="AJ184" i="4"/>
  <c r="AH184" i="4"/>
  <c r="AB184" i="4"/>
  <c r="Z184" i="4"/>
  <c r="X184" i="4"/>
  <c r="P184" i="4"/>
  <c r="L184" i="4"/>
  <c r="U184" i="4"/>
  <c r="S184" i="4"/>
  <c r="Q184" i="4"/>
  <c r="M184" i="4"/>
  <c r="K184" i="4"/>
  <c r="H184" i="4"/>
  <c r="G184" i="4"/>
  <c r="CE153" i="4"/>
  <c r="CI153" i="4"/>
  <c r="CD153" i="4"/>
  <c r="CH153" i="4"/>
  <c r="BS153" i="4"/>
  <c r="BW153" i="4"/>
  <c r="CA153" i="4"/>
  <c r="BV153" i="4"/>
  <c r="BZ153" i="4"/>
  <c r="BL153" i="4"/>
  <c r="BP153" i="4"/>
  <c r="BK153" i="4"/>
  <c r="BO153" i="4"/>
  <c r="AV153" i="4"/>
  <c r="AZ153" i="4"/>
  <c r="BD153" i="4"/>
  <c r="BH153" i="4"/>
  <c r="AW153" i="4"/>
  <c r="BA153" i="4"/>
  <c r="BE153" i="4"/>
  <c r="BI153" i="4"/>
  <c r="AO153" i="4"/>
  <c r="AS153" i="4"/>
  <c r="AF153" i="4"/>
  <c r="AD153" i="4"/>
  <c r="AA153" i="4"/>
  <c r="AN153" i="4"/>
  <c r="AR153" i="4"/>
  <c r="AI153" i="4"/>
  <c r="AG153" i="4"/>
  <c r="AE153" i="4"/>
  <c r="U153" i="4"/>
  <c r="S153" i="4"/>
  <c r="Q153" i="4"/>
  <c r="M153" i="4"/>
  <c r="Y153" i="4"/>
  <c r="W153" i="4"/>
  <c r="O153" i="4"/>
  <c r="K153" i="4"/>
  <c r="H153" i="4"/>
  <c r="CC155" i="4"/>
  <c r="CG155" i="4"/>
  <c r="CB155" i="4"/>
  <c r="CF155" i="4"/>
  <c r="CJ155" i="4"/>
  <c r="BU155" i="4"/>
  <c r="BY155" i="4"/>
  <c r="BT155" i="4"/>
  <c r="BX155" i="4"/>
  <c r="BJ155" i="4"/>
  <c r="BN155" i="4"/>
  <c r="BR155" i="4"/>
  <c r="BM155" i="4"/>
  <c r="BQ155" i="4"/>
  <c r="AX155" i="4"/>
  <c r="BB155" i="4"/>
  <c r="BF155" i="4"/>
  <c r="AU155" i="4"/>
  <c r="AY155" i="4"/>
  <c r="BC155" i="4"/>
  <c r="BG155" i="4"/>
  <c r="AM155" i="4"/>
  <c r="AQ155" i="4"/>
  <c r="AJ155" i="4"/>
  <c r="AH155" i="4"/>
  <c r="AB155" i="4"/>
  <c r="AL155" i="4"/>
  <c r="AP155" i="4"/>
  <c r="AT155" i="4"/>
  <c r="AK155" i="4"/>
  <c r="AC155" i="4"/>
  <c r="V155" i="4"/>
  <c r="T155" i="4"/>
  <c r="R155" i="4"/>
  <c r="N155" i="4"/>
  <c r="I155" i="4"/>
  <c r="Y155" i="4"/>
  <c r="W155" i="4"/>
  <c r="O155" i="4"/>
  <c r="K155" i="4"/>
  <c r="H155" i="4"/>
  <c r="G153" i="4"/>
  <c r="CC153" i="4"/>
  <c r="CG153" i="4"/>
  <c r="CB153" i="4"/>
  <c r="CF153" i="4"/>
  <c r="CJ153" i="4"/>
  <c r="BU153" i="4"/>
  <c r="BY153" i="4"/>
  <c r="BT153" i="4"/>
  <c r="BX153" i="4"/>
  <c r="BJ153" i="4"/>
  <c r="BN153" i="4"/>
  <c r="BR153" i="4"/>
  <c r="BM153" i="4"/>
  <c r="BQ153" i="4"/>
  <c r="AX153" i="4"/>
  <c r="BB153" i="4"/>
  <c r="BF153" i="4"/>
  <c r="AU153" i="4"/>
  <c r="AY153" i="4"/>
  <c r="BC153" i="4"/>
  <c r="BG153" i="4"/>
  <c r="AM153" i="4"/>
  <c r="AQ153" i="4"/>
  <c r="AJ153" i="4"/>
  <c r="AH153" i="4"/>
  <c r="AB153" i="4"/>
  <c r="AL153" i="4"/>
  <c r="AP153" i="4"/>
  <c r="AT153" i="4"/>
  <c r="AK153" i="4"/>
  <c r="AC153" i="4"/>
  <c r="V153" i="4"/>
  <c r="T153" i="4"/>
  <c r="R153" i="4"/>
  <c r="N153" i="4"/>
  <c r="Z153" i="4"/>
  <c r="X153" i="4"/>
  <c r="P153" i="4"/>
  <c r="L153" i="4"/>
  <c r="J153" i="4"/>
  <c r="I153" i="4"/>
  <c r="CE155" i="4"/>
  <c r="CI155" i="4"/>
  <c r="CD155" i="4"/>
  <c r="CH155" i="4"/>
  <c r="BS155" i="4"/>
  <c r="BW155" i="4"/>
  <c r="CA155" i="4"/>
  <c r="BV155" i="4"/>
  <c r="BZ155" i="4"/>
  <c r="BL155" i="4"/>
  <c r="BP155" i="4"/>
  <c r="BK155" i="4"/>
  <c r="BO155" i="4"/>
  <c r="AV155" i="4"/>
  <c r="AZ155" i="4"/>
  <c r="BD155" i="4"/>
  <c r="BH155" i="4"/>
  <c r="AW155" i="4"/>
  <c r="BA155" i="4"/>
  <c r="BE155" i="4"/>
  <c r="BI155" i="4"/>
  <c r="AO155" i="4"/>
  <c r="AS155" i="4"/>
  <c r="AF155" i="4"/>
  <c r="AD155" i="4"/>
  <c r="AA155" i="4"/>
  <c r="AN155" i="4"/>
  <c r="AR155" i="4"/>
  <c r="AI155" i="4"/>
  <c r="AG155" i="4"/>
  <c r="AE155" i="4"/>
  <c r="U155" i="4"/>
  <c r="S155" i="4"/>
  <c r="Q155" i="4"/>
  <c r="M155" i="4"/>
  <c r="Z155" i="4"/>
  <c r="X155" i="4"/>
  <c r="P155" i="4"/>
  <c r="L155" i="4"/>
  <c r="J155" i="4"/>
  <c r="G155" i="4"/>
  <c r="CB152" i="4"/>
  <c r="CF152" i="4"/>
  <c r="CJ152" i="4"/>
  <c r="CE152" i="4"/>
  <c r="CI152" i="4"/>
  <c r="BV152" i="4"/>
  <c r="BZ152" i="4"/>
  <c r="BU152" i="4"/>
  <c r="BY152" i="4"/>
  <c r="BK152" i="4"/>
  <c r="BO152" i="4"/>
  <c r="BJ152" i="4"/>
  <c r="BN152" i="4"/>
  <c r="BR152" i="4"/>
  <c r="AW152" i="4"/>
  <c r="BA152" i="4"/>
  <c r="BE152" i="4"/>
  <c r="BI152" i="4"/>
  <c r="AX152" i="4"/>
  <c r="BB152" i="4"/>
  <c r="BF152" i="4"/>
  <c r="AL152" i="4"/>
  <c r="AP152" i="4"/>
  <c r="AT152" i="4"/>
  <c r="AK152" i="4"/>
  <c r="AC152" i="4"/>
  <c r="AM152" i="4"/>
  <c r="AQ152" i="4"/>
  <c r="AJ152" i="4"/>
  <c r="AH152" i="4"/>
  <c r="AB152" i="4"/>
  <c r="Z152" i="4"/>
  <c r="X152" i="4"/>
  <c r="P152" i="4"/>
  <c r="L152" i="4"/>
  <c r="J152" i="4"/>
  <c r="U152" i="4"/>
  <c r="S152" i="4"/>
  <c r="Q152" i="4"/>
  <c r="M152" i="4"/>
  <c r="H152" i="4"/>
  <c r="CD154" i="4"/>
  <c r="CH154" i="4"/>
  <c r="CC154" i="4"/>
  <c r="CG154" i="4"/>
  <c r="BT154" i="4"/>
  <c r="BX154" i="4"/>
  <c r="BS154" i="4"/>
  <c r="BW154" i="4"/>
  <c r="CA154" i="4"/>
  <c r="BM154" i="4"/>
  <c r="BQ154" i="4"/>
  <c r="BL154" i="4"/>
  <c r="BP154" i="4"/>
  <c r="AU154" i="4"/>
  <c r="AY154" i="4"/>
  <c r="BC154" i="4"/>
  <c r="BG154" i="4"/>
  <c r="AV154" i="4"/>
  <c r="AZ154" i="4"/>
  <c r="BD154" i="4"/>
  <c r="BH154" i="4"/>
  <c r="AN154" i="4"/>
  <c r="AR154" i="4"/>
  <c r="AI154" i="4"/>
  <c r="AG154" i="4"/>
  <c r="AE154" i="4"/>
  <c r="AO154" i="4"/>
  <c r="AS154" i="4"/>
  <c r="AF154" i="4"/>
  <c r="AD154" i="4"/>
  <c r="Y154" i="4"/>
  <c r="W154" i="4"/>
  <c r="O154" i="4"/>
  <c r="K154" i="4"/>
  <c r="AA154" i="4"/>
  <c r="U154" i="4"/>
  <c r="S154" i="4"/>
  <c r="Q154" i="4"/>
  <c r="M154" i="4"/>
  <c r="J154" i="4"/>
  <c r="G154" i="4"/>
  <c r="CD152" i="4"/>
  <c r="CH152" i="4"/>
  <c r="CC152" i="4"/>
  <c r="CG152" i="4"/>
  <c r="BT152" i="4"/>
  <c r="BX152" i="4"/>
  <c r="BS152" i="4"/>
  <c r="BW152" i="4"/>
  <c r="CA152" i="4"/>
  <c r="BM152" i="4"/>
  <c r="BQ152" i="4"/>
  <c r="BL152" i="4"/>
  <c r="BP152" i="4"/>
  <c r="AU152" i="4"/>
  <c r="AY152" i="4"/>
  <c r="BC152" i="4"/>
  <c r="BG152" i="4"/>
  <c r="AV152" i="4"/>
  <c r="AZ152" i="4"/>
  <c r="BD152" i="4"/>
  <c r="BH152" i="4"/>
  <c r="AN152" i="4"/>
  <c r="AR152" i="4"/>
  <c r="AI152" i="4"/>
  <c r="AG152" i="4"/>
  <c r="AE152" i="4"/>
  <c r="AO152" i="4"/>
  <c r="AS152" i="4"/>
  <c r="AF152" i="4"/>
  <c r="AD152" i="4"/>
  <c r="AA152" i="4"/>
  <c r="Y152" i="4"/>
  <c r="W152" i="4"/>
  <c r="O152" i="4"/>
  <c r="K152" i="4"/>
  <c r="V152" i="4"/>
  <c r="T152" i="4"/>
  <c r="R152" i="4"/>
  <c r="N152" i="4"/>
  <c r="I152" i="4"/>
  <c r="CB154" i="4"/>
  <c r="CF154" i="4"/>
  <c r="CJ154" i="4"/>
  <c r="CE154" i="4"/>
  <c r="CI154" i="4"/>
  <c r="BV154" i="4"/>
  <c r="BZ154" i="4"/>
  <c r="BU154" i="4"/>
  <c r="BY154" i="4"/>
  <c r="BK154" i="4"/>
  <c r="BO154" i="4"/>
  <c r="BJ154" i="4"/>
  <c r="BN154" i="4"/>
  <c r="BR154" i="4"/>
  <c r="AW154" i="4"/>
  <c r="BA154" i="4"/>
  <c r="BE154" i="4"/>
  <c r="BI154" i="4"/>
  <c r="AX154" i="4"/>
  <c r="BB154" i="4"/>
  <c r="BF154" i="4"/>
  <c r="AL154" i="4"/>
  <c r="AP154" i="4"/>
  <c r="AT154" i="4"/>
  <c r="AK154" i="4"/>
  <c r="AC154" i="4"/>
  <c r="AM154" i="4"/>
  <c r="AQ154" i="4"/>
  <c r="AJ154" i="4"/>
  <c r="AH154" i="4"/>
  <c r="Z154" i="4"/>
  <c r="X154" i="4"/>
  <c r="P154" i="4"/>
  <c r="L154" i="4"/>
  <c r="AB154" i="4"/>
  <c r="V154" i="4"/>
  <c r="T154" i="4"/>
  <c r="R154" i="4"/>
  <c r="N154" i="4"/>
  <c r="I154" i="4"/>
  <c r="H154" i="4"/>
  <c r="G152" i="4"/>
  <c r="CC72" i="4"/>
  <c r="CG72" i="4"/>
  <c r="CD72" i="4"/>
  <c r="CB72" i="4"/>
  <c r="CJ72" i="4"/>
  <c r="BU72" i="4"/>
  <c r="BY72" i="4"/>
  <c r="BT72" i="4"/>
  <c r="BV72" i="4"/>
  <c r="BK72" i="4"/>
  <c r="BO72" i="4"/>
  <c r="BJ72" i="4"/>
  <c r="BN72" i="4"/>
  <c r="BR72" i="4"/>
  <c r="AW72" i="4"/>
  <c r="BA72" i="4"/>
  <c r="BE72" i="4"/>
  <c r="BI72" i="4"/>
  <c r="AX72" i="4"/>
  <c r="BB72" i="4"/>
  <c r="BF72" i="4"/>
  <c r="AL72" i="4"/>
  <c r="AP72" i="4"/>
  <c r="AT72" i="4"/>
  <c r="AK72" i="4"/>
  <c r="AC72" i="4"/>
  <c r="AM72" i="4"/>
  <c r="AQ72" i="4"/>
  <c r="AJ72" i="4"/>
  <c r="AH72" i="4"/>
  <c r="AB72" i="4"/>
  <c r="Z72" i="4"/>
  <c r="X72" i="4"/>
  <c r="P72" i="4"/>
  <c r="L72" i="4"/>
  <c r="J72" i="4"/>
  <c r="U72" i="4"/>
  <c r="S72" i="4"/>
  <c r="Q72" i="4"/>
  <c r="M72" i="4"/>
  <c r="H72" i="4"/>
  <c r="CD73" i="4"/>
  <c r="CF73" i="4"/>
  <c r="CJ73" i="4"/>
  <c r="CG73" i="4"/>
  <c r="BT73" i="4"/>
  <c r="BX73" i="4"/>
  <c r="BS73" i="4"/>
  <c r="CA73" i="4"/>
  <c r="BY73" i="4"/>
  <c r="BL73" i="4"/>
  <c r="BP73" i="4"/>
  <c r="BK73" i="4"/>
  <c r="BO73" i="4"/>
  <c r="AV73" i="4"/>
  <c r="AZ73" i="4"/>
  <c r="BD73" i="4"/>
  <c r="BH73" i="4"/>
  <c r="AW73" i="4"/>
  <c r="BA73" i="4"/>
  <c r="BE73" i="4"/>
  <c r="BI73" i="4"/>
  <c r="AO73" i="4"/>
  <c r="AS73" i="4"/>
  <c r="AF73" i="4"/>
  <c r="AD73" i="4"/>
  <c r="AA73" i="4"/>
  <c r="AN73" i="4"/>
  <c r="AR73" i="4"/>
  <c r="AI73" i="4"/>
  <c r="AG73" i="4"/>
  <c r="AE73" i="4"/>
  <c r="U73" i="4"/>
  <c r="S73" i="4"/>
  <c r="Q73" i="4"/>
  <c r="M73" i="4"/>
  <c r="Z73" i="4"/>
  <c r="X73" i="4"/>
  <c r="P73" i="4"/>
  <c r="L73" i="4"/>
  <c r="J73" i="4"/>
  <c r="CC74" i="4"/>
  <c r="CG74" i="4"/>
  <c r="CB74" i="4"/>
  <c r="CF74" i="4"/>
  <c r="CJ74" i="4"/>
  <c r="BU74" i="4"/>
  <c r="BY74" i="4"/>
  <c r="BV74" i="4"/>
  <c r="BT74" i="4"/>
  <c r="BK74" i="4"/>
  <c r="BO74" i="4"/>
  <c r="BJ74" i="4"/>
  <c r="BN74" i="4"/>
  <c r="BR74" i="4"/>
  <c r="AW74" i="4"/>
  <c r="BA74" i="4"/>
  <c r="BE74" i="4"/>
  <c r="BI74" i="4"/>
  <c r="AX74" i="4"/>
  <c r="BB74" i="4"/>
  <c r="BF74" i="4"/>
  <c r="AL74" i="4"/>
  <c r="AP74" i="4"/>
  <c r="AT74" i="4"/>
  <c r="AK74" i="4"/>
  <c r="AC74" i="4"/>
  <c r="AM74" i="4"/>
  <c r="AQ74" i="4"/>
  <c r="AJ74" i="4"/>
  <c r="AH74" i="4"/>
  <c r="Z74" i="4"/>
  <c r="X74" i="4"/>
  <c r="P74" i="4"/>
  <c r="L74" i="4"/>
  <c r="J74" i="4"/>
  <c r="AB74" i="4"/>
  <c r="V74" i="4"/>
  <c r="T74" i="4"/>
  <c r="R74" i="4"/>
  <c r="N74" i="4"/>
  <c r="I74" i="4"/>
  <c r="CD75" i="4"/>
  <c r="CH75" i="4"/>
  <c r="CC75" i="4"/>
  <c r="CG75" i="4"/>
  <c r="BT75" i="4"/>
  <c r="BX75" i="4"/>
  <c r="BU75" i="4"/>
  <c r="BS75" i="4"/>
  <c r="CA75" i="4"/>
  <c r="BL75" i="4"/>
  <c r="BP75" i="4"/>
  <c r="BK75" i="4"/>
  <c r="BO75" i="4"/>
  <c r="AV75" i="4"/>
  <c r="AZ75" i="4"/>
  <c r="BD75" i="4"/>
  <c r="BH75" i="4"/>
  <c r="AW75" i="4"/>
  <c r="BA75" i="4"/>
  <c r="BE75" i="4"/>
  <c r="BI75" i="4"/>
  <c r="AO75" i="4"/>
  <c r="AS75" i="4"/>
  <c r="AF75" i="4"/>
  <c r="AD75" i="4"/>
  <c r="AA75" i="4"/>
  <c r="AN75" i="4"/>
  <c r="AR75" i="4"/>
  <c r="AI75" i="4"/>
  <c r="AG75" i="4"/>
  <c r="AE75" i="4"/>
  <c r="U75" i="4"/>
  <c r="S75" i="4"/>
  <c r="Q75" i="4"/>
  <c r="M75" i="4"/>
  <c r="Y75" i="4"/>
  <c r="W75" i="4"/>
  <c r="O75" i="4"/>
  <c r="K75" i="4"/>
  <c r="H75" i="4"/>
  <c r="CE72" i="4"/>
  <c r="CI72" i="4"/>
  <c r="CH72" i="4"/>
  <c r="CF72" i="4"/>
  <c r="BS72" i="4"/>
  <c r="BW72" i="4"/>
  <c r="CA72" i="4"/>
  <c r="BX72" i="4"/>
  <c r="BZ72" i="4"/>
  <c r="BM72" i="4"/>
  <c r="BQ72" i="4"/>
  <c r="BL72" i="4"/>
  <c r="BP72" i="4"/>
  <c r="AU72" i="4"/>
  <c r="AY72" i="4"/>
  <c r="BC72" i="4"/>
  <c r="BG72" i="4"/>
  <c r="AV72" i="4"/>
  <c r="AZ72" i="4"/>
  <c r="BD72" i="4"/>
  <c r="BH72" i="4"/>
  <c r="AN72" i="4"/>
  <c r="AR72" i="4"/>
  <c r="AI72" i="4"/>
  <c r="AG72" i="4"/>
  <c r="AE72" i="4"/>
  <c r="AO72" i="4"/>
  <c r="AS72" i="4"/>
  <c r="AF72" i="4"/>
  <c r="AD72" i="4"/>
  <c r="AA72" i="4"/>
  <c r="Y72" i="4"/>
  <c r="W72" i="4"/>
  <c r="O72" i="4"/>
  <c r="K72" i="4"/>
  <c r="V72" i="4"/>
  <c r="T72" i="4"/>
  <c r="R72" i="4"/>
  <c r="N72" i="4"/>
  <c r="I72" i="4"/>
  <c r="CB73" i="4"/>
  <c r="CC73" i="4"/>
  <c r="CH73" i="4"/>
  <c r="CE73" i="4"/>
  <c r="CI73" i="4"/>
  <c r="BV73" i="4"/>
  <c r="BZ73" i="4"/>
  <c r="BW73" i="4"/>
  <c r="BU73" i="4"/>
  <c r="BJ73" i="4"/>
  <c r="BN73" i="4"/>
  <c r="BR73" i="4"/>
  <c r="BM73" i="4"/>
  <c r="BQ73" i="4"/>
  <c r="AX73" i="4"/>
  <c r="BB73" i="4"/>
  <c r="BF73" i="4"/>
  <c r="AU73" i="4"/>
  <c r="AY73" i="4"/>
  <c r="BC73" i="4"/>
  <c r="BG73" i="4"/>
  <c r="AM73" i="4"/>
  <c r="AQ73" i="4"/>
  <c r="AJ73" i="4"/>
  <c r="AH73" i="4"/>
  <c r="AB73" i="4"/>
  <c r="AL73" i="4"/>
  <c r="AP73" i="4"/>
  <c r="AT73" i="4"/>
  <c r="AK73" i="4"/>
  <c r="AC73" i="4"/>
  <c r="V73" i="4"/>
  <c r="T73" i="4"/>
  <c r="R73" i="4"/>
  <c r="N73" i="4"/>
  <c r="I73" i="4"/>
  <c r="Y73" i="4"/>
  <c r="W73" i="4"/>
  <c r="O73" i="4"/>
  <c r="K73" i="4"/>
  <c r="H73" i="4"/>
  <c r="CE74" i="4"/>
  <c r="CI74" i="4"/>
  <c r="CD74" i="4"/>
  <c r="CH74" i="4"/>
  <c r="BS74" i="4"/>
  <c r="BW74" i="4"/>
  <c r="CA74" i="4"/>
  <c r="BZ74" i="4"/>
  <c r="BX74" i="4"/>
  <c r="BM74" i="4"/>
  <c r="BQ74" i="4"/>
  <c r="BL74" i="4"/>
  <c r="BP74" i="4"/>
  <c r="AU74" i="4"/>
  <c r="AY74" i="4"/>
  <c r="BC74" i="4"/>
  <c r="BG74" i="4"/>
  <c r="AV74" i="4"/>
  <c r="AZ74" i="4"/>
  <c r="BD74" i="4"/>
  <c r="BH74" i="4"/>
  <c r="AN74" i="4"/>
  <c r="AR74" i="4"/>
  <c r="AI74" i="4"/>
  <c r="AG74" i="4"/>
  <c r="AE74" i="4"/>
  <c r="AO74" i="4"/>
  <c r="AS74" i="4"/>
  <c r="AF74" i="4"/>
  <c r="AD74" i="4"/>
  <c r="Y74" i="4"/>
  <c r="W74" i="4"/>
  <c r="O74" i="4"/>
  <c r="K74" i="4"/>
  <c r="H74" i="4"/>
  <c r="AA74" i="4"/>
  <c r="U74" i="4"/>
  <c r="S74" i="4"/>
  <c r="Q74" i="4"/>
  <c r="M74" i="4"/>
  <c r="CB75" i="4"/>
  <c r="CF75" i="4"/>
  <c r="CJ75" i="4"/>
  <c r="CE75" i="4"/>
  <c r="CI75" i="4"/>
  <c r="BV75" i="4"/>
  <c r="BZ75" i="4"/>
  <c r="BY75" i="4"/>
  <c r="BW75" i="4"/>
  <c r="BJ75" i="4"/>
  <c r="BN75" i="4"/>
  <c r="BR75" i="4"/>
  <c r="BM75" i="4"/>
  <c r="BQ75" i="4"/>
  <c r="AX75" i="4"/>
  <c r="BB75" i="4"/>
  <c r="BF75" i="4"/>
  <c r="AU75" i="4"/>
  <c r="AY75" i="4"/>
  <c r="BC75" i="4"/>
  <c r="BG75" i="4"/>
  <c r="AM75" i="4"/>
  <c r="AQ75" i="4"/>
  <c r="AJ75" i="4"/>
  <c r="AH75" i="4"/>
  <c r="AB75" i="4"/>
  <c r="AL75" i="4"/>
  <c r="AP75" i="4"/>
  <c r="AT75" i="4"/>
  <c r="AK75" i="4"/>
  <c r="AC75" i="4"/>
  <c r="V75" i="4"/>
  <c r="T75" i="4"/>
  <c r="R75" i="4"/>
  <c r="N75" i="4"/>
  <c r="Z75" i="4"/>
  <c r="X75" i="4"/>
  <c r="P75" i="4"/>
  <c r="L75" i="4"/>
  <c r="J75" i="4"/>
  <c r="I75" i="4"/>
  <c r="G75" i="4"/>
  <c r="G73" i="4"/>
  <c r="G74" i="4"/>
  <c r="G72" i="4"/>
  <c r="CC56" i="4"/>
  <c r="CG56" i="4"/>
  <c r="CD56" i="4"/>
  <c r="CB56" i="4"/>
  <c r="CJ56" i="4"/>
  <c r="BU56" i="4"/>
  <c r="BY56" i="4"/>
  <c r="BT56" i="4"/>
  <c r="BV56" i="4"/>
  <c r="BK56" i="4"/>
  <c r="BO56" i="4"/>
  <c r="BJ56" i="4"/>
  <c r="BN56" i="4"/>
  <c r="BR56" i="4"/>
  <c r="AW56" i="4"/>
  <c r="BA56" i="4"/>
  <c r="BE56" i="4"/>
  <c r="BI56" i="4"/>
  <c r="AX56" i="4"/>
  <c r="BB56" i="4"/>
  <c r="BF56" i="4"/>
  <c r="AL56" i="4"/>
  <c r="AP56" i="4"/>
  <c r="AT56" i="4"/>
  <c r="AK56" i="4"/>
  <c r="AC56" i="4"/>
  <c r="AM56" i="4"/>
  <c r="AQ56" i="4"/>
  <c r="AJ56" i="4"/>
  <c r="AH56" i="4"/>
  <c r="AB56" i="4"/>
  <c r="Z56" i="4"/>
  <c r="X56" i="4"/>
  <c r="P56" i="4"/>
  <c r="L56" i="4"/>
  <c r="H56" i="4"/>
  <c r="U56" i="4"/>
  <c r="S56" i="4"/>
  <c r="Q56" i="4"/>
  <c r="M56" i="4"/>
  <c r="J56" i="4"/>
  <c r="CI56" i="4"/>
  <c r="CF56" i="4"/>
  <c r="BW56" i="4"/>
  <c r="BX56" i="4"/>
  <c r="BM56" i="4"/>
  <c r="BL56" i="4"/>
  <c r="AU56" i="4"/>
  <c r="BC56" i="4"/>
  <c r="AV56" i="4"/>
  <c r="BD56" i="4"/>
  <c r="AN56" i="4"/>
  <c r="AI56" i="4"/>
  <c r="AE56" i="4"/>
  <c r="AS56" i="4"/>
  <c r="AD56" i="4"/>
  <c r="Y56" i="4"/>
  <c r="O56" i="4"/>
  <c r="V56" i="4"/>
  <c r="R56" i="4"/>
  <c r="I56" i="4"/>
  <c r="CE56" i="4"/>
  <c r="CH56" i="4"/>
  <c r="BS56" i="4"/>
  <c r="CA56" i="4"/>
  <c r="BZ56" i="4"/>
  <c r="BQ56" i="4"/>
  <c r="BP56" i="4"/>
  <c r="AY56" i="4"/>
  <c r="BG56" i="4"/>
  <c r="AZ56" i="4"/>
  <c r="BH56" i="4"/>
  <c r="AR56" i="4"/>
  <c r="AG56" i="4"/>
  <c r="AO56" i="4"/>
  <c r="AF56" i="4"/>
  <c r="AA56" i="4"/>
  <c r="W56" i="4"/>
  <c r="K56" i="4"/>
  <c r="T56" i="4"/>
  <c r="N56" i="4"/>
  <c r="G56" i="4"/>
  <c r="CD24" i="4"/>
  <c r="CH24" i="4"/>
  <c r="CC24" i="4"/>
  <c r="CG24" i="4"/>
  <c r="BS24" i="4"/>
  <c r="BW24" i="4"/>
  <c r="CA24" i="4"/>
  <c r="BV24" i="4"/>
  <c r="BZ24" i="4"/>
  <c r="BM24" i="4"/>
  <c r="BQ24" i="4"/>
  <c r="BN24" i="4"/>
  <c r="AV24" i="4"/>
  <c r="AZ24" i="4"/>
  <c r="BD24" i="4"/>
  <c r="BH24" i="4"/>
  <c r="BP24" i="4"/>
  <c r="BA24" i="4"/>
  <c r="BI24" i="4"/>
  <c r="AY24" i="4"/>
  <c r="BG24" i="4"/>
  <c r="AN24" i="4"/>
  <c r="AR24" i="4"/>
  <c r="AI24" i="4"/>
  <c r="AG24" i="4"/>
  <c r="AE24" i="4"/>
  <c r="AO24" i="4"/>
  <c r="AS24" i="4"/>
  <c r="AF24" i="4"/>
  <c r="AD24" i="4"/>
  <c r="AA24" i="4"/>
  <c r="Y24" i="4"/>
  <c r="W24" i="4"/>
  <c r="O24" i="4"/>
  <c r="K24" i="4"/>
  <c r="H24" i="4"/>
  <c r="U24" i="4"/>
  <c r="S24" i="4"/>
  <c r="Q24" i="4"/>
  <c r="M24" i="4"/>
  <c r="CB24" i="4"/>
  <c r="CF24" i="4"/>
  <c r="CJ24" i="4"/>
  <c r="CE24" i="4"/>
  <c r="CI24" i="4"/>
  <c r="BU24" i="4"/>
  <c r="BY24" i="4"/>
  <c r="BT24" i="4"/>
  <c r="BX24" i="4"/>
  <c r="BK24" i="4"/>
  <c r="BO24" i="4"/>
  <c r="BJ24" i="4"/>
  <c r="BR24" i="4"/>
  <c r="AX24" i="4"/>
  <c r="BB24" i="4"/>
  <c r="BF24" i="4"/>
  <c r="BL24" i="4"/>
  <c r="AW24" i="4"/>
  <c r="BE24" i="4"/>
  <c r="AU24" i="4"/>
  <c r="BC24" i="4"/>
  <c r="AL24" i="4"/>
  <c r="AP24" i="4"/>
  <c r="AT24" i="4"/>
  <c r="AK24" i="4"/>
  <c r="AC24" i="4"/>
  <c r="AM24" i="4"/>
  <c r="AQ24" i="4"/>
  <c r="AJ24" i="4"/>
  <c r="AH24" i="4"/>
  <c r="AB24" i="4"/>
  <c r="Z24" i="4"/>
  <c r="X24" i="4"/>
  <c r="P24" i="4"/>
  <c r="L24" i="4"/>
  <c r="J24" i="4"/>
  <c r="V24" i="4"/>
  <c r="T24" i="4"/>
  <c r="R24" i="4"/>
  <c r="N24" i="4"/>
  <c r="I24" i="4"/>
  <c r="G24" i="4"/>
  <c r="G241" i="4"/>
  <c r="CC239" i="4"/>
  <c r="CG239" i="4"/>
  <c r="CB239" i="4"/>
  <c r="CF239" i="4"/>
  <c r="CJ239" i="4"/>
  <c r="BU239" i="4"/>
  <c r="BY239" i="4"/>
  <c r="BT239" i="4"/>
  <c r="BX239" i="4"/>
  <c r="BJ239" i="4"/>
  <c r="BN239" i="4"/>
  <c r="BR239" i="4"/>
  <c r="BM239" i="4"/>
  <c r="BQ239" i="4"/>
  <c r="AX239" i="4"/>
  <c r="BB239" i="4"/>
  <c r="BF239" i="4"/>
  <c r="AM239" i="4"/>
  <c r="AQ239" i="4"/>
  <c r="AJ239" i="4"/>
  <c r="AH239" i="4"/>
  <c r="AB239" i="4"/>
  <c r="AW239" i="4"/>
  <c r="BA239" i="4"/>
  <c r="BE239" i="4"/>
  <c r="BI239" i="4"/>
  <c r="AN239" i="4"/>
  <c r="AR239" i="4"/>
  <c r="AI239" i="4"/>
  <c r="AG239" i="4"/>
  <c r="V239" i="4"/>
  <c r="T239" i="4"/>
  <c r="R239" i="4"/>
  <c r="N239" i="4"/>
  <c r="AC239" i="4"/>
  <c r="Z239" i="4"/>
  <c r="X239" i="4"/>
  <c r="P239" i="4"/>
  <c r="L239" i="4"/>
  <c r="J239" i="4"/>
  <c r="I239" i="4"/>
  <c r="CD240" i="4"/>
  <c r="CH240" i="4"/>
  <c r="CC240" i="4"/>
  <c r="CG240" i="4"/>
  <c r="BT240" i="4"/>
  <c r="BX240" i="4"/>
  <c r="BS240" i="4"/>
  <c r="BW240" i="4"/>
  <c r="CA240" i="4"/>
  <c r="BM240" i="4"/>
  <c r="BQ240" i="4"/>
  <c r="BL240" i="4"/>
  <c r="BP240" i="4"/>
  <c r="AU240" i="4"/>
  <c r="AY240" i="4"/>
  <c r="BC240" i="4"/>
  <c r="BG240" i="4"/>
  <c r="AL240" i="4"/>
  <c r="AP240" i="4"/>
  <c r="AT240" i="4"/>
  <c r="AK240" i="4"/>
  <c r="AC240" i="4"/>
  <c r="AV240" i="4"/>
  <c r="AZ240" i="4"/>
  <c r="BD240" i="4"/>
  <c r="BH240" i="4"/>
  <c r="AO240" i="4"/>
  <c r="AS240" i="4"/>
  <c r="AF240" i="4"/>
  <c r="AB240" i="4"/>
  <c r="Z240" i="4"/>
  <c r="X240" i="4"/>
  <c r="P240" i="4"/>
  <c r="L240" i="4"/>
  <c r="AD240" i="4"/>
  <c r="U240" i="4"/>
  <c r="S240" i="4"/>
  <c r="Q240" i="4"/>
  <c r="M240" i="4"/>
  <c r="J240" i="4"/>
  <c r="CE239" i="4"/>
  <c r="CI239" i="4"/>
  <c r="CD239" i="4"/>
  <c r="CH239" i="4"/>
  <c r="BS239" i="4"/>
  <c r="BW239" i="4"/>
  <c r="CA239" i="4"/>
  <c r="BV239" i="4"/>
  <c r="BZ239" i="4"/>
  <c r="BL239" i="4"/>
  <c r="BP239" i="4"/>
  <c r="BK239" i="4"/>
  <c r="BO239" i="4"/>
  <c r="AV239" i="4"/>
  <c r="AZ239" i="4"/>
  <c r="BD239" i="4"/>
  <c r="BH239" i="4"/>
  <c r="AO239" i="4"/>
  <c r="AS239" i="4"/>
  <c r="AF239" i="4"/>
  <c r="AD239" i="4"/>
  <c r="AU239" i="4"/>
  <c r="AY239" i="4"/>
  <c r="BC239" i="4"/>
  <c r="BG239" i="4"/>
  <c r="AL239" i="4"/>
  <c r="AP239" i="4"/>
  <c r="AT239" i="4"/>
  <c r="AK239" i="4"/>
  <c r="AE239" i="4"/>
  <c r="U239" i="4"/>
  <c r="S239" i="4"/>
  <c r="Q239" i="4"/>
  <c r="M239" i="4"/>
  <c r="AA239" i="4"/>
  <c r="Y239" i="4"/>
  <c r="W239" i="4"/>
  <c r="O239" i="4"/>
  <c r="K239" i="4"/>
  <c r="H239" i="4"/>
  <c r="CB240" i="4"/>
  <c r="CF240" i="4"/>
  <c r="CJ240" i="4"/>
  <c r="CE240" i="4"/>
  <c r="CI240" i="4"/>
  <c r="BV240" i="4"/>
  <c r="BZ240" i="4"/>
  <c r="BU240" i="4"/>
  <c r="BY240" i="4"/>
  <c r="BK240" i="4"/>
  <c r="BO240" i="4"/>
  <c r="BJ240" i="4"/>
  <c r="BN240" i="4"/>
  <c r="BR240" i="4"/>
  <c r="AW240" i="4"/>
  <c r="BA240" i="4"/>
  <c r="BE240" i="4"/>
  <c r="BI240" i="4"/>
  <c r="AN240" i="4"/>
  <c r="AR240" i="4"/>
  <c r="AI240" i="4"/>
  <c r="AG240" i="4"/>
  <c r="AE240" i="4"/>
  <c r="AX240" i="4"/>
  <c r="BB240" i="4"/>
  <c r="BF240" i="4"/>
  <c r="AM240" i="4"/>
  <c r="AQ240" i="4"/>
  <c r="AJ240" i="4"/>
  <c r="AH240" i="4"/>
  <c r="AA240" i="4"/>
  <c r="Y240" i="4"/>
  <c r="W240" i="4"/>
  <c r="O240" i="4"/>
  <c r="K240" i="4"/>
  <c r="V240" i="4"/>
  <c r="T240" i="4"/>
  <c r="R240" i="4"/>
  <c r="N240" i="4"/>
  <c r="I240" i="4"/>
  <c r="H240" i="4"/>
  <c r="G239" i="4"/>
  <c r="CC241" i="4"/>
  <c r="CG241" i="4"/>
  <c r="CB241" i="4"/>
  <c r="CF241" i="4"/>
  <c r="CJ241" i="4"/>
  <c r="BU241" i="4"/>
  <c r="BY241" i="4"/>
  <c r="BT241" i="4"/>
  <c r="BX241" i="4"/>
  <c r="BJ241" i="4"/>
  <c r="BN241" i="4"/>
  <c r="BR241" i="4"/>
  <c r="BM241" i="4"/>
  <c r="BQ241" i="4"/>
  <c r="AX241" i="4"/>
  <c r="BB241" i="4"/>
  <c r="BF241" i="4"/>
  <c r="AM241" i="4"/>
  <c r="AQ241" i="4"/>
  <c r="AJ241" i="4"/>
  <c r="AH241" i="4"/>
  <c r="AB241" i="4"/>
  <c r="AW241" i="4"/>
  <c r="BA241" i="4"/>
  <c r="BE241" i="4"/>
  <c r="BI241" i="4"/>
  <c r="AN241" i="4"/>
  <c r="AR241" i="4"/>
  <c r="AI241" i="4"/>
  <c r="AG241" i="4"/>
  <c r="V241" i="4"/>
  <c r="T241" i="4"/>
  <c r="R241" i="4"/>
  <c r="N241" i="4"/>
  <c r="AE241" i="4"/>
  <c r="Z241" i="4"/>
  <c r="X241" i="4"/>
  <c r="P241" i="4"/>
  <c r="L241" i="4"/>
  <c r="J241" i="4"/>
  <c r="I241" i="4"/>
  <c r="CD242" i="4"/>
  <c r="CH242" i="4"/>
  <c r="CC242" i="4"/>
  <c r="CG242" i="4"/>
  <c r="BT242" i="4"/>
  <c r="BX242" i="4"/>
  <c r="BS242" i="4"/>
  <c r="BW242" i="4"/>
  <c r="CA242" i="4"/>
  <c r="BM242" i="4"/>
  <c r="BQ242" i="4"/>
  <c r="BL242" i="4"/>
  <c r="BP242" i="4"/>
  <c r="AU242" i="4"/>
  <c r="AY242" i="4"/>
  <c r="BC242" i="4"/>
  <c r="BG242" i="4"/>
  <c r="AL242" i="4"/>
  <c r="AP242" i="4"/>
  <c r="AT242" i="4"/>
  <c r="AK242" i="4"/>
  <c r="AC242" i="4"/>
  <c r="AV242" i="4"/>
  <c r="AZ242" i="4"/>
  <c r="BD242" i="4"/>
  <c r="BH242" i="4"/>
  <c r="AO242" i="4"/>
  <c r="AS242" i="4"/>
  <c r="AF242" i="4"/>
  <c r="AD242" i="4"/>
  <c r="Z242" i="4"/>
  <c r="X242" i="4"/>
  <c r="P242" i="4"/>
  <c r="L242" i="4"/>
  <c r="AB242" i="4"/>
  <c r="U242" i="4"/>
  <c r="S242" i="4"/>
  <c r="Q242" i="4"/>
  <c r="M242" i="4"/>
  <c r="K242" i="4"/>
  <c r="G242" i="4"/>
  <c r="CE241" i="4"/>
  <c r="CI241" i="4"/>
  <c r="CD241" i="4"/>
  <c r="CH241" i="4"/>
  <c r="BS241" i="4"/>
  <c r="BW241" i="4"/>
  <c r="CA241" i="4"/>
  <c r="BV241" i="4"/>
  <c r="BZ241" i="4"/>
  <c r="BL241" i="4"/>
  <c r="BP241" i="4"/>
  <c r="BK241" i="4"/>
  <c r="BO241" i="4"/>
  <c r="AV241" i="4"/>
  <c r="AZ241" i="4"/>
  <c r="BD241" i="4"/>
  <c r="BH241" i="4"/>
  <c r="AO241" i="4"/>
  <c r="AS241" i="4"/>
  <c r="AF241" i="4"/>
  <c r="AD241" i="4"/>
  <c r="AU241" i="4"/>
  <c r="AY241" i="4"/>
  <c r="BC241" i="4"/>
  <c r="BG241" i="4"/>
  <c r="AL241" i="4"/>
  <c r="AP241" i="4"/>
  <c r="AT241" i="4"/>
  <c r="AK241" i="4"/>
  <c r="AC241" i="4"/>
  <c r="U241" i="4"/>
  <c r="S241" i="4"/>
  <c r="Q241" i="4"/>
  <c r="M241" i="4"/>
  <c r="AA241" i="4"/>
  <c r="Y241" i="4"/>
  <c r="W241" i="4"/>
  <c r="O241" i="4"/>
  <c r="K241" i="4"/>
  <c r="H241" i="4"/>
  <c r="CB242" i="4"/>
  <c r="CF242" i="4"/>
  <c r="CJ242" i="4"/>
  <c r="CE242" i="4"/>
  <c r="CI242" i="4"/>
  <c r="BV242" i="4"/>
  <c r="BZ242" i="4"/>
  <c r="BU242" i="4"/>
  <c r="BY242" i="4"/>
  <c r="BK242" i="4"/>
  <c r="BO242" i="4"/>
  <c r="BJ242" i="4"/>
  <c r="BN242" i="4"/>
  <c r="BR242" i="4"/>
  <c r="AW242" i="4"/>
  <c r="BA242" i="4"/>
  <c r="BE242" i="4"/>
  <c r="BI242" i="4"/>
  <c r="AN242" i="4"/>
  <c r="AR242" i="4"/>
  <c r="AI242" i="4"/>
  <c r="AG242" i="4"/>
  <c r="AE242" i="4"/>
  <c r="AX242" i="4"/>
  <c r="BB242" i="4"/>
  <c r="BF242" i="4"/>
  <c r="AM242" i="4"/>
  <c r="AQ242" i="4"/>
  <c r="AJ242" i="4"/>
  <c r="AH242" i="4"/>
  <c r="AA242" i="4"/>
  <c r="Y242" i="4"/>
  <c r="W242" i="4"/>
  <c r="O242" i="4"/>
  <c r="J242" i="4"/>
  <c r="V242" i="4"/>
  <c r="T242" i="4"/>
  <c r="R242" i="4"/>
  <c r="N242" i="4"/>
  <c r="I242" i="4"/>
  <c r="H242" i="4"/>
  <c r="G240" i="4"/>
  <c r="CC207" i="4"/>
  <c r="CG207" i="4"/>
  <c r="CB207" i="4"/>
  <c r="CF207" i="4"/>
  <c r="CJ207" i="4"/>
  <c r="BU207" i="4"/>
  <c r="BY207" i="4"/>
  <c r="BT207" i="4"/>
  <c r="BX207" i="4"/>
  <c r="BJ207" i="4"/>
  <c r="BN207" i="4"/>
  <c r="BR207" i="4"/>
  <c r="BM207" i="4"/>
  <c r="BQ207" i="4"/>
  <c r="AX207" i="4"/>
  <c r="BB207" i="4"/>
  <c r="BF207" i="4"/>
  <c r="AW207" i="4"/>
  <c r="BE207" i="4"/>
  <c r="AM207" i="4"/>
  <c r="AQ207" i="4"/>
  <c r="AJ207" i="4"/>
  <c r="AH207" i="4"/>
  <c r="AB207" i="4"/>
  <c r="AY207" i="4"/>
  <c r="BG207" i="4"/>
  <c r="AN207" i="4"/>
  <c r="AR207" i="4"/>
  <c r="AI207" i="4"/>
  <c r="AG207" i="4"/>
  <c r="V207" i="4"/>
  <c r="T207" i="4"/>
  <c r="R207" i="4"/>
  <c r="N207" i="4"/>
  <c r="I207" i="4"/>
  <c r="AA207" i="4"/>
  <c r="Y207" i="4"/>
  <c r="W207" i="4"/>
  <c r="O207" i="4"/>
  <c r="K207" i="4"/>
  <c r="H207" i="4"/>
  <c r="CD208" i="4"/>
  <c r="CH208" i="4"/>
  <c r="CC208" i="4"/>
  <c r="CG208" i="4"/>
  <c r="BT208" i="4"/>
  <c r="BX208" i="4"/>
  <c r="BS208" i="4"/>
  <c r="BW208" i="4"/>
  <c r="CA208" i="4"/>
  <c r="BM208" i="4"/>
  <c r="BQ208" i="4"/>
  <c r="BL208" i="4"/>
  <c r="BP208" i="4"/>
  <c r="AU208" i="4"/>
  <c r="AY208" i="4"/>
  <c r="BC208" i="4"/>
  <c r="BG208" i="4"/>
  <c r="AX208" i="4"/>
  <c r="BF208" i="4"/>
  <c r="AN208" i="4"/>
  <c r="AR208" i="4"/>
  <c r="AI208" i="4"/>
  <c r="AG208" i="4"/>
  <c r="AE208" i="4"/>
  <c r="AZ208" i="4"/>
  <c r="BH208" i="4"/>
  <c r="AO208" i="4"/>
  <c r="AS208" i="4"/>
  <c r="AF208" i="4"/>
  <c r="AB208" i="4"/>
  <c r="Z208" i="4"/>
  <c r="X208" i="4"/>
  <c r="P208" i="4"/>
  <c r="L208" i="4"/>
  <c r="AD208" i="4"/>
  <c r="U208" i="4"/>
  <c r="S208" i="4"/>
  <c r="Q208" i="4"/>
  <c r="M208" i="4"/>
  <c r="J208" i="4"/>
  <c r="CE207" i="4"/>
  <c r="CI207" i="4"/>
  <c r="CD207" i="4"/>
  <c r="CH207" i="4"/>
  <c r="BS207" i="4"/>
  <c r="BW207" i="4"/>
  <c r="CA207" i="4"/>
  <c r="BV207" i="4"/>
  <c r="BZ207" i="4"/>
  <c r="BL207" i="4"/>
  <c r="BP207" i="4"/>
  <c r="BK207" i="4"/>
  <c r="BO207" i="4"/>
  <c r="AV207" i="4"/>
  <c r="AZ207" i="4"/>
  <c r="BD207" i="4"/>
  <c r="BH207" i="4"/>
  <c r="BA207" i="4"/>
  <c r="BI207" i="4"/>
  <c r="AO207" i="4"/>
  <c r="AS207" i="4"/>
  <c r="AF207" i="4"/>
  <c r="AD207" i="4"/>
  <c r="AU207" i="4"/>
  <c r="BC207" i="4"/>
  <c r="AL207" i="4"/>
  <c r="AP207" i="4"/>
  <c r="AT207" i="4"/>
  <c r="AK207" i="4"/>
  <c r="AE207" i="4"/>
  <c r="U207" i="4"/>
  <c r="S207" i="4"/>
  <c r="Q207" i="4"/>
  <c r="M207" i="4"/>
  <c r="AC207" i="4"/>
  <c r="Z207" i="4"/>
  <c r="X207" i="4"/>
  <c r="P207" i="4"/>
  <c r="L207" i="4"/>
  <c r="J207" i="4"/>
  <c r="CB208" i="4"/>
  <c r="CF208" i="4"/>
  <c r="CJ208" i="4"/>
  <c r="CE208" i="4"/>
  <c r="CI208" i="4"/>
  <c r="BV208" i="4"/>
  <c r="BZ208" i="4"/>
  <c r="BU208" i="4"/>
  <c r="BY208" i="4"/>
  <c r="BK208" i="4"/>
  <c r="BO208" i="4"/>
  <c r="BJ208" i="4"/>
  <c r="BN208" i="4"/>
  <c r="BR208" i="4"/>
  <c r="AW208" i="4"/>
  <c r="BA208" i="4"/>
  <c r="BE208" i="4"/>
  <c r="BI208" i="4"/>
  <c r="BB208" i="4"/>
  <c r="AL208" i="4"/>
  <c r="AP208" i="4"/>
  <c r="AT208" i="4"/>
  <c r="AK208" i="4"/>
  <c r="AC208" i="4"/>
  <c r="AV208" i="4"/>
  <c r="BD208" i="4"/>
  <c r="AM208" i="4"/>
  <c r="AQ208" i="4"/>
  <c r="AJ208" i="4"/>
  <c r="AH208" i="4"/>
  <c r="AA208" i="4"/>
  <c r="Y208" i="4"/>
  <c r="W208" i="4"/>
  <c r="O208" i="4"/>
  <c r="K208" i="4"/>
  <c r="V208" i="4"/>
  <c r="T208" i="4"/>
  <c r="R208" i="4"/>
  <c r="N208" i="4"/>
  <c r="I208" i="4"/>
  <c r="H208" i="4"/>
  <c r="G207" i="4"/>
  <c r="G208" i="4"/>
  <c r="CC175" i="4"/>
  <c r="CG175" i="4"/>
  <c r="CB175" i="4"/>
  <c r="CF175" i="4"/>
  <c r="CJ175" i="4"/>
  <c r="BU175" i="4"/>
  <c r="BY175" i="4"/>
  <c r="BT175" i="4"/>
  <c r="BX175" i="4"/>
  <c r="BJ175" i="4"/>
  <c r="BN175" i="4"/>
  <c r="BR175" i="4"/>
  <c r="BM175" i="4"/>
  <c r="BQ175" i="4"/>
  <c r="AX175" i="4"/>
  <c r="BB175" i="4"/>
  <c r="BF175" i="4"/>
  <c r="AU175" i="4"/>
  <c r="AY175" i="4"/>
  <c r="BC175" i="4"/>
  <c r="BG175" i="4"/>
  <c r="AM175" i="4"/>
  <c r="AQ175" i="4"/>
  <c r="AJ175" i="4"/>
  <c r="AH175" i="4"/>
  <c r="AB175" i="4"/>
  <c r="AL175" i="4"/>
  <c r="AP175" i="4"/>
  <c r="AT175" i="4"/>
  <c r="AK175" i="4"/>
  <c r="AC175" i="4"/>
  <c r="V175" i="4"/>
  <c r="T175" i="4"/>
  <c r="R175" i="4"/>
  <c r="N175" i="4"/>
  <c r="Z175" i="4"/>
  <c r="X175" i="4"/>
  <c r="P175" i="4"/>
  <c r="L175" i="4"/>
  <c r="J175" i="4"/>
  <c r="I175" i="4"/>
  <c r="CD176" i="4"/>
  <c r="CH176" i="4"/>
  <c r="CC176" i="4"/>
  <c r="CG176" i="4"/>
  <c r="BT176" i="4"/>
  <c r="BX176" i="4"/>
  <c r="BS176" i="4"/>
  <c r="BW176" i="4"/>
  <c r="CA176" i="4"/>
  <c r="BM176" i="4"/>
  <c r="BQ176" i="4"/>
  <c r="BL176" i="4"/>
  <c r="BP176" i="4"/>
  <c r="AU176" i="4"/>
  <c r="AY176" i="4"/>
  <c r="BC176" i="4"/>
  <c r="BG176" i="4"/>
  <c r="AV176" i="4"/>
  <c r="AZ176" i="4"/>
  <c r="BD176" i="4"/>
  <c r="BH176" i="4"/>
  <c r="AN176" i="4"/>
  <c r="AR176" i="4"/>
  <c r="AI176" i="4"/>
  <c r="AG176" i="4"/>
  <c r="AE176" i="4"/>
  <c r="AO176" i="4"/>
  <c r="AS176" i="4"/>
  <c r="AF176" i="4"/>
  <c r="AD176" i="4"/>
  <c r="AA176" i="4"/>
  <c r="Y176" i="4"/>
  <c r="W176" i="4"/>
  <c r="O176" i="4"/>
  <c r="K176" i="4"/>
  <c r="U176" i="4"/>
  <c r="S176" i="4"/>
  <c r="Q176" i="4"/>
  <c r="M176" i="4"/>
  <c r="J176" i="4"/>
  <c r="CE175" i="4"/>
  <c r="CI175" i="4"/>
  <c r="CD175" i="4"/>
  <c r="CH175" i="4"/>
  <c r="BS175" i="4"/>
  <c r="BW175" i="4"/>
  <c r="CA175" i="4"/>
  <c r="BV175" i="4"/>
  <c r="BZ175" i="4"/>
  <c r="BL175" i="4"/>
  <c r="BP175" i="4"/>
  <c r="BK175" i="4"/>
  <c r="BO175" i="4"/>
  <c r="AV175" i="4"/>
  <c r="AZ175" i="4"/>
  <c r="BD175" i="4"/>
  <c r="BH175" i="4"/>
  <c r="AW175" i="4"/>
  <c r="BA175" i="4"/>
  <c r="BE175" i="4"/>
  <c r="BI175" i="4"/>
  <c r="AO175" i="4"/>
  <c r="AS175" i="4"/>
  <c r="AF175" i="4"/>
  <c r="AD175" i="4"/>
  <c r="AA175" i="4"/>
  <c r="AN175" i="4"/>
  <c r="AR175" i="4"/>
  <c r="AI175" i="4"/>
  <c r="AG175" i="4"/>
  <c r="AE175" i="4"/>
  <c r="U175" i="4"/>
  <c r="S175" i="4"/>
  <c r="Q175" i="4"/>
  <c r="M175" i="4"/>
  <c r="Y175" i="4"/>
  <c r="W175" i="4"/>
  <c r="O175" i="4"/>
  <c r="K175" i="4"/>
  <c r="H175" i="4"/>
  <c r="CB176" i="4"/>
  <c r="CF176" i="4"/>
  <c r="CJ176" i="4"/>
  <c r="CE176" i="4"/>
  <c r="CI176" i="4"/>
  <c r="BV176" i="4"/>
  <c r="BZ176" i="4"/>
  <c r="BU176" i="4"/>
  <c r="BY176" i="4"/>
  <c r="BK176" i="4"/>
  <c r="BO176" i="4"/>
  <c r="BJ176" i="4"/>
  <c r="BN176" i="4"/>
  <c r="BR176" i="4"/>
  <c r="AW176" i="4"/>
  <c r="BA176" i="4"/>
  <c r="BE176" i="4"/>
  <c r="BI176" i="4"/>
  <c r="AX176" i="4"/>
  <c r="BB176" i="4"/>
  <c r="BF176" i="4"/>
  <c r="AL176" i="4"/>
  <c r="AP176" i="4"/>
  <c r="AT176" i="4"/>
  <c r="AK176" i="4"/>
  <c r="AC176" i="4"/>
  <c r="AM176" i="4"/>
  <c r="AQ176" i="4"/>
  <c r="AJ176" i="4"/>
  <c r="AH176" i="4"/>
  <c r="AB176" i="4"/>
  <c r="Z176" i="4"/>
  <c r="X176" i="4"/>
  <c r="P176" i="4"/>
  <c r="L176" i="4"/>
  <c r="V176" i="4"/>
  <c r="T176" i="4"/>
  <c r="R176" i="4"/>
  <c r="N176" i="4"/>
  <c r="I176" i="4"/>
  <c r="H176" i="4"/>
  <c r="G175" i="4"/>
  <c r="G176" i="4"/>
  <c r="CC135" i="4"/>
  <c r="CG135" i="4"/>
  <c r="CB135" i="4"/>
  <c r="CF135" i="4"/>
  <c r="CJ135" i="4"/>
  <c r="BV135" i="4"/>
  <c r="BZ135" i="4"/>
  <c r="BY135" i="4"/>
  <c r="BW135" i="4"/>
  <c r="BJ135" i="4"/>
  <c r="BN135" i="4"/>
  <c r="BR135" i="4"/>
  <c r="BM135" i="4"/>
  <c r="BQ135" i="4"/>
  <c r="AX135" i="4"/>
  <c r="BB135" i="4"/>
  <c r="BF135" i="4"/>
  <c r="AU135" i="4"/>
  <c r="AY135" i="4"/>
  <c r="BC135" i="4"/>
  <c r="BG135" i="4"/>
  <c r="AM135" i="4"/>
  <c r="AQ135" i="4"/>
  <c r="AJ135" i="4"/>
  <c r="AH135" i="4"/>
  <c r="AB135" i="4"/>
  <c r="AL135" i="4"/>
  <c r="AP135" i="4"/>
  <c r="AT135" i="4"/>
  <c r="AK135" i="4"/>
  <c r="AC135" i="4"/>
  <c r="V135" i="4"/>
  <c r="T135" i="4"/>
  <c r="R135" i="4"/>
  <c r="N135" i="4"/>
  <c r="Z135" i="4"/>
  <c r="X135" i="4"/>
  <c r="P135" i="4"/>
  <c r="L135" i="4"/>
  <c r="J135" i="4"/>
  <c r="I135" i="4"/>
  <c r="CE137" i="4"/>
  <c r="CI137" i="4"/>
  <c r="CD137" i="4"/>
  <c r="CH137" i="4"/>
  <c r="BT137" i="4"/>
  <c r="BX137" i="4"/>
  <c r="BS137" i="4"/>
  <c r="CA137" i="4"/>
  <c r="BY137" i="4"/>
  <c r="BL137" i="4"/>
  <c r="BP137" i="4"/>
  <c r="BK137" i="4"/>
  <c r="BO137" i="4"/>
  <c r="AV137" i="4"/>
  <c r="AZ137" i="4"/>
  <c r="BD137" i="4"/>
  <c r="BH137" i="4"/>
  <c r="AW137" i="4"/>
  <c r="BA137" i="4"/>
  <c r="BE137" i="4"/>
  <c r="BI137" i="4"/>
  <c r="AO137" i="4"/>
  <c r="AS137" i="4"/>
  <c r="AF137" i="4"/>
  <c r="AD137" i="4"/>
  <c r="AA137" i="4"/>
  <c r="AN137" i="4"/>
  <c r="AR137" i="4"/>
  <c r="AI137" i="4"/>
  <c r="AG137" i="4"/>
  <c r="AE137" i="4"/>
  <c r="U137" i="4"/>
  <c r="S137" i="4"/>
  <c r="Q137" i="4"/>
  <c r="M137" i="4"/>
  <c r="Z137" i="4"/>
  <c r="X137" i="4"/>
  <c r="P137" i="4"/>
  <c r="L137" i="4"/>
  <c r="J137" i="4"/>
  <c r="G137" i="4"/>
  <c r="CE135" i="4"/>
  <c r="CI135" i="4"/>
  <c r="CD135" i="4"/>
  <c r="CH135" i="4"/>
  <c r="BT135" i="4"/>
  <c r="BX135" i="4"/>
  <c r="BU135" i="4"/>
  <c r="BS135" i="4"/>
  <c r="CA135" i="4"/>
  <c r="BL135" i="4"/>
  <c r="BP135" i="4"/>
  <c r="BK135" i="4"/>
  <c r="BO135" i="4"/>
  <c r="AV135" i="4"/>
  <c r="AZ135" i="4"/>
  <c r="BD135" i="4"/>
  <c r="BH135" i="4"/>
  <c r="AW135" i="4"/>
  <c r="BA135" i="4"/>
  <c r="BE135" i="4"/>
  <c r="BI135" i="4"/>
  <c r="AO135" i="4"/>
  <c r="AS135" i="4"/>
  <c r="AF135" i="4"/>
  <c r="AD135" i="4"/>
  <c r="AA135" i="4"/>
  <c r="AN135" i="4"/>
  <c r="AR135" i="4"/>
  <c r="AI135" i="4"/>
  <c r="AG135" i="4"/>
  <c r="AE135" i="4"/>
  <c r="U135" i="4"/>
  <c r="S135" i="4"/>
  <c r="Q135" i="4"/>
  <c r="M135" i="4"/>
  <c r="Y135" i="4"/>
  <c r="W135" i="4"/>
  <c r="O135" i="4"/>
  <c r="K135" i="4"/>
  <c r="H135" i="4"/>
  <c r="CC137" i="4"/>
  <c r="CG137" i="4"/>
  <c r="CB137" i="4"/>
  <c r="CF137" i="4"/>
  <c r="CJ137" i="4"/>
  <c r="BV137" i="4"/>
  <c r="BZ137" i="4"/>
  <c r="BW137" i="4"/>
  <c r="BU137" i="4"/>
  <c r="BJ137" i="4"/>
  <c r="BN137" i="4"/>
  <c r="BR137" i="4"/>
  <c r="BM137" i="4"/>
  <c r="BQ137" i="4"/>
  <c r="AX137" i="4"/>
  <c r="BB137" i="4"/>
  <c r="BF137" i="4"/>
  <c r="AU137" i="4"/>
  <c r="AY137" i="4"/>
  <c r="BC137" i="4"/>
  <c r="BG137" i="4"/>
  <c r="AM137" i="4"/>
  <c r="AQ137" i="4"/>
  <c r="AJ137" i="4"/>
  <c r="AH137" i="4"/>
  <c r="AB137" i="4"/>
  <c r="AL137" i="4"/>
  <c r="AP137" i="4"/>
  <c r="AT137" i="4"/>
  <c r="AK137" i="4"/>
  <c r="AC137" i="4"/>
  <c r="V137" i="4"/>
  <c r="T137" i="4"/>
  <c r="R137" i="4"/>
  <c r="N137" i="4"/>
  <c r="I137" i="4"/>
  <c r="Y137" i="4"/>
  <c r="W137" i="4"/>
  <c r="O137" i="4"/>
  <c r="K137" i="4"/>
  <c r="H137" i="4"/>
  <c r="G135" i="4"/>
  <c r="CB136" i="4"/>
  <c r="CF136" i="4"/>
  <c r="CJ136" i="4"/>
  <c r="CE136" i="4"/>
  <c r="CI136" i="4"/>
  <c r="BU136" i="4"/>
  <c r="BY136" i="4"/>
  <c r="BT136" i="4"/>
  <c r="BV136" i="4"/>
  <c r="BK136" i="4"/>
  <c r="BO136" i="4"/>
  <c r="BJ136" i="4"/>
  <c r="BN136" i="4"/>
  <c r="BR136" i="4"/>
  <c r="AW136" i="4"/>
  <c r="BA136" i="4"/>
  <c r="BE136" i="4"/>
  <c r="BI136" i="4"/>
  <c r="AX136" i="4"/>
  <c r="BB136" i="4"/>
  <c r="BF136" i="4"/>
  <c r="AL136" i="4"/>
  <c r="AP136" i="4"/>
  <c r="AT136" i="4"/>
  <c r="AK136" i="4"/>
  <c r="AC136" i="4"/>
  <c r="AM136" i="4"/>
  <c r="AQ136" i="4"/>
  <c r="AJ136" i="4"/>
  <c r="AH136" i="4"/>
  <c r="AB136" i="4"/>
  <c r="Z136" i="4"/>
  <c r="X136" i="4"/>
  <c r="P136" i="4"/>
  <c r="L136" i="4"/>
  <c r="V136" i="4"/>
  <c r="T136" i="4"/>
  <c r="R136" i="4"/>
  <c r="N136" i="4"/>
  <c r="I136" i="4"/>
  <c r="H136" i="4"/>
  <c r="CD138" i="4"/>
  <c r="CH138" i="4"/>
  <c r="CC138" i="4"/>
  <c r="CG138" i="4"/>
  <c r="BS138" i="4"/>
  <c r="BW138" i="4"/>
  <c r="CA138" i="4"/>
  <c r="BZ138" i="4"/>
  <c r="BX138" i="4"/>
  <c r="BM138" i="4"/>
  <c r="BQ138" i="4"/>
  <c r="BL138" i="4"/>
  <c r="BP138" i="4"/>
  <c r="AU138" i="4"/>
  <c r="AY138" i="4"/>
  <c r="BC138" i="4"/>
  <c r="BG138" i="4"/>
  <c r="AV138" i="4"/>
  <c r="AZ138" i="4"/>
  <c r="BD138" i="4"/>
  <c r="BH138" i="4"/>
  <c r="AN138" i="4"/>
  <c r="AR138" i="4"/>
  <c r="AI138" i="4"/>
  <c r="AG138" i="4"/>
  <c r="AE138" i="4"/>
  <c r="AO138" i="4"/>
  <c r="AS138" i="4"/>
  <c r="AF138" i="4"/>
  <c r="AD138" i="4"/>
  <c r="Y138" i="4"/>
  <c r="W138" i="4"/>
  <c r="O138" i="4"/>
  <c r="K138" i="4"/>
  <c r="AA138" i="4"/>
  <c r="U138" i="4"/>
  <c r="S138" i="4"/>
  <c r="Q138" i="4"/>
  <c r="M138" i="4"/>
  <c r="J138" i="4"/>
  <c r="G138" i="4"/>
  <c r="CD136" i="4"/>
  <c r="CH136" i="4"/>
  <c r="CC136" i="4"/>
  <c r="CG136" i="4"/>
  <c r="BS136" i="4"/>
  <c r="BW136" i="4"/>
  <c r="CA136" i="4"/>
  <c r="BX136" i="4"/>
  <c r="BZ136" i="4"/>
  <c r="BM136" i="4"/>
  <c r="BQ136" i="4"/>
  <c r="BL136" i="4"/>
  <c r="BP136" i="4"/>
  <c r="AU136" i="4"/>
  <c r="AY136" i="4"/>
  <c r="BC136" i="4"/>
  <c r="BG136" i="4"/>
  <c r="AV136" i="4"/>
  <c r="AZ136" i="4"/>
  <c r="BD136" i="4"/>
  <c r="BH136" i="4"/>
  <c r="AN136" i="4"/>
  <c r="AR136" i="4"/>
  <c r="AI136" i="4"/>
  <c r="AG136" i="4"/>
  <c r="AE136" i="4"/>
  <c r="AO136" i="4"/>
  <c r="AS136" i="4"/>
  <c r="AF136" i="4"/>
  <c r="AD136" i="4"/>
  <c r="AA136" i="4"/>
  <c r="Y136" i="4"/>
  <c r="W136" i="4"/>
  <c r="O136" i="4"/>
  <c r="J136" i="4"/>
  <c r="U136" i="4"/>
  <c r="S136" i="4"/>
  <c r="Q136" i="4"/>
  <c r="M136" i="4"/>
  <c r="K136" i="4"/>
  <c r="CB138" i="4"/>
  <c r="CF138" i="4"/>
  <c r="CJ138" i="4"/>
  <c r="CE138" i="4"/>
  <c r="CI138" i="4"/>
  <c r="BU138" i="4"/>
  <c r="BY138" i="4"/>
  <c r="BV138" i="4"/>
  <c r="BT138" i="4"/>
  <c r="BK138" i="4"/>
  <c r="BO138" i="4"/>
  <c r="BJ138" i="4"/>
  <c r="BN138" i="4"/>
  <c r="BR138" i="4"/>
  <c r="AW138" i="4"/>
  <c r="BA138" i="4"/>
  <c r="BE138" i="4"/>
  <c r="BI138" i="4"/>
  <c r="AX138" i="4"/>
  <c r="BB138" i="4"/>
  <c r="BF138" i="4"/>
  <c r="AL138" i="4"/>
  <c r="AP138" i="4"/>
  <c r="AT138" i="4"/>
  <c r="AK138" i="4"/>
  <c r="AC138" i="4"/>
  <c r="AM138" i="4"/>
  <c r="AQ138" i="4"/>
  <c r="AJ138" i="4"/>
  <c r="AH138" i="4"/>
  <c r="Z138" i="4"/>
  <c r="X138" i="4"/>
  <c r="P138" i="4"/>
  <c r="L138" i="4"/>
  <c r="AB138" i="4"/>
  <c r="V138" i="4"/>
  <c r="T138" i="4"/>
  <c r="R138" i="4"/>
  <c r="N138" i="4"/>
  <c r="I138" i="4"/>
  <c r="H138" i="4"/>
  <c r="G136" i="4"/>
  <c r="G221" i="4"/>
  <c r="CD220" i="4"/>
  <c r="CH220" i="4"/>
  <c r="CC220" i="4"/>
  <c r="CG220" i="4"/>
  <c r="BT220" i="4"/>
  <c r="BX220" i="4"/>
  <c r="BS220" i="4"/>
  <c r="BW220" i="4"/>
  <c r="CA220" i="4"/>
  <c r="BM220" i="4"/>
  <c r="BQ220" i="4"/>
  <c r="BL220" i="4"/>
  <c r="BP220" i="4"/>
  <c r="AU220" i="4"/>
  <c r="AY220" i="4"/>
  <c r="BC220" i="4"/>
  <c r="BG220" i="4"/>
  <c r="AX220" i="4"/>
  <c r="BF220" i="4"/>
  <c r="AN220" i="4"/>
  <c r="AR220" i="4"/>
  <c r="AI220" i="4"/>
  <c r="AG220" i="4"/>
  <c r="AE220" i="4"/>
  <c r="AZ220" i="4"/>
  <c r="BH220" i="4"/>
  <c r="AO220" i="4"/>
  <c r="AS220" i="4"/>
  <c r="AF220" i="4"/>
  <c r="AB220" i="4"/>
  <c r="Z220" i="4"/>
  <c r="X220" i="4"/>
  <c r="P220" i="4"/>
  <c r="L220" i="4"/>
  <c r="AD220" i="4"/>
  <c r="U220" i="4"/>
  <c r="S220" i="4"/>
  <c r="Q220" i="4"/>
  <c r="M220" i="4"/>
  <c r="J220" i="4"/>
  <c r="CC223" i="4"/>
  <c r="CG223" i="4"/>
  <c r="CB223" i="4"/>
  <c r="CF223" i="4"/>
  <c r="CJ223" i="4"/>
  <c r="BU223" i="4"/>
  <c r="BY223" i="4"/>
  <c r="BT223" i="4"/>
  <c r="BX223" i="4"/>
  <c r="BJ223" i="4"/>
  <c r="BN223" i="4"/>
  <c r="BR223" i="4"/>
  <c r="BM223" i="4"/>
  <c r="BQ223" i="4"/>
  <c r="AX223" i="4"/>
  <c r="BB223" i="4"/>
  <c r="BF223" i="4"/>
  <c r="AW223" i="4"/>
  <c r="BE223" i="4"/>
  <c r="AM223" i="4"/>
  <c r="AQ223" i="4"/>
  <c r="AJ223" i="4"/>
  <c r="AH223" i="4"/>
  <c r="AB223" i="4"/>
  <c r="AY223" i="4"/>
  <c r="BG223" i="4"/>
  <c r="AN223" i="4"/>
  <c r="AR223" i="4"/>
  <c r="AI223" i="4"/>
  <c r="AG223" i="4"/>
  <c r="V223" i="4"/>
  <c r="T223" i="4"/>
  <c r="R223" i="4"/>
  <c r="N223" i="4"/>
  <c r="AC223" i="4"/>
  <c r="Z223" i="4"/>
  <c r="X223" i="4"/>
  <c r="P223" i="4"/>
  <c r="L223" i="4"/>
  <c r="J223" i="4"/>
  <c r="I223" i="4"/>
  <c r="CB220" i="4"/>
  <c r="CF220" i="4"/>
  <c r="CJ220" i="4"/>
  <c r="CE220" i="4"/>
  <c r="CI220" i="4"/>
  <c r="BV220" i="4"/>
  <c r="BZ220" i="4"/>
  <c r="BU220" i="4"/>
  <c r="BY220" i="4"/>
  <c r="BK220" i="4"/>
  <c r="BO220" i="4"/>
  <c r="BJ220" i="4"/>
  <c r="BN220" i="4"/>
  <c r="BR220" i="4"/>
  <c r="AW220" i="4"/>
  <c r="BA220" i="4"/>
  <c r="BE220" i="4"/>
  <c r="BI220" i="4"/>
  <c r="BB220" i="4"/>
  <c r="AL220" i="4"/>
  <c r="AP220" i="4"/>
  <c r="AT220" i="4"/>
  <c r="AK220" i="4"/>
  <c r="AC220" i="4"/>
  <c r="AV220" i="4"/>
  <c r="BD220" i="4"/>
  <c r="AM220" i="4"/>
  <c r="AQ220" i="4"/>
  <c r="AJ220" i="4"/>
  <c r="AH220" i="4"/>
  <c r="AA220" i="4"/>
  <c r="Y220" i="4"/>
  <c r="W220" i="4"/>
  <c r="O220" i="4"/>
  <c r="K220" i="4"/>
  <c r="V220" i="4"/>
  <c r="T220" i="4"/>
  <c r="R220" i="4"/>
  <c r="N220" i="4"/>
  <c r="I220" i="4"/>
  <c r="H220" i="4"/>
  <c r="CE223" i="4"/>
  <c r="CI223" i="4"/>
  <c r="CD223" i="4"/>
  <c r="CH223" i="4"/>
  <c r="BS223" i="4"/>
  <c r="BW223" i="4"/>
  <c r="CA223" i="4"/>
  <c r="BV223" i="4"/>
  <c r="BZ223" i="4"/>
  <c r="BL223" i="4"/>
  <c r="BP223" i="4"/>
  <c r="BK223" i="4"/>
  <c r="BO223" i="4"/>
  <c r="AV223" i="4"/>
  <c r="AZ223" i="4"/>
  <c r="BD223" i="4"/>
  <c r="BH223" i="4"/>
  <c r="BA223" i="4"/>
  <c r="BI223" i="4"/>
  <c r="AO223" i="4"/>
  <c r="AS223" i="4"/>
  <c r="AF223" i="4"/>
  <c r="AD223" i="4"/>
  <c r="AU223" i="4"/>
  <c r="BC223" i="4"/>
  <c r="AL223" i="4"/>
  <c r="AP223" i="4"/>
  <c r="AT223" i="4"/>
  <c r="AK223" i="4"/>
  <c r="AE223" i="4"/>
  <c r="U223" i="4"/>
  <c r="S223" i="4"/>
  <c r="Q223" i="4"/>
  <c r="M223" i="4"/>
  <c r="AA223" i="4"/>
  <c r="Y223" i="4"/>
  <c r="W223" i="4"/>
  <c r="O223" i="4"/>
  <c r="K223" i="4"/>
  <c r="H223" i="4"/>
  <c r="G223" i="4"/>
  <c r="CC221" i="4"/>
  <c r="CG221" i="4"/>
  <c r="CB221" i="4"/>
  <c r="CF221" i="4"/>
  <c r="CJ221" i="4"/>
  <c r="BU221" i="4"/>
  <c r="BY221" i="4"/>
  <c r="BT221" i="4"/>
  <c r="BX221" i="4"/>
  <c r="BJ221" i="4"/>
  <c r="BN221" i="4"/>
  <c r="BR221" i="4"/>
  <c r="BM221" i="4"/>
  <c r="BQ221" i="4"/>
  <c r="AX221" i="4"/>
  <c r="BB221" i="4"/>
  <c r="BF221" i="4"/>
  <c r="AU221" i="4"/>
  <c r="BC221" i="4"/>
  <c r="AM221" i="4"/>
  <c r="AQ221" i="4"/>
  <c r="AJ221" i="4"/>
  <c r="AH221" i="4"/>
  <c r="AB221" i="4"/>
  <c r="BA221" i="4"/>
  <c r="BI221" i="4"/>
  <c r="AN221" i="4"/>
  <c r="AR221" i="4"/>
  <c r="AI221" i="4"/>
  <c r="AG221" i="4"/>
  <c r="V221" i="4"/>
  <c r="T221" i="4"/>
  <c r="R221" i="4"/>
  <c r="N221" i="4"/>
  <c r="I221" i="4"/>
  <c r="AA221" i="4"/>
  <c r="Y221" i="4"/>
  <c r="W221" i="4"/>
  <c r="O221" i="4"/>
  <c r="K221" i="4"/>
  <c r="H221" i="4"/>
  <c r="CD222" i="4"/>
  <c r="CH222" i="4"/>
  <c r="CC222" i="4"/>
  <c r="CG222" i="4"/>
  <c r="BT222" i="4"/>
  <c r="BX222" i="4"/>
  <c r="BS222" i="4"/>
  <c r="BW222" i="4"/>
  <c r="CA222" i="4"/>
  <c r="BM222" i="4"/>
  <c r="BQ222" i="4"/>
  <c r="BL222" i="4"/>
  <c r="BP222" i="4"/>
  <c r="AU222" i="4"/>
  <c r="AY222" i="4"/>
  <c r="BC222" i="4"/>
  <c r="BG222" i="4"/>
  <c r="AV222" i="4"/>
  <c r="BD222" i="4"/>
  <c r="AL222" i="4"/>
  <c r="AP222" i="4"/>
  <c r="AT222" i="4"/>
  <c r="AK222" i="4"/>
  <c r="AC222" i="4"/>
  <c r="AX222" i="4"/>
  <c r="BF222" i="4"/>
  <c r="AO222" i="4"/>
  <c r="AS222" i="4"/>
  <c r="AF222" i="4"/>
  <c r="AD222" i="4"/>
  <c r="Z222" i="4"/>
  <c r="X222" i="4"/>
  <c r="P222" i="4"/>
  <c r="L222" i="4"/>
  <c r="AB222" i="4"/>
  <c r="U222" i="4"/>
  <c r="S222" i="4"/>
  <c r="Q222" i="4"/>
  <c r="M222" i="4"/>
  <c r="K222" i="4"/>
  <c r="G222" i="4"/>
  <c r="CE221" i="4"/>
  <c r="CI221" i="4"/>
  <c r="CD221" i="4"/>
  <c r="CH221" i="4"/>
  <c r="BS221" i="4"/>
  <c r="BW221" i="4"/>
  <c r="CA221" i="4"/>
  <c r="BV221" i="4"/>
  <c r="BZ221" i="4"/>
  <c r="BL221" i="4"/>
  <c r="BP221" i="4"/>
  <c r="BK221" i="4"/>
  <c r="BO221" i="4"/>
  <c r="AV221" i="4"/>
  <c r="AZ221" i="4"/>
  <c r="BD221" i="4"/>
  <c r="BH221" i="4"/>
  <c r="AY221" i="4"/>
  <c r="BG221" i="4"/>
  <c r="AO221" i="4"/>
  <c r="AS221" i="4"/>
  <c r="AF221" i="4"/>
  <c r="AD221" i="4"/>
  <c r="AW221" i="4"/>
  <c r="BE221" i="4"/>
  <c r="AL221" i="4"/>
  <c r="AP221" i="4"/>
  <c r="AT221" i="4"/>
  <c r="AK221" i="4"/>
  <c r="AC221" i="4"/>
  <c r="U221" i="4"/>
  <c r="S221" i="4"/>
  <c r="Q221" i="4"/>
  <c r="M221" i="4"/>
  <c r="AE221" i="4"/>
  <c r="Z221" i="4"/>
  <c r="X221" i="4"/>
  <c r="P221" i="4"/>
  <c r="L221" i="4"/>
  <c r="J221" i="4"/>
  <c r="CB222" i="4"/>
  <c r="CF222" i="4"/>
  <c r="CJ222" i="4"/>
  <c r="CE222" i="4"/>
  <c r="CI222" i="4"/>
  <c r="BV222" i="4"/>
  <c r="BZ222" i="4"/>
  <c r="BU222" i="4"/>
  <c r="BY222" i="4"/>
  <c r="BK222" i="4"/>
  <c r="BO222" i="4"/>
  <c r="BJ222" i="4"/>
  <c r="BN222" i="4"/>
  <c r="BR222" i="4"/>
  <c r="AW222" i="4"/>
  <c r="BA222" i="4"/>
  <c r="BE222" i="4"/>
  <c r="BI222" i="4"/>
  <c r="AZ222" i="4"/>
  <c r="BH222" i="4"/>
  <c r="AN222" i="4"/>
  <c r="AR222" i="4"/>
  <c r="AI222" i="4"/>
  <c r="AG222" i="4"/>
  <c r="AE222" i="4"/>
  <c r="BB222" i="4"/>
  <c r="AM222" i="4"/>
  <c r="AQ222" i="4"/>
  <c r="AJ222" i="4"/>
  <c r="AH222" i="4"/>
  <c r="AA222" i="4"/>
  <c r="Y222" i="4"/>
  <c r="W222" i="4"/>
  <c r="O222" i="4"/>
  <c r="J222" i="4"/>
  <c r="V222" i="4"/>
  <c r="T222" i="4"/>
  <c r="R222" i="4"/>
  <c r="N222" i="4"/>
  <c r="I222" i="4"/>
  <c r="H222" i="4"/>
  <c r="G220" i="4"/>
  <c r="CD156" i="4"/>
  <c r="CH156" i="4"/>
  <c r="CC156" i="4"/>
  <c r="CG156" i="4"/>
  <c r="BT156" i="4"/>
  <c r="BX156" i="4"/>
  <c r="BS156" i="4"/>
  <c r="BW156" i="4"/>
  <c r="CA156" i="4"/>
  <c r="BM156" i="4"/>
  <c r="BQ156" i="4"/>
  <c r="BL156" i="4"/>
  <c r="BP156" i="4"/>
  <c r="AU156" i="4"/>
  <c r="AY156" i="4"/>
  <c r="BC156" i="4"/>
  <c r="BG156" i="4"/>
  <c r="AV156" i="4"/>
  <c r="AZ156" i="4"/>
  <c r="BD156" i="4"/>
  <c r="BH156" i="4"/>
  <c r="AN156" i="4"/>
  <c r="AR156" i="4"/>
  <c r="AI156" i="4"/>
  <c r="AG156" i="4"/>
  <c r="AE156" i="4"/>
  <c r="AO156" i="4"/>
  <c r="AS156" i="4"/>
  <c r="AF156" i="4"/>
  <c r="AD156" i="4"/>
  <c r="AA156" i="4"/>
  <c r="Y156" i="4"/>
  <c r="W156" i="4"/>
  <c r="O156" i="4"/>
  <c r="K156" i="4"/>
  <c r="V156" i="4"/>
  <c r="T156" i="4"/>
  <c r="R156" i="4"/>
  <c r="N156" i="4"/>
  <c r="I156" i="4"/>
  <c r="CB156" i="4"/>
  <c r="CF156" i="4"/>
  <c r="CJ156" i="4"/>
  <c r="CE156" i="4"/>
  <c r="CI156" i="4"/>
  <c r="BV156" i="4"/>
  <c r="BZ156" i="4"/>
  <c r="BU156" i="4"/>
  <c r="BY156" i="4"/>
  <c r="BK156" i="4"/>
  <c r="BO156" i="4"/>
  <c r="BJ156" i="4"/>
  <c r="BN156" i="4"/>
  <c r="BR156" i="4"/>
  <c r="AW156" i="4"/>
  <c r="BA156" i="4"/>
  <c r="BE156" i="4"/>
  <c r="BI156" i="4"/>
  <c r="AX156" i="4"/>
  <c r="BB156" i="4"/>
  <c r="BF156" i="4"/>
  <c r="AL156" i="4"/>
  <c r="AP156" i="4"/>
  <c r="AT156" i="4"/>
  <c r="AK156" i="4"/>
  <c r="AC156" i="4"/>
  <c r="AM156" i="4"/>
  <c r="AQ156" i="4"/>
  <c r="AJ156" i="4"/>
  <c r="AH156" i="4"/>
  <c r="AB156" i="4"/>
  <c r="Z156" i="4"/>
  <c r="X156" i="4"/>
  <c r="P156" i="4"/>
  <c r="L156" i="4"/>
  <c r="J156" i="4"/>
  <c r="U156" i="4"/>
  <c r="S156" i="4"/>
  <c r="Q156" i="4"/>
  <c r="M156" i="4"/>
  <c r="H156" i="4"/>
  <c r="G156" i="4"/>
  <c r="G141" i="4"/>
  <c r="CD140" i="4"/>
  <c r="CH140" i="4"/>
  <c r="CC140" i="4"/>
  <c r="CG140" i="4"/>
  <c r="BS140" i="4"/>
  <c r="BW140" i="4"/>
  <c r="CA140" i="4"/>
  <c r="BX140" i="4"/>
  <c r="BZ140" i="4"/>
  <c r="BM140" i="4"/>
  <c r="BQ140" i="4"/>
  <c r="BL140" i="4"/>
  <c r="BP140" i="4"/>
  <c r="AU140" i="4"/>
  <c r="AY140" i="4"/>
  <c r="BC140" i="4"/>
  <c r="BG140" i="4"/>
  <c r="AV140" i="4"/>
  <c r="AZ140" i="4"/>
  <c r="BD140" i="4"/>
  <c r="BH140" i="4"/>
  <c r="AN140" i="4"/>
  <c r="AR140" i="4"/>
  <c r="AI140" i="4"/>
  <c r="AG140" i="4"/>
  <c r="AE140" i="4"/>
  <c r="AO140" i="4"/>
  <c r="AS140" i="4"/>
  <c r="AF140" i="4"/>
  <c r="AD140" i="4"/>
  <c r="AA140" i="4"/>
  <c r="Y140" i="4"/>
  <c r="W140" i="4"/>
  <c r="O140" i="4"/>
  <c r="K140" i="4"/>
  <c r="V140" i="4"/>
  <c r="T140" i="4"/>
  <c r="R140" i="4"/>
  <c r="N140" i="4"/>
  <c r="I140" i="4"/>
  <c r="CB140" i="4"/>
  <c r="CF140" i="4"/>
  <c r="CJ140" i="4"/>
  <c r="CE140" i="4"/>
  <c r="CI140" i="4"/>
  <c r="BU140" i="4"/>
  <c r="BY140" i="4"/>
  <c r="BT140" i="4"/>
  <c r="BV140" i="4"/>
  <c r="BK140" i="4"/>
  <c r="BO140" i="4"/>
  <c r="BJ140" i="4"/>
  <c r="BN140" i="4"/>
  <c r="BR140" i="4"/>
  <c r="AW140" i="4"/>
  <c r="BA140" i="4"/>
  <c r="BE140" i="4"/>
  <c r="BI140" i="4"/>
  <c r="AX140" i="4"/>
  <c r="BB140" i="4"/>
  <c r="BF140" i="4"/>
  <c r="AL140" i="4"/>
  <c r="AP140" i="4"/>
  <c r="AT140" i="4"/>
  <c r="AK140" i="4"/>
  <c r="AC140" i="4"/>
  <c r="AM140" i="4"/>
  <c r="AQ140" i="4"/>
  <c r="AJ140" i="4"/>
  <c r="AH140" i="4"/>
  <c r="AB140" i="4"/>
  <c r="Z140" i="4"/>
  <c r="X140" i="4"/>
  <c r="P140" i="4"/>
  <c r="L140" i="4"/>
  <c r="J140" i="4"/>
  <c r="U140" i="4"/>
  <c r="S140" i="4"/>
  <c r="Q140" i="4"/>
  <c r="M140" i="4"/>
  <c r="H140" i="4"/>
  <c r="CC141" i="4"/>
  <c r="CG141" i="4"/>
  <c r="CB141" i="4"/>
  <c r="CF141" i="4"/>
  <c r="CJ141" i="4"/>
  <c r="BV141" i="4"/>
  <c r="BZ141" i="4"/>
  <c r="BW141" i="4"/>
  <c r="BU141" i="4"/>
  <c r="BJ141" i="4"/>
  <c r="BN141" i="4"/>
  <c r="BR141" i="4"/>
  <c r="BM141" i="4"/>
  <c r="BQ141" i="4"/>
  <c r="AX141" i="4"/>
  <c r="BB141" i="4"/>
  <c r="BF141" i="4"/>
  <c r="AU141" i="4"/>
  <c r="AY141" i="4"/>
  <c r="BC141" i="4"/>
  <c r="BG141" i="4"/>
  <c r="AM141" i="4"/>
  <c r="AQ141" i="4"/>
  <c r="AJ141" i="4"/>
  <c r="AH141" i="4"/>
  <c r="AB141" i="4"/>
  <c r="AL141" i="4"/>
  <c r="AP141" i="4"/>
  <c r="AT141" i="4"/>
  <c r="AK141" i="4"/>
  <c r="AC141" i="4"/>
  <c r="V141" i="4"/>
  <c r="T141" i="4"/>
  <c r="R141" i="4"/>
  <c r="N141" i="4"/>
  <c r="Z141" i="4"/>
  <c r="X141" i="4"/>
  <c r="P141" i="4"/>
  <c r="L141" i="4"/>
  <c r="J141" i="4"/>
  <c r="I141" i="4"/>
  <c r="CE141" i="4"/>
  <c r="CI141" i="4"/>
  <c r="CD141" i="4"/>
  <c r="CH141" i="4"/>
  <c r="BT141" i="4"/>
  <c r="BX141" i="4"/>
  <c r="BS141" i="4"/>
  <c r="CA141" i="4"/>
  <c r="BY141" i="4"/>
  <c r="BL141" i="4"/>
  <c r="BP141" i="4"/>
  <c r="BK141" i="4"/>
  <c r="BO141" i="4"/>
  <c r="AV141" i="4"/>
  <c r="AZ141" i="4"/>
  <c r="BD141" i="4"/>
  <c r="BH141" i="4"/>
  <c r="AW141" i="4"/>
  <c r="BA141" i="4"/>
  <c r="BE141" i="4"/>
  <c r="BI141" i="4"/>
  <c r="AO141" i="4"/>
  <c r="AS141" i="4"/>
  <c r="AF141" i="4"/>
  <c r="AD141" i="4"/>
  <c r="AA141" i="4"/>
  <c r="AN141" i="4"/>
  <c r="AR141" i="4"/>
  <c r="AI141" i="4"/>
  <c r="AG141" i="4"/>
  <c r="AE141" i="4"/>
  <c r="U141" i="4"/>
  <c r="S141" i="4"/>
  <c r="Q141" i="4"/>
  <c r="M141" i="4"/>
  <c r="Y141" i="4"/>
  <c r="W141" i="4"/>
  <c r="O141" i="4"/>
  <c r="K141" i="4"/>
  <c r="H141" i="4"/>
  <c r="G140" i="4"/>
  <c r="G127" i="4"/>
  <c r="G125" i="4"/>
  <c r="CD124" i="4"/>
  <c r="CH124" i="4"/>
  <c r="CC124" i="4"/>
  <c r="CG124" i="4"/>
  <c r="BS124" i="4"/>
  <c r="BW124" i="4"/>
  <c r="CA124" i="4"/>
  <c r="BX124" i="4"/>
  <c r="BZ124" i="4"/>
  <c r="BM124" i="4"/>
  <c r="BQ124" i="4"/>
  <c r="BL124" i="4"/>
  <c r="BP124" i="4"/>
  <c r="AU124" i="4"/>
  <c r="AY124" i="4"/>
  <c r="BC124" i="4"/>
  <c r="BG124" i="4"/>
  <c r="AV124" i="4"/>
  <c r="AZ124" i="4"/>
  <c r="BD124" i="4"/>
  <c r="BH124" i="4"/>
  <c r="AN124" i="4"/>
  <c r="AR124" i="4"/>
  <c r="AI124" i="4"/>
  <c r="AG124" i="4"/>
  <c r="AE124" i="4"/>
  <c r="AO124" i="4"/>
  <c r="AS124" i="4"/>
  <c r="AF124" i="4"/>
  <c r="AD124" i="4"/>
  <c r="AA124" i="4"/>
  <c r="Y124" i="4"/>
  <c r="W124" i="4"/>
  <c r="O124" i="4"/>
  <c r="K124" i="4"/>
  <c r="U124" i="4"/>
  <c r="S124" i="4"/>
  <c r="Q124" i="4"/>
  <c r="M124" i="4"/>
  <c r="J124" i="4"/>
  <c r="CB126" i="4"/>
  <c r="CF126" i="4"/>
  <c r="CJ126" i="4"/>
  <c r="CE126" i="4"/>
  <c r="CI126" i="4"/>
  <c r="BU126" i="4"/>
  <c r="BY126" i="4"/>
  <c r="BV126" i="4"/>
  <c r="BT126" i="4"/>
  <c r="BK126" i="4"/>
  <c r="BO126" i="4"/>
  <c r="BJ126" i="4"/>
  <c r="BN126" i="4"/>
  <c r="BR126" i="4"/>
  <c r="AW126" i="4"/>
  <c r="BA126" i="4"/>
  <c r="BE126" i="4"/>
  <c r="BI126" i="4"/>
  <c r="AX126" i="4"/>
  <c r="BB126" i="4"/>
  <c r="BF126" i="4"/>
  <c r="AL126" i="4"/>
  <c r="AP126" i="4"/>
  <c r="AT126" i="4"/>
  <c r="AK126" i="4"/>
  <c r="AC126" i="4"/>
  <c r="AM126" i="4"/>
  <c r="AQ126" i="4"/>
  <c r="AJ126" i="4"/>
  <c r="AH126" i="4"/>
  <c r="Z126" i="4"/>
  <c r="X126" i="4"/>
  <c r="P126" i="4"/>
  <c r="L126" i="4"/>
  <c r="J126" i="4"/>
  <c r="AA126" i="4"/>
  <c r="U126" i="4"/>
  <c r="S126" i="4"/>
  <c r="Q126" i="4"/>
  <c r="M126" i="4"/>
  <c r="H126" i="4"/>
  <c r="CB124" i="4"/>
  <c r="CF124" i="4"/>
  <c r="CJ124" i="4"/>
  <c r="CE124" i="4"/>
  <c r="CI124" i="4"/>
  <c r="BU124" i="4"/>
  <c r="BY124" i="4"/>
  <c r="BT124" i="4"/>
  <c r="BV124" i="4"/>
  <c r="BK124" i="4"/>
  <c r="BO124" i="4"/>
  <c r="BJ124" i="4"/>
  <c r="BN124" i="4"/>
  <c r="BR124" i="4"/>
  <c r="AW124" i="4"/>
  <c r="BA124" i="4"/>
  <c r="BE124" i="4"/>
  <c r="BI124" i="4"/>
  <c r="AX124" i="4"/>
  <c r="BB124" i="4"/>
  <c r="BF124" i="4"/>
  <c r="AL124" i="4"/>
  <c r="AP124" i="4"/>
  <c r="AT124" i="4"/>
  <c r="AK124" i="4"/>
  <c r="AC124" i="4"/>
  <c r="AM124" i="4"/>
  <c r="AQ124" i="4"/>
  <c r="AJ124" i="4"/>
  <c r="AH124" i="4"/>
  <c r="AB124" i="4"/>
  <c r="Z124" i="4"/>
  <c r="X124" i="4"/>
  <c r="P124" i="4"/>
  <c r="L124" i="4"/>
  <c r="V124" i="4"/>
  <c r="T124" i="4"/>
  <c r="R124" i="4"/>
  <c r="N124" i="4"/>
  <c r="I124" i="4"/>
  <c r="H124" i="4"/>
  <c r="CD126" i="4"/>
  <c r="CH126" i="4"/>
  <c r="CC126" i="4"/>
  <c r="CG126" i="4"/>
  <c r="BS126" i="4"/>
  <c r="BW126" i="4"/>
  <c r="CA126" i="4"/>
  <c r="BZ126" i="4"/>
  <c r="BX126" i="4"/>
  <c r="BM126" i="4"/>
  <c r="BQ126" i="4"/>
  <c r="BL126" i="4"/>
  <c r="BP126" i="4"/>
  <c r="AU126" i="4"/>
  <c r="AY126" i="4"/>
  <c r="BC126" i="4"/>
  <c r="BG126" i="4"/>
  <c r="AV126" i="4"/>
  <c r="AZ126" i="4"/>
  <c r="BD126" i="4"/>
  <c r="BH126" i="4"/>
  <c r="AN126" i="4"/>
  <c r="AR126" i="4"/>
  <c r="AI126" i="4"/>
  <c r="AG126" i="4"/>
  <c r="AE126" i="4"/>
  <c r="AO126" i="4"/>
  <c r="AS126" i="4"/>
  <c r="AF126" i="4"/>
  <c r="AD126" i="4"/>
  <c r="Y126" i="4"/>
  <c r="W126" i="4"/>
  <c r="O126" i="4"/>
  <c r="K126" i="4"/>
  <c r="AB126" i="4"/>
  <c r="V126" i="4"/>
  <c r="T126" i="4"/>
  <c r="R126" i="4"/>
  <c r="N126" i="4"/>
  <c r="I126" i="4"/>
  <c r="CC125" i="4"/>
  <c r="CG125" i="4"/>
  <c r="CB125" i="4"/>
  <c r="CF125" i="4"/>
  <c r="CJ125" i="4"/>
  <c r="BV125" i="4"/>
  <c r="BZ125" i="4"/>
  <c r="BW125" i="4"/>
  <c r="BU125" i="4"/>
  <c r="BJ125" i="4"/>
  <c r="BN125" i="4"/>
  <c r="BR125" i="4"/>
  <c r="BM125" i="4"/>
  <c r="BQ125" i="4"/>
  <c r="AX125" i="4"/>
  <c r="BB125" i="4"/>
  <c r="BF125" i="4"/>
  <c r="AU125" i="4"/>
  <c r="AY125" i="4"/>
  <c r="BC125" i="4"/>
  <c r="BG125" i="4"/>
  <c r="AM125" i="4"/>
  <c r="AQ125" i="4"/>
  <c r="AJ125" i="4"/>
  <c r="AH125" i="4"/>
  <c r="AB125" i="4"/>
  <c r="AL125" i="4"/>
  <c r="AP125" i="4"/>
  <c r="AT125" i="4"/>
  <c r="AK125" i="4"/>
  <c r="AC125" i="4"/>
  <c r="V125" i="4"/>
  <c r="T125" i="4"/>
  <c r="R125" i="4"/>
  <c r="N125" i="4"/>
  <c r="I125" i="4"/>
  <c r="Y125" i="4"/>
  <c r="W125" i="4"/>
  <c r="O125" i="4"/>
  <c r="K125" i="4"/>
  <c r="H125" i="4"/>
  <c r="CE127" i="4"/>
  <c r="CI127" i="4"/>
  <c r="CD127" i="4"/>
  <c r="CH127" i="4"/>
  <c r="BT127" i="4"/>
  <c r="BX127" i="4"/>
  <c r="BU127" i="4"/>
  <c r="BS127" i="4"/>
  <c r="CA127" i="4"/>
  <c r="BL127" i="4"/>
  <c r="BP127" i="4"/>
  <c r="BK127" i="4"/>
  <c r="BO127" i="4"/>
  <c r="AV127" i="4"/>
  <c r="AZ127" i="4"/>
  <c r="BD127" i="4"/>
  <c r="BH127" i="4"/>
  <c r="AW127" i="4"/>
  <c r="BA127" i="4"/>
  <c r="BE127" i="4"/>
  <c r="BI127" i="4"/>
  <c r="AO127" i="4"/>
  <c r="AS127" i="4"/>
  <c r="AF127" i="4"/>
  <c r="AD127" i="4"/>
  <c r="AA127" i="4"/>
  <c r="AN127" i="4"/>
  <c r="AR127" i="4"/>
  <c r="AI127" i="4"/>
  <c r="AG127" i="4"/>
  <c r="AE127" i="4"/>
  <c r="U127" i="4"/>
  <c r="S127" i="4"/>
  <c r="Q127" i="4"/>
  <c r="M127" i="4"/>
  <c r="Y127" i="4"/>
  <c r="W127" i="4"/>
  <c r="O127" i="4"/>
  <c r="K127" i="4"/>
  <c r="H127" i="4"/>
  <c r="G126" i="4"/>
  <c r="CE125" i="4"/>
  <c r="CI125" i="4"/>
  <c r="CD125" i="4"/>
  <c r="CH125" i="4"/>
  <c r="BT125" i="4"/>
  <c r="BX125" i="4"/>
  <c r="BS125" i="4"/>
  <c r="CA125" i="4"/>
  <c r="BY125" i="4"/>
  <c r="BL125" i="4"/>
  <c r="BP125" i="4"/>
  <c r="BK125" i="4"/>
  <c r="BO125" i="4"/>
  <c r="AV125" i="4"/>
  <c r="AZ125" i="4"/>
  <c r="BD125" i="4"/>
  <c r="BH125" i="4"/>
  <c r="AW125" i="4"/>
  <c r="BA125" i="4"/>
  <c r="BE125" i="4"/>
  <c r="BI125" i="4"/>
  <c r="AO125" i="4"/>
  <c r="AS125" i="4"/>
  <c r="AF125" i="4"/>
  <c r="AD125" i="4"/>
  <c r="AA125" i="4"/>
  <c r="AN125" i="4"/>
  <c r="AR125" i="4"/>
  <c r="AI125" i="4"/>
  <c r="AG125" i="4"/>
  <c r="AE125" i="4"/>
  <c r="U125" i="4"/>
  <c r="S125" i="4"/>
  <c r="Q125" i="4"/>
  <c r="M125" i="4"/>
  <c r="Z125" i="4"/>
  <c r="X125" i="4"/>
  <c r="P125" i="4"/>
  <c r="L125" i="4"/>
  <c r="J125" i="4"/>
  <c r="CC127" i="4"/>
  <c r="CG127" i="4"/>
  <c r="CB127" i="4"/>
  <c r="CF127" i="4"/>
  <c r="CJ127" i="4"/>
  <c r="BV127" i="4"/>
  <c r="BZ127" i="4"/>
  <c r="BY127" i="4"/>
  <c r="BW127" i="4"/>
  <c r="BJ127" i="4"/>
  <c r="BN127" i="4"/>
  <c r="BR127" i="4"/>
  <c r="BM127" i="4"/>
  <c r="BQ127" i="4"/>
  <c r="AX127" i="4"/>
  <c r="BB127" i="4"/>
  <c r="BF127" i="4"/>
  <c r="AU127" i="4"/>
  <c r="AY127" i="4"/>
  <c r="BC127" i="4"/>
  <c r="BG127" i="4"/>
  <c r="AM127" i="4"/>
  <c r="AQ127" i="4"/>
  <c r="AJ127" i="4"/>
  <c r="AH127" i="4"/>
  <c r="AB127" i="4"/>
  <c r="AL127" i="4"/>
  <c r="AP127" i="4"/>
  <c r="AT127" i="4"/>
  <c r="AK127" i="4"/>
  <c r="AC127" i="4"/>
  <c r="V127" i="4"/>
  <c r="T127" i="4"/>
  <c r="R127" i="4"/>
  <c r="N127" i="4"/>
  <c r="Z127" i="4"/>
  <c r="X127" i="4"/>
  <c r="P127" i="4"/>
  <c r="L127" i="4"/>
  <c r="J127" i="4"/>
  <c r="I127" i="4"/>
  <c r="G124" i="4"/>
  <c r="CC84" i="4"/>
  <c r="CG84" i="4"/>
  <c r="CB84" i="4"/>
  <c r="CF84" i="4"/>
  <c r="CJ84" i="4"/>
  <c r="BU84" i="4"/>
  <c r="BY84" i="4"/>
  <c r="BT84" i="4"/>
  <c r="BV84" i="4"/>
  <c r="BK84" i="4"/>
  <c r="BO84" i="4"/>
  <c r="BJ84" i="4"/>
  <c r="BN84" i="4"/>
  <c r="BR84" i="4"/>
  <c r="AW84" i="4"/>
  <c r="BA84" i="4"/>
  <c r="BE84" i="4"/>
  <c r="BI84" i="4"/>
  <c r="AX84" i="4"/>
  <c r="BB84" i="4"/>
  <c r="BF84" i="4"/>
  <c r="AL84" i="4"/>
  <c r="AP84" i="4"/>
  <c r="AT84" i="4"/>
  <c r="AK84" i="4"/>
  <c r="AC84" i="4"/>
  <c r="AM84" i="4"/>
  <c r="AQ84" i="4"/>
  <c r="AJ84" i="4"/>
  <c r="AH84" i="4"/>
  <c r="AB84" i="4"/>
  <c r="Z84" i="4"/>
  <c r="X84" i="4"/>
  <c r="P84" i="4"/>
  <c r="L84" i="4"/>
  <c r="V84" i="4"/>
  <c r="T84" i="4"/>
  <c r="R84" i="4"/>
  <c r="N84" i="4"/>
  <c r="I84" i="4"/>
  <c r="H84" i="4"/>
  <c r="CE84" i="4"/>
  <c r="CI84" i="4"/>
  <c r="CD84" i="4"/>
  <c r="CH84" i="4"/>
  <c r="BS84" i="4"/>
  <c r="BW84" i="4"/>
  <c r="CA84" i="4"/>
  <c r="BX84" i="4"/>
  <c r="BZ84" i="4"/>
  <c r="BM84" i="4"/>
  <c r="BQ84" i="4"/>
  <c r="BL84" i="4"/>
  <c r="BP84" i="4"/>
  <c r="AU84" i="4"/>
  <c r="AY84" i="4"/>
  <c r="BC84" i="4"/>
  <c r="BG84" i="4"/>
  <c r="AV84" i="4"/>
  <c r="AZ84" i="4"/>
  <c r="BD84" i="4"/>
  <c r="BH84" i="4"/>
  <c r="AN84" i="4"/>
  <c r="AR84" i="4"/>
  <c r="AI84" i="4"/>
  <c r="AG84" i="4"/>
  <c r="AE84" i="4"/>
  <c r="AO84" i="4"/>
  <c r="AS84" i="4"/>
  <c r="AF84" i="4"/>
  <c r="AD84" i="4"/>
  <c r="AA84" i="4"/>
  <c r="Y84" i="4"/>
  <c r="W84" i="4"/>
  <c r="O84" i="4"/>
  <c r="K84" i="4"/>
  <c r="U84" i="4"/>
  <c r="S84" i="4"/>
  <c r="Q84" i="4"/>
  <c r="M84" i="4"/>
  <c r="J84" i="4"/>
  <c r="G84" i="4"/>
  <c r="CE52" i="4"/>
  <c r="CI52" i="4"/>
  <c r="CH52" i="4"/>
  <c r="CF52" i="4"/>
  <c r="BS52" i="4"/>
  <c r="BW52" i="4"/>
  <c r="CA52" i="4"/>
  <c r="BV52" i="4"/>
  <c r="BZ52" i="4"/>
  <c r="BM52" i="4"/>
  <c r="BQ52" i="4"/>
  <c r="BL52" i="4"/>
  <c r="BP52" i="4"/>
  <c r="AU52" i="4"/>
  <c r="AY52" i="4"/>
  <c r="BC52" i="4"/>
  <c r="BG52" i="4"/>
  <c r="AV52" i="4"/>
  <c r="AZ52" i="4"/>
  <c r="BD52" i="4"/>
  <c r="BH52" i="4"/>
  <c r="AN52" i="4"/>
  <c r="AR52" i="4"/>
  <c r="AI52" i="4"/>
  <c r="AG52" i="4"/>
  <c r="AE52" i="4"/>
  <c r="AO52" i="4"/>
  <c r="AS52" i="4"/>
  <c r="AF52" i="4"/>
  <c r="AD52" i="4"/>
  <c r="AA52" i="4"/>
  <c r="Y52" i="4"/>
  <c r="W52" i="4"/>
  <c r="O52" i="4"/>
  <c r="K52" i="4"/>
  <c r="V52" i="4"/>
  <c r="T52" i="4"/>
  <c r="R52" i="4"/>
  <c r="N52" i="4"/>
  <c r="I52" i="4"/>
  <c r="CB53" i="4"/>
  <c r="CF53" i="4"/>
  <c r="CJ53" i="4"/>
  <c r="CG53" i="4"/>
  <c r="CI53" i="4"/>
  <c r="BV53" i="4"/>
  <c r="BZ53" i="4"/>
  <c r="BU53" i="4"/>
  <c r="BY53" i="4"/>
  <c r="BJ53" i="4"/>
  <c r="CC52" i="4"/>
  <c r="CG52" i="4"/>
  <c r="CD52" i="4"/>
  <c r="CB52" i="4"/>
  <c r="CJ52" i="4"/>
  <c r="BU52" i="4"/>
  <c r="BY52" i="4"/>
  <c r="BT52" i="4"/>
  <c r="BX52" i="4"/>
  <c r="BK52" i="4"/>
  <c r="BO52" i="4"/>
  <c r="BJ52" i="4"/>
  <c r="BN52" i="4"/>
  <c r="BR52" i="4"/>
  <c r="AW52" i="4"/>
  <c r="BA52" i="4"/>
  <c r="BE52" i="4"/>
  <c r="BI52" i="4"/>
  <c r="AX52" i="4"/>
  <c r="BB52" i="4"/>
  <c r="BF52" i="4"/>
  <c r="AL52" i="4"/>
  <c r="AP52" i="4"/>
  <c r="AT52" i="4"/>
  <c r="AK52" i="4"/>
  <c r="AC52" i="4"/>
  <c r="AM52" i="4"/>
  <c r="AQ52" i="4"/>
  <c r="AJ52" i="4"/>
  <c r="AH52" i="4"/>
  <c r="AB52" i="4"/>
  <c r="Z52" i="4"/>
  <c r="X52" i="4"/>
  <c r="P52" i="4"/>
  <c r="L52" i="4"/>
  <c r="H52" i="4"/>
  <c r="U52" i="4"/>
  <c r="S52" i="4"/>
  <c r="Q52" i="4"/>
  <c r="M52" i="4"/>
  <c r="J52" i="4"/>
  <c r="CD53" i="4"/>
  <c r="CH53" i="4"/>
  <c r="CC53" i="4"/>
  <c r="CE53" i="4"/>
  <c r="BT53" i="4"/>
  <c r="BX53" i="4"/>
  <c r="BS53" i="4"/>
  <c r="BW53" i="4"/>
  <c r="CA53" i="4"/>
  <c r="BL53" i="4"/>
  <c r="BP53" i="4"/>
  <c r="BK53" i="4"/>
  <c r="BO53" i="4"/>
  <c r="AV53" i="4"/>
  <c r="AZ53" i="4"/>
  <c r="BD53" i="4"/>
  <c r="BH53" i="4"/>
  <c r="AW53" i="4"/>
  <c r="BA53" i="4"/>
  <c r="BE53" i="4"/>
  <c r="BI53" i="4"/>
  <c r="AO53" i="4"/>
  <c r="AS53" i="4"/>
  <c r="AF53" i="4"/>
  <c r="AD53" i="4"/>
  <c r="AA53" i="4"/>
  <c r="AN53" i="4"/>
  <c r="AR53" i="4"/>
  <c r="AI53" i="4"/>
  <c r="AG53" i="4"/>
  <c r="AE53" i="4"/>
  <c r="U53" i="4"/>
  <c r="S53" i="4"/>
  <c r="Q53" i="4"/>
  <c r="M53" i="4"/>
  <c r="Z53" i="4"/>
  <c r="X53" i="4"/>
  <c r="P53" i="4"/>
  <c r="L53" i="4"/>
  <c r="J53" i="4"/>
  <c r="BR53" i="4"/>
  <c r="BQ53" i="4"/>
  <c r="BB53" i="4"/>
  <c r="AU53" i="4"/>
  <c r="BC53" i="4"/>
  <c r="AM53" i="4"/>
  <c r="AJ53" i="4"/>
  <c r="AB53" i="4"/>
  <c r="AP53" i="4"/>
  <c r="AK53" i="4"/>
  <c r="V53" i="4"/>
  <c r="R53" i="4"/>
  <c r="I53" i="4"/>
  <c r="W53" i="4"/>
  <c r="K53" i="4"/>
  <c r="BN53" i="4"/>
  <c r="BM53" i="4"/>
  <c r="AX53" i="4"/>
  <c r="BF53" i="4"/>
  <c r="AY53" i="4"/>
  <c r="BG53" i="4"/>
  <c r="AQ53" i="4"/>
  <c r="AH53" i="4"/>
  <c r="AL53" i="4"/>
  <c r="AT53" i="4"/>
  <c r="AC53" i="4"/>
  <c r="T53" i="4"/>
  <c r="N53" i="4"/>
  <c r="Y53" i="4"/>
  <c r="O53" i="4"/>
  <c r="H53" i="4"/>
  <c r="G53" i="4"/>
  <c r="G52" i="4"/>
  <c r="CE36" i="4"/>
  <c r="CI36" i="4"/>
  <c r="CD36" i="4"/>
  <c r="CH36" i="4"/>
  <c r="BS36" i="4"/>
  <c r="BW36" i="4"/>
  <c r="CA36" i="4"/>
  <c r="BV36" i="4"/>
  <c r="BZ36" i="4"/>
  <c r="BM36" i="4"/>
  <c r="BQ36" i="4"/>
  <c r="BN36" i="4"/>
  <c r="AV36" i="4"/>
  <c r="AZ36" i="4"/>
  <c r="BD36" i="4"/>
  <c r="BH36" i="4"/>
  <c r="BP36" i="4"/>
  <c r="BA36" i="4"/>
  <c r="BI36" i="4"/>
  <c r="AY36" i="4"/>
  <c r="BG36" i="4"/>
  <c r="AN36" i="4"/>
  <c r="AR36" i="4"/>
  <c r="AI36" i="4"/>
  <c r="AG36" i="4"/>
  <c r="AE36" i="4"/>
  <c r="AO36" i="4"/>
  <c r="AS36" i="4"/>
  <c r="AF36" i="4"/>
  <c r="AD36" i="4"/>
  <c r="AA36" i="4"/>
  <c r="Y36" i="4"/>
  <c r="W36" i="4"/>
  <c r="O36" i="4"/>
  <c r="K36" i="4"/>
  <c r="V36" i="4"/>
  <c r="T36" i="4"/>
  <c r="R36" i="4"/>
  <c r="N36" i="4"/>
  <c r="I36" i="4"/>
  <c r="CC36" i="4"/>
  <c r="CG36" i="4"/>
  <c r="CB36" i="4"/>
  <c r="CF36" i="4"/>
  <c r="CJ36" i="4"/>
  <c r="BU36" i="4"/>
  <c r="BY36" i="4"/>
  <c r="BT36" i="4"/>
  <c r="BX36" i="4"/>
  <c r="BK36" i="4"/>
  <c r="BO36" i="4"/>
  <c r="BJ36" i="4"/>
  <c r="BR36" i="4"/>
  <c r="AX36" i="4"/>
  <c r="BB36" i="4"/>
  <c r="BF36" i="4"/>
  <c r="BL36" i="4"/>
  <c r="AW36" i="4"/>
  <c r="BE36" i="4"/>
  <c r="AU36" i="4"/>
  <c r="BC36" i="4"/>
  <c r="AL36" i="4"/>
  <c r="AP36" i="4"/>
  <c r="AT36" i="4"/>
  <c r="AK36" i="4"/>
  <c r="AC36" i="4"/>
  <c r="AM36" i="4"/>
  <c r="AQ36" i="4"/>
  <c r="AJ36" i="4"/>
  <c r="AH36" i="4"/>
  <c r="AB36" i="4"/>
  <c r="Z36" i="4"/>
  <c r="X36" i="4"/>
  <c r="P36" i="4"/>
  <c r="L36" i="4"/>
  <c r="J36" i="4"/>
  <c r="U36" i="4"/>
  <c r="S36" i="4"/>
  <c r="Q36" i="4"/>
  <c r="M36" i="4"/>
  <c r="H36" i="4"/>
  <c r="G36" i="4"/>
  <c r="CC12" i="4"/>
  <c r="CG12" i="4"/>
  <c r="CB12" i="4"/>
  <c r="CF12" i="4"/>
  <c r="CJ12" i="4"/>
  <c r="BU12" i="4"/>
  <c r="BY12" i="4"/>
  <c r="BT12" i="4"/>
  <c r="BX12" i="4"/>
  <c r="BK12" i="4"/>
  <c r="BO12" i="4"/>
  <c r="BJ12" i="4"/>
  <c r="BR12" i="4"/>
  <c r="AX12" i="4"/>
  <c r="BB12" i="4"/>
  <c r="BF12" i="4"/>
  <c r="BL12" i="4"/>
  <c r="AW12" i="4"/>
  <c r="BE12" i="4"/>
  <c r="AU12" i="4"/>
  <c r="BC12" i="4"/>
  <c r="AL12" i="4"/>
  <c r="AP12" i="4"/>
  <c r="AT12" i="4"/>
  <c r="AK12" i="4"/>
  <c r="AC12" i="4"/>
  <c r="AM12" i="4"/>
  <c r="AQ12" i="4"/>
  <c r="AJ12" i="4"/>
  <c r="AH12" i="4"/>
  <c r="AB12" i="4"/>
  <c r="Z12" i="4"/>
  <c r="X12" i="4"/>
  <c r="P12" i="4"/>
  <c r="L12" i="4"/>
  <c r="J12" i="4"/>
  <c r="U12" i="4"/>
  <c r="S12" i="4"/>
  <c r="Q12" i="4"/>
  <c r="M12" i="4"/>
  <c r="H12" i="4"/>
  <c r="CD13" i="4"/>
  <c r="CH13" i="4"/>
  <c r="CC13" i="4"/>
  <c r="CG13" i="4"/>
  <c r="BT13" i="4"/>
  <c r="BX13" i="4"/>
  <c r="BS13" i="4"/>
  <c r="BW13" i="4"/>
  <c r="CA13" i="4"/>
  <c r="BL13" i="4"/>
  <c r="BP13" i="4"/>
  <c r="BM13" i="4"/>
  <c r="AU13" i="4"/>
  <c r="AY13" i="4"/>
  <c r="BC13" i="4"/>
  <c r="BG13" i="4"/>
  <c r="BK13" i="4"/>
  <c r="AX13" i="4"/>
  <c r="BF13" i="4"/>
  <c r="AZ13" i="4"/>
  <c r="BH13" i="4"/>
  <c r="AO13" i="4"/>
  <c r="AS13" i="4"/>
  <c r="AF13" i="4"/>
  <c r="AD13" i="4"/>
  <c r="AA13" i="4"/>
  <c r="AN13" i="4"/>
  <c r="AR13" i="4"/>
  <c r="AI13" i="4"/>
  <c r="AG13" i="4"/>
  <c r="AE13" i="4"/>
  <c r="U13" i="4"/>
  <c r="S13" i="4"/>
  <c r="Q13" i="4"/>
  <c r="M13" i="4"/>
  <c r="Z13" i="4"/>
  <c r="X13" i="4"/>
  <c r="P13" i="4"/>
  <c r="L13" i="4"/>
  <c r="J13" i="4"/>
  <c r="CE12" i="4"/>
  <c r="CI12" i="4"/>
  <c r="CD12" i="4"/>
  <c r="CH12" i="4"/>
  <c r="BS12" i="4"/>
  <c r="BW12" i="4"/>
  <c r="CA12" i="4"/>
  <c r="BV12" i="4"/>
  <c r="BZ12" i="4"/>
  <c r="BM12" i="4"/>
  <c r="BQ12" i="4"/>
  <c r="BN12" i="4"/>
  <c r="AV12" i="4"/>
  <c r="AZ12" i="4"/>
  <c r="BD12" i="4"/>
  <c r="BH12" i="4"/>
  <c r="BP12" i="4"/>
  <c r="BA12" i="4"/>
  <c r="BI12" i="4"/>
  <c r="AY12" i="4"/>
  <c r="BG12" i="4"/>
  <c r="AN12" i="4"/>
  <c r="AR12" i="4"/>
  <c r="AI12" i="4"/>
  <c r="AG12" i="4"/>
  <c r="AE12" i="4"/>
  <c r="AO12" i="4"/>
  <c r="AS12" i="4"/>
  <c r="AF12" i="4"/>
  <c r="AD12" i="4"/>
  <c r="AA12" i="4"/>
  <c r="Y12" i="4"/>
  <c r="W12" i="4"/>
  <c r="O12" i="4"/>
  <c r="K12" i="4"/>
  <c r="V12" i="4"/>
  <c r="T12" i="4"/>
  <c r="R12" i="4"/>
  <c r="N12" i="4"/>
  <c r="I12" i="4"/>
  <c r="CB13" i="4"/>
  <c r="CF13" i="4"/>
  <c r="CJ13" i="4"/>
  <c r="CE13" i="4"/>
  <c r="CI13" i="4"/>
  <c r="BV13" i="4"/>
  <c r="BZ13" i="4"/>
  <c r="BU13" i="4"/>
  <c r="BY13" i="4"/>
  <c r="BJ13" i="4"/>
  <c r="BN13" i="4"/>
  <c r="BR13" i="4"/>
  <c r="BQ13" i="4"/>
  <c r="AW13" i="4"/>
  <c r="BA13" i="4"/>
  <c r="BE13" i="4"/>
  <c r="BI13" i="4"/>
  <c r="BO13" i="4"/>
  <c r="BB13" i="4"/>
  <c r="AV13" i="4"/>
  <c r="BD13" i="4"/>
  <c r="AM13" i="4"/>
  <c r="AQ13" i="4"/>
  <c r="AJ13" i="4"/>
  <c r="AH13" i="4"/>
  <c r="AB13" i="4"/>
  <c r="AL13" i="4"/>
  <c r="AP13" i="4"/>
  <c r="AT13" i="4"/>
  <c r="AK13" i="4"/>
  <c r="AC13" i="4"/>
  <c r="V13" i="4"/>
  <c r="T13" i="4"/>
  <c r="R13" i="4"/>
  <c r="N13" i="4"/>
  <c r="I13" i="4"/>
  <c r="Y13" i="4"/>
  <c r="W13" i="4"/>
  <c r="O13" i="4"/>
  <c r="K13" i="4"/>
  <c r="H13" i="4"/>
  <c r="G13" i="4"/>
  <c r="G12" i="4"/>
  <c r="CC199" i="4"/>
  <c r="CG199" i="4"/>
  <c r="CB199" i="4"/>
  <c r="CF199" i="4"/>
  <c r="CJ199" i="4"/>
  <c r="BU199" i="4"/>
  <c r="BY199" i="4"/>
  <c r="BT199" i="4"/>
  <c r="BX199" i="4"/>
  <c r="BJ199" i="4"/>
  <c r="BN199" i="4"/>
  <c r="BR199" i="4"/>
  <c r="BM199" i="4"/>
  <c r="BQ199" i="4"/>
  <c r="AX199" i="4"/>
  <c r="BB199" i="4"/>
  <c r="BF199" i="4"/>
  <c r="AU199" i="4"/>
  <c r="AY199" i="4"/>
  <c r="BC199" i="4"/>
  <c r="BG199" i="4"/>
  <c r="AM199" i="4"/>
  <c r="AQ199" i="4"/>
  <c r="AJ199" i="4"/>
  <c r="AH199" i="4"/>
  <c r="AB199" i="4"/>
  <c r="AN199" i="4"/>
  <c r="AR199" i="4"/>
  <c r="AI199" i="4"/>
  <c r="AG199" i="4"/>
  <c r="V199" i="4"/>
  <c r="T199" i="4"/>
  <c r="R199" i="4"/>
  <c r="N199" i="4"/>
  <c r="AC199" i="4"/>
  <c r="Z199" i="4"/>
  <c r="X199" i="4"/>
  <c r="P199" i="4"/>
  <c r="L199" i="4"/>
  <c r="J199" i="4"/>
  <c r="I199" i="4"/>
  <c r="CE199" i="4"/>
  <c r="CI199" i="4"/>
  <c r="CD199" i="4"/>
  <c r="CH199" i="4"/>
  <c r="BS199" i="4"/>
  <c r="BW199" i="4"/>
  <c r="CA199" i="4"/>
  <c r="BV199" i="4"/>
  <c r="BZ199" i="4"/>
  <c r="BL199" i="4"/>
  <c r="BP199" i="4"/>
  <c r="BK199" i="4"/>
  <c r="BO199" i="4"/>
  <c r="AV199" i="4"/>
  <c r="AZ199" i="4"/>
  <c r="BD199" i="4"/>
  <c r="BH199" i="4"/>
  <c r="AW199" i="4"/>
  <c r="BA199" i="4"/>
  <c r="BE199" i="4"/>
  <c r="BI199" i="4"/>
  <c r="AO199" i="4"/>
  <c r="AS199" i="4"/>
  <c r="AF199" i="4"/>
  <c r="AD199" i="4"/>
  <c r="AL199" i="4"/>
  <c r="AP199" i="4"/>
  <c r="AT199" i="4"/>
  <c r="AK199" i="4"/>
  <c r="AE199" i="4"/>
  <c r="U199" i="4"/>
  <c r="S199" i="4"/>
  <c r="Q199" i="4"/>
  <c r="M199" i="4"/>
  <c r="AA199" i="4"/>
  <c r="Y199" i="4"/>
  <c r="W199" i="4"/>
  <c r="O199" i="4"/>
  <c r="K199" i="4"/>
  <c r="H199" i="4"/>
  <c r="G199" i="4"/>
  <c r="CD198" i="4"/>
  <c r="CH198" i="4"/>
  <c r="CC198" i="4"/>
  <c r="CG198" i="4"/>
  <c r="BT198" i="4"/>
  <c r="BX198" i="4"/>
  <c r="BS198" i="4"/>
  <c r="BW198" i="4"/>
  <c r="CA198" i="4"/>
  <c r="BM198" i="4"/>
  <c r="BQ198" i="4"/>
  <c r="BL198" i="4"/>
  <c r="BP198" i="4"/>
  <c r="AU198" i="4"/>
  <c r="AY198" i="4"/>
  <c r="BC198" i="4"/>
  <c r="BG198" i="4"/>
  <c r="AV198" i="4"/>
  <c r="AZ198" i="4"/>
  <c r="BD198" i="4"/>
  <c r="BH198" i="4"/>
  <c r="AN198" i="4"/>
  <c r="AR198" i="4"/>
  <c r="AI198" i="4"/>
  <c r="AG198" i="4"/>
  <c r="AE198" i="4"/>
  <c r="AO198" i="4"/>
  <c r="AS198" i="4"/>
  <c r="AF198" i="4"/>
  <c r="AD198" i="4"/>
  <c r="Z198" i="4"/>
  <c r="X198" i="4"/>
  <c r="P198" i="4"/>
  <c r="L198" i="4"/>
  <c r="J198" i="4"/>
  <c r="V198" i="4"/>
  <c r="T198" i="4"/>
  <c r="R198" i="4"/>
  <c r="N198" i="4"/>
  <c r="I198" i="4"/>
  <c r="G198" i="4"/>
  <c r="CB198" i="4"/>
  <c r="CF198" i="4"/>
  <c r="CJ198" i="4"/>
  <c r="CE198" i="4"/>
  <c r="CI198" i="4"/>
  <c r="BV198" i="4"/>
  <c r="BZ198" i="4"/>
  <c r="BU198" i="4"/>
  <c r="BY198" i="4"/>
  <c r="BK198" i="4"/>
  <c r="BO198" i="4"/>
  <c r="BJ198" i="4"/>
  <c r="BN198" i="4"/>
  <c r="BR198" i="4"/>
  <c r="AW198" i="4"/>
  <c r="BA198" i="4"/>
  <c r="BE198" i="4"/>
  <c r="BI198" i="4"/>
  <c r="AX198" i="4"/>
  <c r="BB198" i="4"/>
  <c r="BF198" i="4"/>
  <c r="AL198" i="4"/>
  <c r="AP198" i="4"/>
  <c r="AT198" i="4"/>
  <c r="AK198" i="4"/>
  <c r="AC198" i="4"/>
  <c r="AM198" i="4"/>
  <c r="AQ198" i="4"/>
  <c r="AJ198" i="4"/>
  <c r="AH198" i="4"/>
  <c r="AA198" i="4"/>
  <c r="Y198" i="4"/>
  <c r="W198" i="4"/>
  <c r="O198" i="4"/>
  <c r="K198" i="4"/>
  <c r="AB198" i="4"/>
  <c r="U198" i="4"/>
  <c r="S198" i="4"/>
  <c r="Q198" i="4"/>
  <c r="M198" i="4"/>
  <c r="H198" i="4"/>
  <c r="G111" i="4"/>
  <c r="CC111" i="4"/>
  <c r="CG111" i="4"/>
  <c r="CB111" i="4"/>
  <c r="CF111" i="4"/>
  <c r="CJ111" i="4"/>
  <c r="BV111" i="4"/>
  <c r="BZ111" i="4"/>
  <c r="BY111" i="4"/>
  <c r="BW111" i="4"/>
  <c r="BJ111" i="4"/>
  <c r="BN111" i="4"/>
  <c r="BR111" i="4"/>
  <c r="BM111" i="4"/>
  <c r="BQ111" i="4"/>
  <c r="AX111" i="4"/>
  <c r="BB111" i="4"/>
  <c r="BF111" i="4"/>
  <c r="AU111" i="4"/>
  <c r="AY111" i="4"/>
  <c r="BC111" i="4"/>
  <c r="BG111" i="4"/>
  <c r="AM111" i="4"/>
  <c r="AQ111" i="4"/>
  <c r="AJ111" i="4"/>
  <c r="AH111" i="4"/>
  <c r="AB111" i="4"/>
  <c r="AL111" i="4"/>
  <c r="AP111" i="4"/>
  <c r="AT111" i="4"/>
  <c r="AK111" i="4"/>
  <c r="AC111" i="4"/>
  <c r="V111" i="4"/>
  <c r="T111" i="4"/>
  <c r="R111" i="4"/>
  <c r="N111" i="4"/>
  <c r="Z111" i="4"/>
  <c r="X111" i="4"/>
  <c r="P111" i="4"/>
  <c r="L111" i="4"/>
  <c r="J111" i="4"/>
  <c r="I111" i="4"/>
  <c r="CB112" i="4"/>
  <c r="CF112" i="4"/>
  <c r="CJ112" i="4"/>
  <c r="CE112" i="4"/>
  <c r="CI112" i="4"/>
  <c r="BU112" i="4"/>
  <c r="BY112" i="4"/>
  <c r="BT112" i="4"/>
  <c r="BV112" i="4"/>
  <c r="BK112" i="4"/>
  <c r="BO112" i="4"/>
  <c r="BJ112" i="4"/>
  <c r="BN112" i="4"/>
  <c r="BR112" i="4"/>
  <c r="AW112" i="4"/>
  <c r="BA112" i="4"/>
  <c r="BE112" i="4"/>
  <c r="BI112" i="4"/>
  <c r="AX112" i="4"/>
  <c r="BB112" i="4"/>
  <c r="BF112" i="4"/>
  <c r="AL112" i="4"/>
  <c r="AP112" i="4"/>
  <c r="AT112" i="4"/>
  <c r="AK112" i="4"/>
  <c r="AC112" i="4"/>
  <c r="AM112" i="4"/>
  <c r="AQ112" i="4"/>
  <c r="AJ112" i="4"/>
  <c r="AH112" i="4"/>
  <c r="AB112" i="4"/>
  <c r="Z112" i="4"/>
  <c r="X112" i="4"/>
  <c r="P112" i="4"/>
  <c r="L112" i="4"/>
  <c r="J112" i="4"/>
  <c r="U112" i="4"/>
  <c r="S112" i="4"/>
  <c r="Q112" i="4"/>
  <c r="M112" i="4"/>
  <c r="H112" i="4"/>
  <c r="CE111" i="4"/>
  <c r="CI111" i="4"/>
  <c r="CD111" i="4"/>
  <c r="CH111" i="4"/>
  <c r="BT111" i="4"/>
  <c r="BX111" i="4"/>
  <c r="BU111" i="4"/>
  <c r="BS111" i="4"/>
  <c r="CA111" i="4"/>
  <c r="BL111" i="4"/>
  <c r="BP111" i="4"/>
  <c r="BK111" i="4"/>
  <c r="BO111" i="4"/>
  <c r="AV111" i="4"/>
  <c r="AZ111" i="4"/>
  <c r="BD111" i="4"/>
  <c r="BH111" i="4"/>
  <c r="AW111" i="4"/>
  <c r="BA111" i="4"/>
  <c r="BE111" i="4"/>
  <c r="BI111" i="4"/>
  <c r="AO111" i="4"/>
  <c r="AS111" i="4"/>
  <c r="AF111" i="4"/>
  <c r="AD111" i="4"/>
  <c r="AA111" i="4"/>
  <c r="AN111" i="4"/>
  <c r="AR111" i="4"/>
  <c r="AI111" i="4"/>
  <c r="AG111" i="4"/>
  <c r="AE111" i="4"/>
  <c r="U111" i="4"/>
  <c r="S111" i="4"/>
  <c r="Q111" i="4"/>
  <c r="M111" i="4"/>
  <c r="Y111" i="4"/>
  <c r="W111" i="4"/>
  <c r="O111" i="4"/>
  <c r="K111" i="4"/>
  <c r="H111" i="4"/>
  <c r="CD112" i="4"/>
  <c r="CH112" i="4"/>
  <c r="CC112" i="4"/>
  <c r="CG112" i="4"/>
  <c r="BS112" i="4"/>
  <c r="BW112" i="4"/>
  <c r="CA112" i="4"/>
  <c r="BX112" i="4"/>
  <c r="BZ112" i="4"/>
  <c r="BM112" i="4"/>
  <c r="BQ112" i="4"/>
  <c r="BL112" i="4"/>
  <c r="BP112" i="4"/>
  <c r="AU112" i="4"/>
  <c r="AY112" i="4"/>
  <c r="BC112" i="4"/>
  <c r="BG112" i="4"/>
  <c r="AV112" i="4"/>
  <c r="AZ112" i="4"/>
  <c r="BD112" i="4"/>
  <c r="BH112" i="4"/>
  <c r="AN112" i="4"/>
  <c r="AR112" i="4"/>
  <c r="AI112" i="4"/>
  <c r="AG112" i="4"/>
  <c r="AE112" i="4"/>
  <c r="AO112" i="4"/>
  <c r="AS112" i="4"/>
  <c r="AF112" i="4"/>
  <c r="AD112" i="4"/>
  <c r="AA112" i="4"/>
  <c r="Y112" i="4"/>
  <c r="W112" i="4"/>
  <c r="O112" i="4"/>
  <c r="K112" i="4"/>
  <c r="V112" i="4"/>
  <c r="T112" i="4"/>
  <c r="R112" i="4"/>
  <c r="N112" i="4"/>
  <c r="I112" i="4"/>
  <c r="G112" i="4"/>
  <c r="CD79" i="4"/>
  <c r="CH79" i="4"/>
  <c r="CC79" i="4"/>
  <c r="CG79" i="4"/>
  <c r="BT79" i="4"/>
  <c r="BX79" i="4"/>
  <c r="BU79" i="4"/>
  <c r="BS79" i="4"/>
  <c r="CA79" i="4"/>
  <c r="BL79" i="4"/>
  <c r="BP79" i="4"/>
  <c r="BK79" i="4"/>
  <c r="BO79" i="4"/>
  <c r="AV79" i="4"/>
  <c r="AZ79" i="4"/>
  <c r="BD79" i="4"/>
  <c r="BH79" i="4"/>
  <c r="AW79" i="4"/>
  <c r="BA79" i="4"/>
  <c r="BE79" i="4"/>
  <c r="BI79" i="4"/>
  <c r="AO79" i="4"/>
  <c r="AS79" i="4"/>
  <c r="AF79" i="4"/>
  <c r="AD79" i="4"/>
  <c r="AA79" i="4"/>
  <c r="AN79" i="4"/>
  <c r="AR79" i="4"/>
  <c r="AI79" i="4"/>
  <c r="AG79" i="4"/>
  <c r="AE79" i="4"/>
  <c r="U79" i="4"/>
  <c r="S79" i="4"/>
  <c r="Q79" i="4"/>
  <c r="M79" i="4"/>
  <c r="Z79" i="4"/>
  <c r="X79" i="4"/>
  <c r="P79" i="4"/>
  <c r="L79" i="4"/>
  <c r="J79" i="4"/>
  <c r="CC80" i="4"/>
  <c r="CG80" i="4"/>
  <c r="CB80" i="4"/>
  <c r="CF80" i="4"/>
  <c r="CJ80" i="4"/>
  <c r="BU80" i="4"/>
  <c r="BY80" i="4"/>
  <c r="BT80" i="4"/>
  <c r="BV80" i="4"/>
  <c r="BK80" i="4"/>
  <c r="BO80" i="4"/>
  <c r="BJ80" i="4"/>
  <c r="BN80" i="4"/>
  <c r="BR80" i="4"/>
  <c r="AW80" i="4"/>
  <c r="BA80" i="4"/>
  <c r="BE80" i="4"/>
  <c r="BI80" i="4"/>
  <c r="AX80" i="4"/>
  <c r="BB80" i="4"/>
  <c r="BF80" i="4"/>
  <c r="AL80" i="4"/>
  <c r="AP80" i="4"/>
  <c r="AT80" i="4"/>
  <c r="AK80" i="4"/>
  <c r="AC80" i="4"/>
  <c r="AM80" i="4"/>
  <c r="AQ80" i="4"/>
  <c r="AJ80" i="4"/>
  <c r="AH80" i="4"/>
  <c r="AB80" i="4"/>
  <c r="Z80" i="4"/>
  <c r="X80" i="4"/>
  <c r="P80" i="4"/>
  <c r="L80" i="4"/>
  <c r="V80" i="4"/>
  <c r="T80" i="4"/>
  <c r="R80" i="4"/>
  <c r="N80" i="4"/>
  <c r="I80" i="4"/>
  <c r="H80" i="4"/>
  <c r="CD81" i="4"/>
  <c r="CH81" i="4"/>
  <c r="CC81" i="4"/>
  <c r="CG81" i="4"/>
  <c r="BT81" i="4"/>
  <c r="BX81" i="4"/>
  <c r="BS81" i="4"/>
  <c r="CA81" i="4"/>
  <c r="BY81" i="4"/>
  <c r="BL81" i="4"/>
  <c r="BP81" i="4"/>
  <c r="BK81" i="4"/>
  <c r="BO81" i="4"/>
  <c r="AV81" i="4"/>
  <c r="AZ81" i="4"/>
  <c r="BD81" i="4"/>
  <c r="BH81" i="4"/>
  <c r="AW81" i="4"/>
  <c r="BA81" i="4"/>
  <c r="BE81" i="4"/>
  <c r="BI81" i="4"/>
  <c r="AO81" i="4"/>
  <c r="AS81" i="4"/>
  <c r="AF81" i="4"/>
  <c r="AD81" i="4"/>
  <c r="AA81" i="4"/>
  <c r="AN81" i="4"/>
  <c r="AR81" i="4"/>
  <c r="AI81" i="4"/>
  <c r="AG81" i="4"/>
  <c r="AE81" i="4"/>
  <c r="U81" i="4"/>
  <c r="S81" i="4"/>
  <c r="Q81" i="4"/>
  <c r="M81" i="4"/>
  <c r="Y81" i="4"/>
  <c r="W81" i="4"/>
  <c r="O81" i="4"/>
  <c r="K81" i="4"/>
  <c r="H81" i="4"/>
  <c r="CC82" i="4"/>
  <c r="CG82" i="4"/>
  <c r="CB82" i="4"/>
  <c r="CF82" i="4"/>
  <c r="CJ82" i="4"/>
  <c r="BU82" i="4"/>
  <c r="BY82" i="4"/>
  <c r="BV82" i="4"/>
  <c r="BT82" i="4"/>
  <c r="BK82" i="4"/>
  <c r="BO82" i="4"/>
  <c r="BJ82" i="4"/>
  <c r="BN82" i="4"/>
  <c r="BR82" i="4"/>
  <c r="AW82" i="4"/>
  <c r="BA82" i="4"/>
  <c r="BE82" i="4"/>
  <c r="BI82" i="4"/>
  <c r="AX82" i="4"/>
  <c r="BB82" i="4"/>
  <c r="BF82" i="4"/>
  <c r="AL82" i="4"/>
  <c r="AP82" i="4"/>
  <c r="AT82" i="4"/>
  <c r="AK82" i="4"/>
  <c r="AC82" i="4"/>
  <c r="AM82" i="4"/>
  <c r="AQ82" i="4"/>
  <c r="AJ82" i="4"/>
  <c r="AH82" i="4"/>
  <c r="Z82" i="4"/>
  <c r="X82" i="4"/>
  <c r="P82" i="4"/>
  <c r="L82" i="4"/>
  <c r="J82" i="4"/>
  <c r="AB82" i="4"/>
  <c r="V82" i="4"/>
  <c r="T82" i="4"/>
  <c r="R82" i="4"/>
  <c r="N82" i="4"/>
  <c r="I82" i="4"/>
  <c r="CB79" i="4"/>
  <c r="CF79" i="4"/>
  <c r="CJ79" i="4"/>
  <c r="CE79" i="4"/>
  <c r="CI79" i="4"/>
  <c r="BV79" i="4"/>
  <c r="BZ79" i="4"/>
  <c r="BY79" i="4"/>
  <c r="BW79" i="4"/>
  <c r="BJ79" i="4"/>
  <c r="BN79" i="4"/>
  <c r="BR79" i="4"/>
  <c r="BM79" i="4"/>
  <c r="BQ79" i="4"/>
  <c r="AX79" i="4"/>
  <c r="BB79" i="4"/>
  <c r="BF79" i="4"/>
  <c r="AU79" i="4"/>
  <c r="AY79" i="4"/>
  <c r="BC79" i="4"/>
  <c r="BG79" i="4"/>
  <c r="AM79" i="4"/>
  <c r="AQ79" i="4"/>
  <c r="AJ79" i="4"/>
  <c r="AH79" i="4"/>
  <c r="AB79" i="4"/>
  <c r="AL79" i="4"/>
  <c r="AP79" i="4"/>
  <c r="AT79" i="4"/>
  <c r="AK79" i="4"/>
  <c r="AC79" i="4"/>
  <c r="V79" i="4"/>
  <c r="T79" i="4"/>
  <c r="R79" i="4"/>
  <c r="N79" i="4"/>
  <c r="I79" i="4"/>
  <c r="Y79" i="4"/>
  <c r="W79" i="4"/>
  <c r="O79" i="4"/>
  <c r="K79" i="4"/>
  <c r="H79" i="4"/>
  <c r="CE80" i="4"/>
  <c r="CI80" i="4"/>
  <c r="CD80" i="4"/>
  <c r="CH80" i="4"/>
  <c r="BS80" i="4"/>
  <c r="BW80" i="4"/>
  <c r="CA80" i="4"/>
  <c r="BX80" i="4"/>
  <c r="BZ80" i="4"/>
  <c r="BM80" i="4"/>
  <c r="BQ80" i="4"/>
  <c r="BL80" i="4"/>
  <c r="BP80" i="4"/>
  <c r="AU80" i="4"/>
  <c r="AY80" i="4"/>
  <c r="BC80" i="4"/>
  <c r="BG80" i="4"/>
  <c r="AV80" i="4"/>
  <c r="AZ80" i="4"/>
  <c r="BD80" i="4"/>
  <c r="BH80" i="4"/>
  <c r="AN80" i="4"/>
  <c r="AR80" i="4"/>
  <c r="AI80" i="4"/>
  <c r="AG80" i="4"/>
  <c r="AE80" i="4"/>
  <c r="AO80" i="4"/>
  <c r="AS80" i="4"/>
  <c r="AF80" i="4"/>
  <c r="AD80" i="4"/>
  <c r="AA80" i="4"/>
  <c r="Y80" i="4"/>
  <c r="W80" i="4"/>
  <c r="O80" i="4"/>
  <c r="K80" i="4"/>
  <c r="U80" i="4"/>
  <c r="S80" i="4"/>
  <c r="Q80" i="4"/>
  <c r="M80" i="4"/>
  <c r="J80" i="4"/>
  <c r="CB81" i="4"/>
  <c r="CF81" i="4"/>
  <c r="CJ81" i="4"/>
  <c r="CE81" i="4"/>
  <c r="CI81" i="4"/>
  <c r="BV81" i="4"/>
  <c r="BZ81" i="4"/>
  <c r="BW81" i="4"/>
  <c r="BU81" i="4"/>
  <c r="BJ81" i="4"/>
  <c r="BN81" i="4"/>
  <c r="BR81" i="4"/>
  <c r="BM81" i="4"/>
  <c r="BQ81" i="4"/>
  <c r="AX81" i="4"/>
  <c r="BB81" i="4"/>
  <c r="BF81" i="4"/>
  <c r="AU81" i="4"/>
  <c r="AY81" i="4"/>
  <c r="BC81" i="4"/>
  <c r="BG81" i="4"/>
  <c r="AM81" i="4"/>
  <c r="AQ81" i="4"/>
  <c r="AJ81" i="4"/>
  <c r="AH81" i="4"/>
  <c r="AB81" i="4"/>
  <c r="AL81" i="4"/>
  <c r="AP81" i="4"/>
  <c r="AT81" i="4"/>
  <c r="AK81" i="4"/>
  <c r="AC81" i="4"/>
  <c r="V81" i="4"/>
  <c r="T81" i="4"/>
  <c r="R81" i="4"/>
  <c r="N81" i="4"/>
  <c r="Z81" i="4"/>
  <c r="X81" i="4"/>
  <c r="P81" i="4"/>
  <c r="L81" i="4"/>
  <c r="J81" i="4"/>
  <c r="I81" i="4"/>
  <c r="CE82" i="4"/>
  <c r="CI82" i="4"/>
  <c r="CD82" i="4"/>
  <c r="CH82" i="4"/>
  <c r="BS82" i="4"/>
  <c r="BW82" i="4"/>
  <c r="CA82" i="4"/>
  <c r="BZ82" i="4"/>
  <c r="BX82" i="4"/>
  <c r="BM82" i="4"/>
  <c r="BQ82" i="4"/>
  <c r="BL82" i="4"/>
  <c r="BP82" i="4"/>
  <c r="AU82" i="4"/>
  <c r="AY82" i="4"/>
  <c r="BC82" i="4"/>
  <c r="BG82" i="4"/>
  <c r="AV82" i="4"/>
  <c r="AZ82" i="4"/>
  <c r="BD82" i="4"/>
  <c r="BH82" i="4"/>
  <c r="AN82" i="4"/>
  <c r="AR82" i="4"/>
  <c r="AI82" i="4"/>
  <c r="AG82" i="4"/>
  <c r="AE82" i="4"/>
  <c r="AO82" i="4"/>
  <c r="AS82" i="4"/>
  <c r="AF82" i="4"/>
  <c r="AD82" i="4"/>
  <c r="Y82" i="4"/>
  <c r="W82" i="4"/>
  <c r="O82" i="4"/>
  <c r="K82" i="4"/>
  <c r="H82" i="4"/>
  <c r="AA82" i="4"/>
  <c r="U82" i="4"/>
  <c r="S82" i="4"/>
  <c r="Q82" i="4"/>
  <c r="M82" i="4"/>
  <c r="G79" i="4"/>
  <c r="G81" i="4"/>
  <c r="G82" i="4"/>
  <c r="G80" i="4"/>
  <c r="CD63" i="4"/>
  <c r="CH63" i="4"/>
  <c r="CE63" i="4"/>
  <c r="CC63" i="4"/>
  <c r="BT63" i="4"/>
  <c r="BX63" i="4"/>
  <c r="BU63" i="4"/>
  <c r="BS63" i="4"/>
  <c r="CA63" i="4"/>
  <c r="BL63" i="4"/>
  <c r="BP63" i="4"/>
  <c r="BK63" i="4"/>
  <c r="BO63" i="4"/>
  <c r="AV63" i="4"/>
  <c r="AZ63" i="4"/>
  <c r="BD63" i="4"/>
  <c r="BH63" i="4"/>
  <c r="AW63" i="4"/>
  <c r="BA63" i="4"/>
  <c r="BE63" i="4"/>
  <c r="BI63" i="4"/>
  <c r="AO63" i="4"/>
  <c r="AS63" i="4"/>
  <c r="AF63" i="4"/>
  <c r="AD63" i="4"/>
  <c r="AA63" i="4"/>
  <c r="AN63" i="4"/>
  <c r="AR63" i="4"/>
  <c r="AI63" i="4"/>
  <c r="AG63" i="4"/>
  <c r="AE63" i="4"/>
  <c r="U63" i="4"/>
  <c r="S63" i="4"/>
  <c r="Q63" i="4"/>
  <c r="M63" i="4"/>
  <c r="Z63" i="4"/>
  <c r="X63" i="4"/>
  <c r="P63" i="4"/>
  <c r="L63" i="4"/>
  <c r="J63" i="4"/>
  <c r="CB63" i="4"/>
  <c r="CF63" i="4"/>
  <c r="CJ63" i="4"/>
  <c r="CI63" i="4"/>
  <c r="CG63" i="4"/>
  <c r="BV63" i="4"/>
  <c r="BZ63" i="4"/>
  <c r="BY63" i="4"/>
  <c r="BW63" i="4"/>
  <c r="BJ63" i="4"/>
  <c r="BN63" i="4"/>
  <c r="BR63" i="4"/>
  <c r="BM63" i="4"/>
  <c r="BQ63" i="4"/>
  <c r="AX63" i="4"/>
  <c r="BB63" i="4"/>
  <c r="BF63" i="4"/>
  <c r="AU63" i="4"/>
  <c r="AY63" i="4"/>
  <c r="BC63" i="4"/>
  <c r="BG63" i="4"/>
  <c r="AM63" i="4"/>
  <c r="AQ63" i="4"/>
  <c r="AJ63" i="4"/>
  <c r="AH63" i="4"/>
  <c r="AB63" i="4"/>
  <c r="AL63" i="4"/>
  <c r="AP63" i="4"/>
  <c r="AT63" i="4"/>
  <c r="AK63" i="4"/>
  <c r="AC63" i="4"/>
  <c r="V63" i="4"/>
  <c r="T63" i="4"/>
  <c r="R63" i="4"/>
  <c r="N63" i="4"/>
  <c r="I63" i="4"/>
  <c r="Y63" i="4"/>
  <c r="W63" i="4"/>
  <c r="O63" i="4"/>
  <c r="K63" i="4"/>
  <c r="H63" i="4"/>
  <c r="G63" i="4"/>
  <c r="CB47" i="4"/>
  <c r="CF47" i="4"/>
  <c r="CJ47" i="4"/>
  <c r="CI47" i="4"/>
  <c r="CG47" i="4"/>
  <c r="BV47" i="4"/>
  <c r="BZ47" i="4"/>
  <c r="BU47" i="4"/>
  <c r="BY47" i="4"/>
  <c r="BJ47" i="4"/>
  <c r="BN47" i="4"/>
  <c r="BR47" i="4"/>
  <c r="AW47" i="4"/>
  <c r="BA47" i="4"/>
  <c r="BK47" i="4"/>
  <c r="BO47" i="4"/>
  <c r="AV47" i="4"/>
  <c r="BD47" i="4"/>
  <c r="BH47" i="4"/>
  <c r="BB47" i="4"/>
  <c r="BG47" i="4"/>
  <c r="AM47" i="4"/>
  <c r="AQ47" i="4"/>
  <c r="AJ47" i="4"/>
  <c r="AH47" i="4"/>
  <c r="AB47" i="4"/>
  <c r="AL47" i="4"/>
  <c r="AP47" i="4"/>
  <c r="AT47" i="4"/>
  <c r="AK47" i="4"/>
  <c r="AC47" i="4"/>
  <c r="V47" i="4"/>
  <c r="T47" i="4"/>
  <c r="R47" i="4"/>
  <c r="N47" i="4"/>
  <c r="Z47" i="4"/>
  <c r="X47" i="4"/>
  <c r="P47" i="4"/>
  <c r="L47" i="4"/>
  <c r="J47" i="4"/>
  <c r="I47" i="4"/>
  <c r="CE48" i="4"/>
  <c r="CI48" i="4"/>
  <c r="CH48" i="4"/>
  <c r="CF48" i="4"/>
  <c r="BS48" i="4"/>
  <c r="BW48" i="4"/>
  <c r="CA48" i="4"/>
  <c r="BV48" i="4"/>
  <c r="BZ48" i="4"/>
  <c r="BM48" i="4"/>
  <c r="BQ48" i="4"/>
  <c r="BL48" i="4"/>
  <c r="BP48" i="4"/>
  <c r="AU48" i="4"/>
  <c r="AY48" i="4"/>
  <c r="BC48" i="4"/>
  <c r="BG48" i="4"/>
  <c r="AV48" i="4"/>
  <c r="AZ48" i="4"/>
  <c r="BD48" i="4"/>
  <c r="BH48" i="4"/>
  <c r="AN48" i="4"/>
  <c r="AR48" i="4"/>
  <c r="AI48" i="4"/>
  <c r="AG48" i="4"/>
  <c r="AE48" i="4"/>
  <c r="AO48" i="4"/>
  <c r="AS48" i="4"/>
  <c r="AF48" i="4"/>
  <c r="AD48" i="4"/>
  <c r="AA48" i="4"/>
  <c r="Y48" i="4"/>
  <c r="W48" i="4"/>
  <c r="O48" i="4"/>
  <c r="K48" i="4"/>
  <c r="V48" i="4"/>
  <c r="T48" i="4"/>
  <c r="R48" i="4"/>
  <c r="N48" i="4"/>
  <c r="I48" i="4"/>
  <c r="CD47" i="4"/>
  <c r="CH47" i="4"/>
  <c r="CE47" i="4"/>
  <c r="CC47" i="4"/>
  <c r="BT47" i="4"/>
  <c r="BX47" i="4"/>
  <c r="BS47" i="4"/>
  <c r="BW47" i="4"/>
  <c r="CA47" i="4"/>
  <c r="BL47" i="4"/>
  <c r="BP47" i="4"/>
  <c r="AU47" i="4"/>
  <c r="AY47" i="4"/>
  <c r="BC47" i="4"/>
  <c r="BM47" i="4"/>
  <c r="BQ47" i="4"/>
  <c r="AZ47" i="4"/>
  <c r="BF47" i="4"/>
  <c r="AX47" i="4"/>
  <c r="BE47" i="4"/>
  <c r="BI47" i="4"/>
  <c r="AO47" i="4"/>
  <c r="AS47" i="4"/>
  <c r="AF47" i="4"/>
  <c r="AD47" i="4"/>
  <c r="AA47" i="4"/>
  <c r="AN47" i="4"/>
  <c r="AR47" i="4"/>
  <c r="AI47" i="4"/>
  <c r="AG47" i="4"/>
  <c r="AE47" i="4"/>
  <c r="U47" i="4"/>
  <c r="S47" i="4"/>
  <c r="Q47" i="4"/>
  <c r="M47" i="4"/>
  <c r="Y47" i="4"/>
  <c r="W47" i="4"/>
  <c r="O47" i="4"/>
  <c r="K47" i="4"/>
  <c r="H47" i="4"/>
  <c r="CC48" i="4"/>
  <c r="CG48" i="4"/>
  <c r="CD48" i="4"/>
  <c r="CB48" i="4"/>
  <c r="CJ48" i="4"/>
  <c r="BU48" i="4"/>
  <c r="BY48" i="4"/>
  <c r="BT48" i="4"/>
  <c r="BX48" i="4"/>
  <c r="BK48" i="4"/>
  <c r="BO48" i="4"/>
  <c r="BJ48" i="4"/>
  <c r="BN48" i="4"/>
  <c r="BR48" i="4"/>
  <c r="AW48" i="4"/>
  <c r="BA48" i="4"/>
  <c r="BE48" i="4"/>
  <c r="BI48" i="4"/>
  <c r="AX48" i="4"/>
  <c r="BB48" i="4"/>
  <c r="BF48" i="4"/>
  <c r="AL48" i="4"/>
  <c r="AP48" i="4"/>
  <c r="AT48" i="4"/>
  <c r="AK48" i="4"/>
  <c r="AC48" i="4"/>
  <c r="AM48" i="4"/>
  <c r="AQ48" i="4"/>
  <c r="AJ48" i="4"/>
  <c r="AH48" i="4"/>
  <c r="AB48" i="4"/>
  <c r="Z48" i="4"/>
  <c r="X48" i="4"/>
  <c r="P48" i="4"/>
  <c r="L48" i="4"/>
  <c r="H48" i="4"/>
  <c r="U48" i="4"/>
  <c r="S48" i="4"/>
  <c r="Q48" i="4"/>
  <c r="M48" i="4"/>
  <c r="J48" i="4"/>
  <c r="G47" i="4"/>
  <c r="G48" i="4"/>
  <c r="CC31" i="4"/>
  <c r="CG31" i="4"/>
  <c r="CB31" i="4"/>
  <c r="CF31" i="4"/>
  <c r="CJ31" i="4"/>
  <c r="BV31" i="4"/>
  <c r="BZ31" i="4"/>
  <c r="BU31" i="4"/>
  <c r="BY31" i="4"/>
  <c r="BJ31" i="4"/>
  <c r="BN31" i="4"/>
  <c r="BR31" i="4"/>
  <c r="BO31" i="4"/>
  <c r="AW31" i="4"/>
  <c r="BA31" i="4"/>
  <c r="BE31" i="4"/>
  <c r="BI31" i="4"/>
  <c r="BQ31" i="4"/>
  <c r="AZ31" i="4"/>
  <c r="BH31" i="4"/>
  <c r="BB31" i="4"/>
  <c r="AM31" i="4"/>
  <c r="AQ31" i="4"/>
  <c r="AJ31" i="4"/>
  <c r="AH31" i="4"/>
  <c r="AB31" i="4"/>
  <c r="AL31" i="4"/>
  <c r="AP31" i="4"/>
  <c r="AT31" i="4"/>
  <c r="AK31" i="4"/>
  <c r="AC31" i="4"/>
  <c r="V31" i="4"/>
  <c r="T31" i="4"/>
  <c r="R31" i="4"/>
  <c r="N31" i="4"/>
  <c r="Z31" i="4"/>
  <c r="X31" i="4"/>
  <c r="P31" i="4"/>
  <c r="L31" i="4"/>
  <c r="J31" i="4"/>
  <c r="I31" i="4"/>
  <c r="CD32" i="4"/>
  <c r="CH32" i="4"/>
  <c r="CC32" i="4"/>
  <c r="CG32" i="4"/>
  <c r="BS32" i="4"/>
  <c r="BW32" i="4"/>
  <c r="CA32" i="4"/>
  <c r="BV32" i="4"/>
  <c r="BZ32" i="4"/>
  <c r="BM32" i="4"/>
  <c r="BQ32" i="4"/>
  <c r="BN32" i="4"/>
  <c r="AV32" i="4"/>
  <c r="AZ32" i="4"/>
  <c r="BD32" i="4"/>
  <c r="BH32" i="4"/>
  <c r="BP32" i="4"/>
  <c r="BA32" i="4"/>
  <c r="BI32" i="4"/>
  <c r="AY32" i="4"/>
  <c r="BG32" i="4"/>
  <c r="AN32" i="4"/>
  <c r="AR32" i="4"/>
  <c r="AI32" i="4"/>
  <c r="AG32" i="4"/>
  <c r="AE32" i="4"/>
  <c r="AO32" i="4"/>
  <c r="AS32" i="4"/>
  <c r="AF32" i="4"/>
  <c r="AD32" i="4"/>
  <c r="AA32" i="4"/>
  <c r="Y32" i="4"/>
  <c r="W32" i="4"/>
  <c r="O32" i="4"/>
  <c r="K32" i="4"/>
  <c r="H32" i="4"/>
  <c r="U32" i="4"/>
  <c r="S32" i="4"/>
  <c r="Q32" i="4"/>
  <c r="M32" i="4"/>
  <c r="CC33" i="4"/>
  <c r="CG33" i="4"/>
  <c r="CB33" i="4"/>
  <c r="CF33" i="4"/>
  <c r="CJ33" i="4"/>
  <c r="BV33" i="4"/>
  <c r="BZ33" i="4"/>
  <c r="BU33" i="4"/>
  <c r="BY33" i="4"/>
  <c r="BJ33" i="4"/>
  <c r="BN33" i="4"/>
  <c r="BR33" i="4"/>
  <c r="BQ33" i="4"/>
  <c r="AW33" i="4"/>
  <c r="BA33" i="4"/>
  <c r="BE33" i="4"/>
  <c r="BI33" i="4"/>
  <c r="BO33" i="4"/>
  <c r="BB33" i="4"/>
  <c r="AV33" i="4"/>
  <c r="BD33" i="4"/>
  <c r="AM33" i="4"/>
  <c r="AQ33" i="4"/>
  <c r="AJ33" i="4"/>
  <c r="AH33" i="4"/>
  <c r="AB33" i="4"/>
  <c r="AL33" i="4"/>
  <c r="AP33" i="4"/>
  <c r="AT33" i="4"/>
  <c r="AK33" i="4"/>
  <c r="AC33" i="4"/>
  <c r="V33" i="4"/>
  <c r="T33" i="4"/>
  <c r="R33" i="4"/>
  <c r="N33" i="4"/>
  <c r="I33" i="4"/>
  <c r="Y33" i="4"/>
  <c r="W33" i="4"/>
  <c r="O33" i="4"/>
  <c r="K33" i="4"/>
  <c r="H33" i="4"/>
  <c r="CD34" i="4"/>
  <c r="CH34" i="4"/>
  <c r="CC34" i="4"/>
  <c r="CG34" i="4"/>
  <c r="BS34" i="4"/>
  <c r="BW34" i="4"/>
  <c r="CA34" i="4"/>
  <c r="BV34" i="4"/>
  <c r="BZ34" i="4"/>
  <c r="BM34" i="4"/>
  <c r="BQ34" i="4"/>
  <c r="BP34" i="4"/>
  <c r="AX34" i="4"/>
  <c r="BB34" i="4"/>
  <c r="BF34" i="4"/>
  <c r="BJ34" i="4"/>
  <c r="BR34" i="4"/>
  <c r="AY34" i="4"/>
  <c r="BG34" i="4"/>
  <c r="BA34" i="4"/>
  <c r="BI34" i="4"/>
  <c r="AN34" i="4"/>
  <c r="AR34" i="4"/>
  <c r="AI34" i="4"/>
  <c r="AG34" i="4"/>
  <c r="AE34" i="4"/>
  <c r="AO34" i="4"/>
  <c r="AS34" i="4"/>
  <c r="AF34" i="4"/>
  <c r="AD34" i="4"/>
  <c r="Y34" i="4"/>
  <c r="W34" i="4"/>
  <c r="O34" i="4"/>
  <c r="K34" i="4"/>
  <c r="AA34" i="4"/>
  <c r="U34" i="4"/>
  <c r="S34" i="4"/>
  <c r="Q34" i="4"/>
  <c r="M34" i="4"/>
  <c r="J34" i="4"/>
  <c r="CE31" i="4"/>
  <c r="CI31" i="4"/>
  <c r="CD31" i="4"/>
  <c r="CH31" i="4"/>
  <c r="BT31" i="4"/>
  <c r="BX31" i="4"/>
  <c r="BS31" i="4"/>
  <c r="BW31" i="4"/>
  <c r="CA31" i="4"/>
  <c r="BL31" i="4"/>
  <c r="BP31" i="4"/>
  <c r="BK31" i="4"/>
  <c r="AU31" i="4"/>
  <c r="AY31" i="4"/>
  <c r="BC31" i="4"/>
  <c r="BG31" i="4"/>
  <c r="BM31" i="4"/>
  <c r="AV31" i="4"/>
  <c r="BD31" i="4"/>
  <c r="AX31" i="4"/>
  <c r="BF31" i="4"/>
  <c r="AO31" i="4"/>
  <c r="AS31" i="4"/>
  <c r="AF31" i="4"/>
  <c r="AD31" i="4"/>
  <c r="AA31" i="4"/>
  <c r="AN31" i="4"/>
  <c r="AR31" i="4"/>
  <c r="AI31" i="4"/>
  <c r="AG31" i="4"/>
  <c r="AE31" i="4"/>
  <c r="U31" i="4"/>
  <c r="S31" i="4"/>
  <c r="Q31" i="4"/>
  <c r="M31" i="4"/>
  <c r="Y31" i="4"/>
  <c r="W31" i="4"/>
  <c r="O31" i="4"/>
  <c r="K31" i="4"/>
  <c r="H31" i="4"/>
  <c r="CB32" i="4"/>
  <c r="CF32" i="4"/>
  <c r="CJ32" i="4"/>
  <c r="CE32" i="4"/>
  <c r="CI32" i="4"/>
  <c r="BU32" i="4"/>
  <c r="BY32" i="4"/>
  <c r="BT32" i="4"/>
  <c r="BX32" i="4"/>
  <c r="BK32" i="4"/>
  <c r="BO32" i="4"/>
  <c r="BJ32" i="4"/>
  <c r="BR32" i="4"/>
  <c r="AX32" i="4"/>
  <c r="BB32" i="4"/>
  <c r="BF32" i="4"/>
  <c r="BL32" i="4"/>
  <c r="AW32" i="4"/>
  <c r="BE32" i="4"/>
  <c r="AU32" i="4"/>
  <c r="BC32" i="4"/>
  <c r="AL32" i="4"/>
  <c r="AP32" i="4"/>
  <c r="AT32" i="4"/>
  <c r="AK32" i="4"/>
  <c r="AC32" i="4"/>
  <c r="AM32" i="4"/>
  <c r="AQ32" i="4"/>
  <c r="AJ32" i="4"/>
  <c r="AH32" i="4"/>
  <c r="AB32" i="4"/>
  <c r="Z32" i="4"/>
  <c r="X32" i="4"/>
  <c r="P32" i="4"/>
  <c r="L32" i="4"/>
  <c r="J32" i="4"/>
  <c r="V32" i="4"/>
  <c r="T32" i="4"/>
  <c r="R32" i="4"/>
  <c r="N32" i="4"/>
  <c r="I32" i="4"/>
  <c r="CE33" i="4"/>
  <c r="CI33" i="4"/>
  <c r="CD33" i="4"/>
  <c r="CH33" i="4"/>
  <c r="BT33" i="4"/>
  <c r="BX33" i="4"/>
  <c r="BS33" i="4"/>
  <c r="BW33" i="4"/>
  <c r="CA33" i="4"/>
  <c r="BL33" i="4"/>
  <c r="BP33" i="4"/>
  <c r="BM33" i="4"/>
  <c r="AU33" i="4"/>
  <c r="AY33" i="4"/>
  <c r="BC33" i="4"/>
  <c r="BG33" i="4"/>
  <c r="BK33" i="4"/>
  <c r="AX33" i="4"/>
  <c r="BF33" i="4"/>
  <c r="AZ33" i="4"/>
  <c r="BH33" i="4"/>
  <c r="AO33" i="4"/>
  <c r="AS33" i="4"/>
  <c r="AF33" i="4"/>
  <c r="AD33" i="4"/>
  <c r="AA33" i="4"/>
  <c r="AN33" i="4"/>
  <c r="AR33" i="4"/>
  <c r="AI33" i="4"/>
  <c r="AG33" i="4"/>
  <c r="AE33" i="4"/>
  <c r="U33" i="4"/>
  <c r="S33" i="4"/>
  <c r="Q33" i="4"/>
  <c r="M33" i="4"/>
  <c r="Z33" i="4"/>
  <c r="X33" i="4"/>
  <c r="P33" i="4"/>
  <c r="L33" i="4"/>
  <c r="J33" i="4"/>
  <c r="CB34" i="4"/>
  <c r="CF34" i="4"/>
  <c r="CJ34" i="4"/>
  <c r="CE34" i="4"/>
  <c r="CI34" i="4"/>
  <c r="BU34" i="4"/>
  <c r="BY34" i="4"/>
  <c r="BT34" i="4"/>
  <c r="BX34" i="4"/>
  <c r="BK34" i="4"/>
  <c r="BO34" i="4"/>
  <c r="BL34" i="4"/>
  <c r="AV34" i="4"/>
  <c r="AZ34" i="4"/>
  <c r="BD34" i="4"/>
  <c r="BH34" i="4"/>
  <c r="BN34" i="4"/>
  <c r="AU34" i="4"/>
  <c r="BC34" i="4"/>
  <c r="AW34" i="4"/>
  <c r="BE34" i="4"/>
  <c r="AL34" i="4"/>
  <c r="AP34" i="4"/>
  <c r="AT34" i="4"/>
  <c r="AK34" i="4"/>
  <c r="AC34" i="4"/>
  <c r="AM34" i="4"/>
  <c r="AQ34" i="4"/>
  <c r="AJ34" i="4"/>
  <c r="AH34" i="4"/>
  <c r="Z34" i="4"/>
  <c r="X34" i="4"/>
  <c r="P34" i="4"/>
  <c r="L34" i="4"/>
  <c r="AB34" i="4"/>
  <c r="V34" i="4"/>
  <c r="T34" i="4"/>
  <c r="R34" i="4"/>
  <c r="N34" i="4"/>
  <c r="I34" i="4"/>
  <c r="H34" i="4"/>
  <c r="G31" i="4"/>
  <c r="G33" i="4"/>
  <c r="G34" i="4"/>
  <c r="G32" i="4"/>
  <c r="CD15" i="4"/>
  <c r="CH15" i="4"/>
  <c r="CC15" i="4"/>
  <c r="CG15" i="4"/>
  <c r="BT15" i="4"/>
  <c r="BX15" i="4"/>
  <c r="BS15" i="4"/>
  <c r="BW15" i="4"/>
  <c r="CA15" i="4"/>
  <c r="BL15" i="4"/>
  <c r="BP15" i="4"/>
  <c r="BK15" i="4"/>
  <c r="AU15" i="4"/>
  <c r="AY15" i="4"/>
  <c r="BC15" i="4"/>
  <c r="BG15" i="4"/>
  <c r="BM15" i="4"/>
  <c r="AV15" i="4"/>
  <c r="BD15" i="4"/>
  <c r="AX15" i="4"/>
  <c r="BF15" i="4"/>
  <c r="AO15" i="4"/>
  <c r="AS15" i="4"/>
  <c r="AF15" i="4"/>
  <c r="AD15" i="4"/>
  <c r="AA15" i="4"/>
  <c r="AN15" i="4"/>
  <c r="AR15" i="4"/>
  <c r="AI15" i="4"/>
  <c r="AG15" i="4"/>
  <c r="AE15" i="4"/>
  <c r="U15" i="4"/>
  <c r="S15" i="4"/>
  <c r="Q15" i="4"/>
  <c r="M15" i="4"/>
  <c r="Y15" i="4"/>
  <c r="W15" i="4"/>
  <c r="O15" i="4"/>
  <c r="K15" i="4"/>
  <c r="H15" i="4"/>
  <c r="CB15" i="4"/>
  <c r="CF15" i="4"/>
  <c r="CJ15" i="4"/>
  <c r="CE15" i="4"/>
  <c r="CI15" i="4"/>
  <c r="BV15" i="4"/>
  <c r="BZ15" i="4"/>
  <c r="BU15" i="4"/>
  <c r="BY15" i="4"/>
  <c r="BJ15" i="4"/>
  <c r="BN15" i="4"/>
  <c r="BR15" i="4"/>
  <c r="BO15" i="4"/>
  <c r="AW15" i="4"/>
  <c r="BA15" i="4"/>
  <c r="BE15" i="4"/>
  <c r="BI15" i="4"/>
  <c r="BQ15" i="4"/>
  <c r="AZ15" i="4"/>
  <c r="BH15" i="4"/>
  <c r="BB15" i="4"/>
  <c r="AM15" i="4"/>
  <c r="AQ15" i="4"/>
  <c r="AJ15" i="4"/>
  <c r="AH15" i="4"/>
  <c r="AB15" i="4"/>
  <c r="AL15" i="4"/>
  <c r="AP15" i="4"/>
  <c r="AT15" i="4"/>
  <c r="AK15" i="4"/>
  <c r="AC15" i="4"/>
  <c r="V15" i="4"/>
  <c r="T15" i="4"/>
  <c r="R15" i="4"/>
  <c r="N15" i="4"/>
  <c r="Z15" i="4"/>
  <c r="X15" i="4"/>
  <c r="P15" i="4"/>
  <c r="L15" i="4"/>
  <c r="J15" i="4"/>
  <c r="I15" i="4"/>
  <c r="G15" i="4"/>
  <c r="CD182" i="4"/>
  <c r="CH182" i="4"/>
  <c r="CC182" i="4"/>
  <c r="CG182" i="4"/>
  <c r="BT182" i="4"/>
  <c r="BX182" i="4"/>
  <c r="BS182" i="4"/>
  <c r="BW182" i="4"/>
  <c r="CA182" i="4"/>
  <c r="BM182" i="4"/>
  <c r="BQ182" i="4"/>
  <c r="BL182" i="4"/>
  <c r="BP182" i="4"/>
  <c r="AU182" i="4"/>
  <c r="AY182" i="4"/>
  <c r="BC182" i="4"/>
  <c r="BG182" i="4"/>
  <c r="AV182" i="4"/>
  <c r="AZ182" i="4"/>
  <c r="BD182" i="4"/>
  <c r="BH182" i="4"/>
  <c r="AN182" i="4"/>
  <c r="AR182" i="4"/>
  <c r="AI182" i="4"/>
  <c r="AG182" i="4"/>
  <c r="AE182" i="4"/>
  <c r="AO182" i="4"/>
  <c r="AS182" i="4"/>
  <c r="AF182" i="4"/>
  <c r="AD182" i="4"/>
  <c r="Y182" i="4"/>
  <c r="W182" i="4"/>
  <c r="O182" i="4"/>
  <c r="K182" i="4"/>
  <c r="AB182" i="4"/>
  <c r="V182" i="4"/>
  <c r="T182" i="4"/>
  <c r="R182" i="4"/>
  <c r="N182" i="4"/>
  <c r="I182" i="4"/>
  <c r="G182" i="4"/>
  <c r="CB182" i="4"/>
  <c r="CF182" i="4"/>
  <c r="CJ182" i="4"/>
  <c r="CE182" i="4"/>
  <c r="CI182" i="4"/>
  <c r="BV182" i="4"/>
  <c r="BZ182" i="4"/>
  <c r="BU182" i="4"/>
  <c r="BY182" i="4"/>
  <c r="BK182" i="4"/>
  <c r="BO182" i="4"/>
  <c r="BJ182" i="4"/>
  <c r="BN182" i="4"/>
  <c r="BR182" i="4"/>
  <c r="AW182" i="4"/>
  <c r="BA182" i="4"/>
  <c r="BE182" i="4"/>
  <c r="BI182" i="4"/>
  <c r="AX182" i="4"/>
  <c r="BB182" i="4"/>
  <c r="BF182" i="4"/>
  <c r="AL182" i="4"/>
  <c r="AP182" i="4"/>
  <c r="AT182" i="4"/>
  <c r="AK182" i="4"/>
  <c r="AC182" i="4"/>
  <c r="AM182" i="4"/>
  <c r="AQ182" i="4"/>
  <c r="AJ182" i="4"/>
  <c r="AH182" i="4"/>
  <c r="Z182" i="4"/>
  <c r="X182" i="4"/>
  <c r="P182" i="4"/>
  <c r="L182" i="4"/>
  <c r="J182" i="4"/>
  <c r="AA182" i="4"/>
  <c r="U182" i="4"/>
  <c r="S182" i="4"/>
  <c r="Q182" i="4"/>
  <c r="M182" i="4"/>
  <c r="H182" i="4"/>
  <c r="CB142" i="4"/>
  <c r="CF142" i="4"/>
  <c r="CJ142" i="4"/>
  <c r="CE142" i="4"/>
  <c r="CI142" i="4"/>
  <c r="BU142" i="4"/>
  <c r="BY142" i="4"/>
  <c r="BV142" i="4"/>
  <c r="BT142" i="4"/>
  <c r="BK142" i="4"/>
  <c r="BO142" i="4"/>
  <c r="BJ142" i="4"/>
  <c r="BN142" i="4"/>
  <c r="BR142" i="4"/>
  <c r="AW142" i="4"/>
  <c r="BA142" i="4"/>
  <c r="BE142" i="4"/>
  <c r="BI142" i="4"/>
  <c r="AX142" i="4"/>
  <c r="BB142" i="4"/>
  <c r="BF142" i="4"/>
  <c r="AL142" i="4"/>
  <c r="AP142" i="4"/>
  <c r="AT142" i="4"/>
  <c r="AK142" i="4"/>
  <c r="AC142" i="4"/>
  <c r="AM142" i="4"/>
  <c r="AQ142" i="4"/>
  <c r="AJ142" i="4"/>
  <c r="AH142" i="4"/>
  <c r="Z142" i="4"/>
  <c r="X142" i="4"/>
  <c r="P142" i="4"/>
  <c r="L142" i="4"/>
  <c r="AB142" i="4"/>
  <c r="V142" i="4"/>
  <c r="T142" i="4"/>
  <c r="R142" i="4"/>
  <c r="N142" i="4"/>
  <c r="I142" i="4"/>
  <c r="H142" i="4"/>
  <c r="CD142" i="4"/>
  <c r="CH142" i="4"/>
  <c r="CC142" i="4"/>
  <c r="CG142" i="4"/>
  <c r="BS142" i="4"/>
  <c r="BW142" i="4"/>
  <c r="CA142" i="4"/>
  <c r="BZ142" i="4"/>
  <c r="BX142" i="4"/>
  <c r="BM142" i="4"/>
  <c r="BQ142" i="4"/>
  <c r="BL142" i="4"/>
  <c r="BP142" i="4"/>
  <c r="AU142" i="4"/>
  <c r="AY142" i="4"/>
  <c r="BC142" i="4"/>
  <c r="BG142" i="4"/>
  <c r="AV142" i="4"/>
  <c r="AZ142" i="4"/>
  <c r="BD142" i="4"/>
  <c r="BH142" i="4"/>
  <c r="AN142" i="4"/>
  <c r="AR142" i="4"/>
  <c r="AI142" i="4"/>
  <c r="AG142" i="4"/>
  <c r="AE142" i="4"/>
  <c r="AO142" i="4"/>
  <c r="AS142" i="4"/>
  <c r="AF142" i="4"/>
  <c r="AD142" i="4"/>
  <c r="Y142" i="4"/>
  <c r="W142" i="4"/>
  <c r="O142" i="4"/>
  <c r="K142" i="4"/>
  <c r="AA142" i="4"/>
  <c r="U142" i="4"/>
  <c r="S142" i="4"/>
  <c r="Q142" i="4"/>
  <c r="M142" i="4"/>
  <c r="J142" i="4"/>
  <c r="G142" i="4"/>
  <c r="CC54" i="4"/>
  <c r="CG54" i="4"/>
  <c r="CB54" i="4"/>
  <c r="CJ54" i="4"/>
  <c r="CH54" i="4"/>
  <c r="BU54" i="4"/>
  <c r="BY54" i="4"/>
  <c r="BT54" i="4"/>
  <c r="BX54" i="4"/>
  <c r="BK54" i="4"/>
  <c r="BO54" i="4"/>
  <c r="BJ54" i="4"/>
  <c r="BN54" i="4"/>
  <c r="BR54" i="4"/>
  <c r="AW54" i="4"/>
  <c r="BA54" i="4"/>
  <c r="BE54" i="4"/>
  <c r="BI54" i="4"/>
  <c r="AX54" i="4"/>
  <c r="BB54" i="4"/>
  <c r="BF54" i="4"/>
  <c r="AL54" i="4"/>
  <c r="AP54" i="4"/>
  <c r="AT54" i="4"/>
  <c r="AK54" i="4"/>
  <c r="AC54" i="4"/>
  <c r="AM54" i="4"/>
  <c r="AQ54" i="4"/>
  <c r="AJ54" i="4"/>
  <c r="AH54" i="4"/>
  <c r="Z54" i="4"/>
  <c r="X54" i="4"/>
  <c r="P54" i="4"/>
  <c r="L54" i="4"/>
  <c r="J54" i="4"/>
  <c r="AA54" i="4"/>
  <c r="U54" i="4"/>
  <c r="S54" i="4"/>
  <c r="Q54" i="4"/>
  <c r="M54" i="4"/>
  <c r="H54" i="4"/>
  <c r="CE54" i="4"/>
  <c r="CF54" i="4"/>
  <c r="BS54" i="4"/>
  <c r="CA54" i="4"/>
  <c r="BZ54" i="4"/>
  <c r="BQ54" i="4"/>
  <c r="BP54" i="4"/>
  <c r="AY54" i="4"/>
  <c r="BG54" i="4"/>
  <c r="AZ54" i="4"/>
  <c r="BH54" i="4"/>
  <c r="AR54" i="4"/>
  <c r="AG54" i="4"/>
  <c r="AO54" i="4"/>
  <c r="AF54" i="4"/>
  <c r="Y54" i="4"/>
  <c r="O54" i="4"/>
  <c r="AB54" i="4"/>
  <c r="T54" i="4"/>
  <c r="N54" i="4"/>
  <c r="CI54" i="4"/>
  <c r="CD54" i="4"/>
  <c r="BW54" i="4"/>
  <c r="BV54" i="4"/>
  <c r="BM54" i="4"/>
  <c r="BL54" i="4"/>
  <c r="AU54" i="4"/>
  <c r="BC54" i="4"/>
  <c r="AV54" i="4"/>
  <c r="BD54" i="4"/>
  <c r="AN54" i="4"/>
  <c r="AI54" i="4"/>
  <c r="AE54" i="4"/>
  <c r="AS54" i="4"/>
  <c r="AD54" i="4"/>
  <c r="W54" i="4"/>
  <c r="K54" i="4"/>
  <c r="V54" i="4"/>
  <c r="R54" i="4"/>
  <c r="I54" i="4"/>
  <c r="G54" i="4"/>
  <c r="CC14" i="4"/>
  <c r="CG14" i="4"/>
  <c r="CB14" i="4"/>
  <c r="CF14" i="4"/>
  <c r="CJ14" i="4"/>
  <c r="BU14" i="4"/>
  <c r="BY14" i="4"/>
  <c r="BT14" i="4"/>
  <c r="BX14" i="4"/>
  <c r="BK14" i="4"/>
  <c r="BO14" i="4"/>
  <c r="BL14" i="4"/>
  <c r="AV14" i="4"/>
  <c r="AZ14" i="4"/>
  <c r="BD14" i="4"/>
  <c r="BH14" i="4"/>
  <c r="BN14" i="4"/>
  <c r="AU14" i="4"/>
  <c r="BC14" i="4"/>
  <c r="AW14" i="4"/>
  <c r="BE14" i="4"/>
  <c r="AL14" i="4"/>
  <c r="AP14" i="4"/>
  <c r="AT14" i="4"/>
  <c r="AK14" i="4"/>
  <c r="AC14" i="4"/>
  <c r="AM14" i="4"/>
  <c r="AQ14" i="4"/>
  <c r="AJ14" i="4"/>
  <c r="AH14" i="4"/>
  <c r="Z14" i="4"/>
  <c r="X14" i="4"/>
  <c r="P14" i="4"/>
  <c r="L14" i="4"/>
  <c r="H14" i="4"/>
  <c r="AA14" i="4"/>
  <c r="U14" i="4"/>
  <c r="S14" i="4"/>
  <c r="Q14" i="4"/>
  <c r="M14" i="4"/>
  <c r="J14" i="4"/>
  <c r="CE14" i="4"/>
  <c r="CI14" i="4"/>
  <c r="CD14" i="4"/>
  <c r="CH14" i="4"/>
  <c r="BS14" i="4"/>
  <c r="BW14" i="4"/>
  <c r="CA14" i="4"/>
  <c r="BV14" i="4"/>
  <c r="BZ14" i="4"/>
  <c r="BM14" i="4"/>
  <c r="BQ14" i="4"/>
  <c r="BP14" i="4"/>
  <c r="AX14" i="4"/>
  <c r="BB14" i="4"/>
  <c r="BF14" i="4"/>
  <c r="BJ14" i="4"/>
  <c r="BR14" i="4"/>
  <c r="AY14" i="4"/>
  <c r="BG14" i="4"/>
  <c r="BA14" i="4"/>
  <c r="BI14" i="4"/>
  <c r="AN14" i="4"/>
  <c r="AR14" i="4"/>
  <c r="AI14" i="4"/>
  <c r="AG14" i="4"/>
  <c r="AE14" i="4"/>
  <c r="AO14" i="4"/>
  <c r="AS14" i="4"/>
  <c r="AF14" i="4"/>
  <c r="AD14" i="4"/>
  <c r="Y14" i="4"/>
  <c r="W14" i="4"/>
  <c r="O14" i="4"/>
  <c r="K14" i="4"/>
  <c r="AB14" i="4"/>
  <c r="V14" i="4"/>
  <c r="T14" i="4"/>
  <c r="R14" i="4"/>
  <c r="N14" i="4"/>
  <c r="I14" i="4"/>
  <c r="G14" i="4"/>
  <c r="CE121" i="4"/>
  <c r="CI121" i="4"/>
  <c r="CD121" i="4"/>
  <c r="CH121" i="4"/>
  <c r="BT121" i="4"/>
  <c r="BX121" i="4"/>
  <c r="BS121" i="4"/>
  <c r="CA121" i="4"/>
  <c r="BY121" i="4"/>
  <c r="BL121" i="4"/>
  <c r="BP121" i="4"/>
  <c r="BK121" i="4"/>
  <c r="BO121" i="4"/>
  <c r="AV121" i="4"/>
  <c r="AZ121" i="4"/>
  <c r="BD121" i="4"/>
  <c r="BH121" i="4"/>
  <c r="AW121" i="4"/>
  <c r="BA121" i="4"/>
  <c r="BE121" i="4"/>
  <c r="BI121" i="4"/>
  <c r="AO121" i="4"/>
  <c r="AS121" i="4"/>
  <c r="AF121" i="4"/>
  <c r="AD121" i="4"/>
  <c r="AA121" i="4"/>
  <c r="AN121" i="4"/>
  <c r="AR121" i="4"/>
  <c r="AI121" i="4"/>
  <c r="AG121" i="4"/>
  <c r="AE121" i="4"/>
  <c r="U121" i="4"/>
  <c r="S121" i="4"/>
  <c r="Q121" i="4"/>
  <c r="M121" i="4"/>
  <c r="Z121" i="4"/>
  <c r="X121" i="4"/>
  <c r="P121" i="4"/>
  <c r="L121" i="4"/>
  <c r="J121" i="4"/>
  <c r="CC123" i="4"/>
  <c r="CG123" i="4"/>
  <c r="CB123" i="4"/>
  <c r="CF123" i="4"/>
  <c r="CJ123" i="4"/>
  <c r="BV123" i="4"/>
  <c r="BZ123" i="4"/>
  <c r="BY123" i="4"/>
  <c r="BW123" i="4"/>
  <c r="BJ123" i="4"/>
  <c r="BN123" i="4"/>
  <c r="BR123" i="4"/>
  <c r="BM123" i="4"/>
  <c r="BQ123" i="4"/>
  <c r="AX123" i="4"/>
  <c r="BB123" i="4"/>
  <c r="BF123" i="4"/>
  <c r="AU123" i="4"/>
  <c r="AY123" i="4"/>
  <c r="BC123" i="4"/>
  <c r="BG123" i="4"/>
  <c r="AM123" i="4"/>
  <c r="AQ123" i="4"/>
  <c r="AJ123" i="4"/>
  <c r="AH123" i="4"/>
  <c r="AB123" i="4"/>
  <c r="AL123" i="4"/>
  <c r="AP123" i="4"/>
  <c r="AT123" i="4"/>
  <c r="AK123" i="4"/>
  <c r="AC123" i="4"/>
  <c r="V123" i="4"/>
  <c r="T123" i="4"/>
  <c r="R123" i="4"/>
  <c r="N123" i="4"/>
  <c r="Z123" i="4"/>
  <c r="X123" i="4"/>
  <c r="P123" i="4"/>
  <c r="L123" i="4"/>
  <c r="J123" i="4"/>
  <c r="I123" i="4"/>
  <c r="G121" i="4"/>
  <c r="CB122" i="4"/>
  <c r="CF122" i="4"/>
  <c r="CJ122" i="4"/>
  <c r="CE122" i="4"/>
  <c r="CI122" i="4"/>
  <c r="BU122" i="4"/>
  <c r="BY122" i="4"/>
  <c r="BV122" i="4"/>
  <c r="BT122" i="4"/>
  <c r="BK122" i="4"/>
  <c r="BO122" i="4"/>
  <c r="BJ122" i="4"/>
  <c r="BN122" i="4"/>
  <c r="BR122" i="4"/>
  <c r="AW122" i="4"/>
  <c r="BA122" i="4"/>
  <c r="BE122" i="4"/>
  <c r="BI122" i="4"/>
  <c r="AX122" i="4"/>
  <c r="BB122" i="4"/>
  <c r="BF122" i="4"/>
  <c r="AL122" i="4"/>
  <c r="AP122" i="4"/>
  <c r="AT122" i="4"/>
  <c r="AK122" i="4"/>
  <c r="AC122" i="4"/>
  <c r="AM122" i="4"/>
  <c r="AQ122" i="4"/>
  <c r="CC121" i="4"/>
  <c r="CG121" i="4"/>
  <c r="CB121" i="4"/>
  <c r="CF121" i="4"/>
  <c r="CJ121" i="4"/>
  <c r="BV121" i="4"/>
  <c r="BZ121" i="4"/>
  <c r="BW121" i="4"/>
  <c r="BU121" i="4"/>
  <c r="BJ121" i="4"/>
  <c r="BN121" i="4"/>
  <c r="BR121" i="4"/>
  <c r="BM121" i="4"/>
  <c r="BQ121" i="4"/>
  <c r="AX121" i="4"/>
  <c r="BB121" i="4"/>
  <c r="BF121" i="4"/>
  <c r="AU121" i="4"/>
  <c r="AY121" i="4"/>
  <c r="BC121" i="4"/>
  <c r="BG121" i="4"/>
  <c r="AM121" i="4"/>
  <c r="AQ121" i="4"/>
  <c r="AJ121" i="4"/>
  <c r="AH121" i="4"/>
  <c r="AB121" i="4"/>
  <c r="AL121" i="4"/>
  <c r="AP121" i="4"/>
  <c r="AT121" i="4"/>
  <c r="AK121" i="4"/>
  <c r="AC121" i="4"/>
  <c r="V121" i="4"/>
  <c r="T121" i="4"/>
  <c r="R121" i="4"/>
  <c r="N121" i="4"/>
  <c r="I121" i="4"/>
  <c r="Y121" i="4"/>
  <c r="W121" i="4"/>
  <c r="O121" i="4"/>
  <c r="K121" i="4"/>
  <c r="H121" i="4"/>
  <c r="CE123" i="4"/>
  <c r="CI123" i="4"/>
  <c r="CD123" i="4"/>
  <c r="CH123" i="4"/>
  <c r="BT123" i="4"/>
  <c r="BX123" i="4"/>
  <c r="BU123" i="4"/>
  <c r="BS123" i="4"/>
  <c r="CA123" i="4"/>
  <c r="BL123" i="4"/>
  <c r="BP123" i="4"/>
  <c r="BK123" i="4"/>
  <c r="BO123" i="4"/>
  <c r="AV123" i="4"/>
  <c r="AZ123" i="4"/>
  <c r="BD123" i="4"/>
  <c r="BH123" i="4"/>
  <c r="AW123" i="4"/>
  <c r="BA123" i="4"/>
  <c r="BE123" i="4"/>
  <c r="BI123" i="4"/>
  <c r="AO123" i="4"/>
  <c r="AS123" i="4"/>
  <c r="AF123" i="4"/>
  <c r="AD123" i="4"/>
  <c r="AA123" i="4"/>
  <c r="AN123" i="4"/>
  <c r="AR123" i="4"/>
  <c r="AI123" i="4"/>
  <c r="AG123" i="4"/>
  <c r="AE123" i="4"/>
  <c r="U123" i="4"/>
  <c r="S123" i="4"/>
  <c r="Q123" i="4"/>
  <c r="M123" i="4"/>
  <c r="Y123" i="4"/>
  <c r="W123" i="4"/>
  <c r="O123" i="4"/>
  <c r="K123" i="4"/>
  <c r="H123" i="4"/>
  <c r="G123" i="4"/>
  <c r="CD122" i="4"/>
  <c r="CH122" i="4"/>
  <c r="CC122" i="4"/>
  <c r="CG122" i="4"/>
  <c r="BS122" i="4"/>
  <c r="BW122" i="4"/>
  <c r="CA122" i="4"/>
  <c r="BZ122" i="4"/>
  <c r="BX122" i="4"/>
  <c r="BM122" i="4"/>
  <c r="BQ122" i="4"/>
  <c r="BL122" i="4"/>
  <c r="BP122" i="4"/>
  <c r="AU122" i="4"/>
  <c r="AY122" i="4"/>
  <c r="BC122" i="4"/>
  <c r="BG122" i="4"/>
  <c r="AV122" i="4"/>
  <c r="AZ122" i="4"/>
  <c r="BD122" i="4"/>
  <c r="AN122" i="4"/>
  <c r="AI122" i="4"/>
  <c r="AE122" i="4"/>
  <c r="AS122" i="4"/>
  <c r="AF122" i="4"/>
  <c r="AD122" i="4"/>
  <c r="Y122" i="4"/>
  <c r="W122" i="4"/>
  <c r="O122" i="4"/>
  <c r="K122" i="4"/>
  <c r="AB122" i="4"/>
  <c r="V122" i="4"/>
  <c r="T122" i="4"/>
  <c r="R122" i="4"/>
  <c r="N122" i="4"/>
  <c r="I122" i="4"/>
  <c r="G122" i="4"/>
  <c r="BH122" i="4"/>
  <c r="AR122" i="4"/>
  <c r="AG122" i="4"/>
  <c r="AO122" i="4"/>
  <c r="AJ122" i="4"/>
  <c r="AH122" i="4"/>
  <c r="Z122" i="4"/>
  <c r="X122" i="4"/>
  <c r="P122" i="4"/>
  <c r="L122" i="4"/>
  <c r="J122" i="4"/>
  <c r="AA122" i="4"/>
  <c r="U122" i="4"/>
  <c r="S122" i="4"/>
  <c r="Q122" i="4"/>
  <c r="M122" i="4"/>
  <c r="H122" i="4"/>
  <c r="I89" i="3"/>
  <c r="G91" i="3"/>
  <c r="AF91" i="3"/>
  <c r="AG91" i="3"/>
  <c r="AD91" i="3"/>
  <c r="AA91" i="3"/>
  <c r="Y91" i="3"/>
  <c r="X91" i="3"/>
  <c r="V91" i="3"/>
  <c r="S91" i="3"/>
  <c r="N91" i="3"/>
  <c r="M91" i="3"/>
  <c r="O91" i="3"/>
  <c r="L91" i="3"/>
  <c r="K91" i="3"/>
  <c r="G90" i="3"/>
  <c r="AE91" i="3"/>
  <c r="AC91" i="3"/>
  <c r="AB91" i="3"/>
  <c r="Z91" i="3"/>
  <c r="W91" i="3"/>
  <c r="U91" i="3"/>
  <c r="T91" i="3"/>
  <c r="R91" i="3"/>
  <c r="Q91" i="3"/>
  <c r="P91" i="3"/>
  <c r="I91" i="3"/>
  <c r="H91" i="3"/>
  <c r="J91" i="3"/>
  <c r="G89" i="3"/>
  <c r="AF89" i="3"/>
  <c r="AD89" i="3"/>
  <c r="AA89" i="3"/>
  <c r="Z89" i="3"/>
  <c r="Y89" i="3"/>
  <c r="V89" i="3"/>
  <c r="S89" i="3"/>
  <c r="T89" i="3"/>
  <c r="M89" i="3"/>
  <c r="O89" i="3"/>
  <c r="L89" i="3"/>
  <c r="K89" i="3"/>
  <c r="AG90" i="3"/>
  <c r="AC90" i="3"/>
  <c r="AB90" i="3"/>
  <c r="Y90" i="3"/>
  <c r="AA90" i="3"/>
  <c r="V90" i="3"/>
  <c r="S90" i="3"/>
  <c r="T90" i="3"/>
  <c r="M90" i="3"/>
  <c r="O90" i="3"/>
  <c r="L90" i="3"/>
  <c r="K90" i="3"/>
  <c r="J90" i="3"/>
  <c r="AE89" i="3"/>
  <c r="AG89" i="3"/>
  <c r="AB89" i="3"/>
  <c r="AC89" i="3"/>
  <c r="X89" i="3"/>
  <c r="W89" i="3"/>
  <c r="U89" i="3"/>
  <c r="R89" i="3"/>
  <c r="Q89" i="3"/>
  <c r="P89" i="3"/>
  <c r="N89" i="3"/>
  <c r="H89" i="3"/>
  <c r="J89" i="3"/>
  <c r="AE90" i="3"/>
  <c r="AF90" i="3"/>
  <c r="AD90" i="3"/>
  <c r="Z90" i="3"/>
  <c r="W90" i="3"/>
  <c r="X90" i="3"/>
  <c r="U90" i="3"/>
  <c r="R90" i="3"/>
  <c r="Q90" i="3"/>
  <c r="P90" i="3"/>
  <c r="I90" i="3"/>
  <c r="H90" i="3"/>
  <c r="N90" i="3"/>
  <c r="G49" i="3"/>
  <c r="G51" i="3"/>
  <c r="G50" i="3"/>
  <c r="AE51" i="3"/>
  <c r="AC51" i="3"/>
  <c r="AD51" i="3"/>
  <c r="Z51" i="3"/>
  <c r="W51" i="3"/>
  <c r="U51" i="3"/>
  <c r="V51" i="3"/>
  <c r="R51" i="3"/>
  <c r="Q51" i="3"/>
  <c r="P51" i="3"/>
  <c r="O51" i="3"/>
  <c r="H51" i="3"/>
  <c r="AG50" i="3"/>
  <c r="AC50" i="3"/>
  <c r="AB50" i="3"/>
  <c r="AA50" i="3"/>
  <c r="W50" i="3"/>
  <c r="T50" i="3"/>
  <c r="U50" i="3"/>
  <c r="R50" i="3"/>
  <c r="M50" i="3"/>
  <c r="L50" i="3"/>
  <c r="N50" i="3"/>
  <c r="H50" i="3"/>
  <c r="J50" i="3"/>
  <c r="AF49" i="3"/>
  <c r="AD49" i="3"/>
  <c r="Z49" i="3"/>
  <c r="AB49" i="3"/>
  <c r="Y49" i="3"/>
  <c r="V49" i="3"/>
  <c r="U49" i="3"/>
  <c r="R49" i="3"/>
  <c r="M49" i="3"/>
  <c r="L49" i="3"/>
  <c r="N49" i="3"/>
  <c r="K49" i="3"/>
  <c r="J51" i="3"/>
  <c r="AF51" i="3"/>
  <c r="AG51" i="3"/>
  <c r="AB51" i="3"/>
  <c r="AA51" i="3"/>
  <c r="Y51" i="3"/>
  <c r="X51" i="3"/>
  <c r="T51" i="3"/>
  <c r="S51" i="3"/>
  <c r="N51" i="3"/>
  <c r="M51" i="3"/>
  <c r="L51" i="3"/>
  <c r="I51" i="3"/>
  <c r="K51" i="3"/>
  <c r="AE50" i="3"/>
  <c r="AF50" i="3"/>
  <c r="AD50" i="3"/>
  <c r="Z50" i="3"/>
  <c r="Y50" i="3"/>
  <c r="X50" i="3"/>
  <c r="V50" i="3"/>
  <c r="S50" i="3"/>
  <c r="Q50" i="3"/>
  <c r="P50" i="3"/>
  <c r="O50" i="3"/>
  <c r="I50" i="3"/>
  <c r="K50" i="3"/>
  <c r="AE49" i="3"/>
  <c r="AG49" i="3"/>
  <c r="AA49" i="3"/>
  <c r="AC49" i="3"/>
  <c r="X49" i="3"/>
  <c r="T49" i="3"/>
  <c r="W49" i="3"/>
  <c r="S49" i="3"/>
  <c r="Q49" i="3"/>
  <c r="P49" i="3"/>
  <c r="O49" i="3"/>
  <c r="H49" i="3"/>
  <c r="J49" i="3"/>
  <c r="I49" i="3"/>
  <c r="G26" i="3"/>
  <c r="AG26" i="3"/>
  <c r="AC26" i="3"/>
  <c r="AD26" i="3"/>
  <c r="Y26" i="3"/>
  <c r="AA26" i="3"/>
  <c r="T26" i="3"/>
  <c r="U26" i="3"/>
  <c r="R26" i="3"/>
  <c r="M26" i="3"/>
  <c r="L26" i="3"/>
  <c r="I26" i="3"/>
  <c r="K26" i="3"/>
  <c r="J26" i="3"/>
  <c r="G27" i="3"/>
  <c r="J27" i="3"/>
  <c r="I25" i="3"/>
  <c r="AE26" i="3"/>
  <c r="AF26" i="3"/>
  <c r="AB26" i="3"/>
  <c r="Z26" i="3"/>
  <c r="W26" i="3"/>
  <c r="X26" i="3"/>
  <c r="V26" i="3"/>
  <c r="S26" i="3"/>
  <c r="Q26" i="3"/>
  <c r="P26" i="3"/>
  <c r="O26" i="3"/>
  <c r="H26" i="3"/>
  <c r="N26" i="3"/>
  <c r="G25" i="3"/>
  <c r="AE27" i="3"/>
  <c r="AC27" i="3"/>
  <c r="AA27" i="3"/>
  <c r="AD27" i="3"/>
  <c r="W27" i="3"/>
  <c r="U27" i="3"/>
  <c r="V27" i="3"/>
  <c r="R27" i="3"/>
  <c r="Q27" i="3"/>
  <c r="P27" i="3"/>
  <c r="O27" i="3"/>
  <c r="H27" i="3"/>
  <c r="AE25" i="3"/>
  <c r="AG25" i="3"/>
  <c r="AD25" i="3"/>
  <c r="AA25" i="3"/>
  <c r="X25" i="3"/>
  <c r="T25" i="3"/>
  <c r="V25" i="3"/>
  <c r="S25" i="3"/>
  <c r="Q25" i="3"/>
  <c r="P25" i="3"/>
  <c r="O25" i="3"/>
  <c r="H25" i="3"/>
  <c r="J25" i="3"/>
  <c r="AF27" i="3"/>
  <c r="AG27" i="3"/>
  <c r="AB27" i="3"/>
  <c r="Z27" i="3"/>
  <c r="Y27" i="3"/>
  <c r="X27" i="3"/>
  <c r="T27" i="3"/>
  <c r="S27" i="3"/>
  <c r="N27" i="3"/>
  <c r="M27" i="3"/>
  <c r="L27" i="3"/>
  <c r="I27" i="3"/>
  <c r="K27" i="3"/>
  <c r="AF25" i="3"/>
  <c r="AC25" i="3"/>
  <c r="AB25" i="3"/>
  <c r="Z25" i="3"/>
  <c r="Y25" i="3"/>
  <c r="W25" i="3"/>
  <c r="U25" i="3"/>
  <c r="R25" i="3"/>
  <c r="M25" i="3"/>
  <c r="L25" i="3"/>
  <c r="N25" i="3"/>
  <c r="K25" i="3"/>
  <c r="G253" i="4"/>
  <c r="CB253" i="4"/>
  <c r="CF253" i="4"/>
  <c r="CJ253" i="4"/>
  <c r="CE253" i="4"/>
  <c r="CI253" i="4"/>
  <c r="BU253" i="4"/>
  <c r="BY253" i="4"/>
  <c r="BT253" i="4"/>
  <c r="BJ253" i="4"/>
  <c r="BN253" i="4"/>
  <c r="BR253" i="4"/>
  <c r="BZ253" i="4"/>
  <c r="BO253" i="4"/>
  <c r="BQ253" i="4"/>
  <c r="AX253" i="4"/>
  <c r="BB253" i="4"/>
  <c r="BF253" i="4"/>
  <c r="AM253" i="4"/>
  <c r="AQ253" i="4"/>
  <c r="AJ253" i="4"/>
  <c r="AH253" i="4"/>
  <c r="AB253" i="4"/>
  <c r="AW253" i="4"/>
  <c r="BA253" i="4"/>
  <c r="BE253" i="4"/>
  <c r="BI253" i="4"/>
  <c r="AN253" i="4"/>
  <c r="AR253" i="4"/>
  <c r="AI253" i="4"/>
  <c r="AG253" i="4"/>
  <c r="V253" i="4"/>
  <c r="T253" i="4"/>
  <c r="R253" i="4"/>
  <c r="N253" i="4"/>
  <c r="I253" i="4"/>
  <c r="AA253" i="4"/>
  <c r="Y253" i="4"/>
  <c r="W253" i="4"/>
  <c r="O253" i="4"/>
  <c r="K253" i="4"/>
  <c r="H253" i="4"/>
  <c r="CD253" i="4"/>
  <c r="CH253" i="4"/>
  <c r="CC253" i="4"/>
  <c r="CG253" i="4"/>
  <c r="BS253" i="4"/>
  <c r="BW253" i="4"/>
  <c r="CA253" i="4"/>
  <c r="BX253" i="4"/>
  <c r="BL253" i="4"/>
  <c r="BP253" i="4"/>
  <c r="BV253" i="4"/>
  <c r="BK253" i="4"/>
  <c r="BM253" i="4"/>
  <c r="AV253" i="4"/>
  <c r="AZ253" i="4"/>
  <c r="BD253" i="4"/>
  <c r="BH253" i="4"/>
  <c r="AO253" i="4"/>
  <c r="AS253" i="4"/>
  <c r="AF253" i="4"/>
  <c r="AD253" i="4"/>
  <c r="AU253" i="4"/>
  <c r="AY253" i="4"/>
  <c r="BC253" i="4"/>
  <c r="BG253" i="4"/>
  <c r="AL253" i="4"/>
  <c r="AP253" i="4"/>
  <c r="AT253" i="4"/>
  <c r="AK253" i="4"/>
  <c r="AC253" i="4"/>
  <c r="U253" i="4"/>
  <c r="S253" i="4"/>
  <c r="Q253" i="4"/>
  <c r="M253" i="4"/>
  <c r="AE253" i="4"/>
  <c r="Z253" i="4"/>
  <c r="X253" i="4"/>
  <c r="P253" i="4"/>
  <c r="L253" i="4"/>
  <c r="J253" i="4"/>
  <c r="G205" i="4"/>
  <c r="CC205" i="4"/>
  <c r="CG205" i="4"/>
  <c r="CB205" i="4"/>
  <c r="CF205" i="4"/>
  <c r="CJ205" i="4"/>
  <c r="BU205" i="4"/>
  <c r="BY205" i="4"/>
  <c r="BT205" i="4"/>
  <c r="BX205" i="4"/>
  <c r="BJ205" i="4"/>
  <c r="BN205" i="4"/>
  <c r="BR205" i="4"/>
  <c r="BM205" i="4"/>
  <c r="BQ205" i="4"/>
  <c r="AX205" i="4"/>
  <c r="BB205" i="4"/>
  <c r="BF205" i="4"/>
  <c r="AU205" i="4"/>
  <c r="AY205" i="4"/>
  <c r="BC205" i="4"/>
  <c r="BG205" i="4"/>
  <c r="AO205" i="4"/>
  <c r="AS205" i="4"/>
  <c r="AF205" i="4"/>
  <c r="AD205" i="4"/>
  <c r="BI205" i="4"/>
  <c r="AN205" i="4"/>
  <c r="AR205" i="4"/>
  <c r="AI205" i="4"/>
  <c r="AG205" i="4"/>
  <c r="V205" i="4"/>
  <c r="T205" i="4"/>
  <c r="R205" i="4"/>
  <c r="N205" i="4"/>
  <c r="AE205" i="4"/>
  <c r="Z205" i="4"/>
  <c r="X205" i="4"/>
  <c r="P205" i="4"/>
  <c r="L205" i="4"/>
  <c r="J205" i="4"/>
  <c r="I205" i="4"/>
  <c r="CD206" i="4"/>
  <c r="CH206" i="4"/>
  <c r="CC206" i="4"/>
  <c r="CG206" i="4"/>
  <c r="BT206" i="4"/>
  <c r="BX206" i="4"/>
  <c r="BS206" i="4"/>
  <c r="BW206" i="4"/>
  <c r="CA206" i="4"/>
  <c r="BM206" i="4"/>
  <c r="BQ206" i="4"/>
  <c r="BL206" i="4"/>
  <c r="BP206" i="4"/>
  <c r="AU206" i="4"/>
  <c r="AY206" i="4"/>
  <c r="BC206" i="4"/>
  <c r="BG206" i="4"/>
  <c r="AV206" i="4"/>
  <c r="BD206" i="4"/>
  <c r="AL206" i="4"/>
  <c r="AP206" i="4"/>
  <c r="AT206" i="4"/>
  <c r="AK206" i="4"/>
  <c r="AC206" i="4"/>
  <c r="AX206" i="4"/>
  <c r="BF206" i="4"/>
  <c r="AO206" i="4"/>
  <c r="AS206" i="4"/>
  <c r="AF206" i="4"/>
  <c r="AD206" i="4"/>
  <c r="Z206" i="4"/>
  <c r="X206" i="4"/>
  <c r="P206" i="4"/>
  <c r="L206" i="4"/>
  <c r="AB206" i="4"/>
  <c r="U206" i="4"/>
  <c r="S206" i="4"/>
  <c r="Q206" i="4"/>
  <c r="M206" i="4"/>
  <c r="K206" i="4"/>
  <c r="G206" i="4"/>
  <c r="CE205" i="4"/>
  <c r="CI205" i="4"/>
  <c r="CD205" i="4"/>
  <c r="CH205" i="4"/>
  <c r="BS205" i="4"/>
  <c r="BW205" i="4"/>
  <c r="CA205" i="4"/>
  <c r="BV205" i="4"/>
  <c r="BZ205" i="4"/>
  <c r="BL205" i="4"/>
  <c r="BP205" i="4"/>
  <c r="BK205" i="4"/>
  <c r="BO205" i="4"/>
  <c r="AV205" i="4"/>
  <c r="AZ205" i="4"/>
  <c r="BD205" i="4"/>
  <c r="BH205" i="4"/>
  <c r="AW205" i="4"/>
  <c r="BA205" i="4"/>
  <c r="BE205" i="4"/>
  <c r="AM205" i="4"/>
  <c r="AQ205" i="4"/>
  <c r="AJ205" i="4"/>
  <c r="AH205" i="4"/>
  <c r="AB205" i="4"/>
  <c r="AL205" i="4"/>
  <c r="AP205" i="4"/>
  <c r="AT205" i="4"/>
  <c r="AK205" i="4"/>
  <c r="AC205" i="4"/>
  <c r="U205" i="4"/>
  <c r="S205" i="4"/>
  <c r="Q205" i="4"/>
  <c r="M205" i="4"/>
  <c r="AA205" i="4"/>
  <c r="Y205" i="4"/>
  <c r="W205" i="4"/>
  <c r="O205" i="4"/>
  <c r="K205" i="4"/>
  <c r="H205" i="4"/>
  <c r="CB206" i="4"/>
  <c r="CF206" i="4"/>
  <c r="CJ206" i="4"/>
  <c r="CE206" i="4"/>
  <c r="CI206" i="4"/>
  <c r="BV206" i="4"/>
  <c r="BZ206" i="4"/>
  <c r="BU206" i="4"/>
  <c r="BY206" i="4"/>
  <c r="BK206" i="4"/>
  <c r="BO206" i="4"/>
  <c r="BJ206" i="4"/>
  <c r="BN206" i="4"/>
  <c r="BR206" i="4"/>
  <c r="AW206" i="4"/>
  <c r="BA206" i="4"/>
  <c r="BE206" i="4"/>
  <c r="BI206" i="4"/>
  <c r="AZ206" i="4"/>
  <c r="BH206" i="4"/>
  <c r="AN206" i="4"/>
  <c r="AR206" i="4"/>
  <c r="AI206" i="4"/>
  <c r="AG206" i="4"/>
  <c r="AE206" i="4"/>
  <c r="BB206" i="4"/>
  <c r="AM206" i="4"/>
  <c r="AQ206" i="4"/>
  <c r="AJ206" i="4"/>
  <c r="AH206" i="4"/>
  <c r="AA206" i="4"/>
  <c r="Y206" i="4"/>
  <c r="W206" i="4"/>
  <c r="O206" i="4"/>
  <c r="J206" i="4"/>
  <c r="V206" i="4"/>
  <c r="T206" i="4"/>
  <c r="R206" i="4"/>
  <c r="N206" i="4"/>
  <c r="I206" i="4"/>
  <c r="H206" i="4"/>
  <c r="G181" i="4"/>
  <c r="CC181" i="4"/>
  <c r="CG181" i="4"/>
  <c r="CB181" i="4"/>
  <c r="CF181" i="4"/>
  <c r="CJ181" i="4"/>
  <c r="BU181" i="4"/>
  <c r="BY181" i="4"/>
  <c r="BT181" i="4"/>
  <c r="BX181" i="4"/>
  <c r="BJ181" i="4"/>
  <c r="BN181" i="4"/>
  <c r="BR181" i="4"/>
  <c r="BM181" i="4"/>
  <c r="BQ181" i="4"/>
  <c r="AX181" i="4"/>
  <c r="BB181" i="4"/>
  <c r="BF181" i="4"/>
  <c r="AU181" i="4"/>
  <c r="AY181" i="4"/>
  <c r="BC181" i="4"/>
  <c r="BG181" i="4"/>
  <c r="AM181" i="4"/>
  <c r="AQ181" i="4"/>
  <c r="AJ181" i="4"/>
  <c r="AH181" i="4"/>
  <c r="AB181" i="4"/>
  <c r="AL181" i="4"/>
  <c r="AP181" i="4"/>
  <c r="AT181" i="4"/>
  <c r="AK181" i="4"/>
  <c r="AC181" i="4"/>
  <c r="V181" i="4"/>
  <c r="T181" i="4"/>
  <c r="R181" i="4"/>
  <c r="N181" i="4"/>
  <c r="Z181" i="4"/>
  <c r="X181" i="4"/>
  <c r="P181" i="4"/>
  <c r="L181" i="4"/>
  <c r="J181" i="4"/>
  <c r="I181" i="4"/>
  <c r="CE181" i="4"/>
  <c r="CI181" i="4"/>
  <c r="CD181" i="4"/>
  <c r="CH181" i="4"/>
  <c r="BS181" i="4"/>
  <c r="BW181" i="4"/>
  <c r="CA181" i="4"/>
  <c r="BV181" i="4"/>
  <c r="BZ181" i="4"/>
  <c r="BL181" i="4"/>
  <c r="BP181" i="4"/>
  <c r="BK181" i="4"/>
  <c r="BO181" i="4"/>
  <c r="AV181" i="4"/>
  <c r="AZ181" i="4"/>
  <c r="BD181" i="4"/>
  <c r="BH181" i="4"/>
  <c r="AW181" i="4"/>
  <c r="BA181" i="4"/>
  <c r="BE181" i="4"/>
  <c r="BI181" i="4"/>
  <c r="AO181" i="4"/>
  <c r="AS181" i="4"/>
  <c r="AF181" i="4"/>
  <c r="AD181" i="4"/>
  <c r="AA181" i="4"/>
  <c r="AN181" i="4"/>
  <c r="AR181" i="4"/>
  <c r="AI181" i="4"/>
  <c r="AG181" i="4"/>
  <c r="AE181" i="4"/>
  <c r="U181" i="4"/>
  <c r="S181" i="4"/>
  <c r="Q181" i="4"/>
  <c r="M181" i="4"/>
  <c r="Y181" i="4"/>
  <c r="W181" i="4"/>
  <c r="O181" i="4"/>
  <c r="K181" i="4"/>
  <c r="H181" i="4"/>
  <c r="G109" i="4"/>
  <c r="CD110" i="4"/>
  <c r="CH110" i="4"/>
  <c r="CC110" i="4"/>
  <c r="CG110" i="4"/>
  <c r="BS110" i="4"/>
  <c r="BW110" i="4"/>
  <c r="CA110" i="4"/>
  <c r="BZ110" i="4"/>
  <c r="BX110" i="4"/>
  <c r="BM110" i="4"/>
  <c r="BQ110" i="4"/>
  <c r="BL110" i="4"/>
  <c r="BP110" i="4"/>
  <c r="AU110" i="4"/>
  <c r="AY110" i="4"/>
  <c r="BC110" i="4"/>
  <c r="BG110" i="4"/>
  <c r="AV110" i="4"/>
  <c r="AZ110" i="4"/>
  <c r="BD110" i="4"/>
  <c r="BH110" i="4"/>
  <c r="AN110" i="4"/>
  <c r="AR110" i="4"/>
  <c r="AI110" i="4"/>
  <c r="AG110" i="4"/>
  <c r="AE110" i="4"/>
  <c r="AO110" i="4"/>
  <c r="AS110" i="4"/>
  <c r="AF110" i="4"/>
  <c r="AD110" i="4"/>
  <c r="Y110" i="4"/>
  <c r="W110" i="4"/>
  <c r="O110" i="4"/>
  <c r="K110" i="4"/>
  <c r="AB110" i="4"/>
  <c r="V110" i="4"/>
  <c r="T110" i="4"/>
  <c r="R110" i="4"/>
  <c r="N110" i="4"/>
  <c r="I110" i="4"/>
  <c r="CB110" i="4"/>
  <c r="CF110" i="4"/>
  <c r="CJ110" i="4"/>
  <c r="CE110" i="4"/>
  <c r="CI110" i="4"/>
  <c r="BU110" i="4"/>
  <c r="BY110" i="4"/>
  <c r="BV110" i="4"/>
  <c r="BT110" i="4"/>
  <c r="BK110" i="4"/>
  <c r="BO110" i="4"/>
  <c r="BJ110" i="4"/>
  <c r="BN110" i="4"/>
  <c r="BR110" i="4"/>
  <c r="AW110" i="4"/>
  <c r="BA110" i="4"/>
  <c r="BE110" i="4"/>
  <c r="BI110" i="4"/>
  <c r="AX110" i="4"/>
  <c r="BB110" i="4"/>
  <c r="BF110" i="4"/>
  <c r="AL110" i="4"/>
  <c r="AP110" i="4"/>
  <c r="AT110" i="4"/>
  <c r="AK110" i="4"/>
  <c r="AC110" i="4"/>
  <c r="AM110" i="4"/>
  <c r="AQ110" i="4"/>
  <c r="AJ110" i="4"/>
  <c r="AH110" i="4"/>
  <c r="Z110" i="4"/>
  <c r="X110" i="4"/>
  <c r="P110" i="4"/>
  <c r="L110" i="4"/>
  <c r="H110" i="4"/>
  <c r="AA110" i="4"/>
  <c r="U110" i="4"/>
  <c r="S110" i="4"/>
  <c r="Q110" i="4"/>
  <c r="M110" i="4"/>
  <c r="J110" i="4"/>
  <c r="CE109" i="4"/>
  <c r="CI109" i="4"/>
  <c r="CD109" i="4"/>
  <c r="CH109" i="4"/>
  <c r="BT109" i="4"/>
  <c r="BX109" i="4"/>
  <c r="BS109" i="4"/>
  <c r="CA109" i="4"/>
  <c r="BY109" i="4"/>
  <c r="BL109" i="4"/>
  <c r="BP109" i="4"/>
  <c r="BK109" i="4"/>
  <c r="BO109" i="4"/>
  <c r="AV109" i="4"/>
  <c r="AZ109" i="4"/>
  <c r="BD109" i="4"/>
  <c r="BH109" i="4"/>
  <c r="AW109" i="4"/>
  <c r="BA109" i="4"/>
  <c r="BE109" i="4"/>
  <c r="BI109" i="4"/>
  <c r="AO109" i="4"/>
  <c r="AS109" i="4"/>
  <c r="AF109" i="4"/>
  <c r="AD109" i="4"/>
  <c r="AA109" i="4"/>
  <c r="AN109" i="4"/>
  <c r="AR109" i="4"/>
  <c r="AI109" i="4"/>
  <c r="AG109" i="4"/>
  <c r="AE109" i="4"/>
  <c r="U109" i="4"/>
  <c r="S109" i="4"/>
  <c r="Q109" i="4"/>
  <c r="M109" i="4"/>
  <c r="Z109" i="4"/>
  <c r="X109" i="4"/>
  <c r="P109" i="4"/>
  <c r="L109" i="4"/>
  <c r="J109" i="4"/>
  <c r="CC109" i="4"/>
  <c r="CG109" i="4"/>
  <c r="CB109" i="4"/>
  <c r="CF109" i="4"/>
  <c r="CJ109" i="4"/>
  <c r="BV109" i="4"/>
  <c r="BZ109" i="4"/>
  <c r="BW109" i="4"/>
  <c r="BU109" i="4"/>
  <c r="BJ109" i="4"/>
  <c r="BN109" i="4"/>
  <c r="BR109" i="4"/>
  <c r="BM109" i="4"/>
  <c r="BQ109" i="4"/>
  <c r="AX109" i="4"/>
  <c r="BB109" i="4"/>
  <c r="BF109" i="4"/>
  <c r="AU109" i="4"/>
  <c r="AY109" i="4"/>
  <c r="BC109" i="4"/>
  <c r="BG109" i="4"/>
  <c r="AM109" i="4"/>
  <c r="AQ109" i="4"/>
  <c r="AJ109" i="4"/>
  <c r="AH109" i="4"/>
  <c r="AB109" i="4"/>
  <c r="AL109" i="4"/>
  <c r="AP109" i="4"/>
  <c r="AT109" i="4"/>
  <c r="AK109" i="4"/>
  <c r="AC109" i="4"/>
  <c r="V109" i="4"/>
  <c r="T109" i="4"/>
  <c r="R109" i="4"/>
  <c r="N109" i="4"/>
  <c r="I109" i="4"/>
  <c r="Y109" i="4"/>
  <c r="W109" i="4"/>
  <c r="O109" i="4"/>
  <c r="K109" i="4"/>
  <c r="H109" i="4"/>
  <c r="G110" i="4"/>
  <c r="G85" i="3"/>
  <c r="K85" i="3"/>
  <c r="AG86" i="3"/>
  <c r="AE86" i="3"/>
  <c r="AB86" i="3"/>
  <c r="AA86" i="3"/>
  <c r="X86" i="3"/>
  <c r="V86" i="3"/>
  <c r="U86" i="3"/>
  <c r="S86" i="3"/>
  <c r="O86" i="3"/>
  <c r="Q86" i="3"/>
  <c r="K86" i="3"/>
  <c r="I86" i="3"/>
  <c r="L86" i="3"/>
  <c r="AF86" i="3"/>
  <c r="AC86" i="3"/>
  <c r="AD86" i="3"/>
  <c r="Y86" i="3"/>
  <c r="Z86" i="3"/>
  <c r="W86" i="3"/>
  <c r="T86" i="3"/>
  <c r="R86" i="3"/>
  <c r="N86" i="3"/>
  <c r="M86" i="3"/>
  <c r="J86" i="3"/>
  <c r="P86" i="3"/>
  <c r="H86" i="3"/>
  <c r="G86" i="3"/>
  <c r="AG85" i="3"/>
  <c r="AE85" i="3"/>
  <c r="AC85" i="3"/>
  <c r="AB85" i="3"/>
  <c r="Z85" i="3"/>
  <c r="V85" i="3"/>
  <c r="U85" i="3"/>
  <c r="S85" i="3"/>
  <c r="O85" i="3"/>
  <c r="Q85" i="3"/>
  <c r="P85" i="3"/>
  <c r="I85" i="3"/>
  <c r="H85" i="3"/>
  <c r="AF85" i="3"/>
  <c r="AD85" i="3"/>
  <c r="AA85" i="3"/>
  <c r="Y85" i="3"/>
  <c r="X85" i="3"/>
  <c r="W85" i="3"/>
  <c r="T85" i="3"/>
  <c r="R85" i="3"/>
  <c r="N85" i="3"/>
  <c r="M85" i="3"/>
  <c r="J85" i="3"/>
  <c r="L85" i="3"/>
  <c r="K45" i="3"/>
  <c r="AF46" i="3"/>
  <c r="AD46" i="3"/>
  <c r="AE46" i="3"/>
  <c r="Y46" i="3"/>
  <c r="Z46" i="3"/>
  <c r="U46" i="3"/>
  <c r="T46" i="3"/>
  <c r="R46" i="3"/>
  <c r="N46" i="3"/>
  <c r="M46" i="3"/>
  <c r="P46" i="3"/>
  <c r="I46" i="3"/>
  <c r="H46" i="3"/>
  <c r="AG46" i="3"/>
  <c r="AC46" i="3"/>
  <c r="AB46" i="3"/>
  <c r="AA46" i="3"/>
  <c r="X46" i="3"/>
  <c r="V46" i="3"/>
  <c r="W46" i="3"/>
  <c r="S46" i="3"/>
  <c r="O46" i="3"/>
  <c r="Q46" i="3"/>
  <c r="K46" i="3"/>
  <c r="J46" i="3"/>
  <c r="L46" i="3"/>
  <c r="G46" i="3"/>
  <c r="AG45" i="3"/>
  <c r="AE45" i="3"/>
  <c r="AA45" i="3"/>
  <c r="AB45" i="3"/>
  <c r="Z45" i="3"/>
  <c r="V45" i="3"/>
  <c r="W45" i="3"/>
  <c r="S45" i="3"/>
  <c r="O45" i="3"/>
  <c r="Q45" i="3"/>
  <c r="P45" i="3"/>
  <c r="J45" i="3"/>
  <c r="H45" i="3"/>
  <c r="G45" i="3"/>
  <c r="AF45" i="3"/>
  <c r="AD45" i="3"/>
  <c r="AC45" i="3"/>
  <c r="Y45" i="3"/>
  <c r="X45" i="3"/>
  <c r="U45" i="3"/>
  <c r="T45" i="3"/>
  <c r="R45" i="3"/>
  <c r="N45" i="3"/>
  <c r="M45" i="3"/>
  <c r="L45" i="3"/>
  <c r="I45" i="3"/>
  <c r="K21" i="3"/>
  <c r="G22" i="3"/>
  <c r="AG21" i="3"/>
  <c r="AC21" i="3"/>
  <c r="AD21" i="3"/>
  <c r="AB21" i="3"/>
  <c r="X21" i="3"/>
  <c r="W21" i="3"/>
  <c r="U21" i="3"/>
  <c r="T21" i="3"/>
  <c r="O21" i="3"/>
  <c r="Q21" i="3"/>
  <c r="P21" i="3"/>
  <c r="J21" i="3"/>
  <c r="H21" i="3"/>
  <c r="AF22" i="3"/>
  <c r="AB22" i="3"/>
  <c r="AC22" i="3"/>
  <c r="Y22" i="3"/>
  <c r="Z22" i="3"/>
  <c r="W22" i="3"/>
  <c r="T22" i="3"/>
  <c r="R22" i="3"/>
  <c r="N22" i="3"/>
  <c r="M22" i="3"/>
  <c r="J22" i="3"/>
  <c r="I22" i="3"/>
  <c r="H22" i="3"/>
  <c r="G21" i="3"/>
  <c r="AF21" i="3"/>
  <c r="AE21" i="3"/>
  <c r="AA21" i="3"/>
  <c r="Y21" i="3"/>
  <c r="Z21" i="3"/>
  <c r="V21" i="3"/>
  <c r="S21" i="3"/>
  <c r="R21" i="3"/>
  <c r="N21" i="3"/>
  <c r="M21" i="3"/>
  <c r="L21" i="3"/>
  <c r="I21" i="3"/>
  <c r="AG22" i="3"/>
  <c r="AE22" i="3"/>
  <c r="AD22" i="3"/>
  <c r="AA22" i="3"/>
  <c r="X22" i="3"/>
  <c r="V22" i="3"/>
  <c r="U22" i="3"/>
  <c r="S22" i="3"/>
  <c r="O22" i="3"/>
  <c r="Q22" i="3"/>
  <c r="K22" i="3"/>
  <c r="L22" i="3"/>
  <c r="P22" i="3"/>
  <c r="AL19" i="3" l="1"/>
  <c r="AM19" i="3"/>
  <c r="Y32" i="2"/>
  <c r="Z34" i="2"/>
  <c r="Y33" i="2"/>
  <c r="AA34" i="2"/>
  <c r="Z33" i="2"/>
  <c r="AA33" i="2"/>
  <c r="Z32" i="2"/>
  <c r="Y34" i="2"/>
  <c r="AA32" i="2"/>
  <c r="CQ7" i="4"/>
  <c r="CQ8" i="4"/>
  <c r="CS10" i="4"/>
  <c r="CR13" i="4"/>
  <c r="CR10" i="4"/>
  <c r="CQ13" i="4"/>
  <c r="CS15" i="4"/>
  <c r="CR18" i="4"/>
  <c r="CQ21" i="4"/>
  <c r="CS23" i="4"/>
  <c r="CR15" i="4"/>
  <c r="CQ18" i="4"/>
  <c r="CS20" i="4"/>
  <c r="CR23" i="4"/>
  <c r="CS26" i="4"/>
  <c r="CQ30" i="4"/>
  <c r="CR27" i="4"/>
  <c r="CQ27" i="4"/>
  <c r="CR30" i="4"/>
  <c r="CQ33" i="4"/>
  <c r="CS32" i="4"/>
  <c r="CS7" i="4"/>
  <c r="CS8" i="4"/>
  <c r="CR11" i="4"/>
  <c r="CR8" i="4"/>
  <c r="CQ11" i="4"/>
  <c r="CS13" i="4"/>
  <c r="CS16" i="4"/>
  <c r="CQ19" i="4"/>
  <c r="CS21" i="4"/>
  <c r="CR24" i="4"/>
  <c r="CQ16" i="4"/>
  <c r="CS18" i="4"/>
  <c r="CR21" i="4"/>
  <c r="CQ24" i="4"/>
  <c r="CQ26" i="4"/>
  <c r="CQ25" i="4"/>
  <c r="CQ28" i="4"/>
  <c r="CR28" i="4"/>
  <c r="CQ31" i="4"/>
  <c r="CS33" i="4"/>
  <c r="CR33" i="4"/>
  <c r="AL4" i="3"/>
  <c r="AL6" i="3"/>
  <c r="AL10" i="3"/>
  <c r="AN7" i="3"/>
  <c r="AM4" i="3"/>
  <c r="AM5" i="3"/>
  <c r="AM9" i="3"/>
  <c r="AN3" i="3"/>
  <c r="AN4" i="3"/>
  <c r="AN6" i="3"/>
  <c r="AN9" i="3"/>
  <c r="AM3" i="3"/>
  <c r="AM7" i="3"/>
  <c r="R3" i="2"/>
  <c r="S2" i="2"/>
  <c r="S4" i="2"/>
  <c r="S3" i="2"/>
  <c r="T3" i="2"/>
  <c r="CR9" i="4"/>
  <c r="CQ12" i="4"/>
  <c r="CQ9" i="4"/>
  <c r="CS11" i="4"/>
  <c r="CR14" i="4"/>
  <c r="CQ17" i="4"/>
  <c r="CS19" i="4"/>
  <c r="CR22" i="4"/>
  <c r="CQ14" i="4"/>
  <c r="CR16" i="4"/>
  <c r="CR19" i="4"/>
  <c r="CQ22" i="4"/>
  <c r="CS24" i="4"/>
  <c r="CS27" i="4"/>
  <c r="CS25" i="4"/>
  <c r="CR29" i="4"/>
  <c r="CQ29" i="4"/>
  <c r="CS31" i="4"/>
  <c r="CR31" i="4"/>
  <c r="CR7" i="4"/>
  <c r="CQ10" i="4"/>
  <c r="CS12" i="4"/>
  <c r="CS9" i="4"/>
  <c r="CR12" i="4"/>
  <c r="CQ15" i="4"/>
  <c r="CS17" i="4"/>
  <c r="CR20" i="4"/>
  <c r="CQ23" i="4"/>
  <c r="CU23" i="4" s="1"/>
  <c r="CS14" i="4"/>
  <c r="CR17" i="4"/>
  <c r="CQ20" i="4"/>
  <c r="CS22" i="4"/>
  <c r="CR25" i="4"/>
  <c r="CS28" i="4"/>
  <c r="CR26" i="4"/>
  <c r="CS30" i="4"/>
  <c r="CS29" i="4"/>
  <c r="CR32" i="4"/>
  <c r="CQ32" i="4"/>
  <c r="AL3" i="3"/>
  <c r="AL5" i="3"/>
  <c r="AL9" i="3"/>
  <c r="AN10" i="3"/>
  <c r="AN11" i="3"/>
  <c r="AM8" i="3"/>
  <c r="AL8" i="3"/>
  <c r="AL7" i="3"/>
  <c r="AN5" i="3"/>
  <c r="AN8" i="3"/>
  <c r="AM6" i="3"/>
  <c r="AM10" i="3"/>
  <c r="AM11" i="3"/>
  <c r="AO11" i="3" s="1"/>
  <c r="R2" i="2"/>
  <c r="R4" i="2"/>
  <c r="T2" i="2"/>
  <c r="T4" i="2"/>
  <c r="AO7" i="3" l="1"/>
  <c r="AO3" i="3"/>
  <c r="AO9" i="3"/>
  <c r="AU19" i="3"/>
  <c r="AL33" i="3" s="1"/>
  <c r="CU20" i="4"/>
  <c r="CU15" i="4"/>
  <c r="CU10" i="4"/>
  <c r="U4" i="2"/>
  <c r="AO8" i="3"/>
  <c r="CU22" i="4"/>
  <c r="CU17" i="4"/>
  <c r="CU12" i="4"/>
  <c r="U3" i="2"/>
  <c r="AO6" i="3"/>
  <c r="CU31" i="4"/>
  <c r="CU28" i="4"/>
  <c r="CU26" i="4"/>
  <c r="CU16" i="4"/>
  <c r="CU11" i="4"/>
  <c r="CU33" i="4"/>
  <c r="CU27" i="4"/>
  <c r="CU30" i="4"/>
  <c r="CU18" i="4"/>
  <c r="CU13" i="4"/>
  <c r="CU8" i="4"/>
  <c r="U2" i="2"/>
  <c r="AO5" i="3"/>
  <c r="CU32" i="4"/>
  <c r="CU29" i="4"/>
  <c r="CU14" i="4"/>
  <c r="CU9" i="4"/>
  <c r="AO10" i="3"/>
  <c r="AO4" i="3"/>
  <c r="CU25" i="4"/>
  <c r="CU24" i="4"/>
  <c r="CU19" i="4"/>
  <c r="CU21" i="4"/>
  <c r="CU7" i="4"/>
  <c r="AN33" i="3" l="1"/>
  <c r="AO33" i="3"/>
  <c r="AQ33" i="3"/>
  <c r="AR33" i="3"/>
  <c r="AS33" i="3"/>
  <c r="AT33" i="3"/>
  <c r="AP33" i="3"/>
  <c r="AU24" i="3"/>
  <c r="AM33" i="3"/>
  <c r="AO12" i="3"/>
  <c r="CU34" i="4"/>
  <c r="U5" i="2"/>
  <c r="W3" i="2" s="1"/>
  <c r="Y3" i="2"/>
  <c r="S10" i="2"/>
  <c r="R10" i="2"/>
  <c r="S8" i="2"/>
  <c r="R8" i="2"/>
  <c r="R9" i="2"/>
  <c r="T9" i="2"/>
  <c r="T10" i="2"/>
  <c r="S9" i="2"/>
  <c r="T8" i="2"/>
  <c r="AU33" i="3" l="1"/>
  <c r="R13" i="2" a="1"/>
  <c r="X3" i="2"/>
  <c r="AA3" i="2" a="1"/>
  <c r="U9" i="2"/>
  <c r="U8" i="2"/>
  <c r="U10" i="2"/>
  <c r="R14" i="2" l="1"/>
  <c r="S15" i="2"/>
  <c r="R13" i="2"/>
  <c r="S14" i="2"/>
  <c r="T15" i="2"/>
  <c r="S13" i="2"/>
  <c r="T14" i="2"/>
  <c r="T13" i="2"/>
  <c r="R15" i="2"/>
  <c r="AA3" i="2"/>
  <c r="AB3" i="2"/>
  <c r="AC3" i="2"/>
  <c r="R18" i="2" l="1" a="1"/>
  <c r="R18" i="2" l="1"/>
  <c r="S18" i="2"/>
  <c r="T18" i="2"/>
  <c r="S20" i="2"/>
  <c r="T20" i="2"/>
  <c r="T19" i="2"/>
  <c r="R20" i="2"/>
  <c r="R19" i="2"/>
  <c r="S19" i="2"/>
  <c r="R28" i="2" l="1" a="1"/>
  <c r="R23" i="2" a="1"/>
  <c r="R23" i="2" l="1"/>
  <c r="S23" i="2"/>
  <c r="T23" i="2"/>
  <c r="S25" i="2"/>
  <c r="T25" i="2"/>
  <c r="T24" i="2"/>
  <c r="R25" i="2"/>
  <c r="R24" i="2"/>
  <c r="S24" i="2"/>
  <c r="R29" i="2"/>
  <c r="S30" i="2"/>
  <c r="R28" i="2"/>
  <c r="W7" i="2" s="1" a="1"/>
  <c r="S29" i="2"/>
  <c r="T30" i="2"/>
  <c r="S28" i="2"/>
  <c r="T29" i="2"/>
  <c r="T28" i="2"/>
  <c r="R30" i="2"/>
  <c r="W7" i="2" l="1"/>
  <c r="X7" i="2"/>
  <c r="Y7" i="2"/>
</calcChain>
</file>

<file path=xl/sharedStrings.xml><?xml version="1.0" encoding="utf-8"?>
<sst xmlns="http://schemas.openxmlformats.org/spreadsheetml/2006/main" count="942" uniqueCount="204">
  <si>
    <t>Date</t>
  </si>
  <si>
    <t>Open</t>
  </si>
  <si>
    <t>High</t>
  </si>
  <si>
    <t>Low</t>
  </si>
  <si>
    <t>Close</t>
  </si>
  <si>
    <t>Column1</t>
  </si>
  <si>
    <t>States</t>
  </si>
  <si>
    <t>STATES in numeric format</t>
  </si>
  <si>
    <t>Upper limit</t>
  </si>
  <si>
    <t xml:space="preserve"> lower limit</t>
  </si>
  <si>
    <t>Down/Down</t>
  </si>
  <si>
    <t>Down/Constant</t>
  </si>
  <si>
    <t>Down/Up</t>
  </si>
  <si>
    <t>Constant/down</t>
  </si>
  <si>
    <t>Constant/Constant</t>
  </si>
  <si>
    <t>Constant/up</t>
  </si>
  <si>
    <t>Up/Down</t>
  </si>
  <si>
    <t>Up/constant</t>
  </si>
  <si>
    <t>Up/up</t>
  </si>
  <si>
    <t>Down/Up,Up</t>
  </si>
  <si>
    <t>Down/down,down</t>
  </si>
  <si>
    <t>Down/down,up</t>
  </si>
  <si>
    <t>Down/up,down</t>
  </si>
  <si>
    <t>Down/const,const</t>
  </si>
  <si>
    <t>Down/up,const</t>
  </si>
  <si>
    <t>Down/down,const</t>
  </si>
  <si>
    <t>Down/const,up</t>
  </si>
  <si>
    <t>Down/const,down</t>
  </si>
  <si>
    <t>Up/down,down</t>
  </si>
  <si>
    <t>Up/Up,Up</t>
  </si>
  <si>
    <t>up/down,up</t>
  </si>
  <si>
    <t>Up/up,down</t>
  </si>
  <si>
    <t>Up/const,const</t>
  </si>
  <si>
    <t>Up/up,const</t>
  </si>
  <si>
    <t>Up/down,const</t>
  </si>
  <si>
    <t>Up/const,up</t>
  </si>
  <si>
    <t>Up/const,down</t>
  </si>
  <si>
    <t>Const/Up,Up</t>
  </si>
  <si>
    <t>Const/down,down</t>
  </si>
  <si>
    <t>Const/down,up</t>
  </si>
  <si>
    <t>Const/up,down</t>
  </si>
  <si>
    <t>Const/const,const</t>
  </si>
  <si>
    <t>Const/up,const</t>
  </si>
  <si>
    <t>Const/down,const</t>
  </si>
  <si>
    <t>Const/const,up</t>
  </si>
  <si>
    <t>Const/const,down</t>
  </si>
  <si>
    <t>down/up,down,constant</t>
  </si>
  <si>
    <t>down/1,1,1</t>
  </si>
  <si>
    <t>const/1,1,1</t>
  </si>
  <si>
    <t>up/1,1,1</t>
  </si>
  <si>
    <t>down/1,1,-1</t>
  </si>
  <si>
    <t>const/1,1,-1</t>
  </si>
  <si>
    <t>up/1,1,-1</t>
  </si>
  <si>
    <t>down/1,-1,1</t>
  </si>
  <si>
    <t>const/1,-1,1</t>
  </si>
  <si>
    <t>up/1,-1,1</t>
  </si>
  <si>
    <t>down/-1,1,1</t>
  </si>
  <si>
    <t>const/-1/1/1</t>
  </si>
  <si>
    <t>up/-1,1,1</t>
  </si>
  <si>
    <t>down/1,-1,-1</t>
  </si>
  <si>
    <t>const/1,-1,-1</t>
  </si>
  <si>
    <t>up/1,-1,-1</t>
  </si>
  <si>
    <t>down/-1,-1,1</t>
  </si>
  <si>
    <t>const/-1,-1,1</t>
  </si>
  <si>
    <t>up/-1,-1,1</t>
  </si>
  <si>
    <t>down/-1,-1,-1</t>
  </si>
  <si>
    <t>const/-1,-1,-1</t>
  </si>
  <si>
    <t>up/-1,-1,-1</t>
  </si>
  <si>
    <t>down/-1,1,-1</t>
  </si>
  <si>
    <t>const/-1,1,-1</t>
  </si>
  <si>
    <t>up/-1,1,-1</t>
  </si>
  <si>
    <t>down/1,1,0</t>
  </si>
  <si>
    <t>const/1,1,0</t>
  </si>
  <si>
    <t>up/1,1,0</t>
  </si>
  <si>
    <t>down/1,0,1</t>
  </si>
  <si>
    <t>const/1,0,1</t>
  </si>
  <si>
    <t>up/1,0,1</t>
  </si>
  <si>
    <t>down/0,1,1</t>
  </si>
  <si>
    <t>const/0,1,1</t>
  </si>
  <si>
    <t>up/0,1,1</t>
  </si>
  <si>
    <t>down/0,0,1</t>
  </si>
  <si>
    <t>const/0,0,1</t>
  </si>
  <si>
    <t>up/0,0,1</t>
  </si>
  <si>
    <t>down/0,1,0</t>
  </si>
  <si>
    <t>const/0,1,0</t>
  </si>
  <si>
    <t>up/0,1,0</t>
  </si>
  <si>
    <t>down/1,0,0</t>
  </si>
  <si>
    <t>const/1,0,0</t>
  </si>
  <si>
    <t>up/1,0,0</t>
  </si>
  <si>
    <t>down/-1,-1,0</t>
  </si>
  <si>
    <t>const/-1,-1,0</t>
  </si>
  <si>
    <t>up/-1,-1,0</t>
  </si>
  <si>
    <t>down/-1,0,-1</t>
  </si>
  <si>
    <t>const/-1,0,-1</t>
  </si>
  <si>
    <t>up/-1,0,-1</t>
  </si>
  <si>
    <t>down/0,-1,-1</t>
  </si>
  <si>
    <t>const/0,-1,-1</t>
  </si>
  <si>
    <t>up/0,-1,-1</t>
  </si>
  <si>
    <t>down/0,1,-1</t>
  </si>
  <si>
    <t>const/0,1,-1</t>
  </si>
  <si>
    <t>up/0,1,-1</t>
  </si>
  <si>
    <t>down/0,-1,1</t>
  </si>
  <si>
    <t>const/0,-1,1</t>
  </si>
  <si>
    <t>up/0,-1,1</t>
  </si>
  <si>
    <t>down/1,0,-1</t>
  </si>
  <si>
    <t>const/1,0,-1</t>
  </si>
  <si>
    <t>up/1,0,-1</t>
  </si>
  <si>
    <t>down/-1,0,1</t>
  </si>
  <si>
    <t>const/-1,0,1</t>
  </si>
  <si>
    <t>up/-1,0,1</t>
  </si>
  <si>
    <t>down/1,-1,0</t>
  </si>
  <si>
    <t>const/1,-1,0</t>
  </si>
  <si>
    <t>up/1,-1,0</t>
  </si>
  <si>
    <t>down/-1,1,0</t>
  </si>
  <si>
    <t>const/-1,1,0</t>
  </si>
  <si>
    <t>up/-1,1,0</t>
  </si>
  <si>
    <t>down/0,0,-1</t>
  </si>
  <si>
    <t>const/0,0,-1</t>
  </si>
  <si>
    <t>up/0,0,-1</t>
  </si>
  <si>
    <t>down/0,-1,0</t>
  </si>
  <si>
    <t>const/0,-1,0</t>
  </si>
  <si>
    <t>up/0,-1,0</t>
  </si>
  <si>
    <t>down/-1,0,0</t>
  </si>
  <si>
    <t>const/-1,0,0</t>
  </si>
  <si>
    <t>up/-1,0,0</t>
  </si>
  <si>
    <t>down/0,0,0</t>
  </si>
  <si>
    <t>const/0,0,0</t>
  </si>
  <si>
    <t>up/0,0,0</t>
  </si>
  <si>
    <t>Frequency Total</t>
  </si>
  <si>
    <t>Total</t>
  </si>
  <si>
    <t>p1</t>
  </si>
  <si>
    <t>p2</t>
  </si>
  <si>
    <t>p4</t>
  </si>
  <si>
    <t>Row sum</t>
  </si>
  <si>
    <t>initial state vector</t>
  </si>
  <si>
    <t>4.3 refer nepse paper</t>
  </si>
  <si>
    <t>p3</t>
  </si>
  <si>
    <t>p5</t>
  </si>
  <si>
    <t>Nepal paper example</t>
  </si>
  <si>
    <t>freq</t>
  </si>
  <si>
    <t>freq sum</t>
  </si>
  <si>
    <t>prob</t>
  </si>
  <si>
    <t>ln</t>
  </si>
  <si>
    <t>freq*ln</t>
  </si>
  <si>
    <t>lambda(k,n)</t>
  </si>
  <si>
    <t>Eta</t>
  </si>
  <si>
    <t>AIC(k,m)</t>
  </si>
  <si>
    <t>1st order</t>
  </si>
  <si>
    <t>lambda(1,2)</t>
  </si>
  <si>
    <t>2nd order</t>
  </si>
  <si>
    <t>lambda(1,3)</t>
  </si>
  <si>
    <t>min(AIC)=</t>
  </si>
  <si>
    <t>3rd order</t>
  </si>
  <si>
    <t>lambda(2,3)</t>
  </si>
  <si>
    <t>min(AIC)(1,3)=</t>
  </si>
  <si>
    <t>min(AIC)(k,m)</t>
  </si>
  <si>
    <t>k=1</t>
  </si>
  <si>
    <t>*</t>
  </si>
  <si>
    <t>Therefore,</t>
  </si>
  <si>
    <t>sum(n*log(p))</t>
  </si>
  <si>
    <t>1,1</t>
  </si>
  <si>
    <t>(-1,-1)</t>
  </si>
  <si>
    <t>(1,-1)</t>
  </si>
  <si>
    <t>(-1,1)</t>
  </si>
  <si>
    <t>0,0</t>
  </si>
  <si>
    <t>0,1</t>
  </si>
  <si>
    <t>0,-1</t>
  </si>
  <si>
    <t>1,0</t>
  </si>
  <si>
    <t>(-1,0)</t>
  </si>
  <si>
    <t>(1,0)</t>
  </si>
  <si>
    <t>(0,-1)</t>
  </si>
  <si>
    <t>(0,1)</t>
  </si>
  <si>
    <t>(0,0)</t>
  </si>
  <si>
    <t>(1,1)</t>
  </si>
  <si>
    <t>down</t>
  </si>
  <si>
    <t>up</t>
  </si>
  <si>
    <t>constant</t>
  </si>
  <si>
    <t>Match</t>
  </si>
  <si>
    <t>Column2</t>
  </si>
  <si>
    <t>Column3</t>
  </si>
  <si>
    <t>Column4</t>
  </si>
  <si>
    <t>Column5</t>
  </si>
  <si>
    <t>Column6</t>
  </si>
  <si>
    <t>Column7</t>
  </si>
  <si>
    <t>48+95</t>
  </si>
  <si>
    <t>Predicted state</t>
  </si>
  <si>
    <t>dp</t>
  </si>
  <si>
    <t>Actual states</t>
  </si>
  <si>
    <t>random numbers</t>
  </si>
  <si>
    <t>Predictions(0.001)</t>
  </si>
  <si>
    <t>Predictions(0.01)</t>
  </si>
  <si>
    <t>Column8</t>
  </si>
  <si>
    <t>your call</t>
  </si>
  <si>
    <t>Actual(0.01)</t>
  </si>
  <si>
    <t>Column9</t>
  </si>
  <si>
    <t>Column10</t>
  </si>
  <si>
    <t>Actual(0.001)</t>
  </si>
  <si>
    <t>Actual</t>
  </si>
  <si>
    <t>Forecasted</t>
  </si>
  <si>
    <t>When Actual state was -1</t>
  </si>
  <si>
    <t>Number of correct predictions</t>
  </si>
  <si>
    <t>number of wrong predictions</t>
  </si>
  <si>
    <t>When Actual state was 0</t>
  </si>
  <si>
    <t>When Actual state was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</si>
</sst>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4">
    <xf numFmtId="0" fontId="0" fillId="0" borderId="0" xfId="0"/>
    <xf numFmtId="15" fontId="0" fillId="0" borderId="0" xfId="0" applyNumberFormat="1"/>
    <xf numFmtId="0" fontId="16" fillId="0" borderId="0" xfId="0" applyFont="1"/>
    <xf numFmtId="0" fontId="0" fillId="0" borderId="0" xfId="0" applyNumberFormat="1"/>
    <xf numFmtId="0" fontId="16" fillId="0" borderId="0" xfId="0" quotePrefix="1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0" borderId="0" xfId="0" applyNumberFormat="1"/>
    <xf numFmtId="0" fontId="8" fillId="4" borderId="0" xfId="8"/>
    <xf numFmtId="0" fontId="7" fillId="3" borderId="0" xfId="7"/>
    <xf numFmtId="0" fontId="6" fillId="2" borderId="0" xfId="6"/>
    <xf numFmtId="0" fontId="0" fillId="0" borderId="0" xfId="0"/>
    <xf numFmtId="0" fontId="0" fillId="8" borderId="8" xfId="15" applyFont="1"/>
    <xf numFmtId="0" fontId="1" fillId="10" borderId="0" xfId="19"/>
    <xf numFmtId="0" fontId="6" fillId="2" borderId="8" xfId="6" applyBorder="1"/>
    <xf numFmtId="0" fontId="0" fillId="0" borderId="0" xfId="0" applyFill="1" applyBorder="1"/>
    <xf numFmtId="0" fontId="0" fillId="0" borderId="13" xfId="0" applyFill="1" applyBorder="1"/>
    <xf numFmtId="0" fontId="19" fillId="0" borderId="0" xfId="0" applyFont="1"/>
    <xf numFmtId="0" fontId="19" fillId="33" borderId="0" xfId="0" applyFont="1" applyFill="1"/>
    <xf numFmtId="0" fontId="19" fillId="33" borderId="18" xfId="0" applyFont="1" applyFill="1" applyBorder="1"/>
    <xf numFmtId="14" fontId="0" fillId="0" borderId="0" xfId="0" applyNumberFormat="1"/>
    <xf numFmtId="15" fontId="19" fillId="33" borderId="0" xfId="0" applyNumberFormat="1" applyFont="1" applyFill="1"/>
    <xf numFmtId="0" fontId="19" fillId="33" borderId="0" xfId="0" applyNumberFormat="1" applyFont="1" applyFill="1"/>
    <xf numFmtId="15" fontId="19" fillId="0" borderId="0" xfId="0" applyNumberFormat="1" applyFont="1"/>
    <xf numFmtId="0" fontId="19" fillId="0" borderId="0" xfId="0" applyNumberFormat="1" applyFont="1"/>
    <xf numFmtId="15" fontId="19" fillId="33" borderId="18" xfId="0" applyNumberFormat="1" applyFont="1" applyFill="1" applyBorder="1"/>
    <xf numFmtId="0" fontId="19" fillId="33" borderId="18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20" formatCode="dd/mmm/yy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d/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d/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556260</xdr:colOff>
          <xdr:row>3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number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</xdr:row>
          <xdr:rowOff>0</xdr:rowOff>
        </xdr:from>
        <xdr:to>
          <xdr:col>12</xdr:col>
          <xdr:colOff>594360</xdr:colOff>
          <xdr:row>2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random numbers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AG396" totalsRowShown="0" headerRowDxfId="29">
  <autoFilter ref="A1:AG396" xr:uid="{00000000-0009-0000-0100-000002000000}"/>
  <tableColumns count="33">
    <tableColumn id="1" xr3:uid="{00000000-0010-0000-0000-000001000000}" name="Date" dataDxfId="28"/>
    <tableColumn id="2" xr3:uid="{00000000-0010-0000-0000-000002000000}" name="Close"/>
    <tableColumn id="3" xr3:uid="{00000000-0010-0000-0000-000003000000}" name=" lower limit" dataDxfId="27">
      <calculatedColumnFormula>Table2[[#This Row],[Close]]-0.001*Table2[[#This Row],[Close]]</calculatedColumnFormula>
    </tableColumn>
    <tableColumn id="4" xr3:uid="{00000000-0010-0000-0000-000004000000}" name="Upper limit" dataDxfId="26">
      <calculatedColumnFormula>Table2[[#This Row],[Close]]+0.001*Table2[[#This Row],[Close]]</calculatedColumnFormula>
    </tableColumn>
    <tableColumn id="5" xr3:uid="{00000000-0010-0000-0000-000005000000}" name="States" dataDxfId="25">
      <calculatedColumnFormula>IF(Table2[[#This Row],[Close]]&gt;D1,"up",IF(Table2[[#This Row],[Close]]&lt;C1,"down","constant"))</calculatedColumnFormula>
    </tableColumn>
    <tableColumn id="6" xr3:uid="{00000000-0010-0000-0000-000006000000}" name="STATES in numeric format" dataDxfId="24">
      <calculatedColumnFormula>IF(Table1[[#This Row],[Column1]]="Up",1,IF(Table1[[#This Row],[Column1]]="Down",-1,0))</calculatedColumnFormula>
    </tableColumn>
    <tableColumn id="7" xr3:uid="{00000000-0010-0000-0000-000007000000}" name="Down/Up,Up"/>
    <tableColumn id="8" xr3:uid="{00000000-0010-0000-0000-000008000000}" name="Down/down,down"/>
    <tableColumn id="9" xr3:uid="{00000000-0010-0000-0000-000009000000}" name="Down/down,up"/>
    <tableColumn id="10" xr3:uid="{00000000-0010-0000-0000-00000A000000}" name="Down/up,down"/>
    <tableColumn id="11" xr3:uid="{00000000-0010-0000-0000-00000B000000}" name="Down/const,const"/>
    <tableColumn id="12" xr3:uid="{00000000-0010-0000-0000-00000C000000}" name="Down/up,const"/>
    <tableColumn id="13" xr3:uid="{00000000-0010-0000-0000-00000D000000}" name="Down/down,const"/>
    <tableColumn id="14" xr3:uid="{00000000-0010-0000-0000-00000E000000}" name="Down/const,up"/>
    <tableColumn id="15" xr3:uid="{00000000-0010-0000-0000-00000F000000}" name="Down/const,down"/>
    <tableColumn id="16" xr3:uid="{00000000-0010-0000-0000-000010000000}" name="Up/Up,Up"/>
    <tableColumn id="17" xr3:uid="{00000000-0010-0000-0000-000011000000}" name="Up/down,down"/>
    <tableColumn id="18" xr3:uid="{00000000-0010-0000-0000-000012000000}" name="up/down,up"/>
    <tableColumn id="19" xr3:uid="{00000000-0010-0000-0000-000013000000}" name="Up/up,down"/>
    <tableColumn id="20" xr3:uid="{00000000-0010-0000-0000-000014000000}" name="Up/const,const"/>
    <tableColumn id="21" xr3:uid="{00000000-0010-0000-0000-000015000000}" name="Up/up,const"/>
    <tableColumn id="22" xr3:uid="{00000000-0010-0000-0000-000016000000}" name="Up/down,const"/>
    <tableColumn id="23" xr3:uid="{00000000-0010-0000-0000-000017000000}" name="Up/const,up"/>
    <tableColumn id="24" xr3:uid="{00000000-0010-0000-0000-000018000000}" name="Up/const,down"/>
    <tableColumn id="25" xr3:uid="{00000000-0010-0000-0000-000019000000}" name="Const/Up,Up"/>
    <tableColumn id="26" xr3:uid="{00000000-0010-0000-0000-00001A000000}" name="Const/down,down"/>
    <tableColumn id="27" xr3:uid="{00000000-0010-0000-0000-00001B000000}" name="Const/down,up"/>
    <tableColumn id="28" xr3:uid="{00000000-0010-0000-0000-00001C000000}" name="Const/up,down"/>
    <tableColumn id="29" xr3:uid="{00000000-0010-0000-0000-00001D000000}" name="Const/const,const"/>
    <tableColumn id="30" xr3:uid="{00000000-0010-0000-0000-00001E000000}" name="Const/up,const"/>
    <tableColumn id="31" xr3:uid="{00000000-0010-0000-0000-00001F000000}" name="Const/down,const"/>
    <tableColumn id="32" xr3:uid="{00000000-0010-0000-0000-000020000000}" name="Const/const,up"/>
    <tableColumn id="33" xr3:uid="{00000000-0010-0000-0000-000021000000}" name="Const/const,dow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0C9331-82D1-416A-89D4-0D59390AF24B}" name="Table4" displayName="Table4" ref="A14:J164" totalsRowShown="0">
  <autoFilter ref="A14:J164" xr:uid="{430C9331-82D1-416A-89D4-0D59390AF24B}">
    <filterColumn colId="4">
      <filters>
        <filter val="up"/>
      </filters>
    </filterColumn>
    <filterColumn colId="5">
      <filters>
        <filter val="up"/>
      </filters>
    </filterColumn>
  </autoFilter>
  <tableColumns count="10">
    <tableColumn id="1" xr3:uid="{6649ED11-D72A-4EBF-B9B9-23CB53DE5416}" name="Column1" dataDxfId="23"/>
    <tableColumn id="2" xr3:uid="{D4EDC2CE-A971-42AF-96AE-16C57B12EC63}" name="Column2"/>
    <tableColumn id="3" xr3:uid="{BCB0267D-43DA-4F9D-8CCC-E4166F9A52FC}" name="Column3"/>
    <tableColumn id="4" xr3:uid="{FE89FCF6-D9CD-4A5C-AA27-3F8D5225F439}" name="Column4"/>
    <tableColumn id="5" xr3:uid="{2664B400-BA32-4279-B927-7FF9C7D8851C}" name="Column5"/>
    <tableColumn id="6" xr3:uid="{F7E97F6D-678F-4F9E-916C-2AA15C92AF25}" name="Column6"/>
    <tableColumn id="7" xr3:uid="{1D23A1AA-4431-47B6-9DDB-CD636FA1C31E}" name="Column7">
      <calculatedColumnFormula>E15=F15</calculatedColumnFormula>
    </tableColumn>
    <tableColumn id="8" xr3:uid="{7DBC056C-0421-46BB-BF8F-CF5271DF2561}" name="Column8"/>
    <tableColumn id="9" xr3:uid="{0AD2F5A9-5DD9-4E7E-AC5D-7A7A403CFD0C}" name="Column9"/>
    <tableColumn id="10" xr3:uid="{BD927794-7AEF-4CAF-AD03-DD18C4299E55}" name="Column10" dataDxfId="22">
      <calculatedColumnFormula>Table4[[#This Row],[Column8]]=Table4[[#This Row],[Column9]]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O396" totalsRowShown="0" headerRowDxfId="21">
  <autoFilter ref="A1:O396" xr:uid="{00000000-0009-0000-0100-000001000000}"/>
  <tableColumns count="15">
    <tableColumn id="1" xr3:uid="{00000000-0010-0000-0100-000001000000}" name="Date" dataDxfId="20"/>
    <tableColumn id="2" xr3:uid="{00000000-0010-0000-0100-000002000000}" name="Close"/>
    <tableColumn id="6" xr3:uid="{00000000-0010-0000-0100-000006000000}" name=" lower limit" dataDxfId="19">
      <calculatedColumnFormula>Table1[[#This Row],[Close]]-0.001*Table1[[#This Row],[Close]]</calculatedColumnFormula>
    </tableColumn>
    <tableColumn id="7" xr3:uid="{00000000-0010-0000-0100-000007000000}" name="Upper limit" dataDxfId="18">
      <calculatedColumnFormula>Table1[[#This Row],[Close]]+0.001*Table1[[#This Row],[Close]]</calculatedColumnFormula>
    </tableColumn>
    <tableColumn id="8" xr3:uid="{00000000-0010-0000-0100-000008000000}" name="Column1" dataDxfId="17">
      <calculatedColumnFormula>IF(Table1[[#This Row],[Close]]&gt;D1,"UP",IF(Table1[[#This Row],[Close]]&lt;C1,"Down","Constant"))</calculatedColumnFormula>
    </tableColumn>
    <tableColumn id="9" xr3:uid="{00000000-0010-0000-0100-000009000000}" name="STATES in numeric format" dataDxfId="16">
      <calculatedColumnFormula>IF(Table1[[#This Row],[Column1]]="Up",1,IF(Table1[[#This Row],[Column1]]="Down",-1,0))</calculatedColumnFormula>
    </tableColumn>
    <tableColumn id="11" xr3:uid="{00000000-0010-0000-0100-00000B000000}" name="Down/Down" dataDxfId="15">
      <calculatedColumnFormula>IF(AND(Table1[[#This Row],[STATES in numeric format]]=-1,F1=-1),1,0)</calculatedColumnFormula>
    </tableColumn>
    <tableColumn id="12" xr3:uid="{00000000-0010-0000-0100-00000C000000}" name="Down/Constant" dataDxfId="14">
      <calculatedColumnFormula>IF(AND(Table1[[#This Row],[STATES in numeric format]]=-1,F1=0),1,0)</calculatedColumnFormula>
    </tableColumn>
    <tableColumn id="13" xr3:uid="{00000000-0010-0000-0100-00000D000000}" name="Down/Up" dataDxfId="13">
      <calculatedColumnFormula>IF(AND(Table1[[#This Row],[STATES in numeric format]]=-1,F1=1),1,0)</calculatedColumnFormula>
    </tableColumn>
    <tableColumn id="14" xr3:uid="{00000000-0010-0000-0100-00000E000000}" name="Constant/down" dataDxfId="12">
      <calculatedColumnFormula>IF(AND(Table1[[#This Row],[STATES in numeric format]]=0,F1=-1),1,0)</calculatedColumnFormula>
    </tableColumn>
    <tableColumn id="15" xr3:uid="{00000000-0010-0000-0100-00000F000000}" name="Constant/Constant" dataDxfId="11">
      <calculatedColumnFormula>IF(AND(Table1[[#This Row],[STATES in numeric format]]=0,F1=0),1,0)</calculatedColumnFormula>
    </tableColumn>
    <tableColumn id="16" xr3:uid="{00000000-0010-0000-0100-000010000000}" name="Constant/up" dataDxfId="10">
      <calculatedColumnFormula>IF(AND(Table1[[#This Row],[STATES in numeric format]]=0,F1=1),1,0)</calculatedColumnFormula>
    </tableColumn>
    <tableColumn id="17" xr3:uid="{00000000-0010-0000-0100-000011000000}" name="Up/Down" dataDxfId="9">
      <calculatedColumnFormula>IF(AND(Table1[[#This Row],[STATES in numeric format]]=1,F1=-1),1,0)</calculatedColumnFormula>
    </tableColumn>
    <tableColumn id="18" xr3:uid="{00000000-0010-0000-0100-000012000000}" name="Up/constant" dataDxfId="8">
      <calculatedColumnFormula>IF(AND(Table1[[#This Row],[STATES in numeric format]]=1,F1=0),1,0)</calculatedColumnFormula>
    </tableColumn>
    <tableColumn id="19" xr3:uid="{00000000-0010-0000-0100-000013000000}" name="Up/up" dataDxfId="7">
      <calculatedColumnFormula>IF(AND(Table1[[#This Row],[STATES in numeric format]]=1,F1=1),1,0)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FE4350-A2AF-4461-8AFE-3DCB64F9D83E}" name="Table5" displayName="Table5" ref="A7:G152" totalsRowShown="0" dataDxfId="6">
  <autoFilter ref="A7:G152" xr:uid="{47FE4350-A2AF-4461-8AFE-3DCB64F9D83E}"/>
  <tableColumns count="7">
    <tableColumn id="1" xr3:uid="{270047F2-FAD1-4125-9348-9FA72209ECF8}" name="Column1" dataDxfId="5"/>
    <tableColumn id="2" xr3:uid="{B7A9187F-4817-476B-9C07-B23020B64B6F}" name="Column2" dataDxfId="4"/>
    <tableColumn id="3" xr3:uid="{DFF2678D-4025-4B3F-9EF2-6655400ECE13}" name="Column3" dataDxfId="3">
      <calculatedColumnFormula>Table1[[#This Row],[Close]]-0.001*Table1[[#This Row],[Close]]</calculatedColumnFormula>
    </tableColumn>
    <tableColumn id="4" xr3:uid="{D0E465C9-3CC4-4440-A22A-4418C03D5027}" name="Column4" dataDxfId="2">
      <calculatedColumnFormula>Table1[[#This Row],[Close]]+0.001*Table1[[#This Row],[Close]]</calculatedColumnFormula>
    </tableColumn>
    <tableColumn id="5" xr3:uid="{69427F4E-7045-4EBE-B40F-24D5EA505FD4}" name="Column5" dataDxfId="1">
      <calculatedColumnFormula>IF(Table1[[#This Row],[Close]]&gt;D7,"UP",IF(Table1[[#This Row],[Close]]&lt;C7,"Down","Constant"))</calculatedColumnFormula>
    </tableColumn>
    <tableColumn id="6" xr3:uid="{6A5E4855-9D3D-4927-A14B-077B3349FE11}" name="Column6"/>
    <tableColumn id="7" xr3:uid="{11336A6A-B714-41B7-B8AA-86017FCE6C79}" name="Column7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D13:G16" totalsRowShown="0">
  <autoFilter ref="D13:G16" xr:uid="{00000000-0009-0000-0100-000003000000}"/>
  <tableColumns count="4">
    <tableColumn id="1" xr3:uid="{00000000-0010-0000-0200-000001000000}" name="*" dataCellStyle="Good"/>
    <tableColumn id="2" xr3:uid="{00000000-0010-0000-0200-000002000000}" name="lambda(k,n)" dataCellStyle="Note"/>
    <tableColumn id="3" xr3:uid="{00000000-0010-0000-0200-000003000000}" name="Eta" dataCellStyle="Note">
      <calculatedColumnFormula>-2*LN(E14)</calculatedColumnFormula>
    </tableColumn>
    <tableColumn id="4" xr3:uid="{00000000-0010-0000-0200-000004000000}" name="AIC(k,m)" dataDxfId="0" dataCellStyle="Not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2477"/>
  <sheetViews>
    <sheetView workbookViewId="0"/>
  </sheetViews>
  <sheetFormatPr defaultRowHeight="14.4" x14ac:dyDescent="0.3"/>
  <cols>
    <col min="1" max="1" width="9.886718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3">
      <c r="A2" s="1">
        <v>40756</v>
      </c>
      <c r="B2">
        <v>18352.23</v>
      </c>
      <c r="C2">
        <v>18440.07</v>
      </c>
      <c r="D2">
        <v>18219.25</v>
      </c>
      <c r="E2">
        <v>18314.330000000002</v>
      </c>
    </row>
    <row r="3" spans="1:5" hidden="1" x14ac:dyDescent="0.3">
      <c r="A3" s="1">
        <v>40757</v>
      </c>
      <c r="B3">
        <v>18283.55</v>
      </c>
      <c r="C3">
        <v>18283.55</v>
      </c>
      <c r="D3">
        <v>18037.87</v>
      </c>
      <c r="E3">
        <v>18109.89</v>
      </c>
    </row>
    <row r="4" spans="1:5" hidden="1" x14ac:dyDescent="0.3">
      <c r="A4" s="1">
        <v>40758</v>
      </c>
      <c r="B4">
        <v>17970.189999999999</v>
      </c>
      <c r="C4">
        <v>18005.759999999998</v>
      </c>
      <c r="D4">
        <v>17859.5</v>
      </c>
      <c r="E4">
        <v>17940.55</v>
      </c>
    </row>
    <row r="5" spans="1:5" hidden="1" x14ac:dyDescent="0.3">
      <c r="A5" s="1">
        <v>40759</v>
      </c>
      <c r="B5">
        <v>17983.86</v>
      </c>
      <c r="C5">
        <v>18032.55</v>
      </c>
      <c r="D5">
        <v>17664.73</v>
      </c>
      <c r="E5">
        <v>17693.18</v>
      </c>
    </row>
    <row r="6" spans="1:5" hidden="1" x14ac:dyDescent="0.3">
      <c r="A6" s="1">
        <v>40760</v>
      </c>
      <c r="B6">
        <v>17350.37</v>
      </c>
      <c r="C6">
        <v>17358.18</v>
      </c>
      <c r="D6">
        <v>16990.91</v>
      </c>
      <c r="E6">
        <v>17305.87</v>
      </c>
    </row>
    <row r="7" spans="1:5" hidden="1" x14ac:dyDescent="0.3">
      <c r="A7" s="1">
        <v>40763</v>
      </c>
      <c r="B7">
        <v>16907.57</v>
      </c>
      <c r="C7">
        <v>17247.87</v>
      </c>
      <c r="D7">
        <v>16759.45</v>
      </c>
      <c r="E7">
        <v>16990.18</v>
      </c>
    </row>
    <row r="8" spans="1:5" hidden="1" x14ac:dyDescent="0.3">
      <c r="A8" s="1">
        <v>40764</v>
      </c>
      <c r="B8">
        <v>16517.87</v>
      </c>
      <c r="C8">
        <v>17135.04</v>
      </c>
      <c r="D8">
        <v>16432</v>
      </c>
      <c r="E8">
        <v>16857.91</v>
      </c>
    </row>
    <row r="9" spans="1:5" hidden="1" x14ac:dyDescent="0.3">
      <c r="A9" s="1">
        <v>40765</v>
      </c>
      <c r="B9">
        <v>17244.71</v>
      </c>
      <c r="C9">
        <v>17256.46</v>
      </c>
      <c r="D9">
        <v>17022.25</v>
      </c>
      <c r="E9">
        <v>17130.509999999998</v>
      </c>
    </row>
    <row r="10" spans="1:5" hidden="1" x14ac:dyDescent="0.3">
      <c r="A10" s="1">
        <v>40766</v>
      </c>
      <c r="B10">
        <v>17056.61</v>
      </c>
      <c r="C10">
        <v>17207.82</v>
      </c>
      <c r="D10">
        <v>17012.95</v>
      </c>
      <c r="E10">
        <v>17059.400000000001</v>
      </c>
    </row>
    <row r="11" spans="1:5" hidden="1" x14ac:dyDescent="0.3">
      <c r="A11" s="1">
        <v>40767</v>
      </c>
      <c r="B11">
        <v>17246.88</v>
      </c>
      <c r="C11">
        <v>17246.88</v>
      </c>
      <c r="D11">
        <v>16784.560000000001</v>
      </c>
      <c r="E11">
        <v>16839.63</v>
      </c>
    </row>
    <row r="12" spans="1:5" hidden="1" x14ac:dyDescent="0.3">
      <c r="A12" s="1">
        <v>40771</v>
      </c>
      <c r="B12">
        <v>17015.990000000002</v>
      </c>
      <c r="C12">
        <v>17035.490000000002</v>
      </c>
      <c r="D12">
        <v>16673.52</v>
      </c>
      <c r="E12">
        <v>16730.939999999999</v>
      </c>
    </row>
    <row r="13" spans="1:5" hidden="1" x14ac:dyDescent="0.3">
      <c r="A13" s="1">
        <v>40772</v>
      </c>
      <c r="B13">
        <v>16782.240000000002</v>
      </c>
      <c r="C13">
        <v>17000.38</v>
      </c>
      <c r="D13">
        <v>16708.98</v>
      </c>
      <c r="E13">
        <v>16840.8</v>
      </c>
    </row>
    <row r="14" spans="1:5" hidden="1" x14ac:dyDescent="0.3">
      <c r="A14" s="1">
        <v>40773</v>
      </c>
      <c r="B14">
        <v>16910.27</v>
      </c>
      <c r="C14">
        <v>16916.810000000001</v>
      </c>
      <c r="D14">
        <v>16433.310000000001</v>
      </c>
      <c r="E14">
        <v>16469.79</v>
      </c>
    </row>
    <row r="15" spans="1:5" hidden="1" x14ac:dyDescent="0.3">
      <c r="A15" s="1">
        <v>40774</v>
      </c>
      <c r="B15">
        <v>16237.78</v>
      </c>
      <c r="C15">
        <v>16287.72</v>
      </c>
      <c r="D15">
        <v>15987.77</v>
      </c>
      <c r="E15">
        <v>16141.67</v>
      </c>
    </row>
    <row r="16" spans="1:5" hidden="1" x14ac:dyDescent="0.3">
      <c r="A16" s="1">
        <v>40777</v>
      </c>
      <c r="B16">
        <v>16155.99</v>
      </c>
      <c r="C16">
        <v>16370.46</v>
      </c>
      <c r="D16">
        <v>16046.48</v>
      </c>
      <c r="E16">
        <v>16341.7</v>
      </c>
    </row>
    <row r="17" spans="1:5" hidden="1" x14ac:dyDescent="0.3">
      <c r="A17" s="1">
        <v>40778</v>
      </c>
      <c r="B17">
        <v>16446.849999999999</v>
      </c>
      <c r="C17">
        <v>16549.21</v>
      </c>
      <c r="D17">
        <v>16213.18</v>
      </c>
      <c r="E17">
        <v>16498.47</v>
      </c>
    </row>
    <row r="18" spans="1:5" hidden="1" x14ac:dyDescent="0.3">
      <c r="A18" s="1">
        <v>40779</v>
      </c>
      <c r="B18">
        <v>16490.78</v>
      </c>
      <c r="C18">
        <v>16533.22</v>
      </c>
      <c r="D18">
        <v>16253.78</v>
      </c>
      <c r="E18">
        <v>16284.98</v>
      </c>
    </row>
    <row r="19" spans="1:5" hidden="1" x14ac:dyDescent="0.3">
      <c r="A19" s="1">
        <v>40780</v>
      </c>
      <c r="B19">
        <v>16338.14</v>
      </c>
      <c r="C19">
        <v>16373.84</v>
      </c>
      <c r="D19">
        <v>16104.34</v>
      </c>
      <c r="E19">
        <v>16146.33</v>
      </c>
    </row>
    <row r="20" spans="1:5" hidden="1" x14ac:dyDescent="0.3">
      <c r="A20" s="1">
        <v>40781</v>
      </c>
      <c r="B20">
        <v>16155.55</v>
      </c>
      <c r="C20">
        <v>16256.38</v>
      </c>
      <c r="D20">
        <v>15765.53</v>
      </c>
      <c r="E20">
        <v>15848.83</v>
      </c>
    </row>
    <row r="21" spans="1:5" hidden="1" x14ac:dyDescent="0.3">
      <c r="A21" s="1">
        <v>40784</v>
      </c>
      <c r="B21">
        <v>16080.74</v>
      </c>
      <c r="C21">
        <v>16462.03</v>
      </c>
      <c r="D21">
        <v>16068.73</v>
      </c>
      <c r="E21">
        <v>16416.330000000002</v>
      </c>
    </row>
    <row r="22" spans="1:5" hidden="1" x14ac:dyDescent="0.3">
      <c r="A22" s="1">
        <v>40785</v>
      </c>
      <c r="B22">
        <v>16585.099999999999</v>
      </c>
      <c r="C22">
        <v>16714.7</v>
      </c>
      <c r="D22">
        <v>16443.349999999999</v>
      </c>
      <c r="E22">
        <v>16676.75</v>
      </c>
    </row>
    <row r="23" spans="1:5" hidden="1" x14ac:dyDescent="0.3">
      <c r="A23" s="1">
        <v>40788</v>
      </c>
      <c r="B23">
        <v>16963.669999999998</v>
      </c>
      <c r="C23">
        <v>16989.86</v>
      </c>
      <c r="D23">
        <v>16688.060000000001</v>
      </c>
      <c r="E23">
        <v>16821.46</v>
      </c>
    </row>
    <row r="24" spans="1:5" hidden="1" x14ac:dyDescent="0.3">
      <c r="A24" s="1">
        <v>40791</v>
      </c>
      <c r="B24">
        <v>16678.34</v>
      </c>
      <c r="C24">
        <v>16760.07</v>
      </c>
      <c r="D24">
        <v>16561.46</v>
      </c>
      <c r="E24">
        <v>16713.330000000002</v>
      </c>
    </row>
    <row r="25" spans="1:5" hidden="1" x14ac:dyDescent="0.3">
      <c r="A25" s="1">
        <v>40792</v>
      </c>
      <c r="B25">
        <v>16663.73</v>
      </c>
      <c r="C25">
        <v>16894.73</v>
      </c>
      <c r="D25">
        <v>16488.3</v>
      </c>
      <c r="E25">
        <v>16862.810000000001</v>
      </c>
    </row>
    <row r="26" spans="1:5" hidden="1" x14ac:dyDescent="0.3">
      <c r="A26" s="1">
        <v>40793</v>
      </c>
      <c r="B26">
        <v>16922.310000000001</v>
      </c>
      <c r="C26">
        <v>17157.21</v>
      </c>
      <c r="D26">
        <v>16922.310000000001</v>
      </c>
      <c r="E26">
        <v>17065</v>
      </c>
    </row>
    <row r="27" spans="1:5" hidden="1" x14ac:dyDescent="0.3">
      <c r="A27" s="1">
        <v>40794</v>
      </c>
      <c r="B27">
        <v>17118.080000000002</v>
      </c>
      <c r="C27">
        <v>17209.66</v>
      </c>
      <c r="D27">
        <v>16987.37</v>
      </c>
      <c r="E27">
        <v>17165.54</v>
      </c>
    </row>
    <row r="28" spans="1:5" hidden="1" x14ac:dyDescent="0.3">
      <c r="A28" s="1">
        <v>40795</v>
      </c>
      <c r="B28">
        <v>17189.75</v>
      </c>
      <c r="C28">
        <v>17211.8</v>
      </c>
      <c r="D28">
        <v>16830.95</v>
      </c>
      <c r="E28">
        <v>16866.97</v>
      </c>
    </row>
    <row r="29" spans="1:5" hidden="1" x14ac:dyDescent="0.3">
      <c r="A29" s="1">
        <v>40798</v>
      </c>
      <c r="B29">
        <v>16668.25</v>
      </c>
      <c r="C29">
        <v>16668.25</v>
      </c>
      <c r="D29">
        <v>16393.04</v>
      </c>
      <c r="E29">
        <v>16501.740000000002</v>
      </c>
    </row>
    <row r="30" spans="1:5" hidden="1" x14ac:dyDescent="0.3">
      <c r="A30" s="1">
        <v>40799</v>
      </c>
      <c r="B30">
        <v>16618.169999999998</v>
      </c>
      <c r="C30">
        <v>16766.189999999999</v>
      </c>
      <c r="D30">
        <v>16374.68</v>
      </c>
      <c r="E30">
        <v>16467.439999999999</v>
      </c>
    </row>
    <row r="31" spans="1:5" hidden="1" x14ac:dyDescent="0.3">
      <c r="A31" s="1">
        <v>40800</v>
      </c>
      <c r="B31">
        <v>16522.71</v>
      </c>
      <c r="C31">
        <v>16754.22</v>
      </c>
      <c r="D31">
        <v>16387.38</v>
      </c>
      <c r="E31">
        <v>16709.599999999999</v>
      </c>
    </row>
    <row r="32" spans="1:5" hidden="1" x14ac:dyDescent="0.3">
      <c r="A32" s="1">
        <v>40801</v>
      </c>
      <c r="B32">
        <v>16837.759999999998</v>
      </c>
      <c r="C32">
        <v>16922.400000000001</v>
      </c>
      <c r="D32">
        <v>16545.47</v>
      </c>
      <c r="E32">
        <v>16876.54</v>
      </c>
    </row>
    <row r="33" spans="1:5" hidden="1" x14ac:dyDescent="0.3">
      <c r="A33" s="1">
        <v>40802</v>
      </c>
      <c r="B33">
        <v>17047.73</v>
      </c>
      <c r="C33">
        <v>17122.54</v>
      </c>
      <c r="D33">
        <v>16889.580000000002</v>
      </c>
      <c r="E33">
        <v>16933.830000000002</v>
      </c>
    </row>
    <row r="34" spans="1:5" hidden="1" x14ac:dyDescent="0.3">
      <c r="A34" s="1">
        <v>40805</v>
      </c>
      <c r="B34">
        <v>16865.93</v>
      </c>
      <c r="C34">
        <v>16865.93</v>
      </c>
      <c r="D34">
        <v>16709.41</v>
      </c>
      <c r="E34">
        <v>16745.349999999999</v>
      </c>
    </row>
    <row r="35" spans="1:5" hidden="1" x14ac:dyDescent="0.3">
      <c r="A35" s="1">
        <v>40806</v>
      </c>
      <c r="B35">
        <v>16768.63</v>
      </c>
      <c r="C35">
        <v>17135.439999999999</v>
      </c>
      <c r="D35">
        <v>16758.689999999999</v>
      </c>
      <c r="E35">
        <v>17099.28</v>
      </c>
    </row>
    <row r="36" spans="1:5" hidden="1" x14ac:dyDescent="0.3">
      <c r="A36" s="1">
        <v>40807</v>
      </c>
      <c r="B36">
        <v>17128.830000000002</v>
      </c>
      <c r="C36">
        <v>17191.12</v>
      </c>
      <c r="D36">
        <v>17000.61</v>
      </c>
      <c r="E36">
        <v>17065.150000000001</v>
      </c>
    </row>
    <row r="37" spans="1:5" hidden="1" x14ac:dyDescent="0.3">
      <c r="A37" s="1">
        <v>40808</v>
      </c>
      <c r="B37">
        <v>16827.849999999999</v>
      </c>
      <c r="C37">
        <v>16833.61</v>
      </c>
      <c r="D37">
        <v>16316.03</v>
      </c>
      <c r="E37">
        <v>16361.15</v>
      </c>
    </row>
    <row r="38" spans="1:5" hidden="1" x14ac:dyDescent="0.3">
      <c r="A38" s="1">
        <v>40809</v>
      </c>
      <c r="B38">
        <v>16222.37</v>
      </c>
      <c r="C38">
        <v>16368.41</v>
      </c>
      <c r="D38">
        <v>16052.47</v>
      </c>
      <c r="E38">
        <v>16162.06</v>
      </c>
    </row>
    <row r="39" spans="1:5" hidden="1" x14ac:dyDescent="0.3">
      <c r="A39" s="1">
        <v>40812</v>
      </c>
      <c r="B39">
        <v>16209.19</v>
      </c>
      <c r="C39">
        <v>16209.19</v>
      </c>
      <c r="D39">
        <v>15801.01</v>
      </c>
      <c r="E39">
        <v>16051.1</v>
      </c>
    </row>
    <row r="40" spans="1:5" hidden="1" x14ac:dyDescent="0.3">
      <c r="A40" s="1">
        <v>40813</v>
      </c>
      <c r="B40">
        <v>16289.32</v>
      </c>
      <c r="C40">
        <v>16551.650000000001</v>
      </c>
      <c r="D40">
        <v>16282.74</v>
      </c>
      <c r="E40">
        <v>16524.03</v>
      </c>
    </row>
    <row r="41" spans="1:5" hidden="1" x14ac:dyDescent="0.3">
      <c r="A41" s="1">
        <v>40814</v>
      </c>
      <c r="B41">
        <v>16663.259999999998</v>
      </c>
      <c r="C41">
        <v>16663.259999999998</v>
      </c>
      <c r="D41">
        <v>16363.63</v>
      </c>
      <c r="E41">
        <v>16446.02</v>
      </c>
    </row>
    <row r="42" spans="1:5" hidden="1" x14ac:dyDescent="0.3">
      <c r="A42" s="1">
        <v>40815</v>
      </c>
      <c r="B42">
        <v>16387.91</v>
      </c>
      <c r="C42">
        <v>16756.080000000002</v>
      </c>
      <c r="D42">
        <v>16316.66</v>
      </c>
      <c r="E42">
        <v>16698.07</v>
      </c>
    </row>
    <row r="43" spans="1:5" hidden="1" x14ac:dyDescent="0.3">
      <c r="A43" s="1">
        <v>40816</v>
      </c>
      <c r="B43">
        <v>16599.740000000002</v>
      </c>
      <c r="C43">
        <v>16745.16</v>
      </c>
      <c r="D43">
        <v>16404.78</v>
      </c>
      <c r="E43">
        <v>16453.759999999998</v>
      </c>
    </row>
    <row r="44" spans="1:5" hidden="1" x14ac:dyDescent="0.3">
      <c r="A44" s="1">
        <v>40819</v>
      </c>
      <c r="B44">
        <v>16255.97</v>
      </c>
      <c r="C44">
        <v>16255.97</v>
      </c>
      <c r="D44">
        <v>16056.33</v>
      </c>
      <c r="E44">
        <v>16151.45</v>
      </c>
    </row>
    <row r="45" spans="1:5" hidden="1" x14ac:dyDescent="0.3">
      <c r="A45" s="1">
        <v>40820</v>
      </c>
      <c r="B45">
        <v>16081.77</v>
      </c>
      <c r="C45">
        <v>16202.38</v>
      </c>
      <c r="D45">
        <v>15745.43</v>
      </c>
      <c r="E45">
        <v>15864.86</v>
      </c>
    </row>
    <row r="46" spans="1:5" hidden="1" x14ac:dyDescent="0.3">
      <c r="A46" s="1">
        <v>40821</v>
      </c>
      <c r="B46">
        <v>15967.72</v>
      </c>
      <c r="C46">
        <v>16044.91</v>
      </c>
      <c r="D46">
        <v>15760.53</v>
      </c>
      <c r="E46">
        <v>15792.41</v>
      </c>
    </row>
    <row r="47" spans="1:5" hidden="1" x14ac:dyDescent="0.3">
      <c r="A47" s="1">
        <v>40823</v>
      </c>
      <c r="B47">
        <v>16222.49</v>
      </c>
      <c r="C47">
        <v>16347.48</v>
      </c>
      <c r="D47">
        <v>16148.97</v>
      </c>
      <c r="E47">
        <v>16232.54</v>
      </c>
    </row>
    <row r="48" spans="1:5" hidden="1" x14ac:dyDescent="0.3">
      <c r="A48" s="1">
        <v>40826</v>
      </c>
      <c r="B48">
        <v>16270.07</v>
      </c>
      <c r="C48">
        <v>16595.93</v>
      </c>
      <c r="D48">
        <v>16230.77</v>
      </c>
      <c r="E48">
        <v>16557.23</v>
      </c>
    </row>
    <row r="49" spans="1:5" hidden="1" x14ac:dyDescent="0.3">
      <c r="A49" s="1">
        <v>40827</v>
      </c>
      <c r="B49">
        <v>16668.150000000001</v>
      </c>
      <c r="C49">
        <v>16774.12</v>
      </c>
      <c r="D49">
        <v>16510.71</v>
      </c>
      <c r="E49">
        <v>16536.47</v>
      </c>
    </row>
    <row r="50" spans="1:5" hidden="1" x14ac:dyDescent="0.3">
      <c r="A50" s="1">
        <v>40828</v>
      </c>
      <c r="B50">
        <v>16660.43</v>
      </c>
      <c r="C50">
        <v>16987.060000000001</v>
      </c>
      <c r="D50">
        <v>16608.57</v>
      </c>
      <c r="E50">
        <v>16958.39</v>
      </c>
    </row>
    <row r="51" spans="1:5" hidden="1" x14ac:dyDescent="0.3">
      <c r="A51" s="1">
        <v>40829</v>
      </c>
      <c r="B51">
        <v>17048</v>
      </c>
      <c r="C51">
        <v>17084.07</v>
      </c>
      <c r="D51">
        <v>16854.03</v>
      </c>
      <c r="E51">
        <v>16883.919999999998</v>
      </c>
    </row>
    <row r="52" spans="1:5" hidden="1" x14ac:dyDescent="0.3">
      <c r="A52" s="1">
        <v>40830</v>
      </c>
      <c r="B52">
        <v>16836.830000000002</v>
      </c>
      <c r="C52">
        <v>17112.45</v>
      </c>
      <c r="D52">
        <v>16828.45</v>
      </c>
      <c r="E52">
        <v>17082.689999999999</v>
      </c>
    </row>
    <row r="53" spans="1:5" hidden="1" x14ac:dyDescent="0.3">
      <c r="A53" s="1">
        <v>40833</v>
      </c>
      <c r="B53">
        <v>17176.05</v>
      </c>
      <c r="C53">
        <v>17188.55</v>
      </c>
      <c r="D53">
        <v>16928.38</v>
      </c>
      <c r="E53">
        <v>17025.09</v>
      </c>
    </row>
    <row r="54" spans="1:5" hidden="1" x14ac:dyDescent="0.3">
      <c r="A54" s="1">
        <v>40834</v>
      </c>
      <c r="B54">
        <v>16817.38</v>
      </c>
      <c r="C54">
        <v>16824.759999999998</v>
      </c>
      <c r="D54">
        <v>16669.04</v>
      </c>
      <c r="E54">
        <v>16748.29</v>
      </c>
    </row>
    <row r="55" spans="1:5" hidden="1" x14ac:dyDescent="0.3">
      <c r="A55" s="1">
        <v>40835</v>
      </c>
      <c r="B55">
        <v>16883.36</v>
      </c>
      <c r="C55">
        <v>17106.990000000002</v>
      </c>
      <c r="D55">
        <v>16874.34</v>
      </c>
      <c r="E55">
        <v>17085.34</v>
      </c>
    </row>
    <row r="56" spans="1:5" hidden="1" x14ac:dyDescent="0.3">
      <c r="A56" s="1">
        <v>40836</v>
      </c>
      <c r="B56">
        <v>16911.849999999999</v>
      </c>
      <c r="C56">
        <v>16962.060000000001</v>
      </c>
      <c r="D56">
        <v>16744.990000000002</v>
      </c>
      <c r="E56">
        <v>16936.89</v>
      </c>
    </row>
    <row r="57" spans="1:5" hidden="1" x14ac:dyDescent="0.3">
      <c r="A57" s="1">
        <v>40837</v>
      </c>
      <c r="B57">
        <v>16975.79</v>
      </c>
      <c r="C57">
        <v>17032.32</v>
      </c>
      <c r="D57">
        <v>16752.21</v>
      </c>
      <c r="E57">
        <v>16785.64</v>
      </c>
    </row>
    <row r="58" spans="1:5" hidden="1" x14ac:dyDescent="0.3">
      <c r="A58" s="1">
        <v>40840</v>
      </c>
      <c r="B58">
        <v>17011.060000000001</v>
      </c>
      <c r="C58">
        <v>17104.88</v>
      </c>
      <c r="D58">
        <v>16898.599999999999</v>
      </c>
      <c r="E58">
        <v>16939.28</v>
      </c>
    </row>
    <row r="59" spans="1:5" hidden="1" x14ac:dyDescent="0.3">
      <c r="A59" s="1">
        <v>40841</v>
      </c>
      <c r="B59">
        <v>17012.79</v>
      </c>
      <c r="C59">
        <v>17322.13</v>
      </c>
      <c r="D59">
        <v>16900.259999999998</v>
      </c>
      <c r="E59">
        <v>17254.86</v>
      </c>
    </row>
    <row r="60" spans="1:5" hidden="1" x14ac:dyDescent="0.3">
      <c r="A60" s="1">
        <v>40842</v>
      </c>
      <c r="B60">
        <v>17336.34</v>
      </c>
      <c r="C60">
        <v>17350.490000000002</v>
      </c>
      <c r="D60">
        <v>17273.52</v>
      </c>
      <c r="E60">
        <v>17288.830000000002</v>
      </c>
    </row>
    <row r="61" spans="1:5" hidden="1" x14ac:dyDescent="0.3">
      <c r="A61" s="1">
        <v>40844</v>
      </c>
      <c r="B61">
        <v>17671.86</v>
      </c>
      <c r="C61">
        <v>17908.13</v>
      </c>
      <c r="D61">
        <v>17671.86</v>
      </c>
      <c r="E61">
        <v>17804.8</v>
      </c>
    </row>
    <row r="62" spans="1:5" hidden="1" x14ac:dyDescent="0.3">
      <c r="A62" s="1">
        <v>40847</v>
      </c>
      <c r="B62">
        <v>17806.21</v>
      </c>
      <c r="C62">
        <v>17813.11</v>
      </c>
      <c r="D62">
        <v>17668.27</v>
      </c>
      <c r="E62">
        <v>17705.009999999998</v>
      </c>
    </row>
    <row r="63" spans="1:5" hidden="1" x14ac:dyDescent="0.3">
      <c r="A63" s="1">
        <v>40848</v>
      </c>
      <c r="B63">
        <v>17540.55</v>
      </c>
      <c r="C63">
        <v>17661.78</v>
      </c>
      <c r="D63">
        <v>17422.47</v>
      </c>
      <c r="E63">
        <v>17480.830000000002</v>
      </c>
    </row>
    <row r="64" spans="1:5" hidden="1" x14ac:dyDescent="0.3">
      <c r="A64" s="1">
        <v>40849</v>
      </c>
      <c r="B64">
        <v>17347.7</v>
      </c>
      <c r="C64">
        <v>17615.919999999998</v>
      </c>
      <c r="D64">
        <v>17337.650000000001</v>
      </c>
      <c r="E64">
        <v>17464.849999999999</v>
      </c>
    </row>
    <row r="65" spans="1:5" hidden="1" x14ac:dyDescent="0.3">
      <c r="A65" s="1">
        <v>40850</v>
      </c>
      <c r="B65">
        <v>17430.689999999999</v>
      </c>
      <c r="C65">
        <v>17527.099999999999</v>
      </c>
      <c r="D65">
        <v>17278.03</v>
      </c>
      <c r="E65">
        <v>17481.93</v>
      </c>
    </row>
    <row r="66" spans="1:5" hidden="1" x14ac:dyDescent="0.3">
      <c r="A66" s="1">
        <v>40851</v>
      </c>
      <c r="B66">
        <v>17674.7</v>
      </c>
      <c r="C66">
        <v>17702.259999999998</v>
      </c>
      <c r="D66">
        <v>17474.39</v>
      </c>
      <c r="E66">
        <v>17562.61</v>
      </c>
    </row>
    <row r="67" spans="1:5" hidden="1" x14ac:dyDescent="0.3">
      <c r="A67" s="1">
        <v>40855</v>
      </c>
      <c r="B67">
        <v>17593.669999999998</v>
      </c>
      <c r="C67">
        <v>17632.23</v>
      </c>
      <c r="D67">
        <v>17455.22</v>
      </c>
      <c r="E67">
        <v>17569.53</v>
      </c>
    </row>
    <row r="68" spans="1:5" hidden="1" x14ac:dyDescent="0.3">
      <c r="A68" s="1">
        <v>40856</v>
      </c>
      <c r="B68">
        <v>17641.98</v>
      </c>
      <c r="C68">
        <v>17658.34</v>
      </c>
      <c r="D68">
        <v>17331.23</v>
      </c>
      <c r="E68">
        <v>17362.099999999999</v>
      </c>
    </row>
    <row r="69" spans="1:5" hidden="1" x14ac:dyDescent="0.3">
      <c r="A69" s="1">
        <v>40858</v>
      </c>
      <c r="B69">
        <v>17187.89</v>
      </c>
      <c r="C69">
        <v>17279.23</v>
      </c>
      <c r="D69">
        <v>17096.84</v>
      </c>
      <c r="E69">
        <v>17192.82</v>
      </c>
    </row>
    <row r="70" spans="1:5" hidden="1" x14ac:dyDescent="0.3">
      <c r="A70" s="1">
        <v>40861</v>
      </c>
      <c r="B70">
        <v>17348.52</v>
      </c>
      <c r="C70">
        <v>17391.990000000002</v>
      </c>
      <c r="D70">
        <v>17094.43</v>
      </c>
      <c r="E70">
        <v>17118.740000000002</v>
      </c>
    </row>
    <row r="71" spans="1:5" hidden="1" x14ac:dyDescent="0.3">
      <c r="A71" s="1">
        <v>40862</v>
      </c>
      <c r="B71">
        <v>17081.62</v>
      </c>
      <c r="C71">
        <v>17172.09</v>
      </c>
      <c r="D71">
        <v>16837.560000000001</v>
      </c>
      <c r="E71">
        <v>16882.669999999998</v>
      </c>
    </row>
    <row r="72" spans="1:5" hidden="1" x14ac:dyDescent="0.3">
      <c r="A72" s="1">
        <v>40863</v>
      </c>
      <c r="B72">
        <v>16872.3</v>
      </c>
      <c r="C72">
        <v>16878.3</v>
      </c>
      <c r="D72">
        <v>16641.650000000001</v>
      </c>
      <c r="E72">
        <v>16775.87</v>
      </c>
    </row>
    <row r="73" spans="1:5" hidden="1" x14ac:dyDescent="0.3">
      <c r="A73" s="1">
        <v>40864</v>
      </c>
      <c r="B73">
        <v>16754.68</v>
      </c>
      <c r="C73">
        <v>16807.150000000001</v>
      </c>
      <c r="D73">
        <v>16408.5</v>
      </c>
      <c r="E73">
        <v>16461.71</v>
      </c>
    </row>
    <row r="74" spans="1:5" hidden="1" x14ac:dyDescent="0.3">
      <c r="A74" s="1">
        <v>40865</v>
      </c>
      <c r="B74">
        <v>16387.7</v>
      </c>
      <c r="C74">
        <v>16396.689999999999</v>
      </c>
      <c r="D74">
        <v>16164.99</v>
      </c>
      <c r="E74">
        <v>16371.51</v>
      </c>
    </row>
    <row r="75" spans="1:5" hidden="1" x14ac:dyDescent="0.3">
      <c r="A75" s="1">
        <v>40868</v>
      </c>
      <c r="B75">
        <v>16297.03</v>
      </c>
      <c r="C75">
        <v>16297.03</v>
      </c>
      <c r="D75">
        <v>15900.3</v>
      </c>
      <c r="E75">
        <v>15946.1</v>
      </c>
    </row>
    <row r="76" spans="1:5" hidden="1" x14ac:dyDescent="0.3">
      <c r="A76" s="1">
        <v>40869</v>
      </c>
      <c r="B76">
        <v>15995.69</v>
      </c>
      <c r="C76">
        <v>16212.95</v>
      </c>
      <c r="D76">
        <v>15970.11</v>
      </c>
      <c r="E76">
        <v>16065.42</v>
      </c>
    </row>
    <row r="77" spans="1:5" hidden="1" x14ac:dyDescent="0.3">
      <c r="A77" s="1">
        <v>40870</v>
      </c>
      <c r="B77">
        <v>15969.6</v>
      </c>
      <c r="C77">
        <v>15969.6</v>
      </c>
      <c r="D77">
        <v>15478.69</v>
      </c>
      <c r="E77">
        <v>15699.97</v>
      </c>
    </row>
    <row r="78" spans="1:5" hidden="1" x14ac:dyDescent="0.3">
      <c r="A78" s="1">
        <v>40871</v>
      </c>
      <c r="B78">
        <v>15715.81</v>
      </c>
      <c r="C78">
        <v>15901.3</v>
      </c>
      <c r="D78">
        <v>15479.97</v>
      </c>
      <c r="E78">
        <v>15858.49</v>
      </c>
    </row>
    <row r="79" spans="1:5" hidden="1" x14ac:dyDescent="0.3">
      <c r="A79" s="1">
        <v>40872</v>
      </c>
      <c r="B79">
        <v>15781.25</v>
      </c>
      <c r="C79">
        <v>15891.05</v>
      </c>
      <c r="D79">
        <v>15645.78</v>
      </c>
      <c r="E79">
        <v>15695.43</v>
      </c>
    </row>
    <row r="80" spans="1:5" hidden="1" x14ac:dyDescent="0.3">
      <c r="A80" s="1">
        <v>40875</v>
      </c>
      <c r="B80">
        <v>15890.8</v>
      </c>
      <c r="C80">
        <v>16186.68</v>
      </c>
      <c r="D80">
        <v>15888.28</v>
      </c>
      <c r="E80">
        <v>16167.13</v>
      </c>
    </row>
    <row r="81" spans="1:5" hidden="1" x14ac:dyDescent="0.3">
      <c r="A81" s="1">
        <v>40876</v>
      </c>
      <c r="B81">
        <v>16210.37</v>
      </c>
      <c r="C81">
        <v>16210.37</v>
      </c>
      <c r="D81">
        <v>15952.54</v>
      </c>
      <c r="E81">
        <v>16008.34</v>
      </c>
    </row>
    <row r="82" spans="1:5" hidden="1" x14ac:dyDescent="0.3">
      <c r="A82" s="1">
        <v>40877</v>
      </c>
      <c r="B82">
        <v>15868.96</v>
      </c>
      <c r="C82">
        <v>16179.56</v>
      </c>
      <c r="D82">
        <v>15849.57</v>
      </c>
      <c r="E82">
        <v>16123.46</v>
      </c>
    </row>
    <row r="83" spans="1:5" hidden="1" x14ac:dyDescent="0.3">
      <c r="A83" s="1">
        <v>40878</v>
      </c>
      <c r="B83">
        <v>16555.93</v>
      </c>
      <c r="C83">
        <v>16718.11</v>
      </c>
      <c r="D83">
        <v>16430.61</v>
      </c>
      <c r="E83">
        <v>16483.45</v>
      </c>
    </row>
    <row r="84" spans="1:5" hidden="1" x14ac:dyDescent="0.3">
      <c r="A84" s="1">
        <v>40879</v>
      </c>
      <c r="B84">
        <v>16493.98</v>
      </c>
      <c r="C84">
        <v>16888.84</v>
      </c>
      <c r="D84">
        <v>16428.66</v>
      </c>
      <c r="E84">
        <v>16846.830000000002</v>
      </c>
    </row>
    <row r="85" spans="1:5" hidden="1" x14ac:dyDescent="0.3">
      <c r="A85" s="1">
        <v>40882</v>
      </c>
      <c r="B85">
        <v>16812.3</v>
      </c>
      <c r="C85">
        <v>16863.099999999999</v>
      </c>
      <c r="D85">
        <v>16691.21</v>
      </c>
      <c r="E85">
        <v>16805.330000000002</v>
      </c>
    </row>
    <row r="86" spans="1:5" hidden="1" x14ac:dyDescent="0.3">
      <c r="A86" s="1">
        <v>40884</v>
      </c>
      <c r="B86">
        <v>16830.04</v>
      </c>
      <c r="C86">
        <v>17003.71</v>
      </c>
      <c r="D86">
        <v>16781.62</v>
      </c>
      <c r="E86">
        <v>16877.060000000001</v>
      </c>
    </row>
    <row r="87" spans="1:5" hidden="1" x14ac:dyDescent="0.3">
      <c r="A87" s="1">
        <v>40885</v>
      </c>
      <c r="B87">
        <v>16819.740000000002</v>
      </c>
      <c r="C87">
        <v>16847.82</v>
      </c>
      <c r="D87">
        <v>16421.55</v>
      </c>
      <c r="E87">
        <v>16488.240000000002</v>
      </c>
    </row>
    <row r="88" spans="1:5" hidden="1" x14ac:dyDescent="0.3">
      <c r="A88" s="1">
        <v>40886</v>
      </c>
      <c r="B88">
        <v>16258.44</v>
      </c>
      <c r="C88">
        <v>16382.57</v>
      </c>
      <c r="D88">
        <v>16142.32</v>
      </c>
      <c r="E88">
        <v>16213.46</v>
      </c>
    </row>
    <row r="89" spans="1:5" hidden="1" x14ac:dyDescent="0.3">
      <c r="A89" s="1">
        <v>40889</v>
      </c>
      <c r="B89">
        <v>16354.96</v>
      </c>
      <c r="C89">
        <v>16360.32</v>
      </c>
      <c r="D89">
        <v>15839.96</v>
      </c>
      <c r="E89">
        <v>15870.35</v>
      </c>
    </row>
    <row r="90" spans="1:5" hidden="1" x14ac:dyDescent="0.3">
      <c r="A90" s="1">
        <v>40890</v>
      </c>
      <c r="B90">
        <v>15778.62</v>
      </c>
      <c r="C90">
        <v>16079.38</v>
      </c>
      <c r="D90">
        <v>15771.59</v>
      </c>
      <c r="E90">
        <v>16002.51</v>
      </c>
    </row>
    <row r="91" spans="1:5" hidden="1" x14ac:dyDescent="0.3">
      <c r="A91" s="1">
        <v>40891</v>
      </c>
      <c r="B91">
        <v>15963.75</v>
      </c>
      <c r="C91">
        <v>16133.41</v>
      </c>
      <c r="D91">
        <v>15855.12</v>
      </c>
      <c r="E91">
        <v>15881.14</v>
      </c>
    </row>
    <row r="92" spans="1:5" hidden="1" x14ac:dyDescent="0.3">
      <c r="A92" s="1">
        <v>40892</v>
      </c>
      <c r="B92">
        <v>15739.05</v>
      </c>
      <c r="C92">
        <v>15908.02</v>
      </c>
      <c r="D92">
        <v>15596.22</v>
      </c>
      <c r="E92">
        <v>15836.47</v>
      </c>
    </row>
    <row r="93" spans="1:5" hidden="1" x14ac:dyDescent="0.3">
      <c r="A93" s="1">
        <v>40893</v>
      </c>
      <c r="B93">
        <v>15868.78</v>
      </c>
      <c r="C93">
        <v>16068.9</v>
      </c>
      <c r="D93">
        <v>15425.2</v>
      </c>
      <c r="E93">
        <v>15491.35</v>
      </c>
    </row>
    <row r="94" spans="1:5" hidden="1" x14ac:dyDescent="0.3">
      <c r="A94" s="1">
        <v>40896</v>
      </c>
      <c r="B94">
        <v>15440.1</v>
      </c>
      <c r="C94">
        <v>15440.1</v>
      </c>
      <c r="D94">
        <v>15190.74</v>
      </c>
      <c r="E94">
        <v>15379.34</v>
      </c>
    </row>
    <row r="95" spans="1:5" hidden="1" x14ac:dyDescent="0.3">
      <c r="A95" s="1">
        <v>40897</v>
      </c>
      <c r="B95">
        <v>15436.12</v>
      </c>
      <c r="C95">
        <v>15448.13</v>
      </c>
      <c r="D95">
        <v>15135.86</v>
      </c>
      <c r="E95">
        <v>15175.08</v>
      </c>
    </row>
    <row r="96" spans="1:5" hidden="1" x14ac:dyDescent="0.3">
      <c r="A96" s="1">
        <v>40898</v>
      </c>
      <c r="B96">
        <v>15487.75</v>
      </c>
      <c r="C96">
        <v>15727.31</v>
      </c>
      <c r="D96">
        <v>15377.04</v>
      </c>
      <c r="E96">
        <v>15685.21</v>
      </c>
    </row>
    <row r="97" spans="1:5" hidden="1" x14ac:dyDescent="0.3">
      <c r="A97" s="1">
        <v>40899</v>
      </c>
      <c r="B97">
        <v>15546.66</v>
      </c>
      <c r="C97">
        <v>15834.63</v>
      </c>
      <c r="D97">
        <v>15472.7</v>
      </c>
      <c r="E97">
        <v>15813.36</v>
      </c>
    </row>
    <row r="98" spans="1:5" hidden="1" x14ac:dyDescent="0.3">
      <c r="A98" s="1">
        <v>40900</v>
      </c>
      <c r="B98">
        <v>15863.43</v>
      </c>
      <c r="C98">
        <v>15911.23</v>
      </c>
      <c r="D98">
        <v>15671.28</v>
      </c>
      <c r="E98">
        <v>15738.7</v>
      </c>
    </row>
    <row r="99" spans="1:5" hidden="1" x14ac:dyDescent="0.3">
      <c r="A99" s="1">
        <v>40903</v>
      </c>
      <c r="B99">
        <v>15782.17</v>
      </c>
      <c r="C99">
        <v>15998.44</v>
      </c>
      <c r="D99">
        <v>15761.18</v>
      </c>
      <c r="E99">
        <v>15970.75</v>
      </c>
    </row>
    <row r="100" spans="1:5" hidden="1" x14ac:dyDescent="0.3">
      <c r="A100" s="1">
        <v>40904</v>
      </c>
      <c r="B100">
        <v>15983.98</v>
      </c>
      <c r="C100">
        <v>16049.12</v>
      </c>
      <c r="D100">
        <v>15799.63</v>
      </c>
      <c r="E100">
        <v>15873.95</v>
      </c>
    </row>
    <row r="101" spans="1:5" hidden="1" x14ac:dyDescent="0.3">
      <c r="A101" s="1">
        <v>40905</v>
      </c>
      <c r="B101">
        <v>15854.36</v>
      </c>
      <c r="C101">
        <v>15887.8</v>
      </c>
      <c r="D101">
        <v>15666.46</v>
      </c>
      <c r="E101">
        <v>15727.85</v>
      </c>
    </row>
    <row r="102" spans="1:5" hidden="1" x14ac:dyDescent="0.3">
      <c r="A102" s="1">
        <v>40906</v>
      </c>
      <c r="B102">
        <v>15658.94</v>
      </c>
      <c r="C102">
        <v>15724.6</v>
      </c>
      <c r="D102">
        <v>15515.44</v>
      </c>
      <c r="E102">
        <v>15543.93</v>
      </c>
    </row>
    <row r="103" spans="1:5" hidden="1" x14ac:dyDescent="0.3">
      <c r="A103" s="1">
        <v>40907</v>
      </c>
      <c r="B103">
        <v>15583.55</v>
      </c>
      <c r="C103">
        <v>15694.05</v>
      </c>
      <c r="D103">
        <v>15406.93</v>
      </c>
      <c r="E103">
        <v>15454.92</v>
      </c>
    </row>
    <row r="104" spans="1:5" hidden="1" x14ac:dyDescent="0.3">
      <c r="A104" s="1">
        <v>40910</v>
      </c>
      <c r="B104">
        <v>15534.67</v>
      </c>
      <c r="C104">
        <v>15542.85</v>
      </c>
      <c r="D104">
        <v>15358.02</v>
      </c>
      <c r="E104">
        <v>15517.92</v>
      </c>
    </row>
    <row r="105" spans="1:5" hidden="1" x14ac:dyDescent="0.3">
      <c r="A105" s="1">
        <v>40911</v>
      </c>
      <c r="B105">
        <v>15640.56</v>
      </c>
      <c r="C105">
        <v>15970.31</v>
      </c>
      <c r="D105">
        <v>15640.56</v>
      </c>
      <c r="E105">
        <v>15939.36</v>
      </c>
    </row>
    <row r="106" spans="1:5" hidden="1" x14ac:dyDescent="0.3">
      <c r="A106" s="1">
        <v>40912</v>
      </c>
      <c r="B106">
        <v>15967.49</v>
      </c>
      <c r="C106">
        <v>16004.69</v>
      </c>
      <c r="D106">
        <v>15822.32</v>
      </c>
      <c r="E106">
        <v>15882.64</v>
      </c>
    </row>
    <row r="107" spans="1:5" hidden="1" x14ac:dyDescent="0.3">
      <c r="A107" s="1">
        <v>40913</v>
      </c>
      <c r="B107">
        <v>15893.07</v>
      </c>
      <c r="C107">
        <v>15980.17</v>
      </c>
      <c r="D107">
        <v>15809.31</v>
      </c>
      <c r="E107">
        <v>15857.08</v>
      </c>
    </row>
    <row r="108" spans="1:5" hidden="1" x14ac:dyDescent="0.3">
      <c r="A108" s="1">
        <v>40914</v>
      </c>
      <c r="B108">
        <v>15789.08</v>
      </c>
      <c r="C108">
        <v>16001.31</v>
      </c>
      <c r="D108">
        <v>15664.91</v>
      </c>
      <c r="E108">
        <v>15867.73</v>
      </c>
    </row>
    <row r="109" spans="1:5" hidden="1" x14ac:dyDescent="0.3">
      <c r="A109" s="1">
        <v>40915</v>
      </c>
      <c r="B109">
        <v>15893.3</v>
      </c>
      <c r="C109">
        <v>15900.3</v>
      </c>
      <c r="D109">
        <v>15835.29</v>
      </c>
      <c r="E109">
        <v>15848.8</v>
      </c>
    </row>
    <row r="110" spans="1:5" hidden="1" x14ac:dyDescent="0.3">
      <c r="A110" s="1">
        <v>40917</v>
      </c>
      <c r="B110">
        <v>15840.22</v>
      </c>
      <c r="C110">
        <v>15871.51</v>
      </c>
      <c r="D110">
        <v>15678.3</v>
      </c>
      <c r="E110">
        <v>15814.72</v>
      </c>
    </row>
    <row r="111" spans="1:5" hidden="1" x14ac:dyDescent="0.3">
      <c r="A111" s="1">
        <v>40918</v>
      </c>
      <c r="B111">
        <v>15898.32</v>
      </c>
      <c r="C111">
        <v>16180.97</v>
      </c>
      <c r="D111">
        <v>15898.32</v>
      </c>
      <c r="E111">
        <v>16165.09</v>
      </c>
    </row>
    <row r="112" spans="1:5" hidden="1" x14ac:dyDescent="0.3">
      <c r="A112" s="1">
        <v>40919</v>
      </c>
      <c r="B112">
        <v>16222.37</v>
      </c>
      <c r="C112">
        <v>16244.7</v>
      </c>
      <c r="D112">
        <v>16127.77</v>
      </c>
      <c r="E112">
        <v>16175.86</v>
      </c>
    </row>
    <row r="113" spans="1:5" hidden="1" x14ac:dyDescent="0.3">
      <c r="A113" s="1">
        <v>40920</v>
      </c>
      <c r="B113">
        <v>16117.19</v>
      </c>
      <c r="C113">
        <v>16178.58</v>
      </c>
      <c r="D113">
        <v>15962.59</v>
      </c>
      <c r="E113">
        <v>16037.51</v>
      </c>
    </row>
    <row r="114" spans="1:5" hidden="1" x14ac:dyDescent="0.3">
      <c r="A114" s="1">
        <v>40921</v>
      </c>
      <c r="B114">
        <v>16144.57</v>
      </c>
      <c r="C114">
        <v>16257.34</v>
      </c>
      <c r="D114">
        <v>16049.78</v>
      </c>
      <c r="E114">
        <v>16154.62</v>
      </c>
    </row>
    <row r="115" spans="1:5" hidden="1" x14ac:dyDescent="0.3">
      <c r="A115" s="1">
        <v>40924</v>
      </c>
      <c r="B115">
        <v>16086.74</v>
      </c>
      <c r="C115">
        <v>16214.36</v>
      </c>
      <c r="D115">
        <v>16037.6</v>
      </c>
      <c r="E115">
        <v>16189.36</v>
      </c>
    </row>
    <row r="116" spans="1:5" hidden="1" x14ac:dyDescent="0.3">
      <c r="A116" s="1">
        <v>40925</v>
      </c>
      <c r="B116">
        <v>16270.87</v>
      </c>
      <c r="C116">
        <v>16501.38</v>
      </c>
      <c r="D116">
        <v>16270.87</v>
      </c>
      <c r="E116">
        <v>16466.05</v>
      </c>
    </row>
    <row r="117" spans="1:5" hidden="1" x14ac:dyDescent="0.3">
      <c r="A117" s="1">
        <v>40926</v>
      </c>
      <c r="B117">
        <v>16502.419999999998</v>
      </c>
      <c r="C117">
        <v>16517.96</v>
      </c>
      <c r="D117">
        <v>16384.48</v>
      </c>
      <c r="E117">
        <v>16451.47</v>
      </c>
    </row>
    <row r="118" spans="1:5" hidden="1" x14ac:dyDescent="0.3">
      <c r="A118" s="1">
        <v>40927</v>
      </c>
      <c r="B118">
        <v>16573.87</v>
      </c>
      <c r="C118">
        <v>16662.060000000001</v>
      </c>
      <c r="D118">
        <v>16572.099999999999</v>
      </c>
      <c r="E118">
        <v>16643.740000000002</v>
      </c>
    </row>
    <row r="119" spans="1:5" hidden="1" x14ac:dyDescent="0.3">
      <c r="A119" s="1">
        <v>40928</v>
      </c>
      <c r="B119">
        <v>16745.009999999998</v>
      </c>
      <c r="C119">
        <v>16788.48</v>
      </c>
      <c r="D119">
        <v>16611.71</v>
      </c>
      <c r="E119">
        <v>16739.009999999998</v>
      </c>
    </row>
    <row r="120" spans="1:5" hidden="1" x14ac:dyDescent="0.3">
      <c r="A120" s="1">
        <v>40931</v>
      </c>
      <c r="B120">
        <v>16667.02</v>
      </c>
      <c r="C120">
        <v>16784</v>
      </c>
      <c r="D120">
        <v>16659.32</v>
      </c>
      <c r="E120">
        <v>16751.73</v>
      </c>
    </row>
    <row r="121" spans="1:5" hidden="1" x14ac:dyDescent="0.3">
      <c r="A121" s="1">
        <v>40932</v>
      </c>
      <c r="B121">
        <v>16806.72</v>
      </c>
      <c r="C121">
        <v>17050.32</v>
      </c>
      <c r="D121">
        <v>16770.009999999998</v>
      </c>
      <c r="E121">
        <v>16995.77</v>
      </c>
    </row>
    <row r="122" spans="1:5" hidden="1" x14ac:dyDescent="0.3">
      <c r="A122" s="1">
        <v>40933</v>
      </c>
      <c r="B122">
        <v>17068.849999999999</v>
      </c>
      <c r="C122">
        <v>17130.240000000002</v>
      </c>
      <c r="D122">
        <v>17016.689999999999</v>
      </c>
      <c r="E122">
        <v>17077.18</v>
      </c>
    </row>
    <row r="123" spans="1:5" hidden="1" x14ac:dyDescent="0.3">
      <c r="A123" s="1">
        <v>40935</v>
      </c>
      <c r="B123">
        <v>17201.330000000002</v>
      </c>
      <c r="C123">
        <v>17258.97</v>
      </c>
      <c r="D123">
        <v>17106.57</v>
      </c>
      <c r="E123">
        <v>17233.98</v>
      </c>
    </row>
    <row r="124" spans="1:5" hidden="1" x14ac:dyDescent="0.3">
      <c r="A124" s="1">
        <v>40938</v>
      </c>
      <c r="B124">
        <v>17138.04</v>
      </c>
      <c r="C124">
        <v>17138.04</v>
      </c>
      <c r="D124">
        <v>16828.330000000002</v>
      </c>
      <c r="E124">
        <v>16863.3</v>
      </c>
    </row>
    <row r="125" spans="1:5" hidden="1" x14ac:dyDescent="0.3">
      <c r="A125" s="1">
        <v>40939</v>
      </c>
      <c r="B125">
        <v>16965.580000000002</v>
      </c>
      <c r="C125">
        <v>17238.990000000002</v>
      </c>
      <c r="D125">
        <v>16965.580000000002</v>
      </c>
      <c r="E125">
        <v>17193.55</v>
      </c>
    </row>
    <row r="126" spans="1:5" hidden="1" x14ac:dyDescent="0.3">
      <c r="A126" s="1">
        <v>40940</v>
      </c>
      <c r="B126">
        <v>17179.64</v>
      </c>
      <c r="C126">
        <v>17327.21</v>
      </c>
      <c r="D126">
        <v>17061.55</v>
      </c>
      <c r="E126">
        <v>17300.580000000002</v>
      </c>
    </row>
    <row r="127" spans="1:5" hidden="1" x14ac:dyDescent="0.3">
      <c r="A127" s="1">
        <v>40941</v>
      </c>
      <c r="B127">
        <v>17438.07</v>
      </c>
      <c r="C127">
        <v>17504.25</v>
      </c>
      <c r="D127">
        <v>17308.28</v>
      </c>
      <c r="E127">
        <v>17431.849999999999</v>
      </c>
    </row>
    <row r="128" spans="1:5" hidden="1" x14ac:dyDescent="0.3">
      <c r="A128" s="1">
        <v>40942</v>
      </c>
      <c r="B128">
        <v>17444.25</v>
      </c>
      <c r="C128">
        <v>17630.53</v>
      </c>
      <c r="D128">
        <v>17382.7</v>
      </c>
      <c r="E128">
        <v>17604.96</v>
      </c>
    </row>
    <row r="129" spans="1:5" hidden="1" x14ac:dyDescent="0.3">
      <c r="A129" s="1">
        <v>40945</v>
      </c>
      <c r="B129">
        <v>17741.91</v>
      </c>
      <c r="C129">
        <v>17829.72</v>
      </c>
      <c r="D129">
        <v>17595.099999999999</v>
      </c>
      <c r="E129">
        <v>17707.310000000001</v>
      </c>
    </row>
    <row r="130" spans="1:5" hidden="1" x14ac:dyDescent="0.3">
      <c r="A130" s="1">
        <v>40946</v>
      </c>
      <c r="B130">
        <v>17813.740000000002</v>
      </c>
      <c r="C130">
        <v>17832.04</v>
      </c>
      <c r="D130">
        <v>17582.490000000002</v>
      </c>
      <c r="E130">
        <v>17622.45</v>
      </c>
    </row>
    <row r="131" spans="1:5" hidden="1" x14ac:dyDescent="0.3">
      <c r="A131" s="1">
        <v>40947</v>
      </c>
      <c r="B131">
        <v>17631.689999999999</v>
      </c>
      <c r="C131">
        <v>17809.21</v>
      </c>
      <c r="D131">
        <v>17579.59</v>
      </c>
      <c r="E131">
        <v>17707.32</v>
      </c>
    </row>
    <row r="132" spans="1:5" hidden="1" x14ac:dyDescent="0.3">
      <c r="A132" s="1">
        <v>40948</v>
      </c>
      <c r="B132">
        <v>17647.8</v>
      </c>
      <c r="C132">
        <v>17879.46</v>
      </c>
      <c r="D132">
        <v>17609.43</v>
      </c>
      <c r="E132">
        <v>17830.75</v>
      </c>
    </row>
    <row r="133" spans="1:5" hidden="1" x14ac:dyDescent="0.3">
      <c r="A133" s="1">
        <v>40949</v>
      </c>
      <c r="B133">
        <v>17817.59</v>
      </c>
      <c r="C133">
        <v>17890.11</v>
      </c>
      <c r="D133">
        <v>17627.14</v>
      </c>
      <c r="E133">
        <v>17748.689999999999</v>
      </c>
    </row>
    <row r="134" spans="1:5" hidden="1" x14ac:dyDescent="0.3">
      <c r="A134" s="1">
        <v>40952</v>
      </c>
      <c r="B134">
        <v>17761.7</v>
      </c>
      <c r="C134">
        <v>17849.64</v>
      </c>
      <c r="D134">
        <v>17665.89</v>
      </c>
      <c r="E134">
        <v>17772.84</v>
      </c>
    </row>
    <row r="135" spans="1:5" hidden="1" x14ac:dyDescent="0.3">
      <c r="A135" s="1">
        <v>40953</v>
      </c>
      <c r="B135">
        <v>17767.46</v>
      </c>
      <c r="C135">
        <v>17890.330000000002</v>
      </c>
      <c r="D135">
        <v>17742.580000000002</v>
      </c>
      <c r="E135">
        <v>17848.57</v>
      </c>
    </row>
    <row r="136" spans="1:5" hidden="1" x14ac:dyDescent="0.3">
      <c r="A136" s="1">
        <v>40954</v>
      </c>
      <c r="B136">
        <v>18000.3</v>
      </c>
      <c r="C136">
        <v>18231.349999999999</v>
      </c>
      <c r="D136">
        <v>18000.3</v>
      </c>
      <c r="E136">
        <v>18202.41</v>
      </c>
    </row>
    <row r="137" spans="1:5" hidden="1" x14ac:dyDescent="0.3">
      <c r="A137" s="1">
        <v>40955</v>
      </c>
      <c r="B137">
        <v>18163.05</v>
      </c>
      <c r="C137">
        <v>18182.78</v>
      </c>
      <c r="D137">
        <v>18043.32</v>
      </c>
      <c r="E137">
        <v>18153.990000000002</v>
      </c>
    </row>
    <row r="138" spans="1:5" hidden="1" x14ac:dyDescent="0.3">
      <c r="A138" s="1">
        <v>40956</v>
      </c>
      <c r="B138">
        <v>18331.2</v>
      </c>
      <c r="C138">
        <v>18423.060000000001</v>
      </c>
      <c r="D138">
        <v>18234.560000000001</v>
      </c>
      <c r="E138">
        <v>18289.349999999999</v>
      </c>
    </row>
    <row r="139" spans="1:5" hidden="1" x14ac:dyDescent="0.3">
      <c r="A139" s="1">
        <v>40960</v>
      </c>
      <c r="B139">
        <v>18303.73</v>
      </c>
      <c r="C139">
        <v>18470.86</v>
      </c>
      <c r="D139">
        <v>18293.8</v>
      </c>
      <c r="E139">
        <v>18428.61</v>
      </c>
    </row>
    <row r="140" spans="1:5" hidden="1" x14ac:dyDescent="0.3">
      <c r="A140" s="1">
        <v>40961</v>
      </c>
      <c r="B140">
        <v>18490.87</v>
      </c>
      <c r="C140">
        <v>18523.78</v>
      </c>
      <c r="D140">
        <v>18095.810000000001</v>
      </c>
      <c r="E140">
        <v>18145.25</v>
      </c>
    </row>
    <row r="141" spans="1:5" hidden="1" x14ac:dyDescent="0.3">
      <c r="A141" s="1">
        <v>40962</v>
      </c>
      <c r="B141">
        <v>18127.349999999999</v>
      </c>
      <c r="C141">
        <v>18249.53</v>
      </c>
      <c r="D141">
        <v>18005.28</v>
      </c>
      <c r="E141">
        <v>18078.5</v>
      </c>
    </row>
    <row r="142" spans="1:5" hidden="1" x14ac:dyDescent="0.3">
      <c r="A142" s="1">
        <v>40963</v>
      </c>
      <c r="B142">
        <v>18079.009999999998</v>
      </c>
      <c r="C142">
        <v>18198.150000000001</v>
      </c>
      <c r="D142">
        <v>17848.93</v>
      </c>
      <c r="E142">
        <v>17923.57</v>
      </c>
    </row>
    <row r="143" spans="1:5" hidden="1" x14ac:dyDescent="0.3">
      <c r="A143" s="1">
        <v>40966</v>
      </c>
      <c r="B143">
        <v>17975.189999999999</v>
      </c>
      <c r="C143">
        <v>17975.189999999999</v>
      </c>
      <c r="D143">
        <v>17381.64</v>
      </c>
      <c r="E143">
        <v>17445.75</v>
      </c>
    </row>
    <row r="144" spans="1:5" hidden="1" x14ac:dyDescent="0.3">
      <c r="A144" s="1">
        <v>40967</v>
      </c>
      <c r="B144">
        <v>17545.11</v>
      </c>
      <c r="C144">
        <v>17776.82</v>
      </c>
      <c r="D144">
        <v>17530.439999999999</v>
      </c>
      <c r="E144">
        <v>17731.12</v>
      </c>
    </row>
    <row r="145" spans="1:5" hidden="1" x14ac:dyDescent="0.3">
      <c r="A145" s="1">
        <v>40968</v>
      </c>
      <c r="B145">
        <v>17919.93</v>
      </c>
      <c r="C145">
        <v>18001.349999999999</v>
      </c>
      <c r="D145">
        <v>17677.97</v>
      </c>
      <c r="E145">
        <v>17752.68</v>
      </c>
    </row>
    <row r="146" spans="1:5" hidden="1" x14ac:dyDescent="0.3">
      <c r="A146" s="1">
        <v>40969</v>
      </c>
      <c r="B146">
        <v>17714.62</v>
      </c>
      <c r="C146">
        <v>17717.53</v>
      </c>
      <c r="D146">
        <v>17463.27</v>
      </c>
      <c r="E146">
        <v>17583.97</v>
      </c>
    </row>
    <row r="147" spans="1:5" hidden="1" x14ac:dyDescent="0.3">
      <c r="A147" s="1">
        <v>40970</v>
      </c>
      <c r="B147">
        <v>17661.39</v>
      </c>
      <c r="C147">
        <v>17731.88</v>
      </c>
      <c r="D147">
        <v>17504.38</v>
      </c>
      <c r="E147">
        <v>17636.8</v>
      </c>
    </row>
    <row r="148" spans="1:5" hidden="1" x14ac:dyDescent="0.3">
      <c r="A148" s="1">
        <v>40971</v>
      </c>
      <c r="B148">
        <v>17648.47</v>
      </c>
      <c r="C148">
        <v>17676.830000000002</v>
      </c>
      <c r="D148">
        <v>17617.88</v>
      </c>
      <c r="E148">
        <v>17636.990000000002</v>
      </c>
    </row>
    <row r="149" spans="1:5" hidden="1" x14ac:dyDescent="0.3">
      <c r="A149" s="1">
        <v>40973</v>
      </c>
      <c r="B149">
        <v>17598.419999999998</v>
      </c>
      <c r="C149">
        <v>17598.419999999998</v>
      </c>
      <c r="D149">
        <v>17312.3</v>
      </c>
      <c r="E149">
        <v>17362.87</v>
      </c>
    </row>
    <row r="150" spans="1:5" hidden="1" x14ac:dyDescent="0.3">
      <c r="A150" s="1">
        <v>40974</v>
      </c>
      <c r="B150">
        <v>17336.64</v>
      </c>
      <c r="C150">
        <v>17691.96</v>
      </c>
      <c r="D150">
        <v>17128.28</v>
      </c>
      <c r="E150">
        <v>17173.29</v>
      </c>
    </row>
    <row r="151" spans="1:5" hidden="1" x14ac:dyDescent="0.3">
      <c r="A151" s="1">
        <v>40975</v>
      </c>
      <c r="B151">
        <v>17127.18</v>
      </c>
      <c r="C151">
        <v>17239.349999999999</v>
      </c>
      <c r="D151">
        <v>17008.77</v>
      </c>
      <c r="E151">
        <v>17145.52</v>
      </c>
    </row>
    <row r="152" spans="1:5" hidden="1" x14ac:dyDescent="0.3">
      <c r="A152" s="1">
        <v>40977</v>
      </c>
      <c r="B152">
        <v>17325.82</v>
      </c>
      <c r="C152">
        <v>17531.62</v>
      </c>
      <c r="D152">
        <v>17325.82</v>
      </c>
      <c r="E152">
        <v>17503.240000000002</v>
      </c>
    </row>
    <row r="153" spans="1:5" hidden="1" x14ac:dyDescent="0.3">
      <c r="A153" s="1">
        <v>40980</v>
      </c>
      <c r="B153">
        <v>17772.099999999999</v>
      </c>
      <c r="C153">
        <v>17772.099999999999</v>
      </c>
      <c r="D153">
        <v>17494.650000000001</v>
      </c>
      <c r="E153">
        <v>17587.669999999998</v>
      </c>
    </row>
    <row r="154" spans="1:5" hidden="1" x14ac:dyDescent="0.3">
      <c r="A154" s="1">
        <v>40981</v>
      </c>
      <c r="B154">
        <v>17680.23</v>
      </c>
      <c r="C154">
        <v>17842.919999999998</v>
      </c>
      <c r="D154">
        <v>17680.23</v>
      </c>
      <c r="E154">
        <v>17813.62</v>
      </c>
    </row>
    <row r="155" spans="1:5" hidden="1" x14ac:dyDescent="0.3">
      <c r="A155" s="1">
        <v>40982</v>
      </c>
      <c r="B155">
        <v>18003.150000000001</v>
      </c>
      <c r="C155">
        <v>18040.689999999999</v>
      </c>
      <c r="D155">
        <v>17837.22</v>
      </c>
      <c r="E155">
        <v>17919.3</v>
      </c>
    </row>
    <row r="156" spans="1:5" hidden="1" x14ac:dyDescent="0.3">
      <c r="A156" s="1">
        <v>40983</v>
      </c>
      <c r="B156">
        <v>17916.849999999999</v>
      </c>
      <c r="C156">
        <v>17918.25</v>
      </c>
      <c r="D156">
        <v>17622.13</v>
      </c>
      <c r="E156">
        <v>17675.849999999999</v>
      </c>
    </row>
    <row r="157" spans="1:5" hidden="1" x14ac:dyDescent="0.3">
      <c r="A157" s="1">
        <v>40984</v>
      </c>
      <c r="B157">
        <v>17656.810000000001</v>
      </c>
      <c r="C157">
        <v>17871</v>
      </c>
      <c r="D157">
        <v>17426.580000000002</v>
      </c>
      <c r="E157">
        <v>17466.2</v>
      </c>
    </row>
    <row r="158" spans="1:5" hidden="1" x14ac:dyDescent="0.3">
      <c r="A158" s="1">
        <v>40987</v>
      </c>
      <c r="B158">
        <v>17531.47</v>
      </c>
      <c r="C158">
        <v>17561.46</v>
      </c>
      <c r="D158">
        <v>17226.43</v>
      </c>
      <c r="E158">
        <v>17273.37</v>
      </c>
    </row>
    <row r="159" spans="1:5" hidden="1" x14ac:dyDescent="0.3">
      <c r="A159" s="1">
        <v>40988</v>
      </c>
      <c r="B159">
        <v>17308.89</v>
      </c>
      <c r="C159">
        <v>17410.13</v>
      </c>
      <c r="D159">
        <v>17211.73</v>
      </c>
      <c r="E159">
        <v>17316.18</v>
      </c>
    </row>
    <row r="160" spans="1:5" hidden="1" x14ac:dyDescent="0.3">
      <c r="A160" s="1">
        <v>40989</v>
      </c>
      <c r="B160">
        <v>17301.16</v>
      </c>
      <c r="C160">
        <v>17622.87</v>
      </c>
      <c r="D160">
        <v>17275.88</v>
      </c>
      <c r="E160">
        <v>17601.71</v>
      </c>
    </row>
    <row r="161" spans="1:5" hidden="1" x14ac:dyDescent="0.3">
      <c r="A161" s="1">
        <v>40990</v>
      </c>
      <c r="B161">
        <v>17586.060000000001</v>
      </c>
      <c r="C161">
        <v>17687.009999999998</v>
      </c>
      <c r="D161">
        <v>17136.5</v>
      </c>
      <c r="E161">
        <v>17196.47</v>
      </c>
    </row>
    <row r="162" spans="1:5" hidden="1" x14ac:dyDescent="0.3">
      <c r="A162" s="1">
        <v>40991</v>
      </c>
      <c r="B162">
        <v>17257.72</v>
      </c>
      <c r="C162">
        <v>17458.349999999999</v>
      </c>
      <c r="D162">
        <v>17179.330000000002</v>
      </c>
      <c r="E162">
        <v>17361.740000000002</v>
      </c>
    </row>
    <row r="163" spans="1:5" hidden="1" x14ac:dyDescent="0.3">
      <c r="A163" s="1">
        <v>40994</v>
      </c>
      <c r="B163">
        <v>17377.59</v>
      </c>
      <c r="C163">
        <v>17377.59</v>
      </c>
      <c r="D163">
        <v>17021.849999999999</v>
      </c>
      <c r="E163">
        <v>17052.78</v>
      </c>
    </row>
    <row r="164" spans="1:5" hidden="1" x14ac:dyDescent="0.3">
      <c r="A164" s="1">
        <v>40995</v>
      </c>
      <c r="B164">
        <v>17209.13</v>
      </c>
      <c r="C164">
        <v>17366.84</v>
      </c>
      <c r="D164">
        <v>17061.16</v>
      </c>
      <c r="E164">
        <v>17257.36</v>
      </c>
    </row>
    <row r="165" spans="1:5" hidden="1" x14ac:dyDescent="0.3">
      <c r="A165" s="1">
        <v>40996</v>
      </c>
      <c r="B165">
        <v>17234.48</v>
      </c>
      <c r="C165">
        <v>17245.82</v>
      </c>
      <c r="D165">
        <v>17040.12</v>
      </c>
      <c r="E165">
        <v>17121.62</v>
      </c>
    </row>
    <row r="166" spans="1:5" hidden="1" x14ac:dyDescent="0.3">
      <c r="A166" s="1">
        <v>40997</v>
      </c>
      <c r="B166">
        <v>17039.849999999999</v>
      </c>
      <c r="C166">
        <v>17109.349999999999</v>
      </c>
      <c r="D166">
        <v>16920.61</v>
      </c>
      <c r="E166">
        <v>17058.61</v>
      </c>
    </row>
    <row r="167" spans="1:5" hidden="1" x14ac:dyDescent="0.3">
      <c r="A167" s="1">
        <v>40998</v>
      </c>
      <c r="B167">
        <v>17117.41</v>
      </c>
      <c r="C167">
        <v>17439.509999999998</v>
      </c>
      <c r="D167">
        <v>17105.22</v>
      </c>
      <c r="E167">
        <v>17404.2</v>
      </c>
    </row>
    <row r="168" spans="1:5" hidden="1" x14ac:dyDescent="0.3">
      <c r="A168" s="1">
        <v>41001</v>
      </c>
      <c r="B168">
        <v>17429.96</v>
      </c>
      <c r="C168">
        <v>17529.98</v>
      </c>
      <c r="D168">
        <v>17382.38</v>
      </c>
      <c r="E168">
        <v>17478.150000000001</v>
      </c>
    </row>
    <row r="169" spans="1:5" hidden="1" x14ac:dyDescent="0.3">
      <c r="A169" s="1">
        <v>41002</v>
      </c>
      <c r="B169">
        <v>17576.21</v>
      </c>
      <c r="C169">
        <v>17664.099999999999</v>
      </c>
      <c r="D169">
        <v>17570.009999999998</v>
      </c>
      <c r="E169">
        <v>17597.419999999998</v>
      </c>
    </row>
    <row r="170" spans="1:5" hidden="1" x14ac:dyDescent="0.3">
      <c r="A170" s="1">
        <v>41003</v>
      </c>
      <c r="B170">
        <v>17553.259999999998</v>
      </c>
      <c r="C170">
        <v>17553.259999999998</v>
      </c>
      <c r="D170">
        <v>17436.599999999999</v>
      </c>
      <c r="E170">
        <v>17486.02</v>
      </c>
    </row>
    <row r="171" spans="1:5" hidden="1" x14ac:dyDescent="0.3">
      <c r="A171" s="1">
        <v>41008</v>
      </c>
      <c r="B171">
        <v>17407.66</v>
      </c>
      <c r="C171">
        <v>17407.66</v>
      </c>
      <c r="D171">
        <v>17199.63</v>
      </c>
      <c r="E171">
        <v>17222.14</v>
      </c>
    </row>
    <row r="172" spans="1:5" hidden="1" x14ac:dyDescent="0.3">
      <c r="A172" s="1">
        <v>41009</v>
      </c>
      <c r="B172">
        <v>17259.259999999998</v>
      </c>
      <c r="C172">
        <v>17274.689999999999</v>
      </c>
      <c r="D172">
        <v>17135.759999999998</v>
      </c>
      <c r="E172">
        <v>17243.84</v>
      </c>
    </row>
    <row r="173" spans="1:5" hidden="1" x14ac:dyDescent="0.3">
      <c r="A173" s="1">
        <v>41010</v>
      </c>
      <c r="B173">
        <v>17125.96</v>
      </c>
      <c r="C173">
        <v>17319.150000000001</v>
      </c>
      <c r="D173">
        <v>17075.89</v>
      </c>
      <c r="E173">
        <v>17199.400000000001</v>
      </c>
    </row>
    <row r="174" spans="1:5" hidden="1" x14ac:dyDescent="0.3">
      <c r="A174" s="1">
        <v>41011</v>
      </c>
      <c r="B174">
        <v>17276.87</v>
      </c>
      <c r="C174">
        <v>17395.150000000001</v>
      </c>
      <c r="D174">
        <v>17276.87</v>
      </c>
      <c r="E174">
        <v>17332.62</v>
      </c>
    </row>
    <row r="175" spans="1:5" hidden="1" x14ac:dyDescent="0.3">
      <c r="A175" s="1">
        <v>41012</v>
      </c>
      <c r="B175">
        <v>17232.560000000001</v>
      </c>
      <c r="C175">
        <v>17398.22</v>
      </c>
      <c r="D175">
        <v>17027.3</v>
      </c>
      <c r="E175">
        <v>17094.509999999998</v>
      </c>
    </row>
    <row r="176" spans="1:5" hidden="1" x14ac:dyDescent="0.3">
      <c r="A176" s="1">
        <v>41015</v>
      </c>
      <c r="B176">
        <v>17047.87</v>
      </c>
      <c r="C176">
        <v>17173.060000000001</v>
      </c>
      <c r="D176">
        <v>17010.16</v>
      </c>
      <c r="E176">
        <v>17150.95</v>
      </c>
    </row>
    <row r="177" spans="1:5" hidden="1" x14ac:dyDescent="0.3">
      <c r="A177" s="1">
        <v>41016</v>
      </c>
      <c r="B177">
        <v>17200.97</v>
      </c>
      <c r="C177">
        <v>17381.919999999998</v>
      </c>
      <c r="D177">
        <v>17103.36</v>
      </c>
      <c r="E177">
        <v>17357.939999999999</v>
      </c>
    </row>
    <row r="178" spans="1:5" hidden="1" x14ac:dyDescent="0.3">
      <c r="A178" s="1">
        <v>41017</v>
      </c>
      <c r="B178">
        <v>17447.259999999998</v>
      </c>
      <c r="C178">
        <v>17522.8</v>
      </c>
      <c r="D178">
        <v>17371.93</v>
      </c>
      <c r="E178">
        <v>17392.39</v>
      </c>
    </row>
    <row r="179" spans="1:5" hidden="1" x14ac:dyDescent="0.3">
      <c r="A179" s="1">
        <v>41018</v>
      </c>
      <c r="B179">
        <v>17432.89</v>
      </c>
      <c r="C179">
        <v>17530.3</v>
      </c>
      <c r="D179">
        <v>17361.71</v>
      </c>
      <c r="E179">
        <v>17503.71</v>
      </c>
    </row>
    <row r="180" spans="1:5" hidden="1" x14ac:dyDescent="0.3">
      <c r="A180" s="1">
        <v>41019</v>
      </c>
      <c r="B180">
        <v>17459.72</v>
      </c>
      <c r="C180">
        <v>17519.88</v>
      </c>
      <c r="D180">
        <v>17231.34</v>
      </c>
      <c r="E180">
        <v>17373.84</v>
      </c>
    </row>
    <row r="181" spans="1:5" hidden="1" x14ac:dyDescent="0.3">
      <c r="A181" s="1">
        <v>41022</v>
      </c>
      <c r="B181">
        <v>17347.759999999998</v>
      </c>
      <c r="C181">
        <v>17444.18</v>
      </c>
      <c r="D181">
        <v>17056.77</v>
      </c>
      <c r="E181">
        <v>17096.68</v>
      </c>
    </row>
    <row r="182" spans="1:5" hidden="1" x14ac:dyDescent="0.3">
      <c r="A182" s="1">
        <v>41023</v>
      </c>
      <c r="B182">
        <v>17154.75</v>
      </c>
      <c r="C182">
        <v>17247.53</v>
      </c>
      <c r="D182">
        <v>17046.72</v>
      </c>
      <c r="E182">
        <v>17207.29</v>
      </c>
    </row>
    <row r="183" spans="1:5" hidden="1" x14ac:dyDescent="0.3">
      <c r="A183" s="1">
        <v>41024</v>
      </c>
      <c r="B183">
        <v>17225.54</v>
      </c>
      <c r="C183">
        <v>17249.61</v>
      </c>
      <c r="D183">
        <v>17019.240000000002</v>
      </c>
      <c r="E183">
        <v>17151.29</v>
      </c>
    </row>
    <row r="184" spans="1:5" hidden="1" x14ac:dyDescent="0.3">
      <c r="A184" s="1">
        <v>41025</v>
      </c>
      <c r="B184">
        <v>17191.02</v>
      </c>
      <c r="C184">
        <v>17193.25</v>
      </c>
      <c r="D184">
        <v>17084.05</v>
      </c>
      <c r="E184">
        <v>17130.669999999998</v>
      </c>
    </row>
    <row r="185" spans="1:5" hidden="1" x14ac:dyDescent="0.3">
      <c r="A185" s="1">
        <v>41026</v>
      </c>
      <c r="B185">
        <v>17145.39</v>
      </c>
      <c r="C185">
        <v>17242.150000000001</v>
      </c>
      <c r="D185">
        <v>17022.09</v>
      </c>
      <c r="E185">
        <v>17134.25</v>
      </c>
    </row>
    <row r="186" spans="1:5" hidden="1" x14ac:dyDescent="0.3">
      <c r="A186" s="1">
        <v>41027</v>
      </c>
      <c r="B186">
        <v>17134.189999999999</v>
      </c>
      <c r="C186">
        <v>17212.36</v>
      </c>
      <c r="D186">
        <v>17125.88</v>
      </c>
      <c r="E186">
        <v>17187.34</v>
      </c>
    </row>
    <row r="187" spans="1:5" hidden="1" x14ac:dyDescent="0.3">
      <c r="A187" s="1">
        <v>41029</v>
      </c>
      <c r="B187">
        <v>17195.509999999998</v>
      </c>
      <c r="C187">
        <v>17359.18</v>
      </c>
      <c r="D187">
        <v>17195.509999999998</v>
      </c>
      <c r="E187">
        <v>17318.810000000001</v>
      </c>
    </row>
    <row r="188" spans="1:5" hidden="1" x14ac:dyDescent="0.3">
      <c r="A188" s="1">
        <v>41031</v>
      </c>
      <c r="B188">
        <v>17370.93</v>
      </c>
      <c r="C188">
        <v>17432.330000000002</v>
      </c>
      <c r="D188">
        <v>17265.48</v>
      </c>
      <c r="E188">
        <v>17301.91</v>
      </c>
    </row>
    <row r="189" spans="1:5" hidden="1" x14ac:dyDescent="0.3">
      <c r="A189" s="1">
        <v>41032</v>
      </c>
      <c r="B189">
        <v>17271.77</v>
      </c>
      <c r="C189">
        <v>17271.77</v>
      </c>
      <c r="D189">
        <v>17120.86</v>
      </c>
      <c r="E189">
        <v>17151.189999999999</v>
      </c>
    </row>
    <row r="190" spans="1:5" hidden="1" x14ac:dyDescent="0.3">
      <c r="A190" s="1">
        <v>41033</v>
      </c>
      <c r="B190">
        <v>17066.84</v>
      </c>
      <c r="C190">
        <v>17121.37</v>
      </c>
      <c r="D190">
        <v>16776.72</v>
      </c>
      <c r="E190">
        <v>16831.080000000002</v>
      </c>
    </row>
    <row r="191" spans="1:5" hidden="1" x14ac:dyDescent="0.3">
      <c r="A191" s="1">
        <v>41036</v>
      </c>
      <c r="B191">
        <v>16620.439999999999</v>
      </c>
      <c r="C191">
        <v>16944.13</v>
      </c>
      <c r="D191">
        <v>16513.77</v>
      </c>
      <c r="E191">
        <v>16912.71</v>
      </c>
    </row>
    <row r="192" spans="1:5" hidden="1" x14ac:dyDescent="0.3">
      <c r="A192" s="1">
        <v>41037</v>
      </c>
      <c r="B192">
        <v>16915.71</v>
      </c>
      <c r="C192">
        <v>16918.310000000001</v>
      </c>
      <c r="D192">
        <v>16502.91</v>
      </c>
      <c r="E192">
        <v>16546.18</v>
      </c>
    </row>
    <row r="193" spans="1:5" hidden="1" x14ac:dyDescent="0.3">
      <c r="A193" s="1">
        <v>41038</v>
      </c>
      <c r="B193">
        <v>16436.41</v>
      </c>
      <c r="C193">
        <v>16615.740000000002</v>
      </c>
      <c r="D193">
        <v>16422.93</v>
      </c>
      <c r="E193">
        <v>16479.580000000002</v>
      </c>
    </row>
    <row r="194" spans="1:5" hidden="1" x14ac:dyDescent="0.3">
      <c r="A194" s="1">
        <v>41039</v>
      </c>
      <c r="B194">
        <v>16515.62</v>
      </c>
      <c r="C194">
        <v>16671.810000000001</v>
      </c>
      <c r="D194">
        <v>16377.02</v>
      </c>
      <c r="E194">
        <v>16420.05</v>
      </c>
    </row>
    <row r="195" spans="1:5" hidden="1" x14ac:dyDescent="0.3">
      <c r="A195" s="1">
        <v>41040</v>
      </c>
      <c r="B195">
        <v>16355.59</v>
      </c>
      <c r="C195">
        <v>16447.240000000002</v>
      </c>
      <c r="D195">
        <v>16233.76</v>
      </c>
      <c r="E195">
        <v>16292.98</v>
      </c>
    </row>
    <row r="196" spans="1:5" hidden="1" x14ac:dyDescent="0.3">
      <c r="A196" s="1">
        <v>41043</v>
      </c>
      <c r="B196">
        <v>16318.36</v>
      </c>
      <c r="C196">
        <v>16390.330000000002</v>
      </c>
      <c r="D196">
        <v>16124.82</v>
      </c>
      <c r="E196">
        <v>16215.84</v>
      </c>
    </row>
    <row r="197" spans="1:5" hidden="1" x14ac:dyDescent="0.3">
      <c r="A197" s="1">
        <v>41044</v>
      </c>
      <c r="B197">
        <v>16146.9</v>
      </c>
      <c r="C197">
        <v>16370.12</v>
      </c>
      <c r="D197">
        <v>16123.04</v>
      </c>
      <c r="E197">
        <v>16328.25</v>
      </c>
    </row>
    <row r="198" spans="1:5" hidden="1" x14ac:dyDescent="0.3">
      <c r="A198" s="1">
        <v>41045</v>
      </c>
      <c r="B198">
        <v>16132.68</v>
      </c>
      <c r="C198">
        <v>16132.68</v>
      </c>
      <c r="D198">
        <v>15974.6</v>
      </c>
      <c r="E198">
        <v>16030.09</v>
      </c>
    </row>
    <row r="199" spans="1:5" hidden="1" x14ac:dyDescent="0.3">
      <c r="A199" s="1">
        <v>41046</v>
      </c>
      <c r="B199">
        <v>16119.08</v>
      </c>
      <c r="C199">
        <v>16240.18</v>
      </c>
      <c r="D199">
        <v>16007.92</v>
      </c>
      <c r="E199">
        <v>16070.48</v>
      </c>
    </row>
    <row r="200" spans="1:5" hidden="1" x14ac:dyDescent="0.3">
      <c r="A200" s="1">
        <v>41047</v>
      </c>
      <c r="B200">
        <v>15868.07</v>
      </c>
      <c r="C200">
        <v>16206.35</v>
      </c>
      <c r="D200">
        <v>15809.71</v>
      </c>
      <c r="E200">
        <v>16152.75</v>
      </c>
    </row>
    <row r="201" spans="1:5" hidden="1" x14ac:dyDescent="0.3">
      <c r="A201" s="1">
        <v>41050</v>
      </c>
      <c r="B201">
        <v>16187.66</v>
      </c>
      <c r="C201">
        <v>16298.39</v>
      </c>
      <c r="D201">
        <v>16149.61</v>
      </c>
      <c r="E201">
        <v>16183.26</v>
      </c>
    </row>
    <row r="202" spans="1:5" hidden="1" x14ac:dyDescent="0.3">
      <c r="A202" s="1">
        <v>41051</v>
      </c>
      <c r="B202">
        <v>16344.34</v>
      </c>
      <c r="C202">
        <v>16366.72</v>
      </c>
      <c r="D202">
        <v>16000.84</v>
      </c>
      <c r="E202">
        <v>16026.41</v>
      </c>
    </row>
    <row r="203" spans="1:5" hidden="1" x14ac:dyDescent="0.3">
      <c r="A203" s="1">
        <v>41052</v>
      </c>
      <c r="B203">
        <v>15995.14</v>
      </c>
      <c r="C203">
        <v>16002.03</v>
      </c>
      <c r="D203">
        <v>15847.03</v>
      </c>
      <c r="E203">
        <v>15948.1</v>
      </c>
    </row>
    <row r="204" spans="1:5" hidden="1" x14ac:dyDescent="0.3">
      <c r="A204" s="1">
        <v>41053</v>
      </c>
      <c r="B204">
        <v>16033.9</v>
      </c>
      <c r="C204">
        <v>16252.37</v>
      </c>
      <c r="D204">
        <v>15934.77</v>
      </c>
      <c r="E204">
        <v>16222.3</v>
      </c>
    </row>
    <row r="205" spans="1:5" hidden="1" x14ac:dyDescent="0.3">
      <c r="A205" s="1">
        <v>41054</v>
      </c>
      <c r="B205">
        <v>16213.24</v>
      </c>
      <c r="C205">
        <v>16273.48</v>
      </c>
      <c r="D205">
        <v>16118.35</v>
      </c>
      <c r="E205">
        <v>16217.82</v>
      </c>
    </row>
    <row r="206" spans="1:5" hidden="1" x14ac:dyDescent="0.3">
      <c r="A206" s="1">
        <v>41057</v>
      </c>
      <c r="B206">
        <v>16289.82</v>
      </c>
      <c r="C206">
        <v>16439.97</v>
      </c>
      <c r="D206">
        <v>16273.49</v>
      </c>
      <c r="E206">
        <v>16416.84</v>
      </c>
    </row>
    <row r="207" spans="1:5" hidden="1" x14ac:dyDescent="0.3">
      <c r="A207" s="1">
        <v>41058</v>
      </c>
      <c r="B207">
        <v>16500.04</v>
      </c>
      <c r="C207">
        <v>16544.38</v>
      </c>
      <c r="D207">
        <v>16410.21</v>
      </c>
      <c r="E207">
        <v>16438.580000000002</v>
      </c>
    </row>
    <row r="208" spans="1:5" hidden="1" x14ac:dyDescent="0.3">
      <c r="A208" s="1">
        <v>41059</v>
      </c>
      <c r="B208">
        <v>16391.900000000001</v>
      </c>
      <c r="C208">
        <v>16428.740000000002</v>
      </c>
      <c r="D208">
        <v>16295.31</v>
      </c>
      <c r="E208">
        <v>16312.15</v>
      </c>
    </row>
    <row r="209" spans="1:5" hidden="1" x14ac:dyDescent="0.3">
      <c r="A209" s="1">
        <v>41060</v>
      </c>
      <c r="B209">
        <v>16224.86</v>
      </c>
      <c r="C209">
        <v>16277.48</v>
      </c>
      <c r="D209">
        <v>16086.06</v>
      </c>
      <c r="E209">
        <v>16218.53</v>
      </c>
    </row>
    <row r="210" spans="1:5" hidden="1" x14ac:dyDescent="0.3">
      <c r="A210" s="1">
        <v>41061</v>
      </c>
      <c r="B210">
        <v>16217.48</v>
      </c>
      <c r="C210">
        <v>16226.19</v>
      </c>
      <c r="D210">
        <v>15933.48</v>
      </c>
      <c r="E210">
        <v>15965.16</v>
      </c>
    </row>
    <row r="211" spans="1:5" hidden="1" x14ac:dyDescent="0.3">
      <c r="A211" s="1">
        <v>41064</v>
      </c>
      <c r="B211">
        <v>15808.88</v>
      </c>
      <c r="C211">
        <v>16012.84</v>
      </c>
      <c r="D211">
        <v>15748.98</v>
      </c>
      <c r="E211">
        <v>15988.4</v>
      </c>
    </row>
    <row r="212" spans="1:5" hidden="1" x14ac:dyDescent="0.3">
      <c r="A212" s="1">
        <v>41065</v>
      </c>
      <c r="B212">
        <v>16065.37</v>
      </c>
      <c r="C212">
        <v>16138.29</v>
      </c>
      <c r="D212">
        <v>15979.77</v>
      </c>
      <c r="E212">
        <v>16020.64</v>
      </c>
    </row>
    <row r="213" spans="1:5" hidden="1" x14ac:dyDescent="0.3">
      <c r="A213" s="1">
        <v>41066</v>
      </c>
      <c r="B213">
        <v>16100.36</v>
      </c>
      <c r="C213">
        <v>16494.5</v>
      </c>
      <c r="D213">
        <v>16100.36</v>
      </c>
      <c r="E213">
        <v>16454.3</v>
      </c>
    </row>
    <row r="214" spans="1:5" hidden="1" x14ac:dyDescent="0.3">
      <c r="A214" s="1">
        <v>41067</v>
      </c>
      <c r="B214">
        <v>16578.009999999998</v>
      </c>
      <c r="C214">
        <v>16680.59</v>
      </c>
      <c r="D214">
        <v>16519.89</v>
      </c>
      <c r="E214">
        <v>16649.05</v>
      </c>
    </row>
    <row r="215" spans="1:5" hidden="1" x14ac:dyDescent="0.3">
      <c r="A215" s="1">
        <v>41068</v>
      </c>
      <c r="B215">
        <v>16611.52</v>
      </c>
      <c r="C215">
        <v>16767.77</v>
      </c>
      <c r="D215">
        <v>16485.02</v>
      </c>
      <c r="E215">
        <v>16718.87</v>
      </c>
    </row>
    <row r="216" spans="1:5" hidden="1" x14ac:dyDescent="0.3">
      <c r="A216" s="1">
        <v>41071</v>
      </c>
      <c r="B216">
        <v>16804.89</v>
      </c>
      <c r="C216">
        <v>16893.810000000001</v>
      </c>
      <c r="D216">
        <v>16627.48</v>
      </c>
      <c r="E216">
        <v>16668.009999999998</v>
      </c>
    </row>
    <row r="217" spans="1:5" hidden="1" x14ac:dyDescent="0.3">
      <c r="A217" s="1">
        <v>41072</v>
      </c>
      <c r="B217">
        <v>16570.509999999998</v>
      </c>
      <c r="C217">
        <v>16897.419999999998</v>
      </c>
      <c r="D217">
        <v>16553.47</v>
      </c>
      <c r="E217">
        <v>16862.8</v>
      </c>
    </row>
    <row r="218" spans="1:5" hidden="1" x14ac:dyDescent="0.3">
      <c r="A218" s="1">
        <v>41073</v>
      </c>
      <c r="B218">
        <v>16865.72</v>
      </c>
      <c r="C218">
        <v>16944.11</v>
      </c>
      <c r="D218">
        <v>16792.87</v>
      </c>
      <c r="E218">
        <v>16880.509999999998</v>
      </c>
    </row>
    <row r="219" spans="1:5" hidden="1" x14ac:dyDescent="0.3">
      <c r="A219" s="1">
        <v>41074</v>
      </c>
      <c r="B219">
        <v>16857.23</v>
      </c>
      <c r="C219">
        <v>16921.490000000002</v>
      </c>
      <c r="D219">
        <v>16658.98</v>
      </c>
      <c r="E219">
        <v>16677.88</v>
      </c>
    </row>
    <row r="220" spans="1:5" hidden="1" x14ac:dyDescent="0.3">
      <c r="A220" s="1">
        <v>41075</v>
      </c>
      <c r="B220">
        <v>16701.28</v>
      </c>
      <c r="C220">
        <v>16967.759999999998</v>
      </c>
      <c r="D220">
        <v>16701.28</v>
      </c>
      <c r="E220">
        <v>16949.830000000002</v>
      </c>
    </row>
    <row r="221" spans="1:5" hidden="1" x14ac:dyDescent="0.3">
      <c r="A221" s="1">
        <v>41078</v>
      </c>
      <c r="B221">
        <v>17039.54</v>
      </c>
      <c r="C221">
        <v>17109.95</v>
      </c>
      <c r="D221">
        <v>16636.09</v>
      </c>
      <c r="E221">
        <v>16705.830000000002</v>
      </c>
    </row>
    <row r="222" spans="1:5" hidden="1" x14ac:dyDescent="0.3">
      <c r="A222" s="1">
        <v>41079</v>
      </c>
      <c r="B222">
        <v>16681.89</v>
      </c>
      <c r="C222">
        <v>16890</v>
      </c>
      <c r="D222">
        <v>16681.89</v>
      </c>
      <c r="E222">
        <v>16859.8</v>
      </c>
    </row>
    <row r="223" spans="1:5" hidden="1" x14ac:dyDescent="0.3">
      <c r="A223" s="1">
        <v>41080</v>
      </c>
      <c r="B223">
        <v>16903.96</v>
      </c>
      <c r="C223">
        <v>16962.490000000002</v>
      </c>
      <c r="D223">
        <v>16840.099999999999</v>
      </c>
      <c r="E223">
        <v>16896.63</v>
      </c>
    </row>
    <row r="224" spans="1:5" hidden="1" x14ac:dyDescent="0.3">
      <c r="A224" s="1">
        <v>41081</v>
      </c>
      <c r="B224">
        <v>16855.599999999999</v>
      </c>
      <c r="C224">
        <v>17050.439999999999</v>
      </c>
      <c r="D224">
        <v>16799.63</v>
      </c>
      <c r="E224">
        <v>17032.560000000001</v>
      </c>
    </row>
    <row r="225" spans="1:5" hidden="1" x14ac:dyDescent="0.3">
      <c r="A225" s="1">
        <v>41082</v>
      </c>
      <c r="B225">
        <v>16882.740000000002</v>
      </c>
      <c r="C225">
        <v>17016.060000000001</v>
      </c>
      <c r="D225">
        <v>16807.8</v>
      </c>
      <c r="E225">
        <v>16972.509999999998</v>
      </c>
    </row>
    <row r="226" spans="1:5" hidden="1" x14ac:dyDescent="0.3">
      <c r="A226" s="1">
        <v>41085</v>
      </c>
      <c r="B226">
        <v>17038.77</v>
      </c>
      <c r="C226">
        <v>17131.150000000001</v>
      </c>
      <c r="D226">
        <v>16853.05</v>
      </c>
      <c r="E226">
        <v>16882.16</v>
      </c>
    </row>
    <row r="227" spans="1:5" hidden="1" x14ac:dyDescent="0.3">
      <c r="A227" s="1">
        <v>41086</v>
      </c>
      <c r="B227">
        <v>16873.09</v>
      </c>
      <c r="C227">
        <v>16946.66</v>
      </c>
      <c r="D227">
        <v>16815.87</v>
      </c>
      <c r="E227">
        <v>16906.580000000002</v>
      </c>
    </row>
    <row r="228" spans="1:5" hidden="1" x14ac:dyDescent="0.3">
      <c r="A228" s="1">
        <v>41087</v>
      </c>
      <c r="B228">
        <v>16975.759999999998</v>
      </c>
      <c r="C228">
        <v>17029.27</v>
      </c>
      <c r="D228">
        <v>16930.8</v>
      </c>
      <c r="E228">
        <v>16967.759999999998</v>
      </c>
    </row>
    <row r="229" spans="1:5" hidden="1" x14ac:dyDescent="0.3">
      <c r="A229" s="1">
        <v>41088</v>
      </c>
      <c r="B229">
        <v>16985.580000000002</v>
      </c>
      <c r="C229">
        <v>17033.849999999999</v>
      </c>
      <c r="D229">
        <v>16918.87</v>
      </c>
      <c r="E229">
        <v>16990.759999999998</v>
      </c>
    </row>
    <row r="230" spans="1:5" hidden="1" x14ac:dyDescent="0.3">
      <c r="A230" s="1">
        <v>41089</v>
      </c>
      <c r="B230">
        <v>17134.61</v>
      </c>
      <c r="C230">
        <v>17448.48</v>
      </c>
      <c r="D230">
        <v>17134.61</v>
      </c>
      <c r="E230">
        <v>17429.98</v>
      </c>
    </row>
    <row r="231" spans="1:5" hidden="1" x14ac:dyDescent="0.3">
      <c r="A231" s="1">
        <v>41092</v>
      </c>
      <c r="B231">
        <v>17438.68</v>
      </c>
      <c r="C231">
        <v>17486.57</v>
      </c>
      <c r="D231">
        <v>17363.04</v>
      </c>
      <c r="E231">
        <v>17398.98</v>
      </c>
    </row>
    <row r="232" spans="1:5" hidden="1" x14ac:dyDescent="0.3">
      <c r="A232" s="1">
        <v>41093</v>
      </c>
      <c r="B232">
        <v>17457.95</v>
      </c>
      <c r="C232">
        <v>17526.82</v>
      </c>
      <c r="D232">
        <v>17351.5</v>
      </c>
      <c r="E232">
        <v>17425.71</v>
      </c>
    </row>
    <row r="233" spans="1:5" hidden="1" x14ac:dyDescent="0.3">
      <c r="A233" s="1">
        <v>41094</v>
      </c>
      <c r="B233">
        <v>17473.259999999998</v>
      </c>
      <c r="C233">
        <v>17523.77</v>
      </c>
      <c r="D233">
        <v>17372.45</v>
      </c>
      <c r="E233">
        <v>17462.810000000001</v>
      </c>
    </row>
    <row r="234" spans="1:5" hidden="1" x14ac:dyDescent="0.3">
      <c r="A234" s="1">
        <v>41095</v>
      </c>
      <c r="B234">
        <v>17478.16</v>
      </c>
      <c r="C234">
        <v>17562.89</v>
      </c>
      <c r="D234">
        <v>17423.45</v>
      </c>
      <c r="E234">
        <v>17538.669999999998</v>
      </c>
    </row>
    <row r="235" spans="1:5" hidden="1" x14ac:dyDescent="0.3">
      <c r="A235" s="1">
        <v>41096</v>
      </c>
      <c r="B235">
        <v>17546.04</v>
      </c>
      <c r="C235">
        <v>17554.55</v>
      </c>
      <c r="D235">
        <v>17425.47</v>
      </c>
      <c r="E235">
        <v>17521.12</v>
      </c>
    </row>
    <row r="236" spans="1:5" hidden="1" x14ac:dyDescent="0.3">
      <c r="A236" s="1">
        <v>41099</v>
      </c>
      <c r="B236">
        <v>17449.93</v>
      </c>
      <c r="C236">
        <v>17485.79</v>
      </c>
      <c r="D236">
        <v>17343.55</v>
      </c>
      <c r="E236">
        <v>17391.98</v>
      </c>
    </row>
    <row r="237" spans="1:5" hidden="1" x14ac:dyDescent="0.3">
      <c r="A237" s="1">
        <v>41100</v>
      </c>
      <c r="B237">
        <v>17431.68</v>
      </c>
      <c r="C237">
        <v>17631.189999999999</v>
      </c>
      <c r="D237">
        <v>17424.29</v>
      </c>
      <c r="E237">
        <v>17618.349999999999</v>
      </c>
    </row>
    <row r="238" spans="1:5" hidden="1" x14ac:dyDescent="0.3">
      <c r="A238" s="1">
        <v>41101</v>
      </c>
      <c r="B238">
        <v>17553.97</v>
      </c>
      <c r="C238">
        <v>17582.990000000002</v>
      </c>
      <c r="D238">
        <v>17466.990000000002</v>
      </c>
      <c r="E238">
        <v>17489.14</v>
      </c>
    </row>
    <row r="239" spans="1:5" hidden="1" x14ac:dyDescent="0.3">
      <c r="A239" s="1">
        <v>41102</v>
      </c>
      <c r="B239">
        <v>17297.060000000001</v>
      </c>
      <c r="C239">
        <v>17329.46</v>
      </c>
      <c r="D239">
        <v>17181.169999999998</v>
      </c>
      <c r="E239">
        <v>17232.55</v>
      </c>
    </row>
    <row r="240" spans="1:5" hidden="1" x14ac:dyDescent="0.3">
      <c r="A240" s="1">
        <v>41103</v>
      </c>
      <c r="B240">
        <v>17269.2</v>
      </c>
      <c r="C240">
        <v>17342.88</v>
      </c>
      <c r="D240">
        <v>17182.29</v>
      </c>
      <c r="E240">
        <v>17213.7</v>
      </c>
    </row>
    <row r="241" spans="1:5" hidden="1" x14ac:dyDescent="0.3">
      <c r="A241" s="1">
        <v>41106</v>
      </c>
      <c r="B241">
        <v>17241.98</v>
      </c>
      <c r="C241">
        <v>17282.3</v>
      </c>
      <c r="D241">
        <v>17079.63</v>
      </c>
      <c r="E241">
        <v>17103.310000000001</v>
      </c>
    </row>
    <row r="242" spans="1:5" hidden="1" x14ac:dyDescent="0.3">
      <c r="A242" s="1">
        <v>41107</v>
      </c>
      <c r="B242">
        <v>17176.93</v>
      </c>
      <c r="C242">
        <v>17236.080000000002</v>
      </c>
      <c r="D242">
        <v>17074.63</v>
      </c>
      <c r="E242">
        <v>17105.3</v>
      </c>
    </row>
    <row r="243" spans="1:5" hidden="1" x14ac:dyDescent="0.3">
      <c r="A243" s="1">
        <v>41108</v>
      </c>
      <c r="B243">
        <v>17113.37</v>
      </c>
      <c r="C243">
        <v>17205.259999999998</v>
      </c>
      <c r="D243">
        <v>17038.59</v>
      </c>
      <c r="E243">
        <v>17185.009999999998</v>
      </c>
    </row>
    <row r="244" spans="1:5" hidden="1" x14ac:dyDescent="0.3">
      <c r="A244" s="1">
        <v>41109</v>
      </c>
      <c r="B244">
        <v>17288.34</v>
      </c>
      <c r="C244">
        <v>17318.93</v>
      </c>
      <c r="D244">
        <v>17244.759999999998</v>
      </c>
      <c r="E244">
        <v>17278.849999999999</v>
      </c>
    </row>
    <row r="245" spans="1:5" hidden="1" x14ac:dyDescent="0.3">
      <c r="A245" s="1">
        <v>41110</v>
      </c>
      <c r="B245">
        <v>17275.2</v>
      </c>
      <c r="C245">
        <v>17275.2</v>
      </c>
      <c r="D245">
        <v>17129.689999999999</v>
      </c>
      <c r="E245">
        <v>17158.439999999999</v>
      </c>
    </row>
    <row r="246" spans="1:5" hidden="1" x14ac:dyDescent="0.3">
      <c r="A246" s="1">
        <v>41113</v>
      </c>
      <c r="B246">
        <v>17047.73</v>
      </c>
      <c r="C246">
        <v>17047.73</v>
      </c>
      <c r="D246">
        <v>16849.28</v>
      </c>
      <c r="E246">
        <v>16877.349999999999</v>
      </c>
    </row>
    <row r="247" spans="1:5" hidden="1" x14ac:dyDescent="0.3">
      <c r="A247" s="1">
        <v>41114</v>
      </c>
      <c r="B247">
        <v>16907.740000000002</v>
      </c>
      <c r="C247">
        <v>16962.740000000002</v>
      </c>
      <c r="D247">
        <v>16839.7</v>
      </c>
      <c r="E247">
        <v>16918.080000000002</v>
      </c>
    </row>
    <row r="248" spans="1:5" hidden="1" x14ac:dyDescent="0.3">
      <c r="A248" s="1">
        <v>41115</v>
      </c>
      <c r="B248">
        <v>16899.009999999998</v>
      </c>
      <c r="C248">
        <v>16899.009999999998</v>
      </c>
      <c r="D248">
        <v>16736.599999999999</v>
      </c>
      <c r="E248">
        <v>16846.05</v>
      </c>
    </row>
    <row r="249" spans="1:5" hidden="1" x14ac:dyDescent="0.3">
      <c r="A249" s="1">
        <v>41116</v>
      </c>
      <c r="B249">
        <v>16887.84</v>
      </c>
      <c r="C249">
        <v>16899.77</v>
      </c>
      <c r="D249">
        <v>16598.48</v>
      </c>
      <c r="E249">
        <v>16639.82</v>
      </c>
    </row>
    <row r="250" spans="1:5" hidden="1" x14ac:dyDescent="0.3">
      <c r="A250" s="1">
        <v>41117</v>
      </c>
      <c r="B250">
        <v>16860.16</v>
      </c>
      <c r="C250">
        <v>16975.03</v>
      </c>
      <c r="D250">
        <v>16760.72</v>
      </c>
      <c r="E250">
        <v>16839.189999999999</v>
      </c>
    </row>
    <row r="251" spans="1:5" hidden="1" x14ac:dyDescent="0.3">
      <c r="A251" s="1">
        <v>41120</v>
      </c>
      <c r="B251">
        <v>16919.14</v>
      </c>
      <c r="C251">
        <v>17163.95</v>
      </c>
      <c r="D251">
        <v>16919.14</v>
      </c>
      <c r="E251">
        <v>17143.68</v>
      </c>
    </row>
    <row r="252" spans="1:5" hidden="1" x14ac:dyDescent="0.3">
      <c r="A252" s="1">
        <v>41121</v>
      </c>
      <c r="B252">
        <v>17186.61</v>
      </c>
      <c r="C252">
        <v>17253.669999999998</v>
      </c>
      <c r="D252">
        <v>17004.09</v>
      </c>
      <c r="E252">
        <v>17236.18</v>
      </c>
    </row>
    <row r="253" spans="1:5" hidden="1" x14ac:dyDescent="0.3">
      <c r="A253" s="1">
        <v>41122</v>
      </c>
      <c r="B253">
        <v>17244.439999999999</v>
      </c>
      <c r="C253">
        <v>17291.990000000002</v>
      </c>
      <c r="D253">
        <v>17189.16</v>
      </c>
      <c r="E253">
        <v>17257.38</v>
      </c>
    </row>
    <row r="254" spans="1:5" hidden="1" x14ac:dyDescent="0.3">
      <c r="A254" s="1">
        <v>41123</v>
      </c>
      <c r="B254">
        <v>17245.68</v>
      </c>
      <c r="C254">
        <v>17246.009999999998</v>
      </c>
      <c r="D254">
        <v>17157.28</v>
      </c>
      <c r="E254">
        <v>17224.36</v>
      </c>
    </row>
    <row r="255" spans="1:5" hidden="1" x14ac:dyDescent="0.3">
      <c r="A255" s="1">
        <v>41124</v>
      </c>
      <c r="B255">
        <v>17164.48</v>
      </c>
      <c r="C255">
        <v>17208.36</v>
      </c>
      <c r="D255">
        <v>17026.97</v>
      </c>
      <c r="E255">
        <v>17197.93</v>
      </c>
    </row>
    <row r="256" spans="1:5" hidden="1" x14ac:dyDescent="0.3">
      <c r="A256" s="1">
        <v>41127</v>
      </c>
      <c r="B256">
        <v>17313.05</v>
      </c>
      <c r="C256">
        <v>17451.53</v>
      </c>
      <c r="D256">
        <v>17313.05</v>
      </c>
      <c r="E256">
        <v>17412.96</v>
      </c>
    </row>
    <row r="257" spans="1:5" hidden="1" x14ac:dyDescent="0.3">
      <c r="A257" s="1">
        <v>41128</v>
      </c>
      <c r="B257">
        <v>17456.37</v>
      </c>
      <c r="C257">
        <v>17641.55</v>
      </c>
      <c r="D257">
        <v>17417.919999999998</v>
      </c>
      <c r="E257">
        <v>17601.78</v>
      </c>
    </row>
    <row r="258" spans="1:5" hidden="1" x14ac:dyDescent="0.3">
      <c r="A258" s="1">
        <v>41129</v>
      </c>
      <c r="B258">
        <v>17638.53</v>
      </c>
      <c r="C258">
        <v>17726.64</v>
      </c>
      <c r="D258">
        <v>17582.66</v>
      </c>
      <c r="E258">
        <v>17600.560000000001</v>
      </c>
    </row>
    <row r="259" spans="1:5" hidden="1" x14ac:dyDescent="0.3">
      <c r="A259" s="1">
        <v>41130</v>
      </c>
      <c r="B259">
        <v>17612.080000000002</v>
      </c>
      <c r="C259">
        <v>17702.98</v>
      </c>
      <c r="D259">
        <v>17516.990000000002</v>
      </c>
      <c r="E259">
        <v>17560.87</v>
      </c>
    </row>
    <row r="260" spans="1:5" hidden="1" x14ac:dyDescent="0.3">
      <c r="A260" s="1">
        <v>41131</v>
      </c>
      <c r="B260">
        <v>17515.419999999998</v>
      </c>
      <c r="C260">
        <v>17590.61</v>
      </c>
      <c r="D260">
        <v>17471.37</v>
      </c>
      <c r="E260">
        <v>17557.740000000002</v>
      </c>
    </row>
    <row r="261" spans="1:5" hidden="1" x14ac:dyDescent="0.3">
      <c r="A261" s="1">
        <v>41134</v>
      </c>
      <c r="B261">
        <v>17551.689999999999</v>
      </c>
      <c r="C261">
        <v>17642.38</v>
      </c>
      <c r="D261">
        <v>17522.099999999999</v>
      </c>
      <c r="E261">
        <v>17633.45</v>
      </c>
    </row>
    <row r="262" spans="1:5" hidden="1" x14ac:dyDescent="0.3">
      <c r="A262" s="1">
        <v>41135</v>
      </c>
      <c r="B262">
        <v>17631.64</v>
      </c>
      <c r="C262">
        <v>17753.43</v>
      </c>
      <c r="D262">
        <v>17572.34</v>
      </c>
      <c r="E262">
        <v>17728.2</v>
      </c>
    </row>
    <row r="263" spans="1:5" hidden="1" x14ac:dyDescent="0.3">
      <c r="A263" s="1">
        <v>41137</v>
      </c>
      <c r="B263">
        <v>17752.22</v>
      </c>
      <c r="C263">
        <v>17763.59</v>
      </c>
      <c r="D263">
        <v>17640.62</v>
      </c>
      <c r="E263">
        <v>17657.21</v>
      </c>
    </row>
    <row r="264" spans="1:5" hidden="1" x14ac:dyDescent="0.3">
      <c r="A264" s="1">
        <v>41138</v>
      </c>
      <c r="B264">
        <v>17701.2</v>
      </c>
      <c r="C264">
        <v>17801.39</v>
      </c>
      <c r="D264">
        <v>17622.62</v>
      </c>
      <c r="E264">
        <v>17691.080000000002</v>
      </c>
    </row>
    <row r="265" spans="1:5" hidden="1" x14ac:dyDescent="0.3">
      <c r="A265" s="1">
        <v>41142</v>
      </c>
      <c r="B265">
        <v>17705.14</v>
      </c>
      <c r="C265">
        <v>17898.349999999999</v>
      </c>
      <c r="D265">
        <v>17705.14</v>
      </c>
      <c r="E265">
        <v>17885.259999999998</v>
      </c>
    </row>
    <row r="266" spans="1:5" hidden="1" x14ac:dyDescent="0.3">
      <c r="A266" s="1">
        <v>41143</v>
      </c>
      <c r="B266">
        <v>17827.25</v>
      </c>
      <c r="C266">
        <v>17912.080000000002</v>
      </c>
      <c r="D266">
        <v>17800.29</v>
      </c>
      <c r="E266">
        <v>17846.86</v>
      </c>
    </row>
    <row r="267" spans="1:5" hidden="1" x14ac:dyDescent="0.3">
      <c r="A267" s="1">
        <v>41144</v>
      </c>
      <c r="B267">
        <v>17856.29</v>
      </c>
      <c r="C267">
        <v>17972.54</v>
      </c>
      <c r="D267">
        <v>17792.87</v>
      </c>
      <c r="E267">
        <v>17850.22</v>
      </c>
    </row>
    <row r="268" spans="1:5" hidden="1" x14ac:dyDescent="0.3">
      <c r="A268" s="1">
        <v>41145</v>
      </c>
      <c r="B268">
        <v>17790.25</v>
      </c>
      <c r="C268">
        <v>17822.5</v>
      </c>
      <c r="D268">
        <v>17725.419999999998</v>
      </c>
      <c r="E268">
        <v>17783.21</v>
      </c>
    </row>
    <row r="269" spans="1:5" hidden="1" x14ac:dyDescent="0.3">
      <c r="A269" s="1">
        <v>41148</v>
      </c>
      <c r="B269">
        <v>17769.439999999999</v>
      </c>
      <c r="C269">
        <v>17820.07</v>
      </c>
      <c r="D269">
        <v>17662.21</v>
      </c>
      <c r="E269">
        <v>17678.810000000001</v>
      </c>
    </row>
    <row r="270" spans="1:5" hidden="1" x14ac:dyDescent="0.3">
      <c r="A270" s="1">
        <v>41149</v>
      </c>
      <c r="B270">
        <v>17676.13</v>
      </c>
      <c r="C270">
        <v>17712.349999999999</v>
      </c>
      <c r="D270">
        <v>17570.71</v>
      </c>
      <c r="E270">
        <v>17631.71</v>
      </c>
    </row>
    <row r="271" spans="1:5" hidden="1" x14ac:dyDescent="0.3">
      <c r="A271" s="1">
        <v>41150</v>
      </c>
      <c r="B271">
        <v>17651.14</v>
      </c>
      <c r="C271">
        <v>17653.900000000001</v>
      </c>
      <c r="D271">
        <v>17471.13</v>
      </c>
      <c r="E271">
        <v>17490.810000000001</v>
      </c>
    </row>
    <row r="272" spans="1:5" hidden="1" x14ac:dyDescent="0.3">
      <c r="A272" s="1">
        <v>41151</v>
      </c>
      <c r="B272">
        <v>17433.5</v>
      </c>
      <c r="C272">
        <v>17605.509999999998</v>
      </c>
      <c r="D272">
        <v>17367.55</v>
      </c>
      <c r="E272">
        <v>17541.64</v>
      </c>
    </row>
    <row r="273" spans="1:5" hidden="1" x14ac:dyDescent="0.3">
      <c r="A273" s="1">
        <v>41152</v>
      </c>
      <c r="B273">
        <v>17557.62</v>
      </c>
      <c r="C273">
        <v>17557.62</v>
      </c>
      <c r="D273">
        <v>17337.61</v>
      </c>
      <c r="E273">
        <v>17429.560000000001</v>
      </c>
    </row>
    <row r="274" spans="1:5" hidden="1" x14ac:dyDescent="0.3">
      <c r="A274" s="1">
        <v>41155</v>
      </c>
      <c r="B274">
        <v>17465.599999999999</v>
      </c>
      <c r="C274">
        <v>17509.990000000002</v>
      </c>
      <c r="D274">
        <v>17349.57</v>
      </c>
      <c r="E274">
        <v>17384.400000000001</v>
      </c>
    </row>
    <row r="275" spans="1:5" hidden="1" x14ac:dyDescent="0.3">
      <c r="A275" s="1">
        <v>41156</v>
      </c>
      <c r="B275">
        <v>17378.68</v>
      </c>
      <c r="C275">
        <v>17452.7</v>
      </c>
      <c r="D275">
        <v>17308.27</v>
      </c>
      <c r="E275">
        <v>17440.87</v>
      </c>
    </row>
    <row r="276" spans="1:5" hidden="1" x14ac:dyDescent="0.3">
      <c r="A276" s="1">
        <v>41157</v>
      </c>
      <c r="B276">
        <v>17359.96</v>
      </c>
      <c r="C276">
        <v>17411.669999999998</v>
      </c>
      <c r="D276">
        <v>17250.8</v>
      </c>
      <c r="E276">
        <v>17313.34</v>
      </c>
    </row>
    <row r="277" spans="1:5" hidden="1" x14ac:dyDescent="0.3">
      <c r="A277" s="1">
        <v>41158</v>
      </c>
      <c r="B277">
        <v>17320.73</v>
      </c>
      <c r="C277">
        <v>17418.400000000001</v>
      </c>
      <c r="D277">
        <v>17294.740000000002</v>
      </c>
      <c r="E277">
        <v>17346.27</v>
      </c>
    </row>
    <row r="278" spans="1:5" hidden="1" x14ac:dyDescent="0.3">
      <c r="A278" s="1">
        <v>41159</v>
      </c>
      <c r="B278">
        <v>17575.79</v>
      </c>
      <c r="C278">
        <v>17701.2</v>
      </c>
      <c r="D278">
        <v>17575.79</v>
      </c>
      <c r="E278">
        <v>17683.73</v>
      </c>
    </row>
    <row r="279" spans="1:5" hidden="1" x14ac:dyDescent="0.3">
      <c r="A279" s="1">
        <v>41160</v>
      </c>
      <c r="B279">
        <v>17701.07</v>
      </c>
      <c r="C279">
        <v>17773.150000000001</v>
      </c>
      <c r="D279">
        <v>17694.830000000002</v>
      </c>
      <c r="E279">
        <v>17749.650000000001</v>
      </c>
    </row>
    <row r="280" spans="1:5" hidden="1" x14ac:dyDescent="0.3">
      <c r="A280" s="1">
        <v>41162</v>
      </c>
      <c r="B280">
        <v>17780.93</v>
      </c>
      <c r="C280">
        <v>17810.900000000001</v>
      </c>
      <c r="D280">
        <v>17728.12</v>
      </c>
      <c r="E280">
        <v>17766.78</v>
      </c>
    </row>
    <row r="281" spans="1:5" hidden="1" x14ac:dyDescent="0.3">
      <c r="A281" s="1">
        <v>41163</v>
      </c>
      <c r="B281">
        <v>17711.8</v>
      </c>
      <c r="C281">
        <v>17867.849999999999</v>
      </c>
      <c r="D281">
        <v>17677.38</v>
      </c>
      <c r="E281">
        <v>17852.95</v>
      </c>
    </row>
    <row r="282" spans="1:5" hidden="1" x14ac:dyDescent="0.3">
      <c r="A282" s="1">
        <v>41164</v>
      </c>
      <c r="B282">
        <v>17916.13</v>
      </c>
      <c r="C282">
        <v>18012.89</v>
      </c>
      <c r="D282">
        <v>17884.96</v>
      </c>
      <c r="E282">
        <v>18000.03</v>
      </c>
    </row>
    <row r="283" spans="1:5" hidden="1" x14ac:dyDescent="0.3">
      <c r="A283" s="1">
        <v>41165</v>
      </c>
      <c r="B283">
        <v>18023.95</v>
      </c>
      <c r="C283">
        <v>18062.68</v>
      </c>
      <c r="D283">
        <v>17976.28</v>
      </c>
      <c r="E283">
        <v>18021.16</v>
      </c>
    </row>
    <row r="284" spans="1:5" hidden="1" x14ac:dyDescent="0.3">
      <c r="A284" s="1">
        <v>41166</v>
      </c>
      <c r="B284">
        <v>18284.75</v>
      </c>
      <c r="C284">
        <v>18498.54</v>
      </c>
      <c r="D284">
        <v>18284.75</v>
      </c>
      <c r="E284">
        <v>18464.27</v>
      </c>
    </row>
    <row r="285" spans="1:5" hidden="1" x14ac:dyDescent="0.3">
      <c r="A285" s="1">
        <v>41169</v>
      </c>
      <c r="B285">
        <v>18619.900000000001</v>
      </c>
      <c r="C285">
        <v>18715.03</v>
      </c>
      <c r="D285">
        <v>18480.54</v>
      </c>
      <c r="E285">
        <v>18542.310000000001</v>
      </c>
    </row>
    <row r="286" spans="1:5" hidden="1" x14ac:dyDescent="0.3">
      <c r="A286" s="1">
        <v>41170</v>
      </c>
      <c r="B286">
        <v>18514.72</v>
      </c>
      <c r="C286">
        <v>18580.48</v>
      </c>
      <c r="D286">
        <v>18469.509999999998</v>
      </c>
      <c r="E286">
        <v>18496.009999999998</v>
      </c>
    </row>
    <row r="287" spans="1:5" hidden="1" x14ac:dyDescent="0.3">
      <c r="A287" s="1">
        <v>41172</v>
      </c>
      <c r="B287">
        <v>18292.22</v>
      </c>
      <c r="C287">
        <v>18443.919999999998</v>
      </c>
      <c r="D287">
        <v>18291.93</v>
      </c>
      <c r="E287">
        <v>18349.25</v>
      </c>
    </row>
    <row r="288" spans="1:5" hidden="1" x14ac:dyDescent="0.3">
      <c r="A288" s="1">
        <v>41173</v>
      </c>
      <c r="B288">
        <v>18411.2</v>
      </c>
      <c r="C288">
        <v>18866.87</v>
      </c>
      <c r="D288">
        <v>18411.2</v>
      </c>
      <c r="E288">
        <v>18752.830000000002</v>
      </c>
    </row>
    <row r="289" spans="1:5" hidden="1" x14ac:dyDescent="0.3">
      <c r="A289" s="1">
        <v>41176</v>
      </c>
      <c r="B289">
        <v>18756.310000000001</v>
      </c>
      <c r="C289">
        <v>18811.13</v>
      </c>
      <c r="D289">
        <v>18650.43</v>
      </c>
      <c r="E289">
        <v>18673.34</v>
      </c>
    </row>
    <row r="290" spans="1:5" hidden="1" x14ac:dyDescent="0.3">
      <c r="A290" s="1">
        <v>41177</v>
      </c>
      <c r="B290">
        <v>18708.009999999998</v>
      </c>
      <c r="C290">
        <v>18790.009999999998</v>
      </c>
      <c r="D290">
        <v>18636.16</v>
      </c>
      <c r="E290">
        <v>18694.41</v>
      </c>
    </row>
    <row r="291" spans="1:5" hidden="1" x14ac:dyDescent="0.3">
      <c r="A291" s="1">
        <v>41178</v>
      </c>
      <c r="B291">
        <v>18644.54</v>
      </c>
      <c r="C291">
        <v>18670.48</v>
      </c>
      <c r="D291">
        <v>18573.18</v>
      </c>
      <c r="E291">
        <v>18632.169999999998</v>
      </c>
    </row>
    <row r="292" spans="1:5" hidden="1" x14ac:dyDescent="0.3">
      <c r="A292" s="1">
        <v>41179</v>
      </c>
      <c r="B292">
        <v>18659.75</v>
      </c>
      <c r="C292">
        <v>18735.95</v>
      </c>
      <c r="D292">
        <v>18552.68</v>
      </c>
      <c r="E292">
        <v>18579.5</v>
      </c>
    </row>
    <row r="293" spans="1:5" hidden="1" x14ac:dyDescent="0.3">
      <c r="A293" s="1">
        <v>41180</v>
      </c>
      <c r="B293">
        <v>18704.98</v>
      </c>
      <c r="C293">
        <v>18869.939999999999</v>
      </c>
      <c r="D293">
        <v>18698.509999999998</v>
      </c>
      <c r="E293">
        <v>18762.740000000002</v>
      </c>
    </row>
    <row r="294" spans="1:5" hidden="1" x14ac:dyDescent="0.3">
      <c r="A294" s="1">
        <v>41183</v>
      </c>
      <c r="B294">
        <v>18784.64</v>
      </c>
      <c r="C294">
        <v>18838.54</v>
      </c>
      <c r="D294">
        <v>18745.28</v>
      </c>
      <c r="E294">
        <v>18823.91</v>
      </c>
    </row>
    <row r="295" spans="1:5" hidden="1" x14ac:dyDescent="0.3">
      <c r="A295" s="1">
        <v>41185</v>
      </c>
      <c r="B295">
        <v>18841.490000000002</v>
      </c>
      <c r="C295">
        <v>18905.62</v>
      </c>
      <c r="D295">
        <v>18816.57</v>
      </c>
      <c r="E295">
        <v>18869.689999999999</v>
      </c>
    </row>
    <row r="296" spans="1:5" hidden="1" x14ac:dyDescent="0.3">
      <c r="A296" s="1">
        <v>41186</v>
      </c>
      <c r="B296">
        <v>18939.75</v>
      </c>
      <c r="C296">
        <v>19107.04</v>
      </c>
      <c r="D296">
        <v>18939.75</v>
      </c>
      <c r="E296">
        <v>19058.150000000001</v>
      </c>
    </row>
    <row r="297" spans="1:5" hidden="1" x14ac:dyDescent="0.3">
      <c r="A297" s="1">
        <v>41187</v>
      </c>
      <c r="B297">
        <v>19115.89</v>
      </c>
      <c r="C297">
        <v>19137.29</v>
      </c>
      <c r="D297">
        <v>18757.34</v>
      </c>
      <c r="E297">
        <v>18938.46</v>
      </c>
    </row>
    <row r="298" spans="1:5" hidden="1" x14ac:dyDescent="0.3">
      <c r="A298" s="1">
        <v>41190</v>
      </c>
      <c r="B298">
        <v>18969.189999999999</v>
      </c>
      <c r="C298">
        <v>18969.189999999999</v>
      </c>
      <c r="D298">
        <v>18684.400000000001</v>
      </c>
      <c r="E298">
        <v>18708.98</v>
      </c>
    </row>
    <row r="299" spans="1:5" hidden="1" x14ac:dyDescent="0.3">
      <c r="A299" s="1">
        <v>41191</v>
      </c>
      <c r="B299">
        <v>18796.25</v>
      </c>
      <c r="C299">
        <v>18885.84</v>
      </c>
      <c r="D299">
        <v>18722.05</v>
      </c>
      <c r="E299">
        <v>18793.36</v>
      </c>
    </row>
    <row r="300" spans="1:5" hidden="1" x14ac:dyDescent="0.3">
      <c r="A300" s="1">
        <v>41192</v>
      </c>
      <c r="B300">
        <v>18699.189999999999</v>
      </c>
      <c r="C300">
        <v>18740.63</v>
      </c>
      <c r="D300">
        <v>18614.37</v>
      </c>
      <c r="E300">
        <v>18631.099999999999</v>
      </c>
    </row>
    <row r="301" spans="1:5" hidden="1" x14ac:dyDescent="0.3">
      <c r="A301" s="1">
        <v>41193</v>
      </c>
      <c r="B301">
        <v>18627.37</v>
      </c>
      <c r="C301">
        <v>18847.810000000001</v>
      </c>
      <c r="D301">
        <v>18581.490000000002</v>
      </c>
      <c r="E301">
        <v>18804.75</v>
      </c>
    </row>
    <row r="302" spans="1:5" hidden="1" x14ac:dyDescent="0.3">
      <c r="A302" s="1">
        <v>41194</v>
      </c>
      <c r="B302">
        <v>18727.099999999999</v>
      </c>
      <c r="C302">
        <v>18844.349999999999</v>
      </c>
      <c r="D302">
        <v>18638.34</v>
      </c>
      <c r="E302">
        <v>18675.18</v>
      </c>
    </row>
    <row r="303" spans="1:5" hidden="1" x14ac:dyDescent="0.3">
      <c r="A303" s="1">
        <v>41197</v>
      </c>
      <c r="B303">
        <v>18690.990000000002</v>
      </c>
      <c r="C303">
        <v>18726.38</v>
      </c>
      <c r="D303">
        <v>18596.650000000001</v>
      </c>
      <c r="E303">
        <v>18713.55</v>
      </c>
    </row>
    <row r="304" spans="1:5" hidden="1" x14ac:dyDescent="0.3">
      <c r="A304" s="1">
        <v>41198</v>
      </c>
      <c r="B304">
        <v>18784.75</v>
      </c>
      <c r="C304">
        <v>18801.099999999999</v>
      </c>
      <c r="D304">
        <v>18549.28</v>
      </c>
      <c r="E304">
        <v>18577.7</v>
      </c>
    </row>
    <row r="305" spans="1:5" hidden="1" x14ac:dyDescent="0.3">
      <c r="A305" s="1">
        <v>41199</v>
      </c>
      <c r="B305">
        <v>18667.72</v>
      </c>
      <c r="C305">
        <v>18705.189999999999</v>
      </c>
      <c r="D305">
        <v>18535.37</v>
      </c>
      <c r="E305">
        <v>18610.77</v>
      </c>
    </row>
    <row r="306" spans="1:5" hidden="1" x14ac:dyDescent="0.3">
      <c r="A306" s="1">
        <v>41200</v>
      </c>
      <c r="B306">
        <v>18653.599999999999</v>
      </c>
      <c r="C306">
        <v>18806.560000000001</v>
      </c>
      <c r="D306">
        <v>18576.41</v>
      </c>
      <c r="E306">
        <v>18791.93</v>
      </c>
    </row>
    <row r="307" spans="1:5" hidden="1" x14ac:dyDescent="0.3">
      <c r="A307" s="1">
        <v>41201</v>
      </c>
      <c r="B307">
        <v>18768</v>
      </c>
      <c r="C307">
        <v>18769.59</v>
      </c>
      <c r="D307">
        <v>18611.759999999998</v>
      </c>
      <c r="E307">
        <v>18682.310000000001</v>
      </c>
    </row>
    <row r="308" spans="1:5" hidden="1" x14ac:dyDescent="0.3">
      <c r="A308" s="1">
        <v>41204</v>
      </c>
      <c r="B308">
        <v>18655.93</v>
      </c>
      <c r="C308">
        <v>18809.28</v>
      </c>
      <c r="D308">
        <v>18600.88</v>
      </c>
      <c r="E308">
        <v>18793.439999999999</v>
      </c>
    </row>
    <row r="309" spans="1:5" hidden="1" x14ac:dyDescent="0.3">
      <c r="A309" s="1">
        <v>41205</v>
      </c>
      <c r="B309">
        <v>18803.62</v>
      </c>
      <c r="C309">
        <v>18812.93</v>
      </c>
      <c r="D309">
        <v>18689.38</v>
      </c>
      <c r="E309">
        <v>18710.02</v>
      </c>
    </row>
    <row r="310" spans="1:5" hidden="1" x14ac:dyDescent="0.3">
      <c r="A310" s="1">
        <v>41207</v>
      </c>
      <c r="B310">
        <v>18712.41</v>
      </c>
      <c r="C310">
        <v>18789.919999999998</v>
      </c>
      <c r="D310">
        <v>18699.07</v>
      </c>
      <c r="E310">
        <v>18758.63</v>
      </c>
    </row>
    <row r="311" spans="1:5" hidden="1" x14ac:dyDescent="0.3">
      <c r="A311" s="1">
        <v>41208</v>
      </c>
      <c r="B311">
        <v>18715.349999999999</v>
      </c>
      <c r="C311">
        <v>18729.53</v>
      </c>
      <c r="D311">
        <v>18558.05</v>
      </c>
      <c r="E311">
        <v>18625.34</v>
      </c>
    </row>
    <row r="312" spans="1:5" hidden="1" x14ac:dyDescent="0.3">
      <c r="A312" s="1">
        <v>41211</v>
      </c>
      <c r="B312">
        <v>18656</v>
      </c>
      <c r="C312">
        <v>18743.41</v>
      </c>
      <c r="D312">
        <v>18572.02</v>
      </c>
      <c r="E312">
        <v>18635.82</v>
      </c>
    </row>
    <row r="313" spans="1:5" hidden="1" x14ac:dyDescent="0.3">
      <c r="A313" s="1">
        <v>41212</v>
      </c>
      <c r="B313">
        <v>18642.009999999998</v>
      </c>
      <c r="C313">
        <v>18718.28</v>
      </c>
      <c r="D313">
        <v>18393.419999999998</v>
      </c>
      <c r="E313">
        <v>18430.849999999999</v>
      </c>
    </row>
    <row r="314" spans="1:5" hidden="1" x14ac:dyDescent="0.3">
      <c r="A314" s="1">
        <v>41213</v>
      </c>
      <c r="B314">
        <v>18436.79</v>
      </c>
      <c r="C314">
        <v>18521.62</v>
      </c>
      <c r="D314">
        <v>18398.48</v>
      </c>
      <c r="E314">
        <v>18505.38</v>
      </c>
    </row>
    <row r="315" spans="1:5" hidden="1" x14ac:dyDescent="0.3">
      <c r="A315" s="1">
        <v>41214</v>
      </c>
      <c r="B315">
        <v>18487.900000000001</v>
      </c>
      <c r="C315">
        <v>18589.13</v>
      </c>
      <c r="D315">
        <v>18445.18</v>
      </c>
      <c r="E315">
        <v>18561.7</v>
      </c>
    </row>
    <row r="316" spans="1:5" hidden="1" x14ac:dyDescent="0.3">
      <c r="A316" s="1">
        <v>41215</v>
      </c>
      <c r="B316">
        <v>18692.150000000001</v>
      </c>
      <c r="C316">
        <v>18793.75</v>
      </c>
      <c r="D316">
        <v>18687.93</v>
      </c>
      <c r="E316">
        <v>18755.45</v>
      </c>
    </row>
    <row r="317" spans="1:5" hidden="1" x14ac:dyDescent="0.3">
      <c r="A317" s="1">
        <v>41218</v>
      </c>
      <c r="B317">
        <v>18749.37</v>
      </c>
      <c r="C317">
        <v>18794.63</v>
      </c>
      <c r="D317">
        <v>18683.25</v>
      </c>
      <c r="E317">
        <v>18762.87</v>
      </c>
    </row>
    <row r="318" spans="1:5" hidden="1" x14ac:dyDescent="0.3">
      <c r="A318" s="1">
        <v>41219</v>
      </c>
      <c r="B318">
        <v>18739.97</v>
      </c>
      <c r="C318">
        <v>18829.07</v>
      </c>
      <c r="D318">
        <v>18726.939999999999</v>
      </c>
      <c r="E318">
        <v>18817.38</v>
      </c>
    </row>
    <row r="319" spans="1:5" hidden="1" x14ac:dyDescent="0.3">
      <c r="A319" s="1">
        <v>41220</v>
      </c>
      <c r="B319">
        <v>18802.82</v>
      </c>
      <c r="C319">
        <v>18973.43</v>
      </c>
      <c r="D319">
        <v>18786.14</v>
      </c>
      <c r="E319">
        <v>18902.41</v>
      </c>
    </row>
    <row r="320" spans="1:5" hidden="1" x14ac:dyDescent="0.3">
      <c r="A320" s="1">
        <v>41221</v>
      </c>
      <c r="B320">
        <v>18779.740000000002</v>
      </c>
      <c r="C320">
        <v>18865.21</v>
      </c>
      <c r="D320">
        <v>18736.45</v>
      </c>
      <c r="E320">
        <v>18846.259999999998</v>
      </c>
    </row>
    <row r="321" spans="1:5" hidden="1" x14ac:dyDescent="0.3">
      <c r="A321" s="1">
        <v>41222</v>
      </c>
      <c r="B321">
        <v>18832.75</v>
      </c>
      <c r="C321">
        <v>18894.419999999998</v>
      </c>
      <c r="D321">
        <v>18656.41</v>
      </c>
      <c r="E321">
        <v>18683.68</v>
      </c>
    </row>
    <row r="322" spans="1:5" hidden="1" x14ac:dyDescent="0.3">
      <c r="A322" s="1">
        <v>41225</v>
      </c>
      <c r="B322">
        <v>18691.02</v>
      </c>
      <c r="C322">
        <v>18750.919999999998</v>
      </c>
      <c r="D322">
        <v>18607.66</v>
      </c>
      <c r="E322">
        <v>18670.34</v>
      </c>
    </row>
    <row r="323" spans="1:5" hidden="1" x14ac:dyDescent="0.3">
      <c r="A323" s="1">
        <v>41226</v>
      </c>
      <c r="B323">
        <v>18728.95</v>
      </c>
      <c r="C323">
        <v>18732.71</v>
      </c>
      <c r="D323">
        <v>18592.21</v>
      </c>
      <c r="E323">
        <v>18618.87</v>
      </c>
    </row>
    <row r="324" spans="1:5" hidden="1" x14ac:dyDescent="0.3">
      <c r="A324" s="1">
        <v>41228</v>
      </c>
      <c r="B324">
        <v>18590.07</v>
      </c>
      <c r="C324">
        <v>18593.54</v>
      </c>
      <c r="D324">
        <v>18408.689999999999</v>
      </c>
      <c r="E324">
        <v>18471.37</v>
      </c>
    </row>
    <row r="325" spans="1:5" hidden="1" x14ac:dyDescent="0.3">
      <c r="A325" s="1">
        <v>41229</v>
      </c>
      <c r="B325">
        <v>18491.490000000002</v>
      </c>
      <c r="C325">
        <v>18563.32</v>
      </c>
      <c r="D325">
        <v>18266.759999999998</v>
      </c>
      <c r="E325">
        <v>18309.37</v>
      </c>
    </row>
    <row r="326" spans="1:5" hidden="1" x14ac:dyDescent="0.3">
      <c r="A326" s="1">
        <v>41232</v>
      </c>
      <c r="B326">
        <v>18349.53</v>
      </c>
      <c r="C326">
        <v>18386.78</v>
      </c>
      <c r="D326">
        <v>18256.07</v>
      </c>
      <c r="E326">
        <v>18339</v>
      </c>
    </row>
    <row r="327" spans="1:5" hidden="1" x14ac:dyDescent="0.3">
      <c r="A327" s="1">
        <v>41233</v>
      </c>
      <c r="B327">
        <v>18422.689999999999</v>
      </c>
      <c r="C327">
        <v>18467.91</v>
      </c>
      <c r="D327">
        <v>18255.689999999999</v>
      </c>
      <c r="E327">
        <v>18329.32</v>
      </c>
    </row>
    <row r="328" spans="1:5" hidden="1" x14ac:dyDescent="0.3">
      <c r="A328" s="1">
        <v>41234</v>
      </c>
      <c r="B328">
        <v>18379.900000000001</v>
      </c>
      <c r="C328">
        <v>18478.5</v>
      </c>
      <c r="D328">
        <v>18309.810000000001</v>
      </c>
      <c r="E328">
        <v>18460.38</v>
      </c>
    </row>
    <row r="329" spans="1:5" hidden="1" x14ac:dyDescent="0.3">
      <c r="A329" s="1">
        <v>41235</v>
      </c>
      <c r="B329">
        <v>18510.939999999999</v>
      </c>
      <c r="C329">
        <v>18567.68</v>
      </c>
      <c r="D329">
        <v>18456.2</v>
      </c>
      <c r="E329">
        <v>18517.34</v>
      </c>
    </row>
    <row r="330" spans="1:5" hidden="1" x14ac:dyDescent="0.3">
      <c r="A330" s="1">
        <v>41236</v>
      </c>
      <c r="B330">
        <v>18543.95</v>
      </c>
      <c r="C330">
        <v>18556.5</v>
      </c>
      <c r="D330">
        <v>18402.38</v>
      </c>
      <c r="E330">
        <v>18506.57</v>
      </c>
    </row>
    <row r="331" spans="1:5" hidden="1" x14ac:dyDescent="0.3">
      <c r="A331" s="1">
        <v>41239</v>
      </c>
      <c r="B331">
        <v>18574.36</v>
      </c>
      <c r="C331">
        <v>18590.330000000002</v>
      </c>
      <c r="D331">
        <v>18508.79</v>
      </c>
      <c r="E331">
        <v>18537.009999999998</v>
      </c>
    </row>
    <row r="332" spans="1:5" hidden="1" x14ac:dyDescent="0.3">
      <c r="A332" s="1">
        <v>41240</v>
      </c>
      <c r="B332">
        <v>18616.55</v>
      </c>
      <c r="C332">
        <v>18862.7</v>
      </c>
      <c r="D332">
        <v>18616.55</v>
      </c>
      <c r="E332">
        <v>18842.080000000002</v>
      </c>
    </row>
    <row r="333" spans="1:5" hidden="1" x14ac:dyDescent="0.3">
      <c r="A333" s="1">
        <v>41242</v>
      </c>
      <c r="B333">
        <v>18873.63</v>
      </c>
      <c r="C333">
        <v>19205.330000000002</v>
      </c>
      <c r="D333">
        <v>18873.63</v>
      </c>
      <c r="E333">
        <v>19170.91</v>
      </c>
    </row>
    <row r="334" spans="1:5" hidden="1" x14ac:dyDescent="0.3">
      <c r="A334" s="1">
        <v>41243</v>
      </c>
      <c r="B334">
        <v>19229.7</v>
      </c>
      <c r="C334">
        <v>19372.7</v>
      </c>
      <c r="D334">
        <v>19186.3</v>
      </c>
      <c r="E334">
        <v>19339.900000000001</v>
      </c>
    </row>
    <row r="335" spans="1:5" hidden="1" x14ac:dyDescent="0.3">
      <c r="A335" s="1">
        <v>41246</v>
      </c>
      <c r="B335">
        <v>19342.830000000002</v>
      </c>
      <c r="C335">
        <v>19416.45</v>
      </c>
      <c r="D335">
        <v>19257.3</v>
      </c>
      <c r="E335">
        <v>19305.32</v>
      </c>
    </row>
    <row r="336" spans="1:5" hidden="1" x14ac:dyDescent="0.3">
      <c r="A336" s="1">
        <v>41247</v>
      </c>
      <c r="B336">
        <v>19277.580000000002</v>
      </c>
      <c r="C336">
        <v>19373.939999999999</v>
      </c>
      <c r="D336">
        <v>19263.71</v>
      </c>
      <c r="E336">
        <v>19348.12</v>
      </c>
    </row>
    <row r="337" spans="1:5" hidden="1" x14ac:dyDescent="0.3">
      <c r="A337" s="1">
        <v>41248</v>
      </c>
      <c r="B337">
        <v>19397.98</v>
      </c>
      <c r="C337">
        <v>19463.25</v>
      </c>
      <c r="D337">
        <v>19371.009999999998</v>
      </c>
      <c r="E337">
        <v>19391.86</v>
      </c>
    </row>
    <row r="338" spans="1:5" hidden="1" x14ac:dyDescent="0.3">
      <c r="A338" s="1">
        <v>41249</v>
      </c>
      <c r="B338">
        <v>19475.09</v>
      </c>
      <c r="C338">
        <v>19523.25</v>
      </c>
      <c r="D338">
        <v>19186.240000000002</v>
      </c>
      <c r="E338">
        <v>19486.8</v>
      </c>
    </row>
    <row r="339" spans="1:5" hidden="1" x14ac:dyDescent="0.3">
      <c r="A339" s="1">
        <v>41250</v>
      </c>
      <c r="B339">
        <v>19514.88</v>
      </c>
      <c r="C339">
        <v>19561.87</v>
      </c>
      <c r="D339">
        <v>19363.13</v>
      </c>
      <c r="E339">
        <v>19424.099999999999</v>
      </c>
    </row>
    <row r="340" spans="1:5" hidden="1" x14ac:dyDescent="0.3">
      <c r="A340" s="1">
        <v>41253</v>
      </c>
      <c r="B340">
        <v>19442.189999999999</v>
      </c>
      <c r="C340">
        <v>19478.009999999998</v>
      </c>
      <c r="D340">
        <v>19362.32</v>
      </c>
      <c r="E340">
        <v>19409.689999999999</v>
      </c>
    </row>
    <row r="341" spans="1:5" hidden="1" x14ac:dyDescent="0.3">
      <c r="A341" s="1">
        <v>41254</v>
      </c>
      <c r="B341">
        <v>19466.29</v>
      </c>
      <c r="C341">
        <v>19612.18</v>
      </c>
      <c r="D341">
        <v>19285.29</v>
      </c>
      <c r="E341">
        <v>19387.14</v>
      </c>
    </row>
    <row r="342" spans="1:5" hidden="1" x14ac:dyDescent="0.3">
      <c r="A342" s="1">
        <v>41255</v>
      </c>
      <c r="B342">
        <v>19432.54</v>
      </c>
      <c r="C342">
        <v>19478.79</v>
      </c>
      <c r="D342">
        <v>19317.23</v>
      </c>
      <c r="E342">
        <v>19355.259999999998</v>
      </c>
    </row>
    <row r="343" spans="1:5" hidden="1" x14ac:dyDescent="0.3">
      <c r="A343" s="1">
        <v>41256</v>
      </c>
      <c r="B343">
        <v>19403.66</v>
      </c>
      <c r="C343">
        <v>19421.72</v>
      </c>
      <c r="D343">
        <v>19196.75</v>
      </c>
      <c r="E343">
        <v>19229.259999999998</v>
      </c>
    </row>
    <row r="344" spans="1:5" hidden="1" x14ac:dyDescent="0.3">
      <c r="A344" s="1">
        <v>41257</v>
      </c>
      <c r="B344">
        <v>19217.96</v>
      </c>
      <c r="C344">
        <v>19348.849999999999</v>
      </c>
      <c r="D344">
        <v>19193.11</v>
      </c>
      <c r="E344">
        <v>19317.25</v>
      </c>
    </row>
    <row r="345" spans="1:5" hidden="1" x14ac:dyDescent="0.3">
      <c r="A345" s="1">
        <v>41260</v>
      </c>
      <c r="B345">
        <v>19290.919999999998</v>
      </c>
      <c r="C345">
        <v>19346.78</v>
      </c>
      <c r="D345">
        <v>19221.87</v>
      </c>
      <c r="E345">
        <v>19244.419999999998</v>
      </c>
    </row>
    <row r="346" spans="1:5" hidden="1" x14ac:dyDescent="0.3">
      <c r="A346" s="1">
        <v>41261</v>
      </c>
      <c r="B346">
        <v>19293.009999999998</v>
      </c>
      <c r="C346">
        <v>19396.28</v>
      </c>
      <c r="D346">
        <v>19149.03</v>
      </c>
      <c r="E346">
        <v>19364.75</v>
      </c>
    </row>
    <row r="347" spans="1:5" hidden="1" x14ac:dyDescent="0.3">
      <c r="A347" s="1">
        <v>41262</v>
      </c>
      <c r="B347">
        <v>19429.91</v>
      </c>
      <c r="C347">
        <v>19516.02</v>
      </c>
      <c r="D347">
        <v>19419.759999999998</v>
      </c>
      <c r="E347">
        <v>19476</v>
      </c>
    </row>
    <row r="348" spans="1:5" hidden="1" x14ac:dyDescent="0.3">
      <c r="A348" s="1">
        <v>41263</v>
      </c>
      <c r="B348">
        <v>19511.41</v>
      </c>
      <c r="C348">
        <v>19520.509999999998</v>
      </c>
      <c r="D348">
        <v>19335.72</v>
      </c>
      <c r="E348">
        <v>19453.919999999998</v>
      </c>
    </row>
    <row r="349" spans="1:5" hidden="1" x14ac:dyDescent="0.3">
      <c r="A349" s="1">
        <v>41264</v>
      </c>
      <c r="B349">
        <v>19394.55</v>
      </c>
      <c r="C349">
        <v>19394.55</v>
      </c>
      <c r="D349">
        <v>19221.12</v>
      </c>
      <c r="E349">
        <v>19242</v>
      </c>
    </row>
    <row r="350" spans="1:5" hidden="1" x14ac:dyDescent="0.3">
      <c r="A350" s="1">
        <v>41267</v>
      </c>
      <c r="B350">
        <v>19278</v>
      </c>
      <c r="C350">
        <v>19347.64</v>
      </c>
      <c r="D350">
        <v>19237.259999999998</v>
      </c>
      <c r="E350">
        <v>19255.09</v>
      </c>
    </row>
    <row r="351" spans="1:5" hidden="1" x14ac:dyDescent="0.3">
      <c r="A351" s="1">
        <v>41269</v>
      </c>
      <c r="B351">
        <v>19302.47</v>
      </c>
      <c r="C351">
        <v>19468.400000000001</v>
      </c>
      <c r="D351">
        <v>19274.07</v>
      </c>
      <c r="E351">
        <v>19417.46</v>
      </c>
    </row>
    <row r="352" spans="1:5" hidden="1" x14ac:dyDescent="0.3">
      <c r="A352" s="1">
        <v>41270</v>
      </c>
      <c r="B352">
        <v>19479.84</v>
      </c>
      <c r="C352">
        <v>19504.400000000001</v>
      </c>
      <c r="D352">
        <v>19302.21</v>
      </c>
      <c r="E352">
        <v>19323.8</v>
      </c>
    </row>
    <row r="353" spans="1:5" hidden="1" x14ac:dyDescent="0.3">
      <c r="A353" s="1">
        <v>41271</v>
      </c>
      <c r="B353">
        <v>19364.080000000002</v>
      </c>
      <c r="C353">
        <v>19465.740000000002</v>
      </c>
      <c r="D353">
        <v>19346.07</v>
      </c>
      <c r="E353">
        <v>19444.84</v>
      </c>
    </row>
    <row r="354" spans="1:5" hidden="1" x14ac:dyDescent="0.3">
      <c r="A354" s="1">
        <v>41274</v>
      </c>
      <c r="B354">
        <v>19422.59</v>
      </c>
      <c r="C354">
        <v>19491.580000000002</v>
      </c>
      <c r="D354">
        <v>19406.169999999998</v>
      </c>
      <c r="E354">
        <v>19426.71</v>
      </c>
    </row>
    <row r="355" spans="1:5" hidden="1" x14ac:dyDescent="0.3">
      <c r="A355" s="1">
        <v>41275</v>
      </c>
      <c r="B355">
        <v>19513.45</v>
      </c>
      <c r="C355">
        <v>19623.759999999998</v>
      </c>
      <c r="D355">
        <v>19508.93</v>
      </c>
      <c r="E355">
        <v>19580.810000000001</v>
      </c>
    </row>
    <row r="356" spans="1:5" hidden="1" x14ac:dyDescent="0.3">
      <c r="A356" s="1">
        <v>41276</v>
      </c>
      <c r="B356">
        <v>19693.3</v>
      </c>
      <c r="C356">
        <v>19756.68</v>
      </c>
      <c r="D356">
        <v>19686.5</v>
      </c>
      <c r="E356">
        <v>19714.240000000002</v>
      </c>
    </row>
    <row r="357" spans="1:5" hidden="1" x14ac:dyDescent="0.3">
      <c r="A357" s="1">
        <v>41277</v>
      </c>
      <c r="B357">
        <v>19771.03</v>
      </c>
      <c r="C357">
        <v>19786.3</v>
      </c>
      <c r="D357">
        <v>19693.29</v>
      </c>
      <c r="E357">
        <v>19764.78</v>
      </c>
    </row>
    <row r="358" spans="1:5" hidden="1" x14ac:dyDescent="0.3">
      <c r="A358" s="1">
        <v>41278</v>
      </c>
      <c r="B358">
        <v>19782.59</v>
      </c>
      <c r="C358">
        <v>19797.439999999999</v>
      </c>
      <c r="D358">
        <v>19679.990000000002</v>
      </c>
      <c r="E358">
        <v>19784.080000000002</v>
      </c>
    </row>
    <row r="359" spans="1:5" hidden="1" x14ac:dyDescent="0.3">
      <c r="A359" s="1">
        <v>41281</v>
      </c>
      <c r="B359">
        <v>19820.560000000001</v>
      </c>
      <c r="C359">
        <v>19856.43</v>
      </c>
      <c r="D359">
        <v>19654.46</v>
      </c>
      <c r="E359">
        <v>19691.419999999998</v>
      </c>
    </row>
    <row r="360" spans="1:5" hidden="1" x14ac:dyDescent="0.3">
      <c r="A360" s="1">
        <v>41282</v>
      </c>
      <c r="B360">
        <v>19681.38</v>
      </c>
      <c r="C360">
        <v>19761.78</v>
      </c>
      <c r="D360">
        <v>19632.59</v>
      </c>
      <c r="E360">
        <v>19742.52</v>
      </c>
    </row>
    <row r="361" spans="1:5" hidden="1" x14ac:dyDescent="0.3">
      <c r="A361" s="1">
        <v>41283</v>
      </c>
      <c r="B361">
        <v>19770.21</v>
      </c>
      <c r="C361">
        <v>19824.060000000001</v>
      </c>
      <c r="D361">
        <v>19627.16</v>
      </c>
      <c r="E361">
        <v>19666.59</v>
      </c>
    </row>
    <row r="362" spans="1:5" hidden="1" x14ac:dyDescent="0.3">
      <c r="A362" s="1">
        <v>41284</v>
      </c>
      <c r="B362">
        <v>19728.02</v>
      </c>
      <c r="C362">
        <v>19783.75</v>
      </c>
      <c r="D362">
        <v>19596.38</v>
      </c>
      <c r="E362">
        <v>19663.55</v>
      </c>
    </row>
    <row r="363" spans="1:5" hidden="1" x14ac:dyDescent="0.3">
      <c r="A363" s="1">
        <v>41285</v>
      </c>
      <c r="B363">
        <v>19813.64</v>
      </c>
      <c r="C363">
        <v>19839.8</v>
      </c>
      <c r="D363">
        <v>19619.830000000002</v>
      </c>
      <c r="E363">
        <v>19663.64</v>
      </c>
    </row>
    <row r="364" spans="1:5" hidden="1" x14ac:dyDescent="0.3">
      <c r="A364" s="1">
        <v>41288</v>
      </c>
      <c r="B364">
        <v>19689.09</v>
      </c>
      <c r="C364">
        <v>19948.63</v>
      </c>
      <c r="D364">
        <v>19689.09</v>
      </c>
      <c r="E364">
        <v>19906.41</v>
      </c>
    </row>
    <row r="365" spans="1:5" hidden="1" x14ac:dyDescent="0.3">
      <c r="A365" s="1">
        <v>41289</v>
      </c>
      <c r="B365">
        <v>19999.82</v>
      </c>
      <c r="C365">
        <v>20036.82</v>
      </c>
      <c r="D365">
        <v>19881.78</v>
      </c>
      <c r="E365">
        <v>19986.82</v>
      </c>
    </row>
    <row r="366" spans="1:5" hidden="1" x14ac:dyDescent="0.3">
      <c r="A366" s="1">
        <v>41290</v>
      </c>
      <c r="B366">
        <v>19978.189999999999</v>
      </c>
      <c r="C366">
        <v>20009.36</v>
      </c>
      <c r="D366">
        <v>19783.02</v>
      </c>
      <c r="E366">
        <v>19817.63</v>
      </c>
    </row>
    <row r="367" spans="1:5" hidden="1" x14ac:dyDescent="0.3">
      <c r="A367" s="1">
        <v>41291</v>
      </c>
      <c r="B367">
        <v>19846.419999999998</v>
      </c>
      <c r="C367">
        <v>20005.98</v>
      </c>
      <c r="D367">
        <v>19783.41</v>
      </c>
      <c r="E367">
        <v>19964.03</v>
      </c>
    </row>
    <row r="368" spans="1:5" hidden="1" x14ac:dyDescent="0.3">
      <c r="A368" s="1">
        <v>41292</v>
      </c>
      <c r="B368">
        <v>20038.669999999998</v>
      </c>
      <c r="C368">
        <v>20126.55</v>
      </c>
      <c r="D368">
        <v>19990.62</v>
      </c>
      <c r="E368">
        <v>20039.04</v>
      </c>
    </row>
    <row r="369" spans="1:5" hidden="1" x14ac:dyDescent="0.3">
      <c r="A369" s="1">
        <v>41295</v>
      </c>
      <c r="B369">
        <v>20132.830000000002</v>
      </c>
      <c r="C369">
        <v>20163.38</v>
      </c>
      <c r="D369">
        <v>20056.46</v>
      </c>
      <c r="E369">
        <v>20101.82</v>
      </c>
    </row>
    <row r="370" spans="1:5" hidden="1" x14ac:dyDescent="0.3">
      <c r="A370" s="1">
        <v>41296</v>
      </c>
      <c r="B370">
        <v>20102.43</v>
      </c>
      <c r="C370">
        <v>20156.86</v>
      </c>
      <c r="D370">
        <v>19952.91</v>
      </c>
      <c r="E370">
        <v>19981.57</v>
      </c>
    </row>
    <row r="371" spans="1:5" hidden="1" x14ac:dyDescent="0.3">
      <c r="A371" s="1">
        <v>41297</v>
      </c>
      <c r="B371">
        <v>19997.04</v>
      </c>
      <c r="C371">
        <v>20058.07</v>
      </c>
      <c r="D371">
        <v>19920.91</v>
      </c>
      <c r="E371">
        <v>20026.61</v>
      </c>
    </row>
    <row r="372" spans="1:5" hidden="1" x14ac:dyDescent="0.3">
      <c r="A372" s="1">
        <v>41298</v>
      </c>
      <c r="B372">
        <v>20017.2</v>
      </c>
      <c r="C372">
        <v>20072.28</v>
      </c>
      <c r="D372">
        <v>19884.2</v>
      </c>
      <c r="E372">
        <v>19923.78</v>
      </c>
    </row>
    <row r="373" spans="1:5" hidden="1" x14ac:dyDescent="0.3">
      <c r="A373" s="1">
        <v>41299</v>
      </c>
      <c r="B373">
        <v>19945.689999999999</v>
      </c>
      <c r="C373">
        <v>20129.009999999998</v>
      </c>
      <c r="D373">
        <v>19928.11</v>
      </c>
      <c r="E373">
        <v>20103.53</v>
      </c>
    </row>
    <row r="374" spans="1:5" hidden="1" x14ac:dyDescent="0.3">
      <c r="A374" s="1">
        <v>41302</v>
      </c>
      <c r="B374">
        <v>20129</v>
      </c>
      <c r="C374">
        <v>20172.45</v>
      </c>
      <c r="D374">
        <v>20062.79</v>
      </c>
      <c r="E374">
        <v>20103.349999999999</v>
      </c>
    </row>
    <row r="375" spans="1:5" hidden="1" x14ac:dyDescent="0.3">
      <c r="A375" s="1">
        <v>41303</v>
      </c>
      <c r="B375">
        <v>20080.310000000001</v>
      </c>
      <c r="C375">
        <v>20203.66</v>
      </c>
      <c r="D375">
        <v>19970.05</v>
      </c>
      <c r="E375">
        <v>19990.900000000001</v>
      </c>
    </row>
    <row r="376" spans="1:5" hidden="1" x14ac:dyDescent="0.3">
      <c r="A376" s="1">
        <v>41304</v>
      </c>
      <c r="B376">
        <v>20014.8</v>
      </c>
      <c r="C376">
        <v>20073.46</v>
      </c>
      <c r="D376">
        <v>19964.64</v>
      </c>
      <c r="E376">
        <v>20005</v>
      </c>
    </row>
    <row r="377" spans="1:5" hidden="1" x14ac:dyDescent="0.3">
      <c r="A377" s="1">
        <v>41305</v>
      </c>
      <c r="B377">
        <v>19987.28</v>
      </c>
      <c r="C377">
        <v>20008.830000000002</v>
      </c>
      <c r="D377">
        <v>19865.72</v>
      </c>
      <c r="E377">
        <v>19894.98</v>
      </c>
    </row>
    <row r="378" spans="1:5" hidden="1" x14ac:dyDescent="0.3">
      <c r="A378" s="1">
        <v>41306</v>
      </c>
      <c r="B378">
        <v>19907.21</v>
      </c>
      <c r="C378">
        <v>19966.689999999999</v>
      </c>
      <c r="D378">
        <v>19736.45</v>
      </c>
      <c r="E378">
        <v>19781.189999999999</v>
      </c>
    </row>
    <row r="379" spans="1:5" hidden="1" x14ac:dyDescent="0.3">
      <c r="A379" s="1">
        <v>41309</v>
      </c>
      <c r="B379">
        <v>19860.97</v>
      </c>
      <c r="C379">
        <v>19902.599999999999</v>
      </c>
      <c r="D379">
        <v>19728.21</v>
      </c>
      <c r="E379">
        <v>19751.189999999999</v>
      </c>
    </row>
    <row r="380" spans="1:5" hidden="1" x14ac:dyDescent="0.3">
      <c r="A380" s="1">
        <v>41310</v>
      </c>
      <c r="B380">
        <v>19665.54</v>
      </c>
      <c r="C380">
        <v>19717.259999999998</v>
      </c>
      <c r="D380">
        <v>19631.97</v>
      </c>
      <c r="E380">
        <v>19659.82</v>
      </c>
    </row>
    <row r="381" spans="1:5" hidden="1" x14ac:dyDescent="0.3">
      <c r="A381" s="1">
        <v>41311</v>
      </c>
      <c r="B381">
        <v>19737.77</v>
      </c>
      <c r="C381">
        <v>19767.25</v>
      </c>
      <c r="D381">
        <v>19611.27</v>
      </c>
      <c r="E381">
        <v>19639.72</v>
      </c>
    </row>
    <row r="382" spans="1:5" hidden="1" x14ac:dyDescent="0.3">
      <c r="A382" s="1">
        <v>41312</v>
      </c>
      <c r="B382">
        <v>19589.439999999999</v>
      </c>
      <c r="C382">
        <v>19702.560000000001</v>
      </c>
      <c r="D382">
        <v>19540.080000000002</v>
      </c>
      <c r="E382">
        <v>19580.32</v>
      </c>
    </row>
    <row r="383" spans="1:5" hidden="1" x14ac:dyDescent="0.3">
      <c r="A383" s="1">
        <v>41313</v>
      </c>
      <c r="B383">
        <v>19577.189999999999</v>
      </c>
      <c r="C383">
        <v>19648.07</v>
      </c>
      <c r="D383">
        <v>19414.8</v>
      </c>
      <c r="E383">
        <v>19484.77</v>
      </c>
    </row>
    <row r="384" spans="1:5" hidden="1" x14ac:dyDescent="0.3">
      <c r="A384" s="1">
        <v>41316</v>
      </c>
      <c r="B384">
        <v>19517.59</v>
      </c>
      <c r="C384">
        <v>19543.439999999999</v>
      </c>
      <c r="D384">
        <v>19416.939999999999</v>
      </c>
      <c r="E384">
        <v>19460.57</v>
      </c>
    </row>
    <row r="385" spans="1:5" hidden="1" x14ac:dyDescent="0.3">
      <c r="A385" s="1">
        <v>41317</v>
      </c>
      <c r="B385">
        <v>19489.87</v>
      </c>
      <c r="C385">
        <v>19583.53</v>
      </c>
      <c r="D385">
        <v>19438.53</v>
      </c>
      <c r="E385">
        <v>19561.04</v>
      </c>
    </row>
    <row r="386" spans="1:5" hidden="1" x14ac:dyDescent="0.3">
      <c r="A386" s="1">
        <v>41318</v>
      </c>
      <c r="B386">
        <v>19601.689999999999</v>
      </c>
      <c r="C386">
        <v>19723.009999999998</v>
      </c>
      <c r="D386">
        <v>19574.150000000001</v>
      </c>
      <c r="E386">
        <v>19608.080000000002</v>
      </c>
    </row>
    <row r="387" spans="1:5" hidden="1" x14ac:dyDescent="0.3">
      <c r="A387" s="1">
        <v>41319</v>
      </c>
      <c r="B387">
        <v>19626.810000000001</v>
      </c>
      <c r="C387">
        <v>19639.830000000002</v>
      </c>
      <c r="D387">
        <v>19444.330000000002</v>
      </c>
      <c r="E387">
        <v>19497.18</v>
      </c>
    </row>
    <row r="388" spans="1:5" hidden="1" x14ac:dyDescent="0.3">
      <c r="A388" s="1">
        <v>41320</v>
      </c>
      <c r="B388">
        <v>19449.830000000002</v>
      </c>
      <c r="C388">
        <v>19512.89</v>
      </c>
      <c r="D388">
        <v>19381.82</v>
      </c>
      <c r="E388">
        <v>19468.150000000001</v>
      </c>
    </row>
    <row r="389" spans="1:5" hidden="1" x14ac:dyDescent="0.3">
      <c r="A389" s="1">
        <v>41323</v>
      </c>
      <c r="B389">
        <v>19496.25</v>
      </c>
      <c r="C389">
        <v>19554.48</v>
      </c>
      <c r="D389">
        <v>19462.919999999998</v>
      </c>
      <c r="E389">
        <v>19501.080000000002</v>
      </c>
    </row>
    <row r="390" spans="1:5" hidden="1" x14ac:dyDescent="0.3">
      <c r="A390" s="1">
        <v>41324</v>
      </c>
      <c r="B390">
        <v>19523.7</v>
      </c>
      <c r="C390">
        <v>19671.169999999998</v>
      </c>
      <c r="D390">
        <v>19457.21</v>
      </c>
      <c r="E390">
        <v>19635.72</v>
      </c>
    </row>
    <row r="391" spans="1:5" hidden="1" x14ac:dyDescent="0.3">
      <c r="A391" s="1">
        <v>41325</v>
      </c>
      <c r="B391">
        <v>19717.939999999999</v>
      </c>
      <c r="C391">
        <v>19742.419999999998</v>
      </c>
      <c r="D391">
        <v>19619.89</v>
      </c>
      <c r="E391">
        <v>19642.75</v>
      </c>
    </row>
    <row r="392" spans="1:5" hidden="1" x14ac:dyDescent="0.3">
      <c r="A392" s="1">
        <v>41326</v>
      </c>
      <c r="B392">
        <v>19549.05</v>
      </c>
      <c r="C392">
        <v>19554.650000000001</v>
      </c>
      <c r="D392">
        <v>19289.7</v>
      </c>
      <c r="E392">
        <v>19325.36</v>
      </c>
    </row>
    <row r="393" spans="1:5" hidden="1" x14ac:dyDescent="0.3">
      <c r="A393" s="1">
        <v>41327</v>
      </c>
      <c r="B393">
        <v>19341.900000000001</v>
      </c>
      <c r="C393">
        <v>19401.75</v>
      </c>
      <c r="D393">
        <v>19289.830000000002</v>
      </c>
      <c r="E393">
        <v>19317.009999999998</v>
      </c>
    </row>
    <row r="394" spans="1:5" hidden="1" x14ac:dyDescent="0.3">
      <c r="A394" s="1">
        <v>41330</v>
      </c>
      <c r="B394">
        <v>19365.330000000002</v>
      </c>
      <c r="C394">
        <v>19411.18</v>
      </c>
      <c r="D394">
        <v>19237.98</v>
      </c>
      <c r="E394">
        <v>19331.689999999999</v>
      </c>
    </row>
    <row r="395" spans="1:5" hidden="1" x14ac:dyDescent="0.3">
      <c r="A395" s="1">
        <v>41331</v>
      </c>
      <c r="B395">
        <v>19290.66</v>
      </c>
      <c r="C395">
        <v>19293.490000000002</v>
      </c>
      <c r="D395">
        <v>18976.939999999999</v>
      </c>
      <c r="E395">
        <v>19015.14</v>
      </c>
    </row>
    <row r="396" spans="1:5" hidden="1" x14ac:dyDescent="0.3">
      <c r="A396" s="1">
        <v>41332</v>
      </c>
      <c r="B396">
        <v>19090.32</v>
      </c>
      <c r="C396">
        <v>19213.02</v>
      </c>
      <c r="D396">
        <v>18997.82</v>
      </c>
      <c r="E396">
        <v>19152.41</v>
      </c>
    </row>
    <row r="397" spans="1:5" hidden="1" x14ac:dyDescent="0.3">
      <c r="A397" s="1">
        <v>41333</v>
      </c>
      <c r="B397">
        <v>19264.8</v>
      </c>
      <c r="C397">
        <v>19322.28</v>
      </c>
      <c r="D397">
        <v>18793.97</v>
      </c>
      <c r="E397">
        <v>18861.54</v>
      </c>
    </row>
    <row r="398" spans="1:5" hidden="1" x14ac:dyDescent="0.3">
      <c r="A398" s="1">
        <v>41334</v>
      </c>
      <c r="B398">
        <v>18876.68</v>
      </c>
      <c r="C398">
        <v>18988.97</v>
      </c>
      <c r="D398">
        <v>18820.900000000001</v>
      </c>
      <c r="E398">
        <v>18918.52</v>
      </c>
    </row>
    <row r="399" spans="1:5" hidden="1" x14ac:dyDescent="0.3">
      <c r="A399" s="1">
        <v>41337</v>
      </c>
      <c r="B399">
        <v>18920.900000000001</v>
      </c>
      <c r="C399">
        <v>18930.86</v>
      </c>
      <c r="D399">
        <v>18760.41</v>
      </c>
      <c r="E399">
        <v>18877.96</v>
      </c>
    </row>
    <row r="400" spans="1:5" hidden="1" x14ac:dyDescent="0.3">
      <c r="A400" s="1">
        <v>41338</v>
      </c>
      <c r="B400">
        <v>18943.62</v>
      </c>
      <c r="C400">
        <v>19164.04</v>
      </c>
      <c r="D400">
        <v>18943.62</v>
      </c>
      <c r="E400">
        <v>19143.169999999998</v>
      </c>
    </row>
    <row r="401" spans="1:5" hidden="1" x14ac:dyDescent="0.3">
      <c r="A401" s="1">
        <v>41339</v>
      </c>
      <c r="B401">
        <v>19254.2</v>
      </c>
      <c r="C401">
        <v>19293.39</v>
      </c>
      <c r="D401">
        <v>19195.47</v>
      </c>
      <c r="E401">
        <v>19252.61</v>
      </c>
    </row>
    <row r="402" spans="1:5" hidden="1" x14ac:dyDescent="0.3">
      <c r="A402" s="1">
        <v>41340</v>
      </c>
      <c r="B402">
        <v>19222.05</v>
      </c>
      <c r="C402">
        <v>19465.52</v>
      </c>
      <c r="D402">
        <v>19212.919999999998</v>
      </c>
      <c r="E402">
        <v>19413.54</v>
      </c>
    </row>
    <row r="403" spans="1:5" hidden="1" x14ac:dyDescent="0.3">
      <c r="A403" s="1">
        <v>41341</v>
      </c>
      <c r="B403">
        <v>19478.669999999998</v>
      </c>
      <c r="C403">
        <v>19706.03</v>
      </c>
      <c r="D403">
        <v>19477.61</v>
      </c>
      <c r="E403">
        <v>19683.23</v>
      </c>
    </row>
    <row r="404" spans="1:5" hidden="1" x14ac:dyDescent="0.3">
      <c r="A404" s="1">
        <v>41344</v>
      </c>
      <c r="B404">
        <v>19679.88</v>
      </c>
      <c r="C404">
        <v>19754.66</v>
      </c>
      <c r="D404">
        <v>19602.71</v>
      </c>
      <c r="E404">
        <v>19646.21</v>
      </c>
    </row>
    <row r="405" spans="1:5" hidden="1" x14ac:dyDescent="0.3">
      <c r="A405" s="1">
        <v>41345</v>
      </c>
      <c r="B405">
        <v>19675.810000000001</v>
      </c>
      <c r="C405">
        <v>19697.84</v>
      </c>
      <c r="D405">
        <v>19505.75</v>
      </c>
      <c r="E405">
        <v>19564.919999999998</v>
      </c>
    </row>
    <row r="406" spans="1:5" hidden="1" x14ac:dyDescent="0.3">
      <c r="A406" s="1">
        <v>41346</v>
      </c>
      <c r="B406">
        <v>19511.97</v>
      </c>
      <c r="C406">
        <v>19511.97</v>
      </c>
      <c r="D406">
        <v>19338.52</v>
      </c>
      <c r="E406">
        <v>19362.55</v>
      </c>
    </row>
    <row r="407" spans="1:5" hidden="1" x14ac:dyDescent="0.3">
      <c r="A407" s="1">
        <v>41347</v>
      </c>
      <c r="B407">
        <v>19367.259999999998</v>
      </c>
      <c r="C407">
        <v>19604.7</v>
      </c>
      <c r="D407">
        <v>19179.330000000002</v>
      </c>
      <c r="E407">
        <v>19570.439999999999</v>
      </c>
    </row>
    <row r="408" spans="1:5" hidden="1" x14ac:dyDescent="0.3">
      <c r="A408" s="1">
        <v>41348</v>
      </c>
      <c r="B408">
        <v>19570.009999999998</v>
      </c>
      <c r="C408">
        <v>19673.16</v>
      </c>
      <c r="D408">
        <v>19383.13</v>
      </c>
      <c r="E408">
        <v>19427.560000000001</v>
      </c>
    </row>
    <row r="409" spans="1:5" hidden="1" x14ac:dyDescent="0.3">
      <c r="A409" s="1">
        <v>41351</v>
      </c>
      <c r="B409">
        <v>19282.63</v>
      </c>
      <c r="C409">
        <v>19345.419999999998</v>
      </c>
      <c r="D409">
        <v>19232.23</v>
      </c>
      <c r="E409">
        <v>19293.2</v>
      </c>
    </row>
    <row r="410" spans="1:5" hidden="1" x14ac:dyDescent="0.3">
      <c r="A410" s="1">
        <v>41352</v>
      </c>
      <c r="B410">
        <v>19345.91</v>
      </c>
      <c r="C410">
        <v>19378.61</v>
      </c>
      <c r="D410">
        <v>18939.47</v>
      </c>
      <c r="E410">
        <v>19008.099999999999</v>
      </c>
    </row>
    <row r="411" spans="1:5" hidden="1" x14ac:dyDescent="0.3">
      <c r="A411" s="1">
        <v>41353</v>
      </c>
      <c r="B411">
        <v>19026.46</v>
      </c>
      <c r="C411">
        <v>19028.09</v>
      </c>
      <c r="D411">
        <v>18836.77</v>
      </c>
      <c r="E411">
        <v>18884.189999999999</v>
      </c>
    </row>
    <row r="412" spans="1:5" hidden="1" x14ac:dyDescent="0.3">
      <c r="A412" s="1">
        <v>41354</v>
      </c>
      <c r="B412">
        <v>18926.21</v>
      </c>
      <c r="C412">
        <v>19082.29</v>
      </c>
      <c r="D412">
        <v>18756.650000000001</v>
      </c>
      <c r="E412">
        <v>18792.87</v>
      </c>
    </row>
    <row r="413" spans="1:5" hidden="1" x14ac:dyDescent="0.3">
      <c r="A413" s="1">
        <v>41355</v>
      </c>
      <c r="B413">
        <v>18784.93</v>
      </c>
      <c r="C413">
        <v>18859.82</v>
      </c>
      <c r="D413">
        <v>18669.2</v>
      </c>
      <c r="E413">
        <v>18735.599999999999</v>
      </c>
    </row>
    <row r="414" spans="1:5" hidden="1" x14ac:dyDescent="0.3">
      <c r="A414" s="1">
        <v>41358</v>
      </c>
      <c r="B414">
        <v>18894.13</v>
      </c>
      <c r="C414">
        <v>18950.22</v>
      </c>
      <c r="D414">
        <v>18654.61</v>
      </c>
      <c r="E414">
        <v>18681.419999999998</v>
      </c>
    </row>
    <row r="415" spans="1:5" hidden="1" x14ac:dyDescent="0.3">
      <c r="A415" s="1">
        <v>41359</v>
      </c>
      <c r="B415">
        <v>18645.09</v>
      </c>
      <c r="C415">
        <v>18758.88</v>
      </c>
      <c r="D415">
        <v>18612.37</v>
      </c>
      <c r="E415">
        <v>18704.53</v>
      </c>
    </row>
    <row r="416" spans="1:5" hidden="1" x14ac:dyDescent="0.3">
      <c r="A416" s="1">
        <v>41361</v>
      </c>
      <c r="B416">
        <v>18702.46</v>
      </c>
      <c r="C416">
        <v>18882.54</v>
      </c>
      <c r="D416">
        <v>18568.43</v>
      </c>
      <c r="E416">
        <v>18835.77</v>
      </c>
    </row>
    <row r="417" spans="1:5" hidden="1" x14ac:dyDescent="0.3">
      <c r="A417" s="1">
        <v>41365</v>
      </c>
      <c r="B417">
        <v>18890.810000000001</v>
      </c>
      <c r="C417">
        <v>18959.48</v>
      </c>
      <c r="D417">
        <v>18796.599999999999</v>
      </c>
      <c r="E417">
        <v>18864.75</v>
      </c>
    </row>
    <row r="418" spans="1:5" hidden="1" x14ac:dyDescent="0.3">
      <c r="A418" s="1">
        <v>41366</v>
      </c>
      <c r="B418">
        <v>18863.82</v>
      </c>
      <c r="C418">
        <v>19060.509999999998</v>
      </c>
      <c r="D418">
        <v>18826.53</v>
      </c>
      <c r="E418">
        <v>19040.95</v>
      </c>
    </row>
    <row r="419" spans="1:5" hidden="1" x14ac:dyDescent="0.3">
      <c r="A419" s="1">
        <v>41367</v>
      </c>
      <c r="B419">
        <v>19034</v>
      </c>
      <c r="C419">
        <v>19035.2</v>
      </c>
      <c r="D419">
        <v>18721.72</v>
      </c>
      <c r="E419">
        <v>18801.64</v>
      </c>
    </row>
    <row r="420" spans="1:5" hidden="1" x14ac:dyDescent="0.3">
      <c r="A420" s="1">
        <v>41368</v>
      </c>
      <c r="B420">
        <v>18731.38</v>
      </c>
      <c r="C420">
        <v>18733.62</v>
      </c>
      <c r="D420">
        <v>18473.849999999999</v>
      </c>
      <c r="E420">
        <v>18509.7</v>
      </c>
    </row>
    <row r="421" spans="1:5" hidden="1" x14ac:dyDescent="0.3">
      <c r="A421" s="1">
        <v>41369</v>
      </c>
      <c r="B421">
        <v>18493.669999999998</v>
      </c>
      <c r="C421">
        <v>18525.45</v>
      </c>
      <c r="D421">
        <v>18389.29</v>
      </c>
      <c r="E421">
        <v>18450.23</v>
      </c>
    </row>
    <row r="422" spans="1:5" hidden="1" x14ac:dyDescent="0.3">
      <c r="A422" s="1">
        <v>41372</v>
      </c>
      <c r="B422">
        <v>18455.8</v>
      </c>
      <c r="C422">
        <v>18504.48</v>
      </c>
      <c r="D422">
        <v>18402.93</v>
      </c>
      <c r="E422">
        <v>18437.78</v>
      </c>
    </row>
    <row r="423" spans="1:5" hidden="1" x14ac:dyDescent="0.3">
      <c r="A423" s="1">
        <v>41373</v>
      </c>
      <c r="B423">
        <v>18481.47</v>
      </c>
      <c r="C423">
        <v>18565.560000000001</v>
      </c>
      <c r="D423">
        <v>18206.61</v>
      </c>
      <c r="E423">
        <v>18226.48</v>
      </c>
    </row>
    <row r="424" spans="1:5" hidden="1" x14ac:dyDescent="0.3">
      <c r="A424" s="1">
        <v>41374</v>
      </c>
      <c r="B424">
        <v>18355.14</v>
      </c>
      <c r="C424">
        <v>18461.439999999999</v>
      </c>
      <c r="D424">
        <v>18173.310000000001</v>
      </c>
      <c r="E424">
        <v>18414.45</v>
      </c>
    </row>
    <row r="425" spans="1:5" hidden="1" x14ac:dyDescent="0.3">
      <c r="A425" s="1">
        <v>41375</v>
      </c>
      <c r="B425">
        <v>18577.52</v>
      </c>
      <c r="C425">
        <v>18599.14</v>
      </c>
      <c r="D425">
        <v>18397.939999999999</v>
      </c>
      <c r="E425">
        <v>18542.2</v>
      </c>
    </row>
    <row r="426" spans="1:5" hidden="1" x14ac:dyDescent="0.3">
      <c r="A426" s="1">
        <v>41376</v>
      </c>
      <c r="B426">
        <v>18275.66</v>
      </c>
      <c r="C426">
        <v>18337.91</v>
      </c>
      <c r="D426">
        <v>18186.099999999999</v>
      </c>
      <c r="E426">
        <v>18242.560000000001</v>
      </c>
    </row>
    <row r="427" spans="1:5" hidden="1" x14ac:dyDescent="0.3">
      <c r="A427" s="1">
        <v>41379</v>
      </c>
      <c r="B427">
        <v>18196.09</v>
      </c>
      <c r="C427">
        <v>18424.400000000001</v>
      </c>
      <c r="D427">
        <v>18144.22</v>
      </c>
      <c r="E427">
        <v>18357.8</v>
      </c>
    </row>
    <row r="428" spans="1:5" hidden="1" x14ac:dyDescent="0.3">
      <c r="A428" s="1">
        <v>41380</v>
      </c>
      <c r="B428">
        <v>18356.32</v>
      </c>
      <c r="C428">
        <v>18771.330000000002</v>
      </c>
      <c r="D428">
        <v>18325.73</v>
      </c>
      <c r="E428">
        <v>18744.93</v>
      </c>
    </row>
    <row r="429" spans="1:5" hidden="1" x14ac:dyDescent="0.3">
      <c r="A429" s="1">
        <v>41381</v>
      </c>
      <c r="B429">
        <v>18773.45</v>
      </c>
      <c r="C429">
        <v>18869.88</v>
      </c>
      <c r="D429">
        <v>18673.439999999999</v>
      </c>
      <c r="E429">
        <v>18731.16</v>
      </c>
    </row>
    <row r="430" spans="1:5" hidden="1" x14ac:dyDescent="0.3">
      <c r="A430" s="1">
        <v>41382</v>
      </c>
      <c r="B430">
        <v>18695.34</v>
      </c>
      <c r="C430">
        <v>19058.8</v>
      </c>
      <c r="D430">
        <v>18691.61</v>
      </c>
      <c r="E430">
        <v>19016.46</v>
      </c>
    </row>
    <row r="431" spans="1:5" hidden="1" x14ac:dyDescent="0.3">
      <c r="A431" s="1">
        <v>41386</v>
      </c>
      <c r="B431">
        <v>18989.78</v>
      </c>
      <c r="C431">
        <v>19204.900000000001</v>
      </c>
      <c r="D431">
        <v>18989.78</v>
      </c>
      <c r="E431">
        <v>19169.830000000002</v>
      </c>
    </row>
    <row r="432" spans="1:5" hidden="1" x14ac:dyDescent="0.3">
      <c r="A432" s="1">
        <v>41387</v>
      </c>
      <c r="B432">
        <v>19210.259999999998</v>
      </c>
      <c r="C432">
        <v>19210.259999999998</v>
      </c>
      <c r="D432">
        <v>19042.080000000002</v>
      </c>
      <c r="E432">
        <v>19179.36</v>
      </c>
    </row>
    <row r="433" spans="1:5" hidden="1" x14ac:dyDescent="0.3">
      <c r="A433" s="1">
        <v>41389</v>
      </c>
      <c r="B433">
        <v>19192.11</v>
      </c>
      <c r="C433">
        <v>19434.849999999999</v>
      </c>
      <c r="D433">
        <v>19192.11</v>
      </c>
      <c r="E433">
        <v>19406.849999999999</v>
      </c>
    </row>
    <row r="434" spans="1:5" hidden="1" x14ac:dyDescent="0.3">
      <c r="A434" s="1">
        <v>41390</v>
      </c>
      <c r="B434">
        <v>19376</v>
      </c>
      <c r="C434">
        <v>19384.95</v>
      </c>
      <c r="D434">
        <v>19249.75</v>
      </c>
      <c r="E434">
        <v>19286.72</v>
      </c>
    </row>
    <row r="435" spans="1:5" hidden="1" x14ac:dyDescent="0.3">
      <c r="A435" s="1">
        <v>41393</v>
      </c>
      <c r="B435">
        <v>19306.669999999998</v>
      </c>
      <c r="C435">
        <v>19428.939999999999</v>
      </c>
      <c r="D435">
        <v>19284.400000000001</v>
      </c>
      <c r="E435">
        <v>19387.5</v>
      </c>
    </row>
    <row r="436" spans="1:5" hidden="1" x14ac:dyDescent="0.3">
      <c r="A436" s="1">
        <v>41394</v>
      </c>
      <c r="B436">
        <v>19492.830000000002</v>
      </c>
      <c r="C436">
        <v>19622.68</v>
      </c>
      <c r="D436">
        <v>19317.38</v>
      </c>
      <c r="E436">
        <v>19504.18</v>
      </c>
    </row>
    <row r="437" spans="1:5" hidden="1" x14ac:dyDescent="0.3">
      <c r="A437" s="1">
        <v>41396</v>
      </c>
      <c r="B437">
        <v>19459.330000000002</v>
      </c>
      <c r="C437">
        <v>19792</v>
      </c>
      <c r="D437">
        <v>19451.259999999998</v>
      </c>
      <c r="E437">
        <v>19735.77</v>
      </c>
    </row>
    <row r="438" spans="1:5" hidden="1" x14ac:dyDescent="0.3">
      <c r="A438" s="1">
        <v>41397</v>
      </c>
      <c r="B438">
        <v>19707.95</v>
      </c>
      <c r="C438">
        <v>19744.849999999999</v>
      </c>
      <c r="D438">
        <v>19542.63</v>
      </c>
      <c r="E438">
        <v>19575.64</v>
      </c>
    </row>
    <row r="439" spans="1:5" hidden="1" x14ac:dyDescent="0.3">
      <c r="A439" s="1">
        <v>41400</v>
      </c>
      <c r="B439">
        <v>19571.66</v>
      </c>
      <c r="C439">
        <v>19694.29</v>
      </c>
      <c r="D439">
        <v>19554.310000000001</v>
      </c>
      <c r="E439">
        <v>19673.64</v>
      </c>
    </row>
    <row r="440" spans="1:5" hidden="1" x14ac:dyDescent="0.3">
      <c r="A440" s="1">
        <v>41401</v>
      </c>
      <c r="B440">
        <v>19697.330000000002</v>
      </c>
      <c r="C440">
        <v>19917.88</v>
      </c>
      <c r="D440">
        <v>19697.330000000002</v>
      </c>
      <c r="E440">
        <v>19888.95</v>
      </c>
    </row>
    <row r="441" spans="1:5" hidden="1" x14ac:dyDescent="0.3">
      <c r="A441" s="1">
        <v>41402</v>
      </c>
      <c r="B441">
        <v>19950.22</v>
      </c>
      <c r="C441">
        <v>20037.27</v>
      </c>
      <c r="D441">
        <v>19851.22</v>
      </c>
      <c r="E441">
        <v>19990.18</v>
      </c>
    </row>
    <row r="442" spans="1:5" hidden="1" x14ac:dyDescent="0.3">
      <c r="A442" s="1">
        <v>41403</v>
      </c>
      <c r="B442">
        <v>20015.86</v>
      </c>
      <c r="C442">
        <v>20058.48</v>
      </c>
      <c r="D442">
        <v>19903.830000000002</v>
      </c>
      <c r="E442">
        <v>19939.04</v>
      </c>
    </row>
    <row r="443" spans="1:5" hidden="1" x14ac:dyDescent="0.3">
      <c r="A443" s="1">
        <v>41404</v>
      </c>
      <c r="B443">
        <v>19911.080000000002</v>
      </c>
      <c r="C443">
        <v>20119.14</v>
      </c>
      <c r="D443">
        <v>19908.8</v>
      </c>
      <c r="E443">
        <v>20082.62</v>
      </c>
    </row>
    <row r="444" spans="1:5" hidden="1" x14ac:dyDescent="0.3">
      <c r="A444" s="1">
        <v>41405</v>
      </c>
      <c r="B444">
        <v>20091.93</v>
      </c>
      <c r="C444">
        <v>20146.830000000002</v>
      </c>
      <c r="D444">
        <v>20055.18</v>
      </c>
      <c r="E444">
        <v>20122.32</v>
      </c>
    </row>
    <row r="445" spans="1:5" hidden="1" x14ac:dyDescent="0.3">
      <c r="A445" s="1">
        <v>41407</v>
      </c>
      <c r="B445">
        <v>20073.41</v>
      </c>
      <c r="C445">
        <v>20109.080000000002</v>
      </c>
      <c r="D445">
        <v>19667.39</v>
      </c>
      <c r="E445">
        <v>19691.669999999998</v>
      </c>
    </row>
    <row r="446" spans="1:5" hidden="1" x14ac:dyDescent="0.3">
      <c r="A446" s="1">
        <v>41408</v>
      </c>
      <c r="B446">
        <v>19715.8</v>
      </c>
      <c r="C446">
        <v>19831.79</v>
      </c>
      <c r="D446">
        <v>19652.689999999999</v>
      </c>
      <c r="E446">
        <v>19722.29</v>
      </c>
    </row>
    <row r="447" spans="1:5" hidden="1" x14ac:dyDescent="0.3">
      <c r="A447" s="1">
        <v>41409</v>
      </c>
      <c r="B447">
        <v>19798.18</v>
      </c>
      <c r="C447">
        <v>20241.96</v>
      </c>
      <c r="D447">
        <v>19798.18</v>
      </c>
      <c r="E447">
        <v>20212.96</v>
      </c>
    </row>
    <row r="448" spans="1:5" hidden="1" x14ac:dyDescent="0.3">
      <c r="A448" s="1">
        <v>41410</v>
      </c>
      <c r="B448">
        <v>20167.93</v>
      </c>
      <c r="C448">
        <v>20326.48</v>
      </c>
      <c r="D448">
        <v>20162.12</v>
      </c>
      <c r="E448">
        <v>20247.330000000002</v>
      </c>
    </row>
    <row r="449" spans="1:5" hidden="1" x14ac:dyDescent="0.3">
      <c r="A449" s="1">
        <v>41411</v>
      </c>
      <c r="B449">
        <v>20267.599999999999</v>
      </c>
      <c r="C449">
        <v>20328.189999999999</v>
      </c>
      <c r="D449">
        <v>20155.009999999998</v>
      </c>
      <c r="E449">
        <v>20286.12</v>
      </c>
    </row>
    <row r="450" spans="1:5" hidden="1" x14ac:dyDescent="0.3">
      <c r="A450" s="1">
        <v>41414</v>
      </c>
      <c r="B450">
        <v>20277.759999999998</v>
      </c>
      <c r="C450">
        <v>20443.62</v>
      </c>
      <c r="D450">
        <v>20186.66</v>
      </c>
      <c r="E450">
        <v>20223.98</v>
      </c>
    </row>
    <row r="451" spans="1:5" hidden="1" x14ac:dyDescent="0.3">
      <c r="A451" s="1">
        <v>41415</v>
      </c>
      <c r="B451">
        <v>20227.169999999998</v>
      </c>
      <c r="C451">
        <v>20308.04</v>
      </c>
      <c r="D451">
        <v>20072.68</v>
      </c>
      <c r="E451">
        <v>20111.61</v>
      </c>
    </row>
    <row r="452" spans="1:5" hidden="1" x14ac:dyDescent="0.3">
      <c r="A452" s="1">
        <v>41416</v>
      </c>
      <c r="B452">
        <v>20150.689999999999</v>
      </c>
      <c r="C452">
        <v>20220.349999999999</v>
      </c>
      <c r="D452">
        <v>20000.86</v>
      </c>
      <c r="E452">
        <v>20062.240000000002</v>
      </c>
    </row>
    <row r="453" spans="1:5" hidden="1" x14ac:dyDescent="0.3">
      <c r="A453" s="1">
        <v>41417</v>
      </c>
      <c r="B453">
        <v>19971.37</v>
      </c>
      <c r="C453">
        <v>20027.560000000001</v>
      </c>
      <c r="D453">
        <v>19634.79</v>
      </c>
      <c r="E453">
        <v>19674.330000000002</v>
      </c>
    </row>
    <row r="454" spans="1:5" hidden="1" x14ac:dyDescent="0.3">
      <c r="A454" s="1">
        <v>41418</v>
      </c>
      <c r="B454">
        <v>19765.32</v>
      </c>
      <c r="C454">
        <v>19833.14</v>
      </c>
      <c r="D454">
        <v>19568.490000000002</v>
      </c>
      <c r="E454">
        <v>19704.330000000002</v>
      </c>
    </row>
    <row r="455" spans="1:5" hidden="1" x14ac:dyDescent="0.3">
      <c r="A455" s="1">
        <v>41421</v>
      </c>
      <c r="B455">
        <v>19750.669999999998</v>
      </c>
      <c r="C455">
        <v>20083.47</v>
      </c>
      <c r="D455">
        <v>19678.310000000001</v>
      </c>
      <c r="E455">
        <v>20030.77</v>
      </c>
    </row>
    <row r="456" spans="1:5" hidden="1" x14ac:dyDescent="0.3">
      <c r="A456" s="1">
        <v>41422</v>
      </c>
      <c r="B456">
        <v>20056.28</v>
      </c>
      <c r="C456">
        <v>20209.82</v>
      </c>
      <c r="D456">
        <v>19963.23</v>
      </c>
      <c r="E456">
        <v>20160.82</v>
      </c>
    </row>
    <row r="457" spans="1:5" hidden="1" x14ac:dyDescent="0.3">
      <c r="A457" s="1">
        <v>41423</v>
      </c>
      <c r="B457">
        <v>20202.509999999998</v>
      </c>
      <c r="C457">
        <v>20216.490000000002</v>
      </c>
      <c r="D457">
        <v>20044.740000000002</v>
      </c>
      <c r="E457">
        <v>20147.64</v>
      </c>
    </row>
    <row r="458" spans="1:5" hidden="1" x14ac:dyDescent="0.3">
      <c r="A458" s="1">
        <v>41424</v>
      </c>
      <c r="B458">
        <v>20066.939999999999</v>
      </c>
      <c r="C458">
        <v>20254.03</v>
      </c>
      <c r="D458">
        <v>20066.14</v>
      </c>
      <c r="E458">
        <v>20215.400000000001</v>
      </c>
    </row>
    <row r="459" spans="1:5" hidden="1" x14ac:dyDescent="0.3">
      <c r="A459" s="1">
        <v>41425</v>
      </c>
      <c r="B459">
        <v>20186.669999999998</v>
      </c>
      <c r="C459">
        <v>20191.29</v>
      </c>
      <c r="D459">
        <v>19730.55</v>
      </c>
      <c r="E459">
        <v>19760.3</v>
      </c>
    </row>
    <row r="460" spans="1:5" hidden="1" x14ac:dyDescent="0.3">
      <c r="A460" s="1">
        <v>41428</v>
      </c>
      <c r="B460">
        <v>19859.22</v>
      </c>
      <c r="C460">
        <v>19860.189999999999</v>
      </c>
      <c r="D460">
        <v>19541.97</v>
      </c>
      <c r="E460">
        <v>19610.48</v>
      </c>
    </row>
    <row r="461" spans="1:5" hidden="1" x14ac:dyDescent="0.3">
      <c r="A461" s="1">
        <v>41429</v>
      </c>
      <c r="B461">
        <v>19605.68</v>
      </c>
      <c r="C461">
        <v>19742.7</v>
      </c>
      <c r="D461">
        <v>19522.47</v>
      </c>
      <c r="E461">
        <v>19545.78</v>
      </c>
    </row>
    <row r="462" spans="1:5" hidden="1" x14ac:dyDescent="0.3">
      <c r="A462" s="1">
        <v>41430</v>
      </c>
      <c r="B462">
        <v>19532.419999999998</v>
      </c>
      <c r="C462">
        <v>19604.43</v>
      </c>
      <c r="D462">
        <v>19441.349999999999</v>
      </c>
      <c r="E462">
        <v>19568.22</v>
      </c>
    </row>
    <row r="463" spans="1:5" hidden="1" x14ac:dyDescent="0.3">
      <c r="A463" s="1">
        <v>41431</v>
      </c>
      <c r="B463">
        <v>19503.68</v>
      </c>
      <c r="C463">
        <v>19635.37</v>
      </c>
      <c r="D463">
        <v>19395.32</v>
      </c>
      <c r="E463">
        <v>19519.490000000002</v>
      </c>
    </row>
    <row r="464" spans="1:5" hidden="1" x14ac:dyDescent="0.3">
      <c r="A464" s="1">
        <v>41432</v>
      </c>
      <c r="B464">
        <v>19522.310000000001</v>
      </c>
      <c r="C464">
        <v>19711.55</v>
      </c>
      <c r="D464">
        <v>19397.509999999998</v>
      </c>
      <c r="E464">
        <v>19429.23</v>
      </c>
    </row>
    <row r="465" spans="1:5" hidden="1" x14ac:dyDescent="0.3">
      <c r="A465" s="1">
        <v>41435</v>
      </c>
      <c r="B465">
        <v>19530.349999999999</v>
      </c>
      <c r="C465">
        <v>19585.75</v>
      </c>
      <c r="D465">
        <v>19366.82</v>
      </c>
      <c r="E465">
        <v>19441.07</v>
      </c>
    </row>
    <row r="466" spans="1:5" hidden="1" x14ac:dyDescent="0.3">
      <c r="A466" s="1">
        <v>41436</v>
      </c>
      <c r="B466">
        <v>19382.22</v>
      </c>
      <c r="C466">
        <v>19418.740000000002</v>
      </c>
      <c r="D466">
        <v>19121.18</v>
      </c>
      <c r="E466">
        <v>19143</v>
      </c>
    </row>
    <row r="467" spans="1:5" hidden="1" x14ac:dyDescent="0.3">
      <c r="A467" s="1">
        <v>41437</v>
      </c>
      <c r="B467">
        <v>19103.96</v>
      </c>
      <c r="C467">
        <v>19143.240000000002</v>
      </c>
      <c r="D467">
        <v>18969.080000000002</v>
      </c>
      <c r="E467">
        <v>19041.13</v>
      </c>
    </row>
    <row r="468" spans="1:5" hidden="1" x14ac:dyDescent="0.3">
      <c r="A468" s="1">
        <v>41438</v>
      </c>
      <c r="B468">
        <v>18897.490000000002</v>
      </c>
      <c r="C468">
        <v>18914.13</v>
      </c>
      <c r="D468">
        <v>18765.53</v>
      </c>
      <c r="E468">
        <v>18827.16</v>
      </c>
    </row>
    <row r="469" spans="1:5" hidden="1" x14ac:dyDescent="0.3">
      <c r="A469" s="1">
        <v>41439</v>
      </c>
      <c r="B469">
        <v>18959.830000000002</v>
      </c>
      <c r="C469">
        <v>19213.099999999999</v>
      </c>
      <c r="D469">
        <v>18952.09</v>
      </c>
      <c r="E469">
        <v>19177.93</v>
      </c>
    </row>
    <row r="470" spans="1:5" hidden="1" x14ac:dyDescent="0.3">
      <c r="A470" s="1">
        <v>41442</v>
      </c>
      <c r="B470">
        <v>19249.900000000001</v>
      </c>
      <c r="C470">
        <v>19344.28</v>
      </c>
      <c r="D470">
        <v>19084.68</v>
      </c>
      <c r="E470">
        <v>19325.87</v>
      </c>
    </row>
    <row r="471" spans="1:5" hidden="1" x14ac:dyDescent="0.3">
      <c r="A471" s="1">
        <v>41443</v>
      </c>
      <c r="B471">
        <v>19329.169999999998</v>
      </c>
      <c r="C471">
        <v>19383.61</v>
      </c>
      <c r="D471">
        <v>19191.37</v>
      </c>
      <c r="E471">
        <v>19223.28</v>
      </c>
    </row>
    <row r="472" spans="1:5" hidden="1" x14ac:dyDescent="0.3">
      <c r="A472" s="1">
        <v>41444</v>
      </c>
      <c r="B472">
        <v>19224.09</v>
      </c>
      <c r="C472">
        <v>19274.259999999998</v>
      </c>
      <c r="D472">
        <v>19100.13</v>
      </c>
      <c r="E472">
        <v>19245.7</v>
      </c>
    </row>
    <row r="473" spans="1:5" hidden="1" x14ac:dyDescent="0.3">
      <c r="A473" s="1">
        <v>41445</v>
      </c>
      <c r="B473">
        <v>19069.2</v>
      </c>
      <c r="C473">
        <v>19069.2</v>
      </c>
      <c r="D473">
        <v>18687.189999999999</v>
      </c>
      <c r="E473">
        <v>18719.29</v>
      </c>
    </row>
    <row r="474" spans="1:5" hidden="1" x14ac:dyDescent="0.3">
      <c r="A474" s="1">
        <v>41446</v>
      </c>
      <c r="B474">
        <v>18695.8</v>
      </c>
      <c r="C474">
        <v>18820.810000000001</v>
      </c>
      <c r="D474">
        <v>18615.14</v>
      </c>
      <c r="E474">
        <v>18774.240000000002</v>
      </c>
    </row>
    <row r="475" spans="1:5" hidden="1" x14ac:dyDescent="0.3">
      <c r="A475" s="1">
        <v>41449</v>
      </c>
      <c r="B475">
        <v>18714.060000000001</v>
      </c>
      <c r="C475">
        <v>18714.060000000001</v>
      </c>
      <c r="D475">
        <v>18467.16</v>
      </c>
      <c r="E475">
        <v>18540.89</v>
      </c>
    </row>
    <row r="476" spans="1:5" hidden="1" x14ac:dyDescent="0.3">
      <c r="A476" s="1">
        <v>41450</v>
      </c>
      <c r="B476">
        <v>18602.25</v>
      </c>
      <c r="C476">
        <v>18802.310000000001</v>
      </c>
      <c r="D476">
        <v>18487.3</v>
      </c>
      <c r="E476">
        <v>18629.150000000001</v>
      </c>
    </row>
    <row r="477" spans="1:5" hidden="1" x14ac:dyDescent="0.3">
      <c r="A477" s="1">
        <v>41451</v>
      </c>
      <c r="B477">
        <v>18662.37</v>
      </c>
      <c r="C477">
        <v>18690.5</v>
      </c>
      <c r="D477">
        <v>18514.349999999999</v>
      </c>
      <c r="E477">
        <v>18552.12</v>
      </c>
    </row>
    <row r="478" spans="1:5" hidden="1" x14ac:dyDescent="0.3">
      <c r="A478" s="1">
        <v>41452</v>
      </c>
      <c r="B478">
        <v>18716.11</v>
      </c>
      <c r="C478">
        <v>18925.75</v>
      </c>
      <c r="D478">
        <v>18688.28</v>
      </c>
      <c r="E478">
        <v>18875.95</v>
      </c>
    </row>
    <row r="479" spans="1:5" hidden="1" x14ac:dyDescent="0.3">
      <c r="A479" s="1">
        <v>41453</v>
      </c>
      <c r="B479">
        <v>19093.18</v>
      </c>
      <c r="C479">
        <v>19432.939999999999</v>
      </c>
      <c r="D479">
        <v>19093.18</v>
      </c>
      <c r="E479">
        <v>19395.810000000001</v>
      </c>
    </row>
    <row r="480" spans="1:5" hidden="1" x14ac:dyDescent="0.3">
      <c r="A480" s="1">
        <v>41456</v>
      </c>
      <c r="B480">
        <v>19352.48</v>
      </c>
      <c r="C480">
        <v>19598.43</v>
      </c>
      <c r="D480">
        <v>19347.57</v>
      </c>
      <c r="E480">
        <v>19577.39</v>
      </c>
    </row>
    <row r="481" spans="1:5" hidden="1" x14ac:dyDescent="0.3">
      <c r="A481" s="1">
        <v>41457</v>
      </c>
      <c r="B481">
        <v>19573.93</v>
      </c>
      <c r="C481">
        <v>19589.14</v>
      </c>
      <c r="D481">
        <v>19442.75</v>
      </c>
      <c r="E481">
        <v>19463.82</v>
      </c>
    </row>
    <row r="482" spans="1:5" hidden="1" x14ac:dyDescent="0.3">
      <c r="A482" s="1">
        <v>41458</v>
      </c>
      <c r="B482">
        <v>19347.11</v>
      </c>
      <c r="C482">
        <v>19347.11</v>
      </c>
      <c r="D482">
        <v>19147.310000000001</v>
      </c>
      <c r="E482">
        <v>19177.759999999998</v>
      </c>
    </row>
    <row r="483" spans="1:5" hidden="1" x14ac:dyDescent="0.3">
      <c r="A483" s="1">
        <v>41459</v>
      </c>
      <c r="B483">
        <v>19256.12</v>
      </c>
      <c r="C483">
        <v>19445.02</v>
      </c>
      <c r="D483">
        <v>19245.009999999998</v>
      </c>
      <c r="E483">
        <v>19410.84</v>
      </c>
    </row>
    <row r="484" spans="1:5" hidden="1" x14ac:dyDescent="0.3">
      <c r="A484" s="1">
        <v>41460</v>
      </c>
      <c r="B484">
        <v>19568.79</v>
      </c>
      <c r="C484">
        <v>19640.27</v>
      </c>
      <c r="D484">
        <v>19477.740000000002</v>
      </c>
      <c r="E484">
        <v>19495.82</v>
      </c>
    </row>
    <row r="485" spans="1:5" hidden="1" x14ac:dyDescent="0.3">
      <c r="A485" s="1">
        <v>41463</v>
      </c>
      <c r="B485">
        <v>19418.98</v>
      </c>
      <c r="C485">
        <v>19422.689999999999</v>
      </c>
      <c r="D485">
        <v>19185.919999999998</v>
      </c>
      <c r="E485">
        <v>19324.77</v>
      </c>
    </row>
    <row r="486" spans="1:5" hidden="1" x14ac:dyDescent="0.3">
      <c r="A486" s="1">
        <v>41464</v>
      </c>
      <c r="B486">
        <v>19399.37</v>
      </c>
      <c r="C486">
        <v>19486</v>
      </c>
      <c r="D486">
        <v>19380.25</v>
      </c>
      <c r="E486">
        <v>19439.48</v>
      </c>
    </row>
    <row r="487" spans="1:5" hidden="1" x14ac:dyDescent="0.3">
      <c r="A487" s="1">
        <v>41465</v>
      </c>
      <c r="B487">
        <v>19482.66</v>
      </c>
      <c r="C487">
        <v>19505.93</v>
      </c>
      <c r="D487">
        <v>19237.91</v>
      </c>
      <c r="E487">
        <v>19294.12</v>
      </c>
    </row>
    <row r="488" spans="1:5" hidden="1" x14ac:dyDescent="0.3">
      <c r="A488" s="1">
        <v>41466</v>
      </c>
      <c r="B488">
        <v>19468.46</v>
      </c>
      <c r="C488">
        <v>19723.509999999998</v>
      </c>
      <c r="D488">
        <v>19468.46</v>
      </c>
      <c r="E488">
        <v>19676.060000000001</v>
      </c>
    </row>
    <row r="489" spans="1:5" hidden="1" x14ac:dyDescent="0.3">
      <c r="A489" s="1">
        <v>41467</v>
      </c>
      <c r="B489">
        <v>19898.689999999999</v>
      </c>
      <c r="C489">
        <v>19991.939999999999</v>
      </c>
      <c r="D489">
        <v>19785.59</v>
      </c>
      <c r="E489">
        <v>19958.47</v>
      </c>
    </row>
    <row r="490" spans="1:5" hidden="1" x14ac:dyDescent="0.3">
      <c r="A490" s="1">
        <v>41470</v>
      </c>
      <c r="B490">
        <v>19926.099999999999</v>
      </c>
      <c r="C490">
        <v>20072.439999999999</v>
      </c>
      <c r="D490">
        <v>19883.189999999999</v>
      </c>
      <c r="E490">
        <v>20034.48</v>
      </c>
    </row>
    <row r="491" spans="1:5" hidden="1" x14ac:dyDescent="0.3">
      <c r="A491" s="1">
        <v>41471</v>
      </c>
      <c r="B491">
        <v>19788.09</v>
      </c>
      <c r="C491">
        <v>19890.63</v>
      </c>
      <c r="D491">
        <v>19649.580000000002</v>
      </c>
      <c r="E491">
        <v>19851.23</v>
      </c>
    </row>
    <row r="492" spans="1:5" hidden="1" x14ac:dyDescent="0.3">
      <c r="A492" s="1">
        <v>41472</v>
      </c>
      <c r="B492">
        <v>19928.95</v>
      </c>
      <c r="C492">
        <v>19983.22</v>
      </c>
      <c r="D492">
        <v>19778.54</v>
      </c>
      <c r="E492">
        <v>19948.73</v>
      </c>
    </row>
    <row r="493" spans="1:5" hidden="1" x14ac:dyDescent="0.3">
      <c r="A493" s="1">
        <v>41473</v>
      </c>
      <c r="B493">
        <v>19999.509999999998</v>
      </c>
      <c r="C493">
        <v>20176.900000000001</v>
      </c>
      <c r="D493">
        <v>19956.2</v>
      </c>
      <c r="E493">
        <v>20128.41</v>
      </c>
    </row>
    <row r="494" spans="1:5" hidden="1" x14ac:dyDescent="0.3">
      <c r="A494" s="1">
        <v>41474</v>
      </c>
      <c r="B494">
        <v>20213.45</v>
      </c>
      <c r="C494">
        <v>20256.599999999999</v>
      </c>
      <c r="D494">
        <v>20111.13</v>
      </c>
      <c r="E494">
        <v>20149.849999999999</v>
      </c>
    </row>
    <row r="495" spans="1:5" hidden="1" x14ac:dyDescent="0.3">
      <c r="A495" s="1">
        <v>41477</v>
      </c>
      <c r="B495">
        <v>20096.71</v>
      </c>
      <c r="C495">
        <v>20264.900000000001</v>
      </c>
      <c r="D495">
        <v>20065.689999999999</v>
      </c>
      <c r="E495">
        <v>20159.12</v>
      </c>
    </row>
    <row r="496" spans="1:5" hidden="1" x14ac:dyDescent="0.3">
      <c r="A496" s="1">
        <v>41478</v>
      </c>
      <c r="B496">
        <v>20249.98</v>
      </c>
      <c r="C496">
        <v>20351.060000000001</v>
      </c>
      <c r="D496">
        <v>20249.98</v>
      </c>
      <c r="E496">
        <v>20302.13</v>
      </c>
    </row>
    <row r="497" spans="1:5" hidden="1" x14ac:dyDescent="0.3">
      <c r="A497" s="1">
        <v>41479</v>
      </c>
      <c r="B497">
        <v>20200.2</v>
      </c>
      <c r="C497">
        <v>20252.7</v>
      </c>
      <c r="D497">
        <v>19994.25</v>
      </c>
      <c r="E497">
        <v>20090.68</v>
      </c>
    </row>
    <row r="498" spans="1:5" hidden="1" x14ac:dyDescent="0.3">
      <c r="A498" s="1">
        <v>41480</v>
      </c>
      <c r="B498">
        <v>20062</v>
      </c>
      <c r="C498">
        <v>20110.810000000001</v>
      </c>
      <c r="D498">
        <v>19763.900000000001</v>
      </c>
      <c r="E498">
        <v>19804.759999999998</v>
      </c>
    </row>
    <row r="499" spans="1:5" hidden="1" x14ac:dyDescent="0.3">
      <c r="A499" s="1">
        <v>41481</v>
      </c>
      <c r="B499">
        <v>19892.47</v>
      </c>
      <c r="C499">
        <v>19907.45</v>
      </c>
      <c r="D499">
        <v>19699.759999999998</v>
      </c>
      <c r="E499">
        <v>19748.189999999999</v>
      </c>
    </row>
    <row r="500" spans="1:5" hidden="1" x14ac:dyDescent="0.3">
      <c r="A500" s="1">
        <v>41484</v>
      </c>
      <c r="B500">
        <v>19714.419999999998</v>
      </c>
      <c r="C500">
        <v>19751.03</v>
      </c>
      <c r="D500">
        <v>19570.87</v>
      </c>
      <c r="E500">
        <v>19593.28</v>
      </c>
    </row>
    <row r="501" spans="1:5" hidden="1" x14ac:dyDescent="0.3">
      <c r="A501" s="1">
        <v>41485</v>
      </c>
      <c r="B501">
        <v>19577.75</v>
      </c>
      <c r="C501">
        <v>19672.72</v>
      </c>
      <c r="D501">
        <v>19328.54</v>
      </c>
      <c r="E501">
        <v>19348.34</v>
      </c>
    </row>
    <row r="502" spans="1:5" hidden="1" x14ac:dyDescent="0.3">
      <c r="A502" s="1">
        <v>41486</v>
      </c>
      <c r="B502">
        <v>19304.07</v>
      </c>
      <c r="C502">
        <v>19387.5</v>
      </c>
      <c r="D502">
        <v>19126.82</v>
      </c>
      <c r="E502">
        <v>19345.7</v>
      </c>
    </row>
    <row r="503" spans="1:5" hidden="1" x14ac:dyDescent="0.3">
      <c r="A503" s="1">
        <v>41487</v>
      </c>
      <c r="B503">
        <v>19443.29</v>
      </c>
      <c r="C503">
        <v>19569.2</v>
      </c>
      <c r="D503">
        <v>19170.46</v>
      </c>
      <c r="E503">
        <v>19317.189999999999</v>
      </c>
    </row>
    <row r="504" spans="1:5" hidden="1" x14ac:dyDescent="0.3">
      <c r="A504" s="1">
        <v>41488</v>
      </c>
      <c r="B504">
        <v>19399.55</v>
      </c>
      <c r="C504">
        <v>19451.7</v>
      </c>
      <c r="D504">
        <v>19078.72</v>
      </c>
      <c r="E504">
        <v>19164.02</v>
      </c>
    </row>
    <row r="505" spans="1:5" hidden="1" x14ac:dyDescent="0.3">
      <c r="A505" s="1">
        <v>41491</v>
      </c>
      <c r="B505">
        <v>19178.060000000001</v>
      </c>
      <c r="C505">
        <v>19306.509999999998</v>
      </c>
      <c r="D505">
        <v>19141.68</v>
      </c>
      <c r="E505">
        <v>19182.259999999998</v>
      </c>
    </row>
    <row r="506" spans="1:5" hidden="1" x14ac:dyDescent="0.3">
      <c r="A506" s="1">
        <v>41492</v>
      </c>
      <c r="B506">
        <v>19127.099999999999</v>
      </c>
      <c r="C506">
        <v>19131.919999999998</v>
      </c>
      <c r="D506">
        <v>18667.3</v>
      </c>
      <c r="E506">
        <v>18733.04</v>
      </c>
    </row>
    <row r="507" spans="1:5" hidden="1" x14ac:dyDescent="0.3">
      <c r="A507" s="1">
        <v>41493</v>
      </c>
      <c r="B507">
        <v>18758.53</v>
      </c>
      <c r="C507">
        <v>18811.46</v>
      </c>
      <c r="D507">
        <v>18551.349999999999</v>
      </c>
      <c r="E507">
        <v>18664.88</v>
      </c>
    </row>
    <row r="508" spans="1:5" hidden="1" x14ac:dyDescent="0.3">
      <c r="A508" s="1">
        <v>41494</v>
      </c>
      <c r="B508">
        <v>18687.3</v>
      </c>
      <c r="C508">
        <v>18829.259999999998</v>
      </c>
      <c r="D508">
        <v>18621.669999999998</v>
      </c>
      <c r="E508">
        <v>18789.34</v>
      </c>
    </row>
    <row r="509" spans="1:5" hidden="1" x14ac:dyDescent="0.3">
      <c r="A509" s="1">
        <v>41498</v>
      </c>
      <c r="B509">
        <v>18898.939999999999</v>
      </c>
      <c r="C509">
        <v>19066.97</v>
      </c>
      <c r="D509">
        <v>18796.009999999998</v>
      </c>
      <c r="E509">
        <v>18946.98</v>
      </c>
    </row>
    <row r="510" spans="1:5" hidden="1" x14ac:dyDescent="0.3">
      <c r="A510" s="1">
        <v>41499</v>
      </c>
      <c r="B510">
        <v>18895.259999999998</v>
      </c>
      <c r="C510">
        <v>19248.11</v>
      </c>
      <c r="D510">
        <v>18864.810000000001</v>
      </c>
      <c r="E510">
        <v>19229.84</v>
      </c>
    </row>
    <row r="511" spans="1:5" hidden="1" x14ac:dyDescent="0.3">
      <c r="A511" s="1">
        <v>41500</v>
      </c>
      <c r="B511">
        <v>19299.419999999998</v>
      </c>
      <c r="C511">
        <v>19392.560000000001</v>
      </c>
      <c r="D511">
        <v>19203.63</v>
      </c>
      <c r="E511">
        <v>19367.59</v>
      </c>
    </row>
    <row r="512" spans="1:5" hidden="1" x14ac:dyDescent="0.3">
      <c r="A512" s="1">
        <v>41502</v>
      </c>
      <c r="B512">
        <v>19297.11</v>
      </c>
      <c r="C512">
        <v>19310.95</v>
      </c>
      <c r="D512">
        <v>18559.650000000001</v>
      </c>
      <c r="E512">
        <v>18598.18</v>
      </c>
    </row>
    <row r="513" spans="1:5" hidden="1" x14ac:dyDescent="0.3">
      <c r="A513" s="1">
        <v>41505</v>
      </c>
      <c r="B513">
        <v>18587.38</v>
      </c>
      <c r="C513">
        <v>18587.38</v>
      </c>
      <c r="D513">
        <v>18139.150000000001</v>
      </c>
      <c r="E513">
        <v>18307.52</v>
      </c>
    </row>
    <row r="514" spans="1:5" hidden="1" x14ac:dyDescent="0.3">
      <c r="A514" s="1">
        <v>41506</v>
      </c>
      <c r="B514">
        <v>18142.830000000002</v>
      </c>
      <c r="C514">
        <v>18306.46</v>
      </c>
      <c r="D514">
        <v>17970.98</v>
      </c>
      <c r="E514">
        <v>18246.04</v>
      </c>
    </row>
    <row r="515" spans="1:5" hidden="1" x14ac:dyDescent="0.3">
      <c r="A515" s="1">
        <v>41507</v>
      </c>
      <c r="B515">
        <v>18545.439999999999</v>
      </c>
      <c r="C515">
        <v>18567.7</v>
      </c>
      <c r="D515">
        <v>17807.189999999999</v>
      </c>
      <c r="E515">
        <v>17905.91</v>
      </c>
    </row>
    <row r="516" spans="1:5" hidden="1" x14ac:dyDescent="0.3">
      <c r="A516" s="1">
        <v>41508</v>
      </c>
      <c r="B516">
        <v>17896.84</v>
      </c>
      <c r="C516">
        <v>18349.82</v>
      </c>
      <c r="D516">
        <v>17759.59</v>
      </c>
      <c r="E516">
        <v>18312.939999999999</v>
      </c>
    </row>
    <row r="517" spans="1:5" hidden="1" x14ac:dyDescent="0.3">
      <c r="A517" s="1">
        <v>41509</v>
      </c>
      <c r="B517">
        <v>18386.53</v>
      </c>
      <c r="C517">
        <v>18546.599999999999</v>
      </c>
      <c r="D517">
        <v>18210.75</v>
      </c>
      <c r="E517">
        <v>18519.439999999999</v>
      </c>
    </row>
    <row r="518" spans="1:5" hidden="1" x14ac:dyDescent="0.3">
      <c r="A518" s="1">
        <v>41512</v>
      </c>
      <c r="B518">
        <v>18602.560000000001</v>
      </c>
      <c r="C518">
        <v>18728.189999999999</v>
      </c>
      <c r="D518">
        <v>18488.93</v>
      </c>
      <c r="E518">
        <v>18558.13</v>
      </c>
    </row>
    <row r="519" spans="1:5" hidden="1" x14ac:dyDescent="0.3">
      <c r="A519" s="1">
        <v>41513</v>
      </c>
      <c r="B519">
        <v>18460.72</v>
      </c>
      <c r="C519">
        <v>18460.72</v>
      </c>
      <c r="D519">
        <v>17921.82</v>
      </c>
      <c r="E519">
        <v>17968.080000000002</v>
      </c>
    </row>
    <row r="520" spans="1:5" hidden="1" x14ac:dyDescent="0.3">
      <c r="A520" s="1">
        <v>41514</v>
      </c>
      <c r="B520">
        <v>17851.439999999999</v>
      </c>
      <c r="C520">
        <v>18101.84</v>
      </c>
      <c r="D520">
        <v>17448.71</v>
      </c>
      <c r="E520">
        <v>17996.150000000001</v>
      </c>
    </row>
    <row r="521" spans="1:5" hidden="1" x14ac:dyDescent="0.3">
      <c r="A521" s="1">
        <v>41515</v>
      </c>
      <c r="B521">
        <v>18073.66</v>
      </c>
      <c r="C521">
        <v>18455.66</v>
      </c>
      <c r="D521">
        <v>18071.22</v>
      </c>
      <c r="E521">
        <v>18401.04</v>
      </c>
    </row>
    <row r="522" spans="1:5" hidden="1" x14ac:dyDescent="0.3">
      <c r="A522" s="1">
        <v>41516</v>
      </c>
      <c r="B522">
        <v>18424.72</v>
      </c>
      <c r="C522">
        <v>18679.259999999998</v>
      </c>
      <c r="D522">
        <v>18272.759999999998</v>
      </c>
      <c r="E522">
        <v>18619.72</v>
      </c>
    </row>
    <row r="523" spans="1:5" hidden="1" x14ac:dyDescent="0.3">
      <c r="A523" s="1">
        <v>41519</v>
      </c>
      <c r="B523">
        <v>18691.830000000002</v>
      </c>
      <c r="C523">
        <v>18942.060000000001</v>
      </c>
      <c r="D523">
        <v>18678.93</v>
      </c>
      <c r="E523">
        <v>18886.13</v>
      </c>
    </row>
    <row r="524" spans="1:5" hidden="1" x14ac:dyDescent="0.3">
      <c r="A524" s="1">
        <v>41520</v>
      </c>
      <c r="B524">
        <v>19002.77</v>
      </c>
      <c r="C524">
        <v>19007.310000000001</v>
      </c>
      <c r="D524">
        <v>18166.169999999998</v>
      </c>
      <c r="E524">
        <v>18234.66</v>
      </c>
    </row>
    <row r="525" spans="1:5" hidden="1" x14ac:dyDescent="0.3">
      <c r="A525" s="1">
        <v>41521</v>
      </c>
      <c r="B525">
        <v>18314.68</v>
      </c>
      <c r="C525">
        <v>18612.599999999999</v>
      </c>
      <c r="D525">
        <v>18188.43</v>
      </c>
      <c r="E525">
        <v>18567.55</v>
      </c>
    </row>
    <row r="526" spans="1:5" hidden="1" x14ac:dyDescent="0.3">
      <c r="A526" s="1">
        <v>41522</v>
      </c>
      <c r="B526">
        <v>18857.599999999999</v>
      </c>
      <c r="C526">
        <v>19117.52</v>
      </c>
      <c r="D526">
        <v>18847.02</v>
      </c>
      <c r="E526">
        <v>18979.759999999998</v>
      </c>
    </row>
    <row r="527" spans="1:5" hidden="1" x14ac:dyDescent="0.3">
      <c r="A527" s="1">
        <v>41523</v>
      </c>
      <c r="B527">
        <v>19072.02</v>
      </c>
      <c r="C527">
        <v>19293.96</v>
      </c>
      <c r="D527">
        <v>18929.38</v>
      </c>
      <c r="E527">
        <v>19270.060000000001</v>
      </c>
    </row>
    <row r="528" spans="1:5" hidden="1" x14ac:dyDescent="0.3">
      <c r="A528" s="1">
        <v>41527</v>
      </c>
      <c r="B528">
        <v>19448.39</v>
      </c>
      <c r="C528">
        <v>20012.689999999999</v>
      </c>
      <c r="D528">
        <v>19444.66</v>
      </c>
      <c r="E528">
        <v>19997.09</v>
      </c>
    </row>
    <row r="529" spans="1:5" hidden="1" x14ac:dyDescent="0.3">
      <c r="A529" s="1">
        <v>41528</v>
      </c>
      <c r="B529">
        <v>19999.77</v>
      </c>
      <c r="C529">
        <v>20055.53</v>
      </c>
      <c r="D529">
        <v>19777.63</v>
      </c>
      <c r="E529">
        <v>19997.45</v>
      </c>
    </row>
    <row r="530" spans="1:5" hidden="1" x14ac:dyDescent="0.3">
      <c r="A530" s="1">
        <v>41529</v>
      </c>
      <c r="B530">
        <v>20046.05</v>
      </c>
      <c r="C530">
        <v>20052.05</v>
      </c>
      <c r="D530">
        <v>19676.490000000002</v>
      </c>
      <c r="E530">
        <v>19781.88</v>
      </c>
    </row>
    <row r="531" spans="1:5" hidden="1" x14ac:dyDescent="0.3">
      <c r="A531" s="1">
        <v>41530</v>
      </c>
      <c r="B531">
        <v>19744.54</v>
      </c>
      <c r="C531">
        <v>19899.37</v>
      </c>
      <c r="D531">
        <v>19675.68</v>
      </c>
      <c r="E531">
        <v>19732.759999999998</v>
      </c>
    </row>
    <row r="532" spans="1:5" hidden="1" x14ac:dyDescent="0.3">
      <c r="A532" s="1">
        <v>41533</v>
      </c>
      <c r="B532">
        <v>19977.38</v>
      </c>
      <c r="C532">
        <v>20086.43</v>
      </c>
      <c r="D532">
        <v>19596.150000000001</v>
      </c>
      <c r="E532">
        <v>19742.47</v>
      </c>
    </row>
    <row r="533" spans="1:5" hidden="1" x14ac:dyDescent="0.3">
      <c r="A533" s="1">
        <v>41534</v>
      </c>
      <c r="B533">
        <v>19721.900000000001</v>
      </c>
      <c r="C533">
        <v>19819.099999999999</v>
      </c>
      <c r="D533">
        <v>19635.439999999999</v>
      </c>
      <c r="E533">
        <v>19804.03</v>
      </c>
    </row>
    <row r="534" spans="1:5" hidden="1" x14ac:dyDescent="0.3">
      <c r="A534" s="1">
        <v>41535</v>
      </c>
      <c r="B534">
        <v>19865.990000000002</v>
      </c>
      <c r="C534">
        <v>20013.330000000002</v>
      </c>
      <c r="D534">
        <v>19775.29</v>
      </c>
      <c r="E534">
        <v>19962.16</v>
      </c>
    </row>
    <row r="535" spans="1:5" hidden="1" x14ac:dyDescent="0.3">
      <c r="A535" s="1">
        <v>41536</v>
      </c>
      <c r="B535">
        <v>20354.73</v>
      </c>
      <c r="C535">
        <v>20739.689999999999</v>
      </c>
      <c r="D535">
        <v>20347.3</v>
      </c>
      <c r="E535">
        <v>20646.64</v>
      </c>
    </row>
    <row r="536" spans="1:5" hidden="1" x14ac:dyDescent="0.3">
      <c r="A536" s="1">
        <v>41537</v>
      </c>
      <c r="B536">
        <v>20616.349999999999</v>
      </c>
      <c r="C536">
        <v>20677.990000000002</v>
      </c>
      <c r="D536">
        <v>20051.43</v>
      </c>
      <c r="E536">
        <v>20263.71</v>
      </c>
    </row>
    <row r="537" spans="1:5" hidden="1" x14ac:dyDescent="0.3">
      <c r="A537" s="1">
        <v>41540</v>
      </c>
      <c r="B537">
        <v>20060.82</v>
      </c>
      <c r="C537">
        <v>20199.810000000001</v>
      </c>
      <c r="D537">
        <v>19826.3</v>
      </c>
      <c r="E537">
        <v>19900.96</v>
      </c>
    </row>
    <row r="538" spans="1:5" hidden="1" x14ac:dyDescent="0.3">
      <c r="A538" s="1">
        <v>41541</v>
      </c>
      <c r="B538">
        <v>19820.03</v>
      </c>
      <c r="C538">
        <v>20050.419999999998</v>
      </c>
      <c r="D538">
        <v>19782.78</v>
      </c>
      <c r="E538">
        <v>19920.21</v>
      </c>
    </row>
    <row r="539" spans="1:5" hidden="1" x14ac:dyDescent="0.3">
      <c r="A539" s="1">
        <v>41542</v>
      </c>
      <c r="B539">
        <v>19947.43</v>
      </c>
      <c r="C539">
        <v>19978.490000000002</v>
      </c>
      <c r="D539">
        <v>19658.740000000002</v>
      </c>
      <c r="E539">
        <v>19856.240000000002</v>
      </c>
    </row>
    <row r="540" spans="1:5" hidden="1" x14ac:dyDescent="0.3">
      <c r="A540" s="1">
        <v>41543</v>
      </c>
      <c r="B540">
        <v>19853.66</v>
      </c>
      <c r="C540">
        <v>19997.28</v>
      </c>
      <c r="D540">
        <v>19826.990000000002</v>
      </c>
      <c r="E540">
        <v>19893.849999999999</v>
      </c>
    </row>
    <row r="541" spans="1:5" hidden="1" x14ac:dyDescent="0.3">
      <c r="A541" s="1">
        <v>41544</v>
      </c>
      <c r="B541">
        <v>19951.73</v>
      </c>
      <c r="C541">
        <v>19981.57</v>
      </c>
      <c r="D541">
        <v>19674.38</v>
      </c>
      <c r="E541">
        <v>19727.27</v>
      </c>
    </row>
    <row r="542" spans="1:5" hidden="1" x14ac:dyDescent="0.3">
      <c r="A542" s="1">
        <v>41547</v>
      </c>
      <c r="B542">
        <v>19643.89</v>
      </c>
      <c r="C542">
        <v>19651.310000000001</v>
      </c>
      <c r="D542">
        <v>19320.73</v>
      </c>
      <c r="E542">
        <v>19379.77</v>
      </c>
    </row>
    <row r="543" spans="1:5" hidden="1" x14ac:dyDescent="0.3">
      <c r="A543" s="1">
        <v>41548</v>
      </c>
      <c r="B543">
        <v>19452.05</v>
      </c>
      <c r="C543">
        <v>19532.91</v>
      </c>
      <c r="D543">
        <v>19264.72</v>
      </c>
      <c r="E543">
        <v>19517.150000000001</v>
      </c>
    </row>
    <row r="544" spans="1:5" hidden="1" x14ac:dyDescent="0.3">
      <c r="A544" s="1">
        <v>41550</v>
      </c>
      <c r="B544">
        <v>19585.79</v>
      </c>
      <c r="C544">
        <v>19929.240000000002</v>
      </c>
      <c r="D544">
        <v>19583.97</v>
      </c>
      <c r="E544">
        <v>19902.07</v>
      </c>
    </row>
    <row r="545" spans="1:5" hidden="1" x14ac:dyDescent="0.3">
      <c r="A545" s="1">
        <v>41551</v>
      </c>
      <c r="B545">
        <v>19870</v>
      </c>
      <c r="C545">
        <v>20052</v>
      </c>
      <c r="D545">
        <v>19833.169999999998</v>
      </c>
      <c r="E545">
        <v>19915.95</v>
      </c>
    </row>
    <row r="546" spans="1:5" hidden="1" x14ac:dyDescent="0.3">
      <c r="A546" s="1">
        <v>41554</v>
      </c>
      <c r="B546">
        <v>19880.939999999999</v>
      </c>
      <c r="C546">
        <v>19921.38</v>
      </c>
      <c r="D546">
        <v>19647.88</v>
      </c>
      <c r="E546">
        <v>19895.099999999999</v>
      </c>
    </row>
    <row r="547" spans="1:5" hidden="1" x14ac:dyDescent="0.3">
      <c r="A547" s="1">
        <v>41555</v>
      </c>
      <c r="B547">
        <v>20094.21</v>
      </c>
      <c r="C547">
        <v>20150.27</v>
      </c>
      <c r="D547">
        <v>19936.72</v>
      </c>
      <c r="E547">
        <v>19983.61</v>
      </c>
    </row>
    <row r="548" spans="1:5" hidden="1" x14ac:dyDescent="0.3">
      <c r="A548" s="1">
        <v>41556</v>
      </c>
      <c r="B548">
        <v>19918.2</v>
      </c>
      <c r="C548">
        <v>20277.740000000002</v>
      </c>
      <c r="D548">
        <v>19826.96</v>
      </c>
      <c r="E548">
        <v>20249.259999999998</v>
      </c>
    </row>
    <row r="549" spans="1:5" hidden="1" x14ac:dyDescent="0.3">
      <c r="A549" s="1">
        <v>41557</v>
      </c>
      <c r="B549">
        <v>20228.759999999998</v>
      </c>
      <c r="C549">
        <v>20323.77</v>
      </c>
      <c r="D549">
        <v>20135.91</v>
      </c>
      <c r="E549">
        <v>20272.91</v>
      </c>
    </row>
    <row r="550" spans="1:5" hidden="1" x14ac:dyDescent="0.3">
      <c r="A550" s="1">
        <v>41558</v>
      </c>
      <c r="B550">
        <v>20535.900000000001</v>
      </c>
      <c r="C550">
        <v>20559.689999999999</v>
      </c>
      <c r="D550">
        <v>20368.060000000001</v>
      </c>
      <c r="E550">
        <v>20528.59</v>
      </c>
    </row>
    <row r="551" spans="1:5" hidden="1" x14ac:dyDescent="0.3">
      <c r="A551" s="1">
        <v>41561</v>
      </c>
      <c r="B551">
        <v>20534.61</v>
      </c>
      <c r="C551">
        <v>20645.939999999999</v>
      </c>
      <c r="D551">
        <v>20497.88</v>
      </c>
      <c r="E551">
        <v>20607.54</v>
      </c>
    </row>
    <row r="552" spans="1:5" hidden="1" x14ac:dyDescent="0.3">
      <c r="A552" s="1">
        <v>41562</v>
      </c>
      <c r="B552">
        <v>20722.900000000001</v>
      </c>
      <c r="C552">
        <v>20759.580000000002</v>
      </c>
      <c r="D552">
        <v>20446.73</v>
      </c>
      <c r="E552">
        <v>20547.62</v>
      </c>
    </row>
    <row r="553" spans="1:5" hidden="1" x14ac:dyDescent="0.3">
      <c r="A553" s="1">
        <v>41564</v>
      </c>
      <c r="B553">
        <v>20579.560000000001</v>
      </c>
      <c r="C553">
        <v>20629.8</v>
      </c>
      <c r="D553">
        <v>20375.419999999998</v>
      </c>
      <c r="E553">
        <v>20415.509999999998</v>
      </c>
    </row>
    <row r="554" spans="1:5" hidden="1" x14ac:dyDescent="0.3">
      <c r="A554" s="1">
        <v>41565</v>
      </c>
      <c r="B554">
        <v>20486.78</v>
      </c>
      <c r="C554">
        <v>20932.23</v>
      </c>
      <c r="D554">
        <v>20486.78</v>
      </c>
      <c r="E554">
        <v>20882.89</v>
      </c>
    </row>
    <row r="555" spans="1:5" hidden="1" x14ac:dyDescent="0.3">
      <c r="A555" s="1">
        <v>41568</v>
      </c>
      <c r="B555">
        <v>20915.759999999998</v>
      </c>
      <c r="C555">
        <v>20970.919999999998</v>
      </c>
      <c r="D555">
        <v>20768.990000000002</v>
      </c>
      <c r="E555">
        <v>20893.89</v>
      </c>
    </row>
    <row r="556" spans="1:5" hidden="1" x14ac:dyDescent="0.3">
      <c r="A556" s="1">
        <v>41569</v>
      </c>
      <c r="B556">
        <v>20863.150000000001</v>
      </c>
      <c r="C556">
        <v>20948.91</v>
      </c>
      <c r="D556">
        <v>20810.25</v>
      </c>
      <c r="E556">
        <v>20864.97</v>
      </c>
    </row>
    <row r="557" spans="1:5" hidden="1" x14ac:dyDescent="0.3">
      <c r="A557" s="1">
        <v>41570</v>
      </c>
      <c r="B557">
        <v>20875.310000000001</v>
      </c>
      <c r="C557">
        <v>20922.32</v>
      </c>
      <c r="D557">
        <v>20589.72</v>
      </c>
      <c r="E557">
        <v>20767.88</v>
      </c>
    </row>
    <row r="558" spans="1:5" hidden="1" x14ac:dyDescent="0.3">
      <c r="A558" s="1">
        <v>41571</v>
      </c>
      <c r="B558">
        <v>20766.05</v>
      </c>
      <c r="C558">
        <v>21039.42</v>
      </c>
      <c r="D558">
        <v>20656.7</v>
      </c>
      <c r="E558">
        <v>20725.43</v>
      </c>
    </row>
    <row r="559" spans="1:5" hidden="1" x14ac:dyDescent="0.3">
      <c r="A559" s="1">
        <v>41572</v>
      </c>
      <c r="B559">
        <v>20725.52</v>
      </c>
      <c r="C559">
        <v>20782.16</v>
      </c>
      <c r="D559">
        <v>20622.55</v>
      </c>
      <c r="E559">
        <v>20683.52</v>
      </c>
    </row>
    <row r="560" spans="1:5" hidden="1" x14ac:dyDescent="0.3">
      <c r="A560" s="1">
        <v>41575</v>
      </c>
      <c r="B560">
        <v>20696.509999999998</v>
      </c>
      <c r="C560">
        <v>20771.36</v>
      </c>
      <c r="D560">
        <v>20550.64</v>
      </c>
      <c r="E560">
        <v>20570.28</v>
      </c>
    </row>
    <row r="561" spans="1:5" hidden="1" x14ac:dyDescent="0.3">
      <c r="A561" s="1">
        <v>41576</v>
      </c>
      <c r="B561">
        <v>20593.490000000002</v>
      </c>
      <c r="C561">
        <v>20952.55</v>
      </c>
      <c r="D561">
        <v>20493.66</v>
      </c>
      <c r="E561">
        <v>20929.009999999998</v>
      </c>
    </row>
    <row r="562" spans="1:5" hidden="1" x14ac:dyDescent="0.3">
      <c r="A562" s="1">
        <v>41577</v>
      </c>
      <c r="B562">
        <v>20944.14</v>
      </c>
      <c r="C562">
        <v>21086.59</v>
      </c>
      <c r="D562">
        <v>20937.12</v>
      </c>
      <c r="E562">
        <v>21033.97</v>
      </c>
    </row>
    <row r="563" spans="1:5" hidden="1" x14ac:dyDescent="0.3">
      <c r="A563" s="1">
        <v>41578</v>
      </c>
      <c r="B563">
        <v>21000.6</v>
      </c>
      <c r="C563">
        <v>21205.439999999999</v>
      </c>
      <c r="D563">
        <v>20991.98</v>
      </c>
      <c r="E563">
        <v>21164.52</v>
      </c>
    </row>
    <row r="564" spans="1:5" hidden="1" x14ac:dyDescent="0.3">
      <c r="A564" s="1">
        <v>41579</v>
      </c>
      <c r="B564">
        <v>21158.81</v>
      </c>
      <c r="C564">
        <v>21293.88</v>
      </c>
      <c r="D564">
        <v>21141.32</v>
      </c>
      <c r="E564">
        <v>21196.81</v>
      </c>
    </row>
    <row r="565" spans="1:5" hidden="1" x14ac:dyDescent="0.3">
      <c r="A565" s="1">
        <v>41581</v>
      </c>
      <c r="B565">
        <v>21278.080000000002</v>
      </c>
      <c r="C565">
        <v>21321.53</v>
      </c>
      <c r="D565">
        <v>21212.31</v>
      </c>
      <c r="E565">
        <v>21239.360000000001</v>
      </c>
    </row>
    <row r="566" spans="1:5" hidden="1" x14ac:dyDescent="0.3">
      <c r="A566" s="1">
        <v>41583</v>
      </c>
      <c r="B566">
        <v>21134.1</v>
      </c>
      <c r="C566">
        <v>21158.560000000001</v>
      </c>
      <c r="D566">
        <v>20951.71</v>
      </c>
      <c r="E566">
        <v>20974.79</v>
      </c>
    </row>
    <row r="567" spans="1:5" hidden="1" x14ac:dyDescent="0.3">
      <c r="A567" s="1">
        <v>41584</v>
      </c>
      <c r="B567">
        <v>21004.54</v>
      </c>
      <c r="C567">
        <v>21045.38</v>
      </c>
      <c r="D567">
        <v>20861.419999999998</v>
      </c>
      <c r="E567">
        <v>20894.939999999999</v>
      </c>
    </row>
    <row r="568" spans="1:5" hidden="1" x14ac:dyDescent="0.3">
      <c r="A568" s="1">
        <v>41585</v>
      </c>
      <c r="B568">
        <v>20896.13</v>
      </c>
      <c r="C568">
        <v>21142.85</v>
      </c>
      <c r="D568">
        <v>20797.060000000001</v>
      </c>
      <c r="E568">
        <v>20822.77</v>
      </c>
    </row>
    <row r="569" spans="1:5" hidden="1" x14ac:dyDescent="0.3">
      <c r="A569" s="1">
        <v>41586</v>
      </c>
      <c r="B569">
        <v>20785.2</v>
      </c>
      <c r="C569">
        <v>20821.009999999998</v>
      </c>
      <c r="D569">
        <v>20600.900000000001</v>
      </c>
      <c r="E569">
        <v>20666.150000000001</v>
      </c>
    </row>
    <row r="570" spans="1:5" hidden="1" x14ac:dyDescent="0.3">
      <c r="A570" s="1">
        <v>41589</v>
      </c>
      <c r="B570">
        <v>20596.400000000001</v>
      </c>
      <c r="C570">
        <v>20672.53</v>
      </c>
      <c r="D570">
        <v>20453.150000000001</v>
      </c>
      <c r="E570">
        <v>20490.96</v>
      </c>
    </row>
    <row r="571" spans="1:5" hidden="1" x14ac:dyDescent="0.3">
      <c r="A571" s="1">
        <v>41590</v>
      </c>
      <c r="B571">
        <v>20510.310000000001</v>
      </c>
      <c r="C571">
        <v>20584.22</v>
      </c>
      <c r="D571">
        <v>20262.22</v>
      </c>
      <c r="E571">
        <v>20281.91</v>
      </c>
    </row>
    <row r="572" spans="1:5" hidden="1" x14ac:dyDescent="0.3">
      <c r="A572" s="1">
        <v>41591</v>
      </c>
      <c r="B572">
        <v>20248.52</v>
      </c>
      <c r="C572">
        <v>20365.59</v>
      </c>
      <c r="D572">
        <v>20161.64</v>
      </c>
      <c r="E572">
        <v>20194.400000000001</v>
      </c>
    </row>
    <row r="573" spans="1:5" hidden="1" x14ac:dyDescent="0.3">
      <c r="A573" s="1">
        <v>41592</v>
      </c>
      <c r="B573">
        <v>20351.39</v>
      </c>
      <c r="C573">
        <v>20568.990000000002</v>
      </c>
      <c r="D573">
        <v>20348.27</v>
      </c>
      <c r="E573">
        <v>20399.419999999998</v>
      </c>
    </row>
    <row r="574" spans="1:5" hidden="1" x14ac:dyDescent="0.3">
      <c r="A574" s="1">
        <v>41596</v>
      </c>
      <c r="B574">
        <v>20570.59</v>
      </c>
      <c r="C574">
        <v>20868.759999999998</v>
      </c>
      <c r="D574">
        <v>20570.59</v>
      </c>
      <c r="E574">
        <v>20850.740000000002</v>
      </c>
    </row>
    <row r="575" spans="1:5" hidden="1" x14ac:dyDescent="0.3">
      <c r="A575" s="1">
        <v>41597</v>
      </c>
      <c r="B575">
        <v>20870.16</v>
      </c>
      <c r="C575">
        <v>20934.400000000001</v>
      </c>
      <c r="D575">
        <v>20828.689999999999</v>
      </c>
      <c r="E575">
        <v>20890.82</v>
      </c>
    </row>
    <row r="576" spans="1:5" hidden="1" x14ac:dyDescent="0.3">
      <c r="A576" s="1">
        <v>41598</v>
      </c>
      <c r="B576">
        <v>20857.009999999998</v>
      </c>
      <c r="C576">
        <v>20895.3</v>
      </c>
      <c r="D576">
        <v>20579.939999999999</v>
      </c>
      <c r="E576">
        <v>20635.13</v>
      </c>
    </row>
    <row r="577" spans="1:5" hidden="1" x14ac:dyDescent="0.3">
      <c r="A577" s="1">
        <v>41599</v>
      </c>
      <c r="B577">
        <v>20579.259999999998</v>
      </c>
      <c r="C577">
        <v>20579.259999999998</v>
      </c>
      <c r="D577">
        <v>20189.23</v>
      </c>
      <c r="E577">
        <v>20229.05</v>
      </c>
    </row>
    <row r="578" spans="1:5" hidden="1" x14ac:dyDescent="0.3">
      <c r="A578" s="1">
        <v>41600</v>
      </c>
      <c r="B578">
        <v>20316.580000000002</v>
      </c>
      <c r="C578">
        <v>20388.12</v>
      </c>
      <c r="D578">
        <v>20137.669999999998</v>
      </c>
      <c r="E578">
        <v>20217.39</v>
      </c>
    </row>
    <row r="579" spans="1:5" hidden="1" x14ac:dyDescent="0.3">
      <c r="A579" s="1">
        <v>41603</v>
      </c>
      <c r="B579">
        <v>20326.66</v>
      </c>
      <c r="C579">
        <v>20626.150000000001</v>
      </c>
      <c r="D579">
        <v>20326.66</v>
      </c>
      <c r="E579">
        <v>20605.080000000002</v>
      </c>
    </row>
    <row r="580" spans="1:5" hidden="1" x14ac:dyDescent="0.3">
      <c r="A580" s="1">
        <v>41604</v>
      </c>
      <c r="B580">
        <v>20604.27</v>
      </c>
      <c r="C580">
        <v>20604.27</v>
      </c>
      <c r="D580">
        <v>20390.62</v>
      </c>
      <c r="E580">
        <v>20425.02</v>
      </c>
    </row>
    <row r="581" spans="1:5" hidden="1" x14ac:dyDescent="0.3">
      <c r="A581" s="1">
        <v>41605</v>
      </c>
      <c r="B581">
        <v>20449</v>
      </c>
      <c r="C581">
        <v>20482.669999999998</v>
      </c>
      <c r="D581">
        <v>20348.060000000001</v>
      </c>
      <c r="E581">
        <v>20420.259999999998</v>
      </c>
    </row>
    <row r="582" spans="1:5" hidden="1" x14ac:dyDescent="0.3">
      <c r="A582" s="1">
        <v>41606</v>
      </c>
      <c r="B582">
        <v>20522.36</v>
      </c>
      <c r="C582">
        <v>20606.38</v>
      </c>
      <c r="D582">
        <v>20461.509999999998</v>
      </c>
      <c r="E582">
        <v>20534.91</v>
      </c>
    </row>
    <row r="583" spans="1:5" hidden="1" x14ac:dyDescent="0.3">
      <c r="A583" s="1">
        <v>41607</v>
      </c>
      <c r="B583">
        <v>20558.93</v>
      </c>
      <c r="C583">
        <v>20819.77</v>
      </c>
      <c r="D583">
        <v>20558.93</v>
      </c>
      <c r="E583">
        <v>20791.93</v>
      </c>
    </row>
    <row r="584" spans="1:5" hidden="1" x14ac:dyDescent="0.3">
      <c r="A584" s="1">
        <v>41610</v>
      </c>
      <c r="B584">
        <v>20771.27</v>
      </c>
      <c r="C584">
        <v>20941</v>
      </c>
      <c r="D584">
        <v>20770.509999999998</v>
      </c>
      <c r="E584">
        <v>20898.009999999998</v>
      </c>
    </row>
    <row r="585" spans="1:5" hidden="1" x14ac:dyDescent="0.3">
      <c r="A585" s="1">
        <v>41611</v>
      </c>
      <c r="B585">
        <v>20857.849999999999</v>
      </c>
      <c r="C585">
        <v>20927.05</v>
      </c>
      <c r="D585">
        <v>20817.75</v>
      </c>
      <c r="E585">
        <v>20854.919999999998</v>
      </c>
    </row>
    <row r="586" spans="1:5" hidden="1" x14ac:dyDescent="0.3">
      <c r="A586" s="1">
        <v>41612</v>
      </c>
      <c r="B586">
        <v>20839.45</v>
      </c>
      <c r="C586">
        <v>20863.37</v>
      </c>
      <c r="D586">
        <v>20673.62</v>
      </c>
      <c r="E586">
        <v>20708.71</v>
      </c>
    </row>
    <row r="587" spans="1:5" hidden="1" x14ac:dyDescent="0.3">
      <c r="A587" s="1">
        <v>41613</v>
      </c>
      <c r="B587">
        <v>20992.25</v>
      </c>
      <c r="C587">
        <v>21165.599999999999</v>
      </c>
      <c r="D587">
        <v>20929.2</v>
      </c>
      <c r="E587">
        <v>20957.810000000001</v>
      </c>
    </row>
    <row r="588" spans="1:5" hidden="1" x14ac:dyDescent="0.3">
      <c r="A588" s="1">
        <v>41614</v>
      </c>
      <c r="B588">
        <v>20955.740000000002</v>
      </c>
      <c r="C588">
        <v>21049.84</v>
      </c>
      <c r="D588">
        <v>20922.45</v>
      </c>
      <c r="E588">
        <v>20996.53</v>
      </c>
    </row>
    <row r="589" spans="1:5" hidden="1" x14ac:dyDescent="0.3">
      <c r="A589" s="1">
        <v>41617</v>
      </c>
      <c r="B589">
        <v>21416.67</v>
      </c>
      <c r="C589">
        <v>21483.74</v>
      </c>
      <c r="D589">
        <v>21282.639999999999</v>
      </c>
      <c r="E589">
        <v>21326.42</v>
      </c>
    </row>
    <row r="590" spans="1:5" hidden="1" x14ac:dyDescent="0.3">
      <c r="A590" s="1">
        <v>41618</v>
      </c>
      <c r="B590">
        <v>21293.58</v>
      </c>
      <c r="C590">
        <v>21327.75</v>
      </c>
      <c r="D590">
        <v>21175.08</v>
      </c>
      <c r="E590">
        <v>21255.26</v>
      </c>
    </row>
    <row r="591" spans="1:5" hidden="1" x14ac:dyDescent="0.3">
      <c r="A591" s="1">
        <v>41619</v>
      </c>
      <c r="B591">
        <v>21191.27</v>
      </c>
      <c r="C591">
        <v>21215.94</v>
      </c>
      <c r="D591">
        <v>21069.45</v>
      </c>
      <c r="E591">
        <v>21171.41</v>
      </c>
    </row>
    <row r="592" spans="1:5" hidden="1" x14ac:dyDescent="0.3">
      <c r="A592" s="1">
        <v>41620</v>
      </c>
      <c r="B592">
        <v>21101.05</v>
      </c>
      <c r="C592">
        <v>21103.8</v>
      </c>
      <c r="D592">
        <v>20901.47</v>
      </c>
      <c r="E592">
        <v>20925.61</v>
      </c>
    </row>
    <row r="593" spans="1:5" hidden="1" x14ac:dyDescent="0.3">
      <c r="A593" s="1">
        <v>41621</v>
      </c>
      <c r="B593">
        <v>20867.169999999998</v>
      </c>
      <c r="C593">
        <v>20867.169999999998</v>
      </c>
      <c r="D593">
        <v>20692.669999999998</v>
      </c>
      <c r="E593">
        <v>20715.580000000002</v>
      </c>
    </row>
    <row r="594" spans="1:5" hidden="1" x14ac:dyDescent="0.3">
      <c r="A594" s="1">
        <v>41624</v>
      </c>
      <c r="B594">
        <v>20714.259999999998</v>
      </c>
      <c r="C594">
        <v>20764.52</v>
      </c>
      <c r="D594">
        <v>20637.77</v>
      </c>
      <c r="E594">
        <v>20659.52</v>
      </c>
    </row>
    <row r="595" spans="1:5" hidden="1" x14ac:dyDescent="0.3">
      <c r="A595" s="1">
        <v>41625</v>
      </c>
      <c r="B595">
        <v>20732.439999999999</v>
      </c>
      <c r="C595">
        <v>20784.03</v>
      </c>
      <c r="D595">
        <v>20594.990000000002</v>
      </c>
      <c r="E595">
        <v>20612.14</v>
      </c>
    </row>
    <row r="596" spans="1:5" hidden="1" x14ac:dyDescent="0.3">
      <c r="A596" s="1">
        <v>41626</v>
      </c>
      <c r="B596">
        <v>20568.7</v>
      </c>
      <c r="C596">
        <v>20917.57</v>
      </c>
      <c r="D596">
        <v>20568.7</v>
      </c>
      <c r="E596">
        <v>20859.86</v>
      </c>
    </row>
    <row r="597" spans="1:5" hidden="1" x14ac:dyDescent="0.3">
      <c r="A597" s="1">
        <v>41627</v>
      </c>
      <c r="B597">
        <v>20959.8</v>
      </c>
      <c r="C597">
        <v>21017.45</v>
      </c>
      <c r="D597">
        <v>20646.03</v>
      </c>
      <c r="E597">
        <v>20708.62</v>
      </c>
    </row>
    <row r="598" spans="1:5" hidden="1" x14ac:dyDescent="0.3">
      <c r="A598" s="1">
        <v>41628</v>
      </c>
      <c r="B598">
        <v>20792.37</v>
      </c>
      <c r="C598">
        <v>21117.99</v>
      </c>
      <c r="D598">
        <v>20745.939999999999</v>
      </c>
      <c r="E598">
        <v>21079.72</v>
      </c>
    </row>
    <row r="599" spans="1:5" hidden="1" x14ac:dyDescent="0.3">
      <c r="A599" s="1">
        <v>41631</v>
      </c>
      <c r="B599">
        <v>21080.54</v>
      </c>
      <c r="C599">
        <v>21207.89</v>
      </c>
      <c r="D599">
        <v>21059.119999999999</v>
      </c>
      <c r="E599">
        <v>21101.03</v>
      </c>
    </row>
    <row r="600" spans="1:5" hidden="1" x14ac:dyDescent="0.3">
      <c r="A600" s="1">
        <v>41632</v>
      </c>
      <c r="B600">
        <v>21127.66</v>
      </c>
      <c r="C600">
        <v>21156.92</v>
      </c>
      <c r="D600">
        <v>21010.65</v>
      </c>
      <c r="E600">
        <v>21032.71</v>
      </c>
    </row>
    <row r="601" spans="1:5" hidden="1" x14ac:dyDescent="0.3">
      <c r="A601" s="1">
        <v>41634</v>
      </c>
      <c r="B601">
        <v>21051</v>
      </c>
      <c r="C601">
        <v>21135.85</v>
      </c>
      <c r="D601">
        <v>21013.14</v>
      </c>
      <c r="E601">
        <v>21074.59</v>
      </c>
    </row>
    <row r="602" spans="1:5" hidden="1" x14ac:dyDescent="0.3">
      <c r="A602" s="1">
        <v>41635</v>
      </c>
      <c r="B602">
        <v>21114.49</v>
      </c>
      <c r="C602">
        <v>21235.14</v>
      </c>
      <c r="D602">
        <v>21113.25</v>
      </c>
      <c r="E602">
        <v>21193.58</v>
      </c>
    </row>
    <row r="603" spans="1:5" hidden="1" x14ac:dyDescent="0.3">
      <c r="A603" s="1">
        <v>41638</v>
      </c>
      <c r="B603">
        <v>21260.15</v>
      </c>
      <c r="C603">
        <v>21304.7</v>
      </c>
      <c r="D603">
        <v>21089.21</v>
      </c>
      <c r="E603">
        <v>21143.01</v>
      </c>
    </row>
    <row r="604" spans="1:5" hidden="1" x14ac:dyDescent="0.3">
      <c r="A604" s="1">
        <v>41639</v>
      </c>
      <c r="B604">
        <v>21177.77</v>
      </c>
      <c r="C604">
        <v>21230.880000000001</v>
      </c>
      <c r="D604">
        <v>21122.68</v>
      </c>
      <c r="E604">
        <v>21170.68</v>
      </c>
    </row>
    <row r="605" spans="1:5" hidden="1" x14ac:dyDescent="0.3">
      <c r="A605" s="1">
        <v>41640</v>
      </c>
      <c r="B605">
        <v>21222.19</v>
      </c>
      <c r="C605">
        <v>21244.35</v>
      </c>
      <c r="D605">
        <v>21133.82</v>
      </c>
      <c r="E605">
        <v>21140.48</v>
      </c>
    </row>
    <row r="606" spans="1:5" hidden="1" x14ac:dyDescent="0.3">
      <c r="A606" s="1">
        <v>41641</v>
      </c>
      <c r="B606">
        <v>21179.91</v>
      </c>
      <c r="C606">
        <v>21331.32</v>
      </c>
      <c r="D606">
        <v>20846.669999999998</v>
      </c>
      <c r="E606">
        <v>20888.330000000002</v>
      </c>
    </row>
    <row r="607" spans="1:5" hidden="1" x14ac:dyDescent="0.3">
      <c r="A607" s="1">
        <v>41642</v>
      </c>
      <c r="B607">
        <v>20819.580000000002</v>
      </c>
      <c r="C607">
        <v>20885.18</v>
      </c>
      <c r="D607">
        <v>20731.330000000002</v>
      </c>
      <c r="E607">
        <v>20851.330000000002</v>
      </c>
    </row>
    <row r="608" spans="1:5" hidden="1" x14ac:dyDescent="0.3">
      <c r="A608" s="1">
        <v>41645</v>
      </c>
      <c r="B608">
        <v>20913.79</v>
      </c>
      <c r="C608">
        <v>20913.79</v>
      </c>
      <c r="D608">
        <v>20721.98</v>
      </c>
      <c r="E608">
        <v>20787.3</v>
      </c>
    </row>
    <row r="609" spans="1:5" hidden="1" x14ac:dyDescent="0.3">
      <c r="A609" s="1">
        <v>41646</v>
      </c>
      <c r="B609">
        <v>20845.77</v>
      </c>
      <c r="C609">
        <v>20890.48</v>
      </c>
      <c r="D609">
        <v>20637.18</v>
      </c>
      <c r="E609">
        <v>20693.240000000002</v>
      </c>
    </row>
    <row r="610" spans="1:5" hidden="1" x14ac:dyDescent="0.3">
      <c r="A610" s="1">
        <v>41647</v>
      </c>
      <c r="B610">
        <v>20767.419999999998</v>
      </c>
      <c r="C610">
        <v>20786.41</v>
      </c>
      <c r="D610">
        <v>20688.18</v>
      </c>
      <c r="E610">
        <v>20729.38</v>
      </c>
    </row>
    <row r="611" spans="1:5" hidden="1" x14ac:dyDescent="0.3">
      <c r="A611" s="1">
        <v>41648</v>
      </c>
      <c r="B611">
        <v>20755.73</v>
      </c>
      <c r="C611">
        <v>20778.13</v>
      </c>
      <c r="D611">
        <v>20652.689999999999</v>
      </c>
      <c r="E611">
        <v>20713.37</v>
      </c>
    </row>
    <row r="612" spans="1:5" hidden="1" x14ac:dyDescent="0.3">
      <c r="A612" s="1">
        <v>41649</v>
      </c>
      <c r="B612">
        <v>20760.72</v>
      </c>
      <c r="C612">
        <v>20971.23</v>
      </c>
      <c r="D612">
        <v>20625.169999999998</v>
      </c>
      <c r="E612">
        <v>20758.490000000002</v>
      </c>
    </row>
    <row r="613" spans="1:5" hidden="1" x14ac:dyDescent="0.3">
      <c r="A613" s="1">
        <v>41652</v>
      </c>
      <c r="B613">
        <v>20850.54</v>
      </c>
      <c r="C613">
        <v>21169.08</v>
      </c>
      <c r="D613">
        <v>20850.54</v>
      </c>
      <c r="E613">
        <v>21134.21</v>
      </c>
    </row>
    <row r="614" spans="1:5" hidden="1" x14ac:dyDescent="0.3">
      <c r="A614" s="1">
        <v>41653</v>
      </c>
      <c r="B614">
        <v>21115</v>
      </c>
      <c r="C614">
        <v>21154.76</v>
      </c>
      <c r="D614">
        <v>21009.05</v>
      </c>
      <c r="E614">
        <v>21032.880000000001</v>
      </c>
    </row>
    <row r="615" spans="1:5" hidden="1" x14ac:dyDescent="0.3">
      <c r="A615" s="1">
        <v>41654</v>
      </c>
      <c r="B615">
        <v>21091.46</v>
      </c>
      <c r="C615">
        <v>21302.73</v>
      </c>
      <c r="D615">
        <v>21091.46</v>
      </c>
      <c r="E615">
        <v>21289.49</v>
      </c>
    </row>
    <row r="616" spans="1:5" hidden="1" x14ac:dyDescent="0.3">
      <c r="A616" s="1">
        <v>41655</v>
      </c>
      <c r="B616">
        <v>21366.91</v>
      </c>
      <c r="C616">
        <v>21379.29</v>
      </c>
      <c r="D616">
        <v>21199.65</v>
      </c>
      <c r="E616">
        <v>21265.18</v>
      </c>
    </row>
    <row r="617" spans="1:5" hidden="1" x14ac:dyDescent="0.3">
      <c r="A617" s="1">
        <v>41656</v>
      </c>
      <c r="B617">
        <v>21236.65</v>
      </c>
      <c r="C617">
        <v>21270.11</v>
      </c>
      <c r="D617">
        <v>21015.61</v>
      </c>
      <c r="E617">
        <v>21063.62</v>
      </c>
    </row>
    <row r="618" spans="1:5" hidden="1" x14ac:dyDescent="0.3">
      <c r="A618" s="1">
        <v>41659</v>
      </c>
      <c r="B618">
        <v>21083.53</v>
      </c>
      <c r="C618">
        <v>21221.37</v>
      </c>
      <c r="D618">
        <v>21001.13</v>
      </c>
      <c r="E618">
        <v>21205.05</v>
      </c>
    </row>
    <row r="619" spans="1:5" hidden="1" x14ac:dyDescent="0.3">
      <c r="A619" s="1">
        <v>41660</v>
      </c>
      <c r="B619">
        <v>21237.96</v>
      </c>
      <c r="C619">
        <v>21302.52</v>
      </c>
      <c r="D619">
        <v>21189.200000000001</v>
      </c>
      <c r="E619">
        <v>21251.119999999999</v>
      </c>
    </row>
    <row r="620" spans="1:5" hidden="1" x14ac:dyDescent="0.3">
      <c r="A620" s="1">
        <v>41661</v>
      </c>
      <c r="B620">
        <v>21251.65</v>
      </c>
      <c r="C620">
        <v>21377.91</v>
      </c>
      <c r="D620">
        <v>21168.43</v>
      </c>
      <c r="E620">
        <v>21337.67</v>
      </c>
    </row>
    <row r="621" spans="1:5" hidden="1" x14ac:dyDescent="0.3">
      <c r="A621" s="1">
        <v>41662</v>
      </c>
      <c r="B621">
        <v>21319.69</v>
      </c>
      <c r="C621">
        <v>21409.66</v>
      </c>
      <c r="D621">
        <v>21264.71</v>
      </c>
      <c r="E621">
        <v>21373.66</v>
      </c>
    </row>
    <row r="622" spans="1:5" hidden="1" x14ac:dyDescent="0.3">
      <c r="A622" s="1">
        <v>41663</v>
      </c>
      <c r="B622">
        <v>21289.15</v>
      </c>
      <c r="C622">
        <v>21333.66</v>
      </c>
      <c r="D622">
        <v>21123.99</v>
      </c>
      <c r="E622">
        <v>21133.56</v>
      </c>
    </row>
    <row r="623" spans="1:5" hidden="1" x14ac:dyDescent="0.3">
      <c r="A623" s="1">
        <v>41666</v>
      </c>
      <c r="B623">
        <v>20899.03</v>
      </c>
      <c r="C623">
        <v>20899.03</v>
      </c>
      <c r="D623">
        <v>20688.03</v>
      </c>
      <c r="E623">
        <v>20707.45</v>
      </c>
    </row>
    <row r="624" spans="1:5" hidden="1" x14ac:dyDescent="0.3">
      <c r="A624" s="1">
        <v>41667</v>
      </c>
      <c r="B624">
        <v>20721.169999999998</v>
      </c>
      <c r="C624">
        <v>20795.349999999999</v>
      </c>
      <c r="D624">
        <v>20554.28</v>
      </c>
      <c r="E624">
        <v>20683.509999999998</v>
      </c>
    </row>
    <row r="625" spans="1:5" hidden="1" x14ac:dyDescent="0.3">
      <c r="A625" s="1">
        <v>41668</v>
      </c>
      <c r="B625">
        <v>20784.04</v>
      </c>
      <c r="C625">
        <v>20828.68</v>
      </c>
      <c r="D625">
        <v>20613.62</v>
      </c>
      <c r="E625">
        <v>20647.3</v>
      </c>
    </row>
    <row r="626" spans="1:5" hidden="1" x14ac:dyDescent="0.3">
      <c r="A626" s="1">
        <v>41669</v>
      </c>
      <c r="B626">
        <v>20491.740000000002</v>
      </c>
      <c r="C626">
        <v>20528.41</v>
      </c>
      <c r="D626">
        <v>20343.78</v>
      </c>
      <c r="E626">
        <v>20498.25</v>
      </c>
    </row>
    <row r="627" spans="1:5" hidden="1" x14ac:dyDescent="0.3">
      <c r="A627" s="1">
        <v>41670</v>
      </c>
      <c r="B627">
        <v>20544.64</v>
      </c>
      <c r="C627">
        <v>20572.32</v>
      </c>
      <c r="D627">
        <v>20448.43</v>
      </c>
      <c r="E627">
        <v>20513.849999999999</v>
      </c>
    </row>
    <row r="628" spans="1:5" hidden="1" x14ac:dyDescent="0.3">
      <c r="A628" s="1">
        <v>41673</v>
      </c>
      <c r="B628">
        <v>20479.03</v>
      </c>
      <c r="C628">
        <v>20480.349999999999</v>
      </c>
      <c r="D628">
        <v>20182.2</v>
      </c>
      <c r="E628">
        <v>20209.259999999998</v>
      </c>
    </row>
    <row r="629" spans="1:5" hidden="1" x14ac:dyDescent="0.3">
      <c r="A629" s="1">
        <v>41674</v>
      </c>
      <c r="B629">
        <v>20050.990000000002</v>
      </c>
      <c r="C629">
        <v>20255.52</v>
      </c>
      <c r="D629">
        <v>19963.12</v>
      </c>
      <c r="E629">
        <v>20211.93</v>
      </c>
    </row>
    <row r="630" spans="1:5" hidden="1" x14ac:dyDescent="0.3">
      <c r="A630" s="1">
        <v>41675</v>
      </c>
      <c r="B630">
        <v>20241.12</v>
      </c>
      <c r="C630">
        <v>20289.330000000002</v>
      </c>
      <c r="D630">
        <v>20076.099999999999</v>
      </c>
      <c r="E630">
        <v>20261.03</v>
      </c>
    </row>
    <row r="631" spans="1:5" hidden="1" x14ac:dyDescent="0.3">
      <c r="A631" s="1">
        <v>41676</v>
      </c>
      <c r="B631">
        <v>20286.09</v>
      </c>
      <c r="C631">
        <v>20358.189999999999</v>
      </c>
      <c r="D631">
        <v>20079.82</v>
      </c>
      <c r="E631">
        <v>20310.740000000002</v>
      </c>
    </row>
    <row r="632" spans="1:5" hidden="1" x14ac:dyDescent="0.3">
      <c r="A632" s="1">
        <v>41677</v>
      </c>
      <c r="B632">
        <v>20441.04</v>
      </c>
      <c r="C632">
        <v>20450.509999999998</v>
      </c>
      <c r="D632">
        <v>20282.3</v>
      </c>
      <c r="E632">
        <v>20376.560000000001</v>
      </c>
    </row>
    <row r="633" spans="1:5" hidden="1" x14ac:dyDescent="0.3">
      <c r="A633" s="1">
        <v>41680</v>
      </c>
      <c r="B633">
        <v>20429.16</v>
      </c>
      <c r="C633">
        <v>20434.5</v>
      </c>
      <c r="D633">
        <v>20312.21</v>
      </c>
      <c r="E633">
        <v>20334.27</v>
      </c>
    </row>
    <row r="634" spans="1:5" hidden="1" x14ac:dyDescent="0.3">
      <c r="A634" s="1">
        <v>41681</v>
      </c>
      <c r="B634">
        <v>20400.939999999999</v>
      </c>
      <c r="C634">
        <v>20443.349999999999</v>
      </c>
      <c r="D634">
        <v>20349.509999999998</v>
      </c>
      <c r="E634">
        <v>20363.37</v>
      </c>
    </row>
    <row r="635" spans="1:5" hidden="1" x14ac:dyDescent="0.3">
      <c r="A635" s="1">
        <v>41682</v>
      </c>
      <c r="B635">
        <v>20449.830000000002</v>
      </c>
      <c r="C635">
        <v>20516.599999999999</v>
      </c>
      <c r="D635">
        <v>20427.23</v>
      </c>
      <c r="E635">
        <v>20448.490000000002</v>
      </c>
    </row>
    <row r="636" spans="1:5" hidden="1" x14ac:dyDescent="0.3">
      <c r="A636" s="1">
        <v>41683</v>
      </c>
      <c r="B636">
        <v>20478.669999999998</v>
      </c>
      <c r="C636">
        <v>20503.86</v>
      </c>
      <c r="D636">
        <v>20164.669999999998</v>
      </c>
      <c r="E636">
        <v>20193.349999999999</v>
      </c>
    </row>
    <row r="637" spans="1:5" hidden="1" x14ac:dyDescent="0.3">
      <c r="A637" s="1">
        <v>41684</v>
      </c>
      <c r="B637">
        <v>20265.13</v>
      </c>
      <c r="C637">
        <v>20391.95</v>
      </c>
      <c r="D637">
        <v>20149.009999999998</v>
      </c>
      <c r="E637">
        <v>20366.82</v>
      </c>
    </row>
    <row r="638" spans="1:5" hidden="1" x14ac:dyDescent="0.3">
      <c r="A638" s="1">
        <v>41687</v>
      </c>
      <c r="B638">
        <v>20438.87</v>
      </c>
      <c r="C638">
        <v>20492.43</v>
      </c>
      <c r="D638">
        <v>20338.95</v>
      </c>
      <c r="E638">
        <v>20464.060000000001</v>
      </c>
    </row>
    <row r="639" spans="1:5" hidden="1" x14ac:dyDescent="0.3">
      <c r="A639" s="1">
        <v>41688</v>
      </c>
      <c r="B639">
        <v>20457.560000000001</v>
      </c>
      <c r="C639">
        <v>20685.02</v>
      </c>
      <c r="D639">
        <v>20436.48</v>
      </c>
      <c r="E639">
        <v>20634.21</v>
      </c>
    </row>
    <row r="640" spans="1:5" hidden="1" x14ac:dyDescent="0.3">
      <c r="A640" s="1">
        <v>41689</v>
      </c>
      <c r="B640">
        <v>20643.849999999999</v>
      </c>
      <c r="C640">
        <v>20750.52</v>
      </c>
      <c r="D640">
        <v>20629.560000000001</v>
      </c>
      <c r="E640">
        <v>20722.97</v>
      </c>
    </row>
    <row r="641" spans="1:5" hidden="1" x14ac:dyDescent="0.3">
      <c r="A641" s="1">
        <v>41690</v>
      </c>
      <c r="B641">
        <v>20661.07</v>
      </c>
      <c r="C641">
        <v>20662.66</v>
      </c>
      <c r="D641">
        <v>20522.04</v>
      </c>
      <c r="E641">
        <v>20536.64</v>
      </c>
    </row>
    <row r="642" spans="1:5" hidden="1" x14ac:dyDescent="0.3">
      <c r="A642" s="1">
        <v>41691</v>
      </c>
      <c r="B642">
        <v>20600.580000000002</v>
      </c>
      <c r="C642">
        <v>20725.04</v>
      </c>
      <c r="D642">
        <v>20599.91</v>
      </c>
      <c r="E642">
        <v>20700.75</v>
      </c>
    </row>
    <row r="643" spans="1:5" hidden="1" x14ac:dyDescent="0.3">
      <c r="A643" s="1">
        <v>41694</v>
      </c>
      <c r="B643">
        <v>20695.48</v>
      </c>
      <c r="C643">
        <v>20828.63</v>
      </c>
      <c r="D643">
        <v>20637.3</v>
      </c>
      <c r="E643">
        <v>20811.439999999999</v>
      </c>
    </row>
    <row r="644" spans="1:5" hidden="1" x14ac:dyDescent="0.3">
      <c r="A644" s="1">
        <v>41695</v>
      </c>
      <c r="B644">
        <v>20877.72</v>
      </c>
      <c r="C644">
        <v>20912.54</v>
      </c>
      <c r="D644">
        <v>20777.73</v>
      </c>
      <c r="E644">
        <v>20852.47</v>
      </c>
    </row>
    <row r="645" spans="1:5" hidden="1" x14ac:dyDescent="0.3">
      <c r="A645" s="1">
        <v>41696</v>
      </c>
      <c r="B645">
        <v>20869.61</v>
      </c>
      <c r="C645">
        <v>21005.040000000001</v>
      </c>
      <c r="D645">
        <v>20860.02</v>
      </c>
      <c r="E645">
        <v>20986.99</v>
      </c>
    </row>
    <row r="646" spans="1:5" hidden="1" x14ac:dyDescent="0.3">
      <c r="A646" s="1">
        <v>41698</v>
      </c>
      <c r="B646">
        <v>20995.39</v>
      </c>
      <c r="C646">
        <v>21140.51</v>
      </c>
      <c r="D646">
        <v>20989.66</v>
      </c>
      <c r="E646">
        <v>21120.12</v>
      </c>
    </row>
    <row r="647" spans="1:5" hidden="1" x14ac:dyDescent="0.3">
      <c r="A647" s="1">
        <v>41701</v>
      </c>
      <c r="B647">
        <v>21079.27</v>
      </c>
      <c r="C647">
        <v>21140</v>
      </c>
      <c r="D647">
        <v>20920.98</v>
      </c>
      <c r="E647">
        <v>20946.650000000001</v>
      </c>
    </row>
    <row r="648" spans="1:5" hidden="1" x14ac:dyDescent="0.3">
      <c r="A648" s="1">
        <v>41702</v>
      </c>
      <c r="B648">
        <v>20947</v>
      </c>
      <c r="C648">
        <v>21224.639999999999</v>
      </c>
      <c r="D648">
        <v>20940.39</v>
      </c>
      <c r="E648">
        <v>21209.73</v>
      </c>
    </row>
    <row r="649" spans="1:5" hidden="1" x14ac:dyDescent="0.3">
      <c r="A649" s="1">
        <v>41703</v>
      </c>
      <c r="B649">
        <v>21280.36</v>
      </c>
      <c r="C649">
        <v>21333.200000000001</v>
      </c>
      <c r="D649">
        <v>21176.16</v>
      </c>
      <c r="E649">
        <v>21276.86</v>
      </c>
    </row>
    <row r="650" spans="1:5" hidden="1" x14ac:dyDescent="0.3">
      <c r="A650" s="1">
        <v>41704</v>
      </c>
      <c r="B650">
        <v>21336.32</v>
      </c>
      <c r="C650">
        <v>21525.14</v>
      </c>
      <c r="D650">
        <v>21329.88</v>
      </c>
      <c r="E650">
        <v>21513.87</v>
      </c>
    </row>
    <row r="651" spans="1:5" hidden="1" x14ac:dyDescent="0.3">
      <c r="A651" s="1">
        <v>41705</v>
      </c>
      <c r="B651">
        <v>21539.439999999999</v>
      </c>
      <c r="C651">
        <v>21960.89</v>
      </c>
      <c r="D651">
        <v>21539.439999999999</v>
      </c>
      <c r="E651">
        <v>21919.79</v>
      </c>
    </row>
    <row r="652" spans="1:5" hidden="1" x14ac:dyDescent="0.3">
      <c r="A652" s="1">
        <v>41708</v>
      </c>
      <c r="B652">
        <v>21819.19</v>
      </c>
      <c r="C652">
        <v>22023.98</v>
      </c>
      <c r="D652">
        <v>21805.22</v>
      </c>
      <c r="E652">
        <v>21934.83</v>
      </c>
    </row>
    <row r="653" spans="1:5" hidden="1" x14ac:dyDescent="0.3">
      <c r="A653" s="1">
        <v>41709</v>
      </c>
      <c r="B653">
        <v>21918.83</v>
      </c>
      <c r="C653">
        <v>22018.52</v>
      </c>
      <c r="D653">
        <v>21772.11</v>
      </c>
      <c r="E653">
        <v>21826.42</v>
      </c>
    </row>
    <row r="654" spans="1:5" hidden="1" x14ac:dyDescent="0.3">
      <c r="A654" s="1">
        <v>41710</v>
      </c>
      <c r="B654">
        <v>21793.32</v>
      </c>
      <c r="C654">
        <v>21965.95</v>
      </c>
      <c r="D654">
        <v>21768.14</v>
      </c>
      <c r="E654">
        <v>21856.22</v>
      </c>
    </row>
    <row r="655" spans="1:5" hidden="1" x14ac:dyDescent="0.3">
      <c r="A655" s="1">
        <v>41711</v>
      </c>
      <c r="B655">
        <v>21736.61</v>
      </c>
      <c r="C655">
        <v>21991.360000000001</v>
      </c>
      <c r="D655">
        <v>21720.13</v>
      </c>
      <c r="E655">
        <v>21774.61</v>
      </c>
    </row>
    <row r="656" spans="1:5" hidden="1" x14ac:dyDescent="0.3">
      <c r="A656" s="1">
        <v>41712</v>
      </c>
      <c r="B656">
        <v>21648.05</v>
      </c>
      <c r="C656">
        <v>21853.32</v>
      </c>
      <c r="D656">
        <v>21573.48</v>
      </c>
      <c r="E656">
        <v>21809.8</v>
      </c>
    </row>
    <row r="657" spans="1:5" hidden="1" x14ac:dyDescent="0.3">
      <c r="A657" s="1">
        <v>41716</v>
      </c>
      <c r="B657">
        <v>21849.65</v>
      </c>
      <c r="C657">
        <v>22040.720000000001</v>
      </c>
      <c r="D657">
        <v>21785.38</v>
      </c>
      <c r="E657">
        <v>21832.61</v>
      </c>
    </row>
    <row r="658" spans="1:5" hidden="1" x14ac:dyDescent="0.3">
      <c r="A658" s="1">
        <v>41717</v>
      </c>
      <c r="B658">
        <v>21872.68</v>
      </c>
      <c r="C658">
        <v>21895.83</v>
      </c>
      <c r="D658">
        <v>21782.01</v>
      </c>
      <c r="E658">
        <v>21832.86</v>
      </c>
    </row>
    <row r="659" spans="1:5" hidden="1" x14ac:dyDescent="0.3">
      <c r="A659" s="1">
        <v>41718</v>
      </c>
      <c r="B659">
        <v>21797.61</v>
      </c>
      <c r="C659">
        <v>21853.25</v>
      </c>
      <c r="D659">
        <v>21704.66</v>
      </c>
      <c r="E659">
        <v>21740.09</v>
      </c>
    </row>
    <row r="660" spans="1:5" hidden="1" x14ac:dyDescent="0.3">
      <c r="A660" s="1">
        <v>41719</v>
      </c>
      <c r="B660">
        <v>21823.52</v>
      </c>
      <c r="C660">
        <v>21870.11</v>
      </c>
      <c r="D660">
        <v>21729.9</v>
      </c>
      <c r="E660">
        <v>21753.75</v>
      </c>
    </row>
    <row r="661" spans="1:5" hidden="1" x14ac:dyDescent="0.3">
      <c r="A661" s="1">
        <v>41720</v>
      </c>
      <c r="B661">
        <v>21752.44</v>
      </c>
      <c r="C661">
        <v>21778.92</v>
      </c>
      <c r="D661">
        <v>21725.52</v>
      </c>
      <c r="E661">
        <v>21755.32</v>
      </c>
    </row>
    <row r="662" spans="1:5" hidden="1" x14ac:dyDescent="0.3">
      <c r="A662" s="1">
        <v>41722</v>
      </c>
      <c r="B662">
        <v>21827.5</v>
      </c>
      <c r="C662">
        <v>22074.34</v>
      </c>
      <c r="D662">
        <v>21827.5</v>
      </c>
      <c r="E662">
        <v>22055.48</v>
      </c>
    </row>
    <row r="663" spans="1:5" hidden="1" x14ac:dyDescent="0.3">
      <c r="A663" s="1">
        <v>41723</v>
      </c>
      <c r="B663">
        <v>21948.31</v>
      </c>
      <c r="C663">
        <v>22079.96</v>
      </c>
      <c r="D663">
        <v>21916.87</v>
      </c>
      <c r="E663">
        <v>22055.21</v>
      </c>
    </row>
    <row r="664" spans="1:5" hidden="1" x14ac:dyDescent="0.3">
      <c r="A664" s="1">
        <v>41724</v>
      </c>
      <c r="B664">
        <v>22134.71</v>
      </c>
      <c r="C664">
        <v>22172.2</v>
      </c>
      <c r="D664">
        <v>22020.58</v>
      </c>
      <c r="E664">
        <v>22095.3</v>
      </c>
    </row>
    <row r="665" spans="1:5" hidden="1" x14ac:dyDescent="0.3">
      <c r="A665" s="1">
        <v>41725</v>
      </c>
      <c r="B665">
        <v>22116.23</v>
      </c>
      <c r="C665">
        <v>22307.74</v>
      </c>
      <c r="D665">
        <v>22094.29</v>
      </c>
      <c r="E665">
        <v>22214.37</v>
      </c>
    </row>
    <row r="666" spans="1:5" hidden="1" x14ac:dyDescent="0.3">
      <c r="A666" s="1">
        <v>41726</v>
      </c>
      <c r="B666">
        <v>22273.439999999999</v>
      </c>
      <c r="C666">
        <v>22363.97</v>
      </c>
      <c r="D666">
        <v>22185.11</v>
      </c>
      <c r="E666">
        <v>22339.97</v>
      </c>
    </row>
    <row r="667" spans="1:5" hidden="1" x14ac:dyDescent="0.3">
      <c r="A667" s="1">
        <v>41729</v>
      </c>
      <c r="B667">
        <v>22423.14</v>
      </c>
      <c r="C667">
        <v>22467.21</v>
      </c>
      <c r="D667">
        <v>22253.78</v>
      </c>
      <c r="E667">
        <v>22386.27</v>
      </c>
    </row>
    <row r="668" spans="1:5" hidden="1" x14ac:dyDescent="0.3">
      <c r="A668" s="1">
        <v>41730</v>
      </c>
      <c r="B668">
        <v>22455.23</v>
      </c>
      <c r="C668">
        <v>22485.77</v>
      </c>
      <c r="D668">
        <v>22295.65</v>
      </c>
      <c r="E668">
        <v>22446.44</v>
      </c>
    </row>
    <row r="669" spans="1:5" hidden="1" x14ac:dyDescent="0.3">
      <c r="A669" s="1">
        <v>41731</v>
      </c>
      <c r="B669">
        <v>22550.58</v>
      </c>
      <c r="C669">
        <v>22592.1</v>
      </c>
      <c r="D669">
        <v>22473.46</v>
      </c>
      <c r="E669">
        <v>22551.49</v>
      </c>
    </row>
    <row r="670" spans="1:5" hidden="1" x14ac:dyDescent="0.3">
      <c r="A670" s="1">
        <v>41732</v>
      </c>
      <c r="B670">
        <v>22598.19</v>
      </c>
      <c r="C670">
        <v>22620.65</v>
      </c>
      <c r="D670">
        <v>22369.279999999999</v>
      </c>
      <c r="E670">
        <v>22509.07</v>
      </c>
    </row>
    <row r="671" spans="1:5" hidden="1" x14ac:dyDescent="0.3">
      <c r="A671" s="1">
        <v>41733</v>
      </c>
      <c r="B671">
        <v>22522.46</v>
      </c>
      <c r="C671">
        <v>22525.21</v>
      </c>
      <c r="D671">
        <v>22339.4</v>
      </c>
      <c r="E671">
        <v>22359.5</v>
      </c>
    </row>
    <row r="672" spans="1:5" hidden="1" x14ac:dyDescent="0.3">
      <c r="A672" s="1">
        <v>41736</v>
      </c>
      <c r="B672">
        <v>22355.56</v>
      </c>
      <c r="C672">
        <v>22481.62</v>
      </c>
      <c r="D672">
        <v>22197.51</v>
      </c>
      <c r="E672">
        <v>22343.45</v>
      </c>
    </row>
    <row r="673" spans="1:5" hidden="1" x14ac:dyDescent="0.3">
      <c r="A673" s="1">
        <v>41738</v>
      </c>
      <c r="B673">
        <v>22389.21</v>
      </c>
      <c r="C673">
        <v>22740.04</v>
      </c>
      <c r="D673">
        <v>22379.95</v>
      </c>
      <c r="E673">
        <v>22702.34</v>
      </c>
    </row>
    <row r="674" spans="1:5" hidden="1" x14ac:dyDescent="0.3">
      <c r="A674" s="1">
        <v>41739</v>
      </c>
      <c r="B674">
        <v>22729.46</v>
      </c>
      <c r="C674">
        <v>22792.49</v>
      </c>
      <c r="D674">
        <v>22644.43</v>
      </c>
      <c r="E674">
        <v>22715.33</v>
      </c>
    </row>
    <row r="675" spans="1:5" hidden="1" x14ac:dyDescent="0.3">
      <c r="A675" s="1">
        <v>41740</v>
      </c>
      <c r="B675">
        <v>22642.05</v>
      </c>
      <c r="C675">
        <v>22679.18</v>
      </c>
      <c r="D675">
        <v>22526.89</v>
      </c>
      <c r="E675">
        <v>22628.959999999999</v>
      </c>
    </row>
    <row r="676" spans="1:5" hidden="1" x14ac:dyDescent="0.3">
      <c r="A676" s="1">
        <v>41744</v>
      </c>
      <c r="B676">
        <v>22698.09</v>
      </c>
      <c r="C676">
        <v>22737.31</v>
      </c>
      <c r="D676">
        <v>22416.240000000002</v>
      </c>
      <c r="E676">
        <v>22484.93</v>
      </c>
    </row>
    <row r="677" spans="1:5" hidden="1" x14ac:dyDescent="0.3">
      <c r="A677" s="1">
        <v>41745</v>
      </c>
      <c r="B677">
        <v>22486.73</v>
      </c>
      <c r="C677">
        <v>22533.61</v>
      </c>
      <c r="D677">
        <v>22247.39</v>
      </c>
      <c r="E677">
        <v>22277.23</v>
      </c>
    </row>
    <row r="678" spans="1:5" hidden="1" x14ac:dyDescent="0.3">
      <c r="A678" s="1">
        <v>41746</v>
      </c>
      <c r="B678">
        <v>22327.759999999998</v>
      </c>
      <c r="C678">
        <v>22648.69</v>
      </c>
      <c r="D678">
        <v>22312.19</v>
      </c>
      <c r="E678">
        <v>22628.84</v>
      </c>
    </row>
    <row r="679" spans="1:5" hidden="1" x14ac:dyDescent="0.3">
      <c r="A679" s="1">
        <v>41750</v>
      </c>
      <c r="B679">
        <v>22644.75</v>
      </c>
      <c r="C679">
        <v>22795.58</v>
      </c>
      <c r="D679">
        <v>22636.75</v>
      </c>
      <c r="E679">
        <v>22764.83</v>
      </c>
    </row>
    <row r="680" spans="1:5" hidden="1" x14ac:dyDescent="0.3">
      <c r="A680" s="1">
        <v>41751</v>
      </c>
      <c r="B680">
        <v>22771.24</v>
      </c>
      <c r="C680">
        <v>22853.03</v>
      </c>
      <c r="D680">
        <v>22727.63</v>
      </c>
      <c r="E680">
        <v>22758.37</v>
      </c>
    </row>
    <row r="681" spans="1:5" hidden="1" x14ac:dyDescent="0.3">
      <c r="A681" s="1">
        <v>41752</v>
      </c>
      <c r="B681">
        <v>22783.65</v>
      </c>
      <c r="C681">
        <v>22912.52</v>
      </c>
      <c r="D681">
        <v>22780.13</v>
      </c>
      <c r="E681">
        <v>22876.54</v>
      </c>
    </row>
    <row r="682" spans="1:5" hidden="1" x14ac:dyDescent="0.3">
      <c r="A682" s="1">
        <v>41754</v>
      </c>
      <c r="B682">
        <v>22892.5</v>
      </c>
      <c r="C682">
        <v>22939.31</v>
      </c>
      <c r="D682">
        <v>22656.639999999999</v>
      </c>
      <c r="E682">
        <v>22688.07</v>
      </c>
    </row>
    <row r="683" spans="1:5" hidden="1" x14ac:dyDescent="0.3">
      <c r="A683" s="1">
        <v>41757</v>
      </c>
      <c r="B683">
        <v>22717.59</v>
      </c>
      <c r="C683">
        <v>22721.360000000001</v>
      </c>
      <c r="D683">
        <v>22597.19</v>
      </c>
      <c r="E683">
        <v>22631.61</v>
      </c>
    </row>
    <row r="684" spans="1:5" hidden="1" x14ac:dyDescent="0.3">
      <c r="A684" s="1">
        <v>41758</v>
      </c>
      <c r="B684">
        <v>22654.28</v>
      </c>
      <c r="C684">
        <v>22681.89</v>
      </c>
      <c r="D684">
        <v>22443.56</v>
      </c>
      <c r="E684">
        <v>22466.19</v>
      </c>
    </row>
    <row r="685" spans="1:5" hidden="1" x14ac:dyDescent="0.3">
      <c r="A685" s="1">
        <v>41759</v>
      </c>
      <c r="B685">
        <v>22517.63</v>
      </c>
      <c r="C685">
        <v>22680.46</v>
      </c>
      <c r="D685">
        <v>22284.959999999999</v>
      </c>
      <c r="E685">
        <v>22417.8</v>
      </c>
    </row>
    <row r="686" spans="1:5" hidden="1" x14ac:dyDescent="0.3">
      <c r="A686" s="1">
        <v>41761</v>
      </c>
      <c r="B686">
        <v>22493.59</v>
      </c>
      <c r="C686">
        <v>22575.62</v>
      </c>
      <c r="D686">
        <v>22386.95</v>
      </c>
      <c r="E686">
        <v>22403.89</v>
      </c>
    </row>
    <row r="687" spans="1:5" hidden="1" x14ac:dyDescent="0.3">
      <c r="A687" s="1">
        <v>41764</v>
      </c>
      <c r="B687">
        <v>22412.799999999999</v>
      </c>
      <c r="C687">
        <v>22592.03</v>
      </c>
      <c r="D687">
        <v>22354.45</v>
      </c>
      <c r="E687">
        <v>22445.119999999999</v>
      </c>
    </row>
    <row r="688" spans="1:5" hidden="1" x14ac:dyDescent="0.3">
      <c r="A688" s="1">
        <v>41765</v>
      </c>
      <c r="B688">
        <v>22512.23</v>
      </c>
      <c r="C688">
        <v>22602.71</v>
      </c>
      <c r="D688">
        <v>22475.65</v>
      </c>
      <c r="E688">
        <v>22508.42</v>
      </c>
    </row>
    <row r="689" spans="1:5" hidden="1" x14ac:dyDescent="0.3">
      <c r="A689" s="1">
        <v>41766</v>
      </c>
      <c r="B689">
        <v>22488.959999999999</v>
      </c>
      <c r="C689">
        <v>22532.82</v>
      </c>
      <c r="D689">
        <v>22286.26</v>
      </c>
      <c r="E689">
        <v>22323.9</v>
      </c>
    </row>
    <row r="690" spans="1:5" hidden="1" x14ac:dyDescent="0.3">
      <c r="A690" s="1">
        <v>41767</v>
      </c>
      <c r="B690">
        <v>22382.14</v>
      </c>
      <c r="C690">
        <v>22443.13</v>
      </c>
      <c r="D690">
        <v>22277.040000000001</v>
      </c>
      <c r="E690">
        <v>22344.04</v>
      </c>
    </row>
    <row r="691" spans="1:5" hidden="1" x14ac:dyDescent="0.3">
      <c r="A691" s="1">
        <v>41768</v>
      </c>
      <c r="B691">
        <v>22374.98</v>
      </c>
      <c r="C691">
        <v>23048.49</v>
      </c>
      <c r="D691">
        <v>22317.18</v>
      </c>
      <c r="E691">
        <v>22994.23</v>
      </c>
    </row>
    <row r="692" spans="1:5" hidden="1" x14ac:dyDescent="0.3">
      <c r="A692" s="1">
        <v>41771</v>
      </c>
      <c r="B692">
        <v>23031.11</v>
      </c>
      <c r="C692">
        <v>23572.880000000001</v>
      </c>
      <c r="D692">
        <v>23008.65</v>
      </c>
      <c r="E692">
        <v>23551</v>
      </c>
    </row>
    <row r="693" spans="1:5" hidden="1" x14ac:dyDescent="0.3">
      <c r="A693" s="1">
        <v>41772</v>
      </c>
      <c r="B693">
        <v>23729.78</v>
      </c>
      <c r="C693">
        <v>24068.94</v>
      </c>
      <c r="D693">
        <v>23729.25</v>
      </c>
      <c r="E693">
        <v>23871.23</v>
      </c>
    </row>
    <row r="694" spans="1:5" hidden="1" x14ac:dyDescent="0.3">
      <c r="A694" s="1">
        <v>41773</v>
      </c>
      <c r="B694">
        <v>23897.88</v>
      </c>
      <c r="C694">
        <v>23964.67</v>
      </c>
      <c r="D694">
        <v>23753.360000000001</v>
      </c>
      <c r="E694">
        <v>23815.119999999999</v>
      </c>
    </row>
    <row r="695" spans="1:5" hidden="1" x14ac:dyDescent="0.3">
      <c r="A695" s="1">
        <v>41774</v>
      </c>
      <c r="B695">
        <v>23809.42</v>
      </c>
      <c r="C695">
        <v>23971.78</v>
      </c>
      <c r="D695">
        <v>23742.75</v>
      </c>
      <c r="E695">
        <v>23905.599999999999</v>
      </c>
    </row>
    <row r="696" spans="1:5" hidden="1" x14ac:dyDescent="0.3">
      <c r="A696" s="1">
        <v>41775</v>
      </c>
      <c r="B696">
        <v>24271.54</v>
      </c>
      <c r="C696">
        <v>25375.63</v>
      </c>
      <c r="D696">
        <v>23873.16</v>
      </c>
      <c r="E696">
        <v>24121.74</v>
      </c>
    </row>
    <row r="697" spans="1:5" hidden="1" x14ac:dyDescent="0.3">
      <c r="A697" s="1">
        <v>41778</v>
      </c>
      <c r="B697">
        <v>24340.32</v>
      </c>
      <c r="C697">
        <v>24448.47</v>
      </c>
      <c r="D697">
        <v>24107.99</v>
      </c>
      <c r="E697">
        <v>24363.05</v>
      </c>
    </row>
    <row r="698" spans="1:5" hidden="1" x14ac:dyDescent="0.3">
      <c r="A698" s="1">
        <v>41779</v>
      </c>
      <c r="B698">
        <v>24555.31</v>
      </c>
      <c r="C698">
        <v>24587.16</v>
      </c>
      <c r="D698">
        <v>24299.53</v>
      </c>
      <c r="E698">
        <v>24376.880000000001</v>
      </c>
    </row>
    <row r="699" spans="1:5" hidden="1" x14ac:dyDescent="0.3">
      <c r="A699" s="1">
        <v>41780</v>
      </c>
      <c r="B699">
        <v>24404.48</v>
      </c>
      <c r="C699">
        <v>24419.54</v>
      </c>
      <c r="D699">
        <v>24156.47</v>
      </c>
      <c r="E699">
        <v>24298.02</v>
      </c>
    </row>
    <row r="700" spans="1:5" hidden="1" x14ac:dyDescent="0.3">
      <c r="A700" s="1">
        <v>41781</v>
      </c>
      <c r="B700">
        <v>24415.42</v>
      </c>
      <c r="C700">
        <v>24524.76</v>
      </c>
      <c r="D700">
        <v>24326.48</v>
      </c>
      <c r="E700">
        <v>24374.400000000001</v>
      </c>
    </row>
    <row r="701" spans="1:5" hidden="1" x14ac:dyDescent="0.3">
      <c r="A701" s="1">
        <v>41782</v>
      </c>
      <c r="B701">
        <v>24535.14</v>
      </c>
      <c r="C701">
        <v>24745.86</v>
      </c>
      <c r="D701">
        <v>24470.78</v>
      </c>
      <c r="E701">
        <v>24693.35</v>
      </c>
    </row>
    <row r="702" spans="1:5" hidden="1" x14ac:dyDescent="0.3">
      <c r="A702" s="1">
        <v>41785</v>
      </c>
      <c r="B702">
        <v>24913.89</v>
      </c>
      <c r="C702">
        <v>25175.22</v>
      </c>
      <c r="D702">
        <v>24433.9</v>
      </c>
      <c r="E702">
        <v>24716.880000000001</v>
      </c>
    </row>
    <row r="703" spans="1:5" hidden="1" x14ac:dyDescent="0.3">
      <c r="A703" s="1">
        <v>41786</v>
      </c>
      <c r="B703">
        <v>24748.1</v>
      </c>
      <c r="C703">
        <v>24777.31</v>
      </c>
      <c r="D703">
        <v>24422.33</v>
      </c>
      <c r="E703">
        <v>24549.51</v>
      </c>
    </row>
    <row r="704" spans="1:5" hidden="1" x14ac:dyDescent="0.3">
      <c r="A704" s="1">
        <v>41787</v>
      </c>
      <c r="B704">
        <v>24591.61</v>
      </c>
      <c r="C704">
        <v>24643.33</v>
      </c>
      <c r="D704">
        <v>24488.81</v>
      </c>
      <c r="E704">
        <v>24556.09</v>
      </c>
    </row>
    <row r="705" spans="1:5" hidden="1" x14ac:dyDescent="0.3">
      <c r="A705" s="1">
        <v>41788</v>
      </c>
      <c r="B705">
        <v>24523.13</v>
      </c>
      <c r="C705">
        <v>24528.2</v>
      </c>
      <c r="D705">
        <v>24206.5</v>
      </c>
      <c r="E705">
        <v>24234.15</v>
      </c>
    </row>
    <row r="706" spans="1:5" hidden="1" x14ac:dyDescent="0.3">
      <c r="A706" s="1">
        <v>41789</v>
      </c>
      <c r="B706">
        <v>24300.99</v>
      </c>
      <c r="C706">
        <v>24353.59</v>
      </c>
      <c r="D706">
        <v>24163.62</v>
      </c>
      <c r="E706">
        <v>24217.34</v>
      </c>
    </row>
    <row r="707" spans="1:5" hidden="1" x14ac:dyDescent="0.3">
      <c r="A707" s="1">
        <v>41792</v>
      </c>
      <c r="B707">
        <v>24368.959999999999</v>
      </c>
      <c r="C707">
        <v>24709.09</v>
      </c>
      <c r="D707">
        <v>24270.2</v>
      </c>
      <c r="E707">
        <v>24684.85</v>
      </c>
    </row>
    <row r="708" spans="1:5" hidden="1" x14ac:dyDescent="0.3">
      <c r="A708" s="1">
        <v>41793</v>
      </c>
      <c r="B708">
        <v>24729.22</v>
      </c>
      <c r="C708">
        <v>24892.06</v>
      </c>
      <c r="D708">
        <v>24626.97</v>
      </c>
      <c r="E708">
        <v>24858.59</v>
      </c>
    </row>
    <row r="709" spans="1:5" hidden="1" x14ac:dyDescent="0.3">
      <c r="A709" s="1">
        <v>41794</v>
      </c>
      <c r="B709">
        <v>24909.03</v>
      </c>
      <c r="C709">
        <v>24925.9</v>
      </c>
      <c r="D709">
        <v>24773.93</v>
      </c>
      <c r="E709">
        <v>24805.83</v>
      </c>
    </row>
    <row r="710" spans="1:5" hidden="1" x14ac:dyDescent="0.3">
      <c r="A710" s="1">
        <v>41795</v>
      </c>
      <c r="B710">
        <v>24828.38</v>
      </c>
      <c r="C710">
        <v>25044.06</v>
      </c>
      <c r="D710">
        <v>24644.880000000001</v>
      </c>
      <c r="E710">
        <v>25019.51</v>
      </c>
    </row>
    <row r="711" spans="1:5" hidden="1" x14ac:dyDescent="0.3">
      <c r="A711" s="1">
        <v>41796</v>
      </c>
      <c r="B711">
        <v>25204.95</v>
      </c>
      <c r="C711">
        <v>25419.14</v>
      </c>
      <c r="D711">
        <v>25129.759999999998</v>
      </c>
      <c r="E711">
        <v>25396.46</v>
      </c>
    </row>
    <row r="712" spans="1:5" hidden="1" x14ac:dyDescent="0.3">
      <c r="A712" s="1">
        <v>41799</v>
      </c>
      <c r="B712">
        <v>25543.599999999999</v>
      </c>
      <c r="C712">
        <v>25644.77</v>
      </c>
      <c r="D712">
        <v>25496.84</v>
      </c>
      <c r="E712">
        <v>25580.21</v>
      </c>
    </row>
    <row r="713" spans="1:5" hidden="1" x14ac:dyDescent="0.3">
      <c r="A713" s="1">
        <v>41800</v>
      </c>
      <c r="B713">
        <v>25706.35</v>
      </c>
      <c r="C713">
        <v>25711.11</v>
      </c>
      <c r="D713">
        <v>25347.33</v>
      </c>
      <c r="E713">
        <v>25583.69</v>
      </c>
    </row>
    <row r="714" spans="1:5" hidden="1" x14ac:dyDescent="0.3">
      <c r="A714" s="1">
        <v>41801</v>
      </c>
      <c r="B714">
        <v>25650.62</v>
      </c>
      <c r="C714">
        <v>25725.119999999999</v>
      </c>
      <c r="D714">
        <v>25400.15</v>
      </c>
      <c r="E714">
        <v>25473.89</v>
      </c>
    </row>
    <row r="715" spans="1:5" hidden="1" x14ac:dyDescent="0.3">
      <c r="A715" s="1">
        <v>41802</v>
      </c>
      <c r="B715">
        <v>25597.21</v>
      </c>
      <c r="C715">
        <v>25611.32</v>
      </c>
      <c r="D715">
        <v>25409.69</v>
      </c>
      <c r="E715">
        <v>25576.21</v>
      </c>
    </row>
    <row r="716" spans="1:5" hidden="1" x14ac:dyDescent="0.3">
      <c r="A716" s="1">
        <v>41803</v>
      </c>
      <c r="B716">
        <v>25677.05</v>
      </c>
      <c r="C716">
        <v>25688.31</v>
      </c>
      <c r="D716">
        <v>25171.61</v>
      </c>
      <c r="E716">
        <v>25228.17</v>
      </c>
    </row>
    <row r="717" spans="1:5" hidden="1" x14ac:dyDescent="0.3">
      <c r="A717" s="1">
        <v>41806</v>
      </c>
      <c r="B717">
        <v>25239.5</v>
      </c>
      <c r="C717">
        <v>25268.41</v>
      </c>
      <c r="D717">
        <v>25063.93</v>
      </c>
      <c r="E717">
        <v>25190.48</v>
      </c>
    </row>
    <row r="718" spans="1:5" hidden="1" x14ac:dyDescent="0.3">
      <c r="A718" s="1">
        <v>41807</v>
      </c>
      <c r="B718">
        <v>25189.46</v>
      </c>
      <c r="C718">
        <v>25545.88</v>
      </c>
      <c r="D718">
        <v>25104.5</v>
      </c>
      <c r="E718">
        <v>25521.19</v>
      </c>
    </row>
    <row r="719" spans="1:5" hidden="1" x14ac:dyDescent="0.3">
      <c r="A719" s="1">
        <v>41808</v>
      </c>
      <c r="B719">
        <v>25565.19</v>
      </c>
      <c r="C719">
        <v>25609.279999999999</v>
      </c>
      <c r="D719">
        <v>25114.3</v>
      </c>
      <c r="E719">
        <v>25246.25</v>
      </c>
    </row>
    <row r="720" spans="1:5" hidden="1" x14ac:dyDescent="0.3">
      <c r="A720" s="1">
        <v>41809</v>
      </c>
      <c r="B720">
        <v>25327.09</v>
      </c>
      <c r="C720">
        <v>25425.85</v>
      </c>
      <c r="D720">
        <v>25069.66</v>
      </c>
      <c r="E720">
        <v>25201.8</v>
      </c>
    </row>
    <row r="721" spans="1:5" hidden="1" x14ac:dyDescent="0.3">
      <c r="A721" s="1">
        <v>41810</v>
      </c>
      <c r="B721">
        <v>25237.54</v>
      </c>
      <c r="C721">
        <v>25276.31</v>
      </c>
      <c r="D721">
        <v>25056.18</v>
      </c>
      <c r="E721">
        <v>25105.51</v>
      </c>
    </row>
    <row r="722" spans="1:5" hidden="1" x14ac:dyDescent="0.3">
      <c r="A722" s="1">
        <v>41813</v>
      </c>
      <c r="B722">
        <v>25108.09</v>
      </c>
      <c r="C722">
        <v>25197.5</v>
      </c>
      <c r="D722">
        <v>24878.66</v>
      </c>
      <c r="E722">
        <v>25031.32</v>
      </c>
    </row>
    <row r="723" spans="1:5" hidden="1" x14ac:dyDescent="0.3">
      <c r="A723" s="1">
        <v>41814</v>
      </c>
      <c r="B723">
        <v>25115.83</v>
      </c>
      <c r="C723">
        <v>25414.69</v>
      </c>
      <c r="D723">
        <v>25115.83</v>
      </c>
      <c r="E723">
        <v>25368.9</v>
      </c>
    </row>
    <row r="724" spans="1:5" hidden="1" x14ac:dyDescent="0.3">
      <c r="A724" s="1">
        <v>41815</v>
      </c>
      <c r="B724">
        <v>25421.49</v>
      </c>
      <c r="C724">
        <v>25427.8</v>
      </c>
      <c r="D724">
        <v>25274.39</v>
      </c>
      <c r="E724">
        <v>25313.74</v>
      </c>
    </row>
    <row r="725" spans="1:5" hidden="1" x14ac:dyDescent="0.3">
      <c r="A725" s="1">
        <v>41816</v>
      </c>
      <c r="B725">
        <v>25217.69</v>
      </c>
      <c r="C725">
        <v>25309.33</v>
      </c>
      <c r="D725">
        <v>25021.23</v>
      </c>
      <c r="E725">
        <v>25062.67</v>
      </c>
    </row>
    <row r="726" spans="1:5" hidden="1" x14ac:dyDescent="0.3">
      <c r="A726" s="1">
        <v>41817</v>
      </c>
      <c r="B726">
        <v>25132.080000000002</v>
      </c>
      <c r="C726">
        <v>25209.61</v>
      </c>
      <c r="D726">
        <v>25032.94</v>
      </c>
      <c r="E726">
        <v>25099.919999999998</v>
      </c>
    </row>
    <row r="727" spans="1:5" hidden="1" x14ac:dyDescent="0.3">
      <c r="A727" s="1">
        <v>41820</v>
      </c>
      <c r="B727">
        <v>25179.55</v>
      </c>
      <c r="C727">
        <v>25460.959999999999</v>
      </c>
      <c r="D727">
        <v>25179.55</v>
      </c>
      <c r="E727">
        <v>25413.78</v>
      </c>
    </row>
    <row r="728" spans="1:5" hidden="1" x14ac:dyDescent="0.3">
      <c r="A728" s="1">
        <v>41821</v>
      </c>
      <c r="B728">
        <v>25469.94</v>
      </c>
      <c r="C728">
        <v>25571.9</v>
      </c>
      <c r="D728">
        <v>25466.77</v>
      </c>
      <c r="E728">
        <v>25516.35</v>
      </c>
    </row>
    <row r="729" spans="1:5" hidden="1" x14ac:dyDescent="0.3">
      <c r="A729" s="1">
        <v>41822</v>
      </c>
      <c r="B729">
        <v>25660.57</v>
      </c>
      <c r="C729">
        <v>25864.53</v>
      </c>
      <c r="D729">
        <v>25660.16</v>
      </c>
      <c r="E729">
        <v>25841.21</v>
      </c>
    </row>
    <row r="730" spans="1:5" hidden="1" x14ac:dyDescent="0.3">
      <c r="A730" s="1">
        <v>41823</v>
      </c>
      <c r="B730">
        <v>25875.75</v>
      </c>
      <c r="C730">
        <v>25999.08</v>
      </c>
      <c r="D730">
        <v>25793.7</v>
      </c>
      <c r="E730">
        <v>25823.75</v>
      </c>
    </row>
    <row r="731" spans="1:5" hidden="1" x14ac:dyDescent="0.3">
      <c r="A731" s="1">
        <v>41824</v>
      </c>
      <c r="B731">
        <v>25844.799999999999</v>
      </c>
      <c r="C731">
        <v>25981.51</v>
      </c>
      <c r="D731">
        <v>25659.33</v>
      </c>
      <c r="E731">
        <v>25962.06</v>
      </c>
    </row>
    <row r="732" spans="1:5" hidden="1" x14ac:dyDescent="0.3">
      <c r="A732" s="1">
        <v>41827</v>
      </c>
      <c r="B732">
        <v>26039.67</v>
      </c>
      <c r="C732">
        <v>26123.55</v>
      </c>
      <c r="D732">
        <v>25992.73</v>
      </c>
      <c r="E732">
        <v>26100.080000000002</v>
      </c>
    </row>
    <row r="733" spans="1:5" hidden="1" x14ac:dyDescent="0.3">
      <c r="A733" s="1">
        <v>41828</v>
      </c>
      <c r="B733">
        <v>26166.92</v>
      </c>
      <c r="C733">
        <v>26190.44</v>
      </c>
      <c r="D733">
        <v>25495.040000000001</v>
      </c>
      <c r="E733">
        <v>25582.11</v>
      </c>
    </row>
    <row r="734" spans="1:5" hidden="1" x14ac:dyDescent="0.3">
      <c r="A734" s="1">
        <v>41829</v>
      </c>
      <c r="B734">
        <v>25615.279999999999</v>
      </c>
      <c r="C734">
        <v>25683.97</v>
      </c>
      <c r="D734">
        <v>25364.77</v>
      </c>
      <c r="E734">
        <v>25444.81</v>
      </c>
    </row>
    <row r="735" spans="1:5" hidden="1" x14ac:dyDescent="0.3">
      <c r="A735" s="1">
        <v>41830</v>
      </c>
      <c r="B735">
        <v>25513.74</v>
      </c>
      <c r="C735">
        <v>25920.46</v>
      </c>
      <c r="D735">
        <v>25117</v>
      </c>
      <c r="E735">
        <v>25372.75</v>
      </c>
    </row>
    <row r="736" spans="1:5" hidden="1" x14ac:dyDescent="0.3">
      <c r="A736" s="1">
        <v>41831</v>
      </c>
      <c r="B736">
        <v>25488.86</v>
      </c>
      <c r="C736">
        <v>25548.33</v>
      </c>
      <c r="D736">
        <v>24978.33</v>
      </c>
      <c r="E736">
        <v>25024.35</v>
      </c>
    </row>
    <row r="737" spans="1:5" hidden="1" x14ac:dyDescent="0.3">
      <c r="A737" s="1">
        <v>41834</v>
      </c>
      <c r="B737">
        <v>25093.16</v>
      </c>
      <c r="C737">
        <v>25095.759999999998</v>
      </c>
      <c r="D737">
        <v>24892</v>
      </c>
      <c r="E737">
        <v>25006.98</v>
      </c>
    </row>
    <row r="738" spans="1:5" hidden="1" x14ac:dyDescent="0.3">
      <c r="A738" s="1">
        <v>41835</v>
      </c>
      <c r="B738">
        <v>25100.9</v>
      </c>
      <c r="C738">
        <v>25254.48</v>
      </c>
      <c r="D738">
        <v>25020.32</v>
      </c>
      <c r="E738">
        <v>25228.65</v>
      </c>
    </row>
    <row r="739" spans="1:5" hidden="1" x14ac:dyDescent="0.3">
      <c r="A739" s="1">
        <v>41836</v>
      </c>
      <c r="B739">
        <v>25322.17</v>
      </c>
      <c r="C739">
        <v>25602.78</v>
      </c>
      <c r="D739">
        <v>25246.75</v>
      </c>
      <c r="E739">
        <v>25549.72</v>
      </c>
    </row>
    <row r="740" spans="1:5" hidden="1" x14ac:dyDescent="0.3">
      <c r="A740" s="1">
        <v>41837</v>
      </c>
      <c r="B740">
        <v>25540.92</v>
      </c>
      <c r="C740">
        <v>25613.03</v>
      </c>
      <c r="D740">
        <v>25494.46</v>
      </c>
      <c r="E740">
        <v>25561.16</v>
      </c>
    </row>
    <row r="741" spans="1:5" hidden="1" x14ac:dyDescent="0.3">
      <c r="A741" s="1">
        <v>41838</v>
      </c>
      <c r="B741">
        <v>25558.48</v>
      </c>
      <c r="C741">
        <v>25713.4</v>
      </c>
      <c r="D741">
        <v>25441.24</v>
      </c>
      <c r="E741">
        <v>25641.56</v>
      </c>
    </row>
    <row r="742" spans="1:5" hidden="1" x14ac:dyDescent="0.3">
      <c r="A742" s="1">
        <v>41841</v>
      </c>
      <c r="B742">
        <v>25776.54</v>
      </c>
      <c r="C742">
        <v>25861.15</v>
      </c>
      <c r="D742">
        <v>25677.71</v>
      </c>
      <c r="E742">
        <v>25715.17</v>
      </c>
    </row>
    <row r="743" spans="1:5" hidden="1" x14ac:dyDescent="0.3">
      <c r="A743" s="1">
        <v>41842</v>
      </c>
      <c r="B743">
        <v>25784.48</v>
      </c>
      <c r="C743">
        <v>26050.38</v>
      </c>
      <c r="D743">
        <v>25780.39</v>
      </c>
      <c r="E743">
        <v>26025.8</v>
      </c>
    </row>
    <row r="744" spans="1:5" hidden="1" x14ac:dyDescent="0.3">
      <c r="A744" s="1">
        <v>41843</v>
      </c>
      <c r="B744">
        <v>26130.26</v>
      </c>
      <c r="C744">
        <v>26188.639999999999</v>
      </c>
      <c r="D744">
        <v>26000.400000000001</v>
      </c>
      <c r="E744">
        <v>26147.33</v>
      </c>
    </row>
    <row r="745" spans="1:5" hidden="1" x14ac:dyDescent="0.3">
      <c r="A745" s="1">
        <v>41844</v>
      </c>
      <c r="B745">
        <v>26188.5</v>
      </c>
      <c r="C745">
        <v>26292.66</v>
      </c>
      <c r="D745">
        <v>26077.7</v>
      </c>
      <c r="E745">
        <v>26271.85</v>
      </c>
    </row>
    <row r="746" spans="1:5" hidden="1" x14ac:dyDescent="0.3">
      <c r="A746" s="1">
        <v>41845</v>
      </c>
      <c r="B746">
        <v>26257.14</v>
      </c>
      <c r="C746">
        <v>26300.17</v>
      </c>
      <c r="D746">
        <v>26007.31</v>
      </c>
      <c r="E746">
        <v>26126.75</v>
      </c>
    </row>
    <row r="747" spans="1:5" hidden="1" x14ac:dyDescent="0.3">
      <c r="A747" s="1">
        <v>41848</v>
      </c>
      <c r="B747">
        <v>26173.47</v>
      </c>
      <c r="C747">
        <v>26181.83</v>
      </c>
      <c r="D747">
        <v>25900.25</v>
      </c>
      <c r="E747">
        <v>25991.23</v>
      </c>
    </row>
    <row r="748" spans="1:5" hidden="1" x14ac:dyDescent="0.3">
      <c r="A748" s="1">
        <v>41850</v>
      </c>
      <c r="B748">
        <v>26005.14</v>
      </c>
      <c r="C748">
        <v>26113.48</v>
      </c>
      <c r="D748">
        <v>25850.04</v>
      </c>
      <c r="E748">
        <v>26087.42</v>
      </c>
    </row>
    <row r="749" spans="1:5" hidden="1" x14ac:dyDescent="0.3">
      <c r="A749" s="1">
        <v>41851</v>
      </c>
      <c r="B749">
        <v>26105.89</v>
      </c>
      <c r="C749">
        <v>26118.880000000001</v>
      </c>
      <c r="D749">
        <v>25853.69</v>
      </c>
      <c r="E749">
        <v>25894.97</v>
      </c>
    </row>
    <row r="750" spans="1:5" hidden="1" x14ac:dyDescent="0.3">
      <c r="A750" s="1">
        <v>41852</v>
      </c>
      <c r="B750">
        <v>25753.919999999998</v>
      </c>
      <c r="C750">
        <v>25862.68</v>
      </c>
      <c r="D750">
        <v>25459.13</v>
      </c>
      <c r="E750">
        <v>25480.84</v>
      </c>
    </row>
    <row r="751" spans="1:5" hidden="1" x14ac:dyDescent="0.3">
      <c r="A751" s="1">
        <v>41855</v>
      </c>
      <c r="B751">
        <v>25631.68</v>
      </c>
      <c r="C751">
        <v>25754.42</v>
      </c>
      <c r="D751">
        <v>25531.38</v>
      </c>
      <c r="E751">
        <v>25723.16</v>
      </c>
    </row>
    <row r="752" spans="1:5" hidden="1" x14ac:dyDescent="0.3">
      <c r="A752" s="1">
        <v>41856</v>
      </c>
      <c r="B752">
        <v>25817.84</v>
      </c>
      <c r="C752">
        <v>25928.32</v>
      </c>
      <c r="D752">
        <v>25562.36</v>
      </c>
      <c r="E752">
        <v>25908.01</v>
      </c>
    </row>
    <row r="753" spans="1:5" hidden="1" x14ac:dyDescent="0.3">
      <c r="A753" s="1">
        <v>41857</v>
      </c>
      <c r="B753">
        <v>25892.55</v>
      </c>
      <c r="C753">
        <v>25901.68</v>
      </c>
      <c r="D753">
        <v>25621.85</v>
      </c>
      <c r="E753">
        <v>25665.27</v>
      </c>
    </row>
    <row r="754" spans="1:5" hidden="1" x14ac:dyDescent="0.3">
      <c r="A754" s="1">
        <v>41858</v>
      </c>
      <c r="B754">
        <v>25668.71</v>
      </c>
      <c r="C754">
        <v>25778.05</v>
      </c>
      <c r="D754">
        <v>25526.05</v>
      </c>
      <c r="E754">
        <v>25589.01</v>
      </c>
    </row>
    <row r="755" spans="1:5" hidden="1" x14ac:dyDescent="0.3">
      <c r="A755" s="1">
        <v>41859</v>
      </c>
      <c r="B755">
        <v>25406.87</v>
      </c>
      <c r="C755">
        <v>25406.87</v>
      </c>
      <c r="D755">
        <v>25232.82</v>
      </c>
      <c r="E755">
        <v>25329.14</v>
      </c>
    </row>
    <row r="756" spans="1:5" hidden="1" x14ac:dyDescent="0.3">
      <c r="A756" s="1">
        <v>41862</v>
      </c>
      <c r="B756">
        <v>25476.87</v>
      </c>
      <c r="C756">
        <v>25553.439999999999</v>
      </c>
      <c r="D756">
        <v>25437.05</v>
      </c>
      <c r="E756">
        <v>25519.24</v>
      </c>
    </row>
    <row r="757" spans="1:5" hidden="1" x14ac:dyDescent="0.3">
      <c r="A757" s="1">
        <v>41863</v>
      </c>
      <c r="B757">
        <v>25703.78</v>
      </c>
      <c r="C757">
        <v>25904.98</v>
      </c>
      <c r="D757">
        <v>25645.79</v>
      </c>
      <c r="E757">
        <v>25880.77</v>
      </c>
    </row>
    <row r="758" spans="1:5" hidden="1" x14ac:dyDescent="0.3">
      <c r="A758" s="1">
        <v>41864</v>
      </c>
      <c r="B758">
        <v>25861.47</v>
      </c>
      <c r="C758">
        <v>25972.62</v>
      </c>
      <c r="D758">
        <v>25791.79</v>
      </c>
      <c r="E758">
        <v>25918.95</v>
      </c>
    </row>
    <row r="759" spans="1:5" hidden="1" x14ac:dyDescent="0.3">
      <c r="A759" s="1">
        <v>41865</v>
      </c>
      <c r="B759">
        <v>25948.3</v>
      </c>
      <c r="C759">
        <v>26135</v>
      </c>
      <c r="D759">
        <v>25945.35</v>
      </c>
      <c r="E759">
        <v>26103.23</v>
      </c>
    </row>
    <row r="760" spans="1:5" hidden="1" x14ac:dyDescent="0.3">
      <c r="A760" s="1">
        <v>41869</v>
      </c>
      <c r="B760">
        <v>26123.69</v>
      </c>
      <c r="C760">
        <v>26413.11</v>
      </c>
      <c r="D760">
        <v>26075.279999999999</v>
      </c>
      <c r="E760">
        <v>26390.959999999999</v>
      </c>
    </row>
    <row r="761" spans="1:5" hidden="1" x14ac:dyDescent="0.3">
      <c r="A761" s="1">
        <v>41870</v>
      </c>
      <c r="B761">
        <v>26482.560000000001</v>
      </c>
      <c r="C761">
        <v>26530.67</v>
      </c>
      <c r="D761">
        <v>26387.84</v>
      </c>
      <c r="E761">
        <v>26420.67</v>
      </c>
    </row>
    <row r="762" spans="1:5" hidden="1" x14ac:dyDescent="0.3">
      <c r="A762" s="1">
        <v>41871</v>
      </c>
      <c r="B762">
        <v>26496.29</v>
      </c>
      <c r="C762">
        <v>26504.52</v>
      </c>
      <c r="D762">
        <v>26277.61</v>
      </c>
      <c r="E762">
        <v>26314.29</v>
      </c>
    </row>
    <row r="763" spans="1:5" hidden="1" x14ac:dyDescent="0.3">
      <c r="A763" s="1">
        <v>41872</v>
      </c>
      <c r="B763">
        <v>26322.66</v>
      </c>
      <c r="C763">
        <v>26464.799999999999</v>
      </c>
      <c r="D763">
        <v>26262.52</v>
      </c>
      <c r="E763">
        <v>26360.11</v>
      </c>
    </row>
    <row r="764" spans="1:5" hidden="1" x14ac:dyDescent="0.3">
      <c r="A764" s="1">
        <v>41873</v>
      </c>
      <c r="B764">
        <v>26419.53</v>
      </c>
      <c r="C764">
        <v>26508.27</v>
      </c>
      <c r="D764">
        <v>26383.16</v>
      </c>
      <c r="E764">
        <v>26419.55</v>
      </c>
    </row>
    <row r="765" spans="1:5" hidden="1" x14ac:dyDescent="0.3">
      <c r="A765" s="1">
        <v>41876</v>
      </c>
      <c r="B765">
        <v>26490.31</v>
      </c>
      <c r="C765">
        <v>26630.74</v>
      </c>
      <c r="D765">
        <v>26401.64</v>
      </c>
      <c r="E765">
        <v>26437.02</v>
      </c>
    </row>
    <row r="766" spans="1:5" hidden="1" x14ac:dyDescent="0.3">
      <c r="A766" s="1">
        <v>41877</v>
      </c>
      <c r="B766">
        <v>26349.87</v>
      </c>
      <c r="C766">
        <v>26481.97</v>
      </c>
      <c r="D766">
        <v>26314.89</v>
      </c>
      <c r="E766">
        <v>26442.81</v>
      </c>
    </row>
    <row r="767" spans="1:5" hidden="1" x14ac:dyDescent="0.3">
      <c r="A767" s="1">
        <v>41878</v>
      </c>
      <c r="B767">
        <v>26553.24</v>
      </c>
      <c r="C767">
        <v>26599.119999999999</v>
      </c>
      <c r="D767">
        <v>26492.5</v>
      </c>
      <c r="E767">
        <v>26560.15</v>
      </c>
    </row>
    <row r="768" spans="1:5" hidden="1" x14ac:dyDescent="0.3">
      <c r="A768" s="1">
        <v>41879</v>
      </c>
      <c r="B768">
        <v>26620.18</v>
      </c>
      <c r="C768">
        <v>26674.38</v>
      </c>
      <c r="D768">
        <v>26573.69</v>
      </c>
      <c r="E768">
        <v>26638.11</v>
      </c>
    </row>
    <row r="769" spans="1:5" hidden="1" x14ac:dyDescent="0.3">
      <c r="A769" s="1">
        <v>41883</v>
      </c>
      <c r="B769">
        <v>26733.18</v>
      </c>
      <c r="C769">
        <v>26900.3</v>
      </c>
      <c r="D769">
        <v>26732.39</v>
      </c>
      <c r="E769">
        <v>26867.55</v>
      </c>
    </row>
    <row r="770" spans="1:5" hidden="1" x14ac:dyDescent="0.3">
      <c r="A770" s="1">
        <v>41884</v>
      </c>
      <c r="B770">
        <v>26888.21</v>
      </c>
      <c r="C770">
        <v>27082.85</v>
      </c>
      <c r="D770">
        <v>26886.22</v>
      </c>
      <c r="E770">
        <v>27019.39</v>
      </c>
    </row>
    <row r="771" spans="1:5" hidden="1" x14ac:dyDescent="0.3">
      <c r="A771" s="1">
        <v>41885</v>
      </c>
      <c r="B771">
        <v>27128.06</v>
      </c>
      <c r="C771">
        <v>27225.85</v>
      </c>
      <c r="D771">
        <v>27067.02</v>
      </c>
      <c r="E771">
        <v>27139.94</v>
      </c>
    </row>
    <row r="772" spans="1:5" hidden="1" x14ac:dyDescent="0.3">
      <c r="A772" s="1">
        <v>41886</v>
      </c>
      <c r="B772">
        <v>27164.95</v>
      </c>
      <c r="C772">
        <v>27169.119999999999</v>
      </c>
      <c r="D772">
        <v>26972.39</v>
      </c>
      <c r="E772">
        <v>27085.93</v>
      </c>
    </row>
    <row r="773" spans="1:5" hidden="1" x14ac:dyDescent="0.3">
      <c r="A773" s="1">
        <v>41887</v>
      </c>
      <c r="B773">
        <v>27127.26</v>
      </c>
      <c r="C773">
        <v>27178.799999999999</v>
      </c>
      <c r="D773">
        <v>26920.560000000001</v>
      </c>
      <c r="E773">
        <v>27026.7</v>
      </c>
    </row>
    <row r="774" spans="1:5" hidden="1" x14ac:dyDescent="0.3">
      <c r="A774" s="1">
        <v>41890</v>
      </c>
      <c r="B774">
        <v>27145.119999999999</v>
      </c>
      <c r="C774">
        <v>27354.99</v>
      </c>
      <c r="D774">
        <v>27144.560000000001</v>
      </c>
      <c r="E774">
        <v>27319.85</v>
      </c>
    </row>
    <row r="775" spans="1:5" hidden="1" x14ac:dyDescent="0.3">
      <c r="A775" s="1">
        <v>41891</v>
      </c>
      <c r="B775">
        <v>27316.43</v>
      </c>
      <c r="C775">
        <v>27328.27</v>
      </c>
      <c r="D775">
        <v>27177.09</v>
      </c>
      <c r="E775">
        <v>27265.32</v>
      </c>
    </row>
    <row r="776" spans="1:5" hidden="1" x14ac:dyDescent="0.3">
      <c r="A776" s="1">
        <v>41892</v>
      </c>
      <c r="B776">
        <v>27230.94</v>
      </c>
      <c r="C776">
        <v>27251.439999999999</v>
      </c>
      <c r="D776">
        <v>27018.11</v>
      </c>
      <c r="E776">
        <v>27057.41</v>
      </c>
    </row>
    <row r="777" spans="1:5" hidden="1" x14ac:dyDescent="0.3">
      <c r="A777" s="1">
        <v>41893</v>
      </c>
      <c r="B777">
        <v>27143.22</v>
      </c>
      <c r="C777">
        <v>27150.78</v>
      </c>
      <c r="D777">
        <v>26904.5</v>
      </c>
      <c r="E777">
        <v>26995.87</v>
      </c>
    </row>
    <row r="778" spans="1:5" hidden="1" x14ac:dyDescent="0.3">
      <c r="A778" s="1">
        <v>41894</v>
      </c>
      <c r="B778">
        <v>27048.15</v>
      </c>
      <c r="C778">
        <v>27096.87</v>
      </c>
      <c r="D778">
        <v>26965.91</v>
      </c>
      <c r="E778">
        <v>27061.040000000001</v>
      </c>
    </row>
    <row r="779" spans="1:5" hidden="1" x14ac:dyDescent="0.3">
      <c r="A779" s="1">
        <v>41897</v>
      </c>
      <c r="B779">
        <v>26998.07</v>
      </c>
      <c r="C779">
        <v>26998.07</v>
      </c>
      <c r="D779">
        <v>26790.91</v>
      </c>
      <c r="E779">
        <v>26816.560000000001</v>
      </c>
    </row>
    <row r="780" spans="1:5" hidden="1" x14ac:dyDescent="0.3">
      <c r="A780" s="1">
        <v>41898</v>
      </c>
      <c r="B780">
        <v>26854.9</v>
      </c>
      <c r="C780">
        <v>26861.29</v>
      </c>
      <c r="D780">
        <v>26464.03</v>
      </c>
      <c r="E780">
        <v>26492.51</v>
      </c>
    </row>
    <row r="781" spans="1:5" hidden="1" x14ac:dyDescent="0.3">
      <c r="A781" s="1">
        <v>41899</v>
      </c>
      <c r="B781">
        <v>26627.21</v>
      </c>
      <c r="C781">
        <v>26682.639999999999</v>
      </c>
      <c r="D781">
        <v>26511.71</v>
      </c>
      <c r="E781">
        <v>26631.29</v>
      </c>
    </row>
    <row r="782" spans="1:5" hidden="1" x14ac:dyDescent="0.3">
      <c r="A782" s="1">
        <v>41900</v>
      </c>
      <c r="B782">
        <v>26573.89</v>
      </c>
      <c r="C782">
        <v>27132.2</v>
      </c>
      <c r="D782">
        <v>26503.08</v>
      </c>
      <c r="E782">
        <v>27112.21</v>
      </c>
    </row>
    <row r="783" spans="1:5" hidden="1" x14ac:dyDescent="0.3">
      <c r="A783" s="1">
        <v>41901</v>
      </c>
      <c r="B783">
        <v>27139.39</v>
      </c>
      <c r="C783">
        <v>27247.17</v>
      </c>
      <c r="D783">
        <v>27047.68</v>
      </c>
      <c r="E783">
        <v>27090.42</v>
      </c>
    </row>
    <row r="784" spans="1:5" hidden="1" x14ac:dyDescent="0.3">
      <c r="A784" s="1">
        <v>41904</v>
      </c>
      <c r="B784">
        <v>27008.12</v>
      </c>
      <c r="C784">
        <v>27254.799999999999</v>
      </c>
      <c r="D784">
        <v>26918.93</v>
      </c>
      <c r="E784">
        <v>27206.74</v>
      </c>
    </row>
    <row r="785" spans="1:5" hidden="1" x14ac:dyDescent="0.3">
      <c r="A785" s="1">
        <v>41905</v>
      </c>
      <c r="B785">
        <v>27244.98</v>
      </c>
      <c r="C785">
        <v>27256.87</v>
      </c>
      <c r="D785">
        <v>26744.07</v>
      </c>
      <c r="E785">
        <v>26775.69</v>
      </c>
    </row>
    <row r="786" spans="1:5" hidden="1" x14ac:dyDescent="0.3">
      <c r="A786" s="1">
        <v>41906</v>
      </c>
      <c r="B786">
        <v>26817.94</v>
      </c>
      <c r="C786">
        <v>26844.7</v>
      </c>
      <c r="D786">
        <v>26560</v>
      </c>
      <c r="E786">
        <v>26744.69</v>
      </c>
    </row>
    <row r="787" spans="1:5" hidden="1" x14ac:dyDescent="0.3">
      <c r="A787" s="1">
        <v>41907</v>
      </c>
      <c r="B787">
        <v>26808.66</v>
      </c>
      <c r="C787">
        <v>26814.2</v>
      </c>
      <c r="D787">
        <v>26349.55</v>
      </c>
      <c r="E787">
        <v>26468.36</v>
      </c>
    </row>
    <row r="788" spans="1:5" hidden="1" x14ac:dyDescent="0.3">
      <c r="A788" s="1">
        <v>41908</v>
      </c>
      <c r="B788">
        <v>26429.3</v>
      </c>
      <c r="C788">
        <v>26721.03</v>
      </c>
      <c r="D788">
        <v>26220.49</v>
      </c>
      <c r="E788">
        <v>26626.32</v>
      </c>
    </row>
    <row r="789" spans="1:5" hidden="1" x14ac:dyDescent="0.3">
      <c r="A789" s="1">
        <v>41911</v>
      </c>
      <c r="B789">
        <v>26694.41</v>
      </c>
      <c r="C789">
        <v>26715.77</v>
      </c>
      <c r="D789">
        <v>26518.01</v>
      </c>
      <c r="E789">
        <v>26597.11</v>
      </c>
    </row>
    <row r="790" spans="1:5" hidden="1" x14ac:dyDescent="0.3">
      <c r="A790" s="1">
        <v>41912</v>
      </c>
      <c r="B790">
        <v>26610.71</v>
      </c>
      <c r="C790">
        <v>26851.33</v>
      </c>
      <c r="D790">
        <v>26481.31</v>
      </c>
      <c r="E790">
        <v>26630.51</v>
      </c>
    </row>
    <row r="791" spans="1:5" hidden="1" x14ac:dyDescent="0.3">
      <c r="A791" s="1">
        <v>41913</v>
      </c>
      <c r="B791">
        <v>26681.47</v>
      </c>
      <c r="C791">
        <v>26683.7</v>
      </c>
      <c r="D791">
        <v>26548.22</v>
      </c>
      <c r="E791">
        <v>26567.99</v>
      </c>
    </row>
    <row r="792" spans="1:5" hidden="1" x14ac:dyDescent="0.3">
      <c r="A792" s="1">
        <v>41919</v>
      </c>
      <c r="B792">
        <v>26487.51</v>
      </c>
      <c r="C792">
        <v>26570.38</v>
      </c>
      <c r="D792">
        <v>26250.240000000002</v>
      </c>
      <c r="E792">
        <v>26271.97</v>
      </c>
    </row>
    <row r="793" spans="1:5" hidden="1" x14ac:dyDescent="0.3">
      <c r="A793" s="1">
        <v>41920</v>
      </c>
      <c r="B793">
        <v>26229.67</v>
      </c>
      <c r="C793">
        <v>26338.31</v>
      </c>
      <c r="D793">
        <v>26150.09</v>
      </c>
      <c r="E793">
        <v>26246.79</v>
      </c>
    </row>
    <row r="794" spans="1:5" hidden="1" x14ac:dyDescent="0.3">
      <c r="A794" s="1">
        <v>41921</v>
      </c>
      <c r="B794">
        <v>26394.37</v>
      </c>
      <c r="C794">
        <v>26688.7</v>
      </c>
      <c r="D794">
        <v>26394.21</v>
      </c>
      <c r="E794">
        <v>26637.279999999999</v>
      </c>
    </row>
    <row r="795" spans="1:5" hidden="1" x14ac:dyDescent="0.3">
      <c r="A795" s="1">
        <v>41922</v>
      </c>
      <c r="B795">
        <v>26551.74</v>
      </c>
      <c r="C795">
        <v>26555.919999999998</v>
      </c>
      <c r="D795">
        <v>26261.61</v>
      </c>
      <c r="E795">
        <v>26297.38</v>
      </c>
    </row>
    <row r="796" spans="1:5" hidden="1" x14ac:dyDescent="0.3">
      <c r="A796" s="1">
        <v>41925</v>
      </c>
      <c r="B796">
        <v>26275.07</v>
      </c>
      <c r="C796">
        <v>26443.16</v>
      </c>
      <c r="D796">
        <v>26092.69</v>
      </c>
      <c r="E796">
        <v>26384.07</v>
      </c>
    </row>
    <row r="797" spans="1:5" hidden="1" x14ac:dyDescent="0.3">
      <c r="A797" s="1">
        <v>41926</v>
      </c>
      <c r="B797">
        <v>26537.42</v>
      </c>
      <c r="C797">
        <v>26550.79</v>
      </c>
      <c r="D797">
        <v>26212.01</v>
      </c>
      <c r="E797">
        <v>26349.33</v>
      </c>
    </row>
    <row r="798" spans="1:5" hidden="1" x14ac:dyDescent="0.3">
      <c r="A798" s="1">
        <v>41928</v>
      </c>
      <c r="B798">
        <v>26260.35</v>
      </c>
      <c r="C798">
        <v>26462.080000000002</v>
      </c>
      <c r="D798">
        <v>25933.98</v>
      </c>
      <c r="E798">
        <v>25999.34</v>
      </c>
    </row>
    <row r="799" spans="1:5" hidden="1" x14ac:dyDescent="0.3">
      <c r="A799" s="1">
        <v>41929</v>
      </c>
      <c r="B799">
        <v>25950</v>
      </c>
      <c r="C799">
        <v>26248.54</v>
      </c>
      <c r="D799">
        <v>25910.77</v>
      </c>
      <c r="E799">
        <v>26108.53</v>
      </c>
    </row>
    <row r="800" spans="1:5" hidden="1" x14ac:dyDescent="0.3">
      <c r="A800" s="1">
        <v>41932</v>
      </c>
      <c r="B800">
        <v>26434.16</v>
      </c>
      <c r="C800">
        <v>26517.9</v>
      </c>
      <c r="D800">
        <v>26368.94</v>
      </c>
      <c r="E800">
        <v>26429.85</v>
      </c>
    </row>
    <row r="801" spans="1:5" hidden="1" x14ac:dyDescent="0.3">
      <c r="A801" s="1">
        <v>41933</v>
      </c>
      <c r="B801">
        <v>26552.45</v>
      </c>
      <c r="C801">
        <v>26615.41</v>
      </c>
      <c r="D801">
        <v>26407</v>
      </c>
      <c r="E801">
        <v>26575.65</v>
      </c>
    </row>
    <row r="802" spans="1:5" hidden="1" x14ac:dyDescent="0.3">
      <c r="A802" s="1">
        <v>41934</v>
      </c>
      <c r="B802">
        <v>26782.57</v>
      </c>
      <c r="C802">
        <v>26818.33</v>
      </c>
      <c r="D802">
        <v>26712.21</v>
      </c>
      <c r="E802">
        <v>26787.23</v>
      </c>
    </row>
    <row r="803" spans="1:5" hidden="1" x14ac:dyDescent="0.3">
      <c r="A803" s="1">
        <v>41935</v>
      </c>
      <c r="B803">
        <v>26889.51</v>
      </c>
      <c r="C803">
        <v>26930.23</v>
      </c>
      <c r="D803">
        <v>26827.68</v>
      </c>
      <c r="E803">
        <v>26851.05</v>
      </c>
    </row>
    <row r="804" spans="1:5" hidden="1" x14ac:dyDescent="0.3">
      <c r="A804" s="1">
        <v>41939</v>
      </c>
      <c r="B804">
        <v>26959.57</v>
      </c>
      <c r="C804">
        <v>26994.959999999999</v>
      </c>
      <c r="D804">
        <v>26726.84</v>
      </c>
      <c r="E804">
        <v>26752.9</v>
      </c>
    </row>
    <row r="805" spans="1:5" hidden="1" x14ac:dyDescent="0.3">
      <c r="A805" s="1">
        <v>41940</v>
      </c>
      <c r="B805">
        <v>26788.73</v>
      </c>
      <c r="C805">
        <v>26907.14</v>
      </c>
      <c r="D805">
        <v>26764.15</v>
      </c>
      <c r="E805">
        <v>26880.82</v>
      </c>
    </row>
    <row r="806" spans="1:5" hidden="1" x14ac:dyDescent="0.3">
      <c r="A806" s="1">
        <v>41941</v>
      </c>
      <c r="B806">
        <v>27017.439999999999</v>
      </c>
      <c r="C806">
        <v>27126.3</v>
      </c>
      <c r="D806">
        <v>26971.16</v>
      </c>
      <c r="E806">
        <v>27098.17</v>
      </c>
    </row>
    <row r="807" spans="1:5" hidden="1" x14ac:dyDescent="0.3">
      <c r="A807" s="1">
        <v>41942</v>
      </c>
      <c r="B807">
        <v>27098.94</v>
      </c>
      <c r="C807">
        <v>27390.6</v>
      </c>
      <c r="D807">
        <v>27088.65</v>
      </c>
      <c r="E807">
        <v>27346.33</v>
      </c>
    </row>
    <row r="808" spans="1:5" hidden="1" x14ac:dyDescent="0.3">
      <c r="A808" s="1">
        <v>41943</v>
      </c>
      <c r="B808">
        <v>27439.06</v>
      </c>
      <c r="C808">
        <v>27894.32</v>
      </c>
      <c r="D808">
        <v>27438.28</v>
      </c>
      <c r="E808">
        <v>27865.83</v>
      </c>
    </row>
    <row r="809" spans="1:5" hidden="1" x14ac:dyDescent="0.3">
      <c r="A809" s="1">
        <v>41946</v>
      </c>
      <c r="B809">
        <v>27943.040000000001</v>
      </c>
      <c r="C809">
        <v>27969.82</v>
      </c>
      <c r="D809">
        <v>27785.4</v>
      </c>
      <c r="E809">
        <v>27860.38</v>
      </c>
    </row>
    <row r="810" spans="1:5" hidden="1" x14ac:dyDescent="0.3">
      <c r="A810" s="1">
        <v>41948</v>
      </c>
      <c r="B810">
        <v>27907.19</v>
      </c>
      <c r="C810">
        <v>28010.39</v>
      </c>
      <c r="D810">
        <v>27857.65</v>
      </c>
      <c r="E810">
        <v>27915.88</v>
      </c>
    </row>
    <row r="811" spans="1:5" hidden="1" x14ac:dyDescent="0.3">
      <c r="A811" s="1">
        <v>41950</v>
      </c>
      <c r="B811">
        <v>27902.71</v>
      </c>
      <c r="C811">
        <v>27980.93</v>
      </c>
      <c r="D811">
        <v>27739.56</v>
      </c>
      <c r="E811">
        <v>27868.63</v>
      </c>
    </row>
    <row r="812" spans="1:5" hidden="1" x14ac:dyDescent="0.3">
      <c r="A812" s="1">
        <v>41953</v>
      </c>
      <c r="B812">
        <v>27919.45</v>
      </c>
      <c r="C812">
        <v>28027.96</v>
      </c>
      <c r="D812">
        <v>27764.75</v>
      </c>
      <c r="E812">
        <v>27874.73</v>
      </c>
    </row>
    <row r="813" spans="1:5" hidden="1" x14ac:dyDescent="0.3">
      <c r="A813" s="1">
        <v>41954</v>
      </c>
      <c r="B813">
        <v>27911.25</v>
      </c>
      <c r="C813">
        <v>27996.92</v>
      </c>
      <c r="D813">
        <v>27790.400000000001</v>
      </c>
      <c r="E813">
        <v>27910.06</v>
      </c>
    </row>
    <row r="814" spans="1:5" hidden="1" x14ac:dyDescent="0.3">
      <c r="A814" s="1">
        <v>41955</v>
      </c>
      <c r="B814">
        <v>27958.639999999999</v>
      </c>
      <c r="C814">
        <v>28126.48</v>
      </c>
      <c r="D814">
        <v>27958.639999999999</v>
      </c>
      <c r="E814">
        <v>28008.9</v>
      </c>
    </row>
    <row r="815" spans="1:5" hidden="1" x14ac:dyDescent="0.3">
      <c r="A815" s="1">
        <v>41956</v>
      </c>
      <c r="B815">
        <v>28048.560000000001</v>
      </c>
      <c r="C815">
        <v>28098.74</v>
      </c>
      <c r="D815">
        <v>27822.7</v>
      </c>
      <c r="E815">
        <v>27940.639999999999</v>
      </c>
    </row>
    <row r="816" spans="1:5" hidden="1" x14ac:dyDescent="0.3">
      <c r="A816" s="1">
        <v>41957</v>
      </c>
      <c r="B816">
        <v>27949.54</v>
      </c>
      <c r="C816">
        <v>28093.23</v>
      </c>
      <c r="D816">
        <v>27912.9</v>
      </c>
      <c r="E816">
        <v>28046.66</v>
      </c>
    </row>
    <row r="817" spans="1:5" hidden="1" x14ac:dyDescent="0.3">
      <c r="A817" s="1">
        <v>41960</v>
      </c>
      <c r="B817">
        <v>28018.68</v>
      </c>
      <c r="C817">
        <v>28205.71</v>
      </c>
      <c r="D817">
        <v>27921.34</v>
      </c>
      <c r="E817">
        <v>28177.88</v>
      </c>
    </row>
    <row r="818" spans="1:5" hidden="1" x14ac:dyDescent="0.3">
      <c r="A818" s="1">
        <v>41961</v>
      </c>
      <c r="B818">
        <v>28209.03</v>
      </c>
      <c r="C818">
        <v>28282.85</v>
      </c>
      <c r="D818">
        <v>28119.95</v>
      </c>
      <c r="E818">
        <v>28163.29</v>
      </c>
    </row>
    <row r="819" spans="1:5" hidden="1" x14ac:dyDescent="0.3">
      <c r="A819" s="1">
        <v>41962</v>
      </c>
      <c r="B819">
        <v>28193.9</v>
      </c>
      <c r="C819">
        <v>28294.01</v>
      </c>
      <c r="D819">
        <v>27963.51</v>
      </c>
      <c r="E819">
        <v>28032.85</v>
      </c>
    </row>
    <row r="820" spans="1:5" hidden="1" x14ac:dyDescent="0.3">
      <c r="A820" s="1">
        <v>41963</v>
      </c>
      <c r="B820">
        <v>28100.84</v>
      </c>
      <c r="C820">
        <v>28118.53</v>
      </c>
      <c r="D820">
        <v>27915.23</v>
      </c>
      <c r="E820">
        <v>28067.56</v>
      </c>
    </row>
    <row r="821" spans="1:5" hidden="1" x14ac:dyDescent="0.3">
      <c r="A821" s="1">
        <v>41964</v>
      </c>
      <c r="B821">
        <v>28100.1</v>
      </c>
      <c r="C821">
        <v>28360.66</v>
      </c>
      <c r="D821">
        <v>28038.400000000001</v>
      </c>
      <c r="E821">
        <v>28334.63</v>
      </c>
    </row>
    <row r="822" spans="1:5" hidden="1" x14ac:dyDescent="0.3">
      <c r="A822" s="1">
        <v>41967</v>
      </c>
      <c r="B822">
        <v>28413.01</v>
      </c>
      <c r="C822">
        <v>28541.96</v>
      </c>
      <c r="D822">
        <v>28394.48</v>
      </c>
      <c r="E822">
        <v>28499.54</v>
      </c>
    </row>
    <row r="823" spans="1:5" hidden="1" x14ac:dyDescent="0.3">
      <c r="A823" s="1">
        <v>41968</v>
      </c>
      <c r="B823">
        <v>28520.76</v>
      </c>
      <c r="C823">
        <v>28541.22</v>
      </c>
      <c r="D823">
        <v>28217.5</v>
      </c>
      <c r="E823">
        <v>28338.05</v>
      </c>
    </row>
    <row r="824" spans="1:5" hidden="1" x14ac:dyDescent="0.3">
      <c r="A824" s="1">
        <v>41969</v>
      </c>
      <c r="B824">
        <v>28321.58</v>
      </c>
      <c r="C824">
        <v>28470.15</v>
      </c>
      <c r="D824">
        <v>28261.31</v>
      </c>
      <c r="E824">
        <v>28386.19</v>
      </c>
    </row>
    <row r="825" spans="1:5" hidden="1" x14ac:dyDescent="0.3">
      <c r="A825" s="1">
        <v>41970</v>
      </c>
      <c r="B825">
        <v>28397.8</v>
      </c>
      <c r="C825">
        <v>28498.3</v>
      </c>
      <c r="D825">
        <v>28307.58</v>
      </c>
      <c r="E825">
        <v>28438.91</v>
      </c>
    </row>
    <row r="826" spans="1:5" hidden="1" x14ac:dyDescent="0.3">
      <c r="A826" s="1">
        <v>41971</v>
      </c>
      <c r="B826">
        <v>28490.71</v>
      </c>
      <c r="C826">
        <v>28822.37</v>
      </c>
      <c r="D826">
        <v>28483.99</v>
      </c>
      <c r="E826">
        <v>28693.99</v>
      </c>
    </row>
    <row r="827" spans="1:5" hidden="1" x14ac:dyDescent="0.3">
      <c r="A827" s="1">
        <v>41974</v>
      </c>
      <c r="B827">
        <v>28748.22</v>
      </c>
      <c r="C827">
        <v>28809.64</v>
      </c>
      <c r="D827">
        <v>28538.44</v>
      </c>
      <c r="E827">
        <v>28559.62</v>
      </c>
    </row>
    <row r="828" spans="1:5" hidden="1" x14ac:dyDescent="0.3">
      <c r="A828" s="1">
        <v>41975</v>
      </c>
      <c r="B828">
        <v>28522.46</v>
      </c>
      <c r="C828">
        <v>28576.39</v>
      </c>
      <c r="D828">
        <v>28386.46</v>
      </c>
      <c r="E828">
        <v>28444.01</v>
      </c>
    </row>
    <row r="829" spans="1:5" hidden="1" x14ac:dyDescent="0.3">
      <c r="A829" s="1">
        <v>41976</v>
      </c>
      <c r="B829">
        <v>28472.32</v>
      </c>
      <c r="C829">
        <v>28504.65</v>
      </c>
      <c r="D829">
        <v>28370.73</v>
      </c>
      <c r="E829">
        <v>28442.71</v>
      </c>
    </row>
    <row r="830" spans="1:5" hidden="1" x14ac:dyDescent="0.3">
      <c r="A830" s="1">
        <v>41977</v>
      </c>
      <c r="B830">
        <v>28616.93</v>
      </c>
      <c r="C830">
        <v>28808.78</v>
      </c>
      <c r="D830">
        <v>28448.95</v>
      </c>
      <c r="E830">
        <v>28562.82</v>
      </c>
    </row>
    <row r="831" spans="1:5" hidden="1" x14ac:dyDescent="0.3">
      <c r="A831" s="1">
        <v>41978</v>
      </c>
      <c r="B831">
        <v>28604.5</v>
      </c>
      <c r="C831">
        <v>28651.75</v>
      </c>
      <c r="D831">
        <v>28409.05</v>
      </c>
      <c r="E831">
        <v>28458.1</v>
      </c>
    </row>
    <row r="832" spans="1:5" hidden="1" x14ac:dyDescent="0.3">
      <c r="A832" s="1">
        <v>41981</v>
      </c>
      <c r="B832">
        <v>28433</v>
      </c>
      <c r="C832">
        <v>28494.85</v>
      </c>
      <c r="D832">
        <v>28097.119999999999</v>
      </c>
      <c r="E832">
        <v>28119.4</v>
      </c>
    </row>
    <row r="833" spans="1:5" hidden="1" x14ac:dyDescent="0.3">
      <c r="A833" s="1">
        <v>41982</v>
      </c>
      <c r="B833">
        <v>28134.22</v>
      </c>
      <c r="C833">
        <v>28157.53</v>
      </c>
      <c r="D833">
        <v>27763.82</v>
      </c>
      <c r="E833">
        <v>27797.01</v>
      </c>
    </row>
    <row r="834" spans="1:5" hidden="1" x14ac:dyDescent="0.3">
      <c r="A834" s="1">
        <v>41983</v>
      </c>
      <c r="B834">
        <v>27711.96</v>
      </c>
      <c r="C834">
        <v>27905.25</v>
      </c>
      <c r="D834">
        <v>27710.03</v>
      </c>
      <c r="E834">
        <v>27831.1</v>
      </c>
    </row>
    <row r="835" spans="1:5" hidden="1" x14ac:dyDescent="0.3">
      <c r="A835" s="1">
        <v>41984</v>
      </c>
      <c r="B835">
        <v>27796.34</v>
      </c>
      <c r="C835">
        <v>27796.34</v>
      </c>
      <c r="D835">
        <v>27539.47</v>
      </c>
      <c r="E835">
        <v>27602.01</v>
      </c>
    </row>
    <row r="836" spans="1:5" hidden="1" x14ac:dyDescent="0.3">
      <c r="A836" s="1">
        <v>41985</v>
      </c>
      <c r="B836">
        <v>27598.959999999999</v>
      </c>
      <c r="C836">
        <v>27692.32</v>
      </c>
      <c r="D836">
        <v>27320.05</v>
      </c>
      <c r="E836">
        <v>27350.68</v>
      </c>
    </row>
    <row r="837" spans="1:5" hidden="1" x14ac:dyDescent="0.3">
      <c r="A837" s="1">
        <v>41988</v>
      </c>
      <c r="B837">
        <v>27136.28</v>
      </c>
      <c r="C837">
        <v>27392.18</v>
      </c>
      <c r="D837">
        <v>27105.040000000001</v>
      </c>
      <c r="E837">
        <v>27319.56</v>
      </c>
    </row>
    <row r="838" spans="1:5" hidden="1" x14ac:dyDescent="0.3">
      <c r="A838" s="1">
        <v>41989</v>
      </c>
      <c r="B838">
        <v>27181.18</v>
      </c>
      <c r="C838">
        <v>27199.37</v>
      </c>
      <c r="D838">
        <v>26736.23</v>
      </c>
      <c r="E838">
        <v>26781.439999999999</v>
      </c>
    </row>
    <row r="839" spans="1:5" hidden="1" x14ac:dyDescent="0.3">
      <c r="A839" s="1">
        <v>41990</v>
      </c>
      <c r="B839">
        <v>26724.01</v>
      </c>
      <c r="C839">
        <v>26871.91</v>
      </c>
      <c r="D839">
        <v>26469.42</v>
      </c>
      <c r="E839">
        <v>26710.13</v>
      </c>
    </row>
    <row r="840" spans="1:5" hidden="1" x14ac:dyDescent="0.3">
      <c r="A840" s="1">
        <v>41991</v>
      </c>
      <c r="B840">
        <v>27053.86</v>
      </c>
      <c r="C840">
        <v>27180.92</v>
      </c>
      <c r="D840">
        <v>26900.57</v>
      </c>
      <c r="E840">
        <v>27126.57</v>
      </c>
    </row>
    <row r="841" spans="1:5" hidden="1" x14ac:dyDescent="0.3">
      <c r="A841" s="1">
        <v>41992</v>
      </c>
      <c r="B841">
        <v>27292.55</v>
      </c>
      <c r="C841">
        <v>27497.119999999999</v>
      </c>
      <c r="D841">
        <v>27292.14</v>
      </c>
      <c r="E841">
        <v>27371.84</v>
      </c>
    </row>
    <row r="842" spans="1:5" hidden="1" x14ac:dyDescent="0.3">
      <c r="A842" s="1">
        <v>41995</v>
      </c>
      <c r="B842">
        <v>27479.87</v>
      </c>
      <c r="C842">
        <v>27725.27</v>
      </c>
      <c r="D842">
        <v>27382.32</v>
      </c>
      <c r="E842">
        <v>27701.79</v>
      </c>
    </row>
    <row r="843" spans="1:5" hidden="1" x14ac:dyDescent="0.3">
      <c r="A843" s="1">
        <v>41996</v>
      </c>
      <c r="B843">
        <v>27733.119999999999</v>
      </c>
      <c r="C843">
        <v>27851.1</v>
      </c>
      <c r="D843">
        <v>27475.13</v>
      </c>
      <c r="E843">
        <v>27506.46</v>
      </c>
    </row>
    <row r="844" spans="1:5" hidden="1" x14ac:dyDescent="0.3">
      <c r="A844" s="1">
        <v>41997</v>
      </c>
      <c r="B844">
        <v>27530.26</v>
      </c>
      <c r="C844">
        <v>27571.25</v>
      </c>
      <c r="D844">
        <v>27146.52</v>
      </c>
      <c r="E844">
        <v>27208.61</v>
      </c>
    </row>
    <row r="845" spans="1:5" hidden="1" x14ac:dyDescent="0.3">
      <c r="A845" s="1">
        <v>41999</v>
      </c>
      <c r="B845">
        <v>27215.19</v>
      </c>
      <c r="C845">
        <v>27370.63</v>
      </c>
      <c r="D845">
        <v>27091.38</v>
      </c>
      <c r="E845">
        <v>27241.78</v>
      </c>
    </row>
    <row r="846" spans="1:5" hidden="1" x14ac:dyDescent="0.3">
      <c r="A846" s="1">
        <v>42002</v>
      </c>
      <c r="B846">
        <v>27266.49</v>
      </c>
      <c r="C846">
        <v>27507.25</v>
      </c>
      <c r="D846">
        <v>27266.49</v>
      </c>
      <c r="E846">
        <v>27395.73</v>
      </c>
    </row>
    <row r="847" spans="1:5" hidden="1" x14ac:dyDescent="0.3">
      <c r="A847" s="1">
        <v>42003</v>
      </c>
      <c r="B847">
        <v>27478.3</v>
      </c>
      <c r="C847">
        <v>27478.3</v>
      </c>
      <c r="D847">
        <v>27312.29</v>
      </c>
      <c r="E847">
        <v>27403.54</v>
      </c>
    </row>
    <row r="848" spans="1:5" hidden="1" x14ac:dyDescent="0.3">
      <c r="A848" s="1">
        <v>42004</v>
      </c>
      <c r="B848">
        <v>27358.3</v>
      </c>
      <c r="C848">
        <v>27527.24</v>
      </c>
      <c r="D848">
        <v>27346</v>
      </c>
      <c r="E848">
        <v>27499.42</v>
      </c>
    </row>
    <row r="849" spans="1:5" hidden="1" x14ac:dyDescent="0.3">
      <c r="A849" s="1">
        <v>42005</v>
      </c>
      <c r="B849">
        <v>27485.77</v>
      </c>
      <c r="C849">
        <v>27545.61</v>
      </c>
      <c r="D849">
        <v>27395.34</v>
      </c>
      <c r="E849">
        <v>27507.54</v>
      </c>
    </row>
    <row r="850" spans="1:5" hidden="1" x14ac:dyDescent="0.3">
      <c r="A850" s="1">
        <v>42006</v>
      </c>
      <c r="B850">
        <v>27521.279999999999</v>
      </c>
      <c r="C850">
        <v>27937.47</v>
      </c>
      <c r="D850">
        <v>27519.26</v>
      </c>
      <c r="E850">
        <v>27887.9</v>
      </c>
    </row>
    <row r="851" spans="1:5" hidden="1" x14ac:dyDescent="0.3">
      <c r="A851" s="1">
        <v>42009</v>
      </c>
      <c r="B851">
        <v>27978.43</v>
      </c>
      <c r="C851">
        <v>28064.49</v>
      </c>
      <c r="D851">
        <v>27786.85</v>
      </c>
      <c r="E851">
        <v>27842.32</v>
      </c>
    </row>
    <row r="852" spans="1:5" hidden="1" x14ac:dyDescent="0.3">
      <c r="A852" s="1">
        <v>42010</v>
      </c>
      <c r="B852">
        <v>27694.23</v>
      </c>
      <c r="C852">
        <v>27698.93</v>
      </c>
      <c r="D852">
        <v>26937.06</v>
      </c>
      <c r="E852">
        <v>26987.46</v>
      </c>
    </row>
    <row r="853" spans="1:5" hidden="1" x14ac:dyDescent="0.3">
      <c r="A853" s="1">
        <v>42011</v>
      </c>
      <c r="B853">
        <v>26983.43</v>
      </c>
      <c r="C853">
        <v>27051.599999999999</v>
      </c>
      <c r="D853">
        <v>26776.12</v>
      </c>
      <c r="E853">
        <v>26908.82</v>
      </c>
    </row>
    <row r="854" spans="1:5" hidden="1" x14ac:dyDescent="0.3">
      <c r="A854" s="1">
        <v>42012</v>
      </c>
      <c r="B854">
        <v>27178.77</v>
      </c>
      <c r="C854">
        <v>27316.41</v>
      </c>
      <c r="D854">
        <v>27101.94</v>
      </c>
      <c r="E854">
        <v>27274.71</v>
      </c>
    </row>
    <row r="855" spans="1:5" hidden="1" x14ac:dyDescent="0.3">
      <c r="A855" s="1">
        <v>42013</v>
      </c>
      <c r="B855">
        <v>27404.19</v>
      </c>
      <c r="C855">
        <v>27507.67</v>
      </c>
      <c r="D855">
        <v>27119.63</v>
      </c>
      <c r="E855">
        <v>27458.38</v>
      </c>
    </row>
    <row r="856" spans="1:5" hidden="1" x14ac:dyDescent="0.3">
      <c r="A856" s="1">
        <v>42016</v>
      </c>
      <c r="B856">
        <v>27523.86</v>
      </c>
      <c r="C856">
        <v>27620.66</v>
      </c>
      <c r="D856">
        <v>27323.74</v>
      </c>
      <c r="E856">
        <v>27585.27</v>
      </c>
    </row>
    <row r="857" spans="1:5" hidden="1" x14ac:dyDescent="0.3">
      <c r="A857" s="1">
        <v>42017</v>
      </c>
      <c r="B857">
        <v>27611.56</v>
      </c>
      <c r="C857">
        <v>27670.19</v>
      </c>
      <c r="D857">
        <v>27324.58</v>
      </c>
      <c r="E857">
        <v>27425.73</v>
      </c>
    </row>
    <row r="858" spans="1:5" hidden="1" x14ac:dyDescent="0.3">
      <c r="A858" s="1">
        <v>42018</v>
      </c>
      <c r="B858">
        <v>27432.14</v>
      </c>
      <c r="C858">
        <v>27512.799999999999</v>
      </c>
      <c r="D858">
        <v>27203.25</v>
      </c>
      <c r="E858">
        <v>27346.82</v>
      </c>
    </row>
    <row r="859" spans="1:5" hidden="1" x14ac:dyDescent="0.3">
      <c r="A859" s="1">
        <v>42019</v>
      </c>
      <c r="B859">
        <v>27831.16</v>
      </c>
      <c r="C859">
        <v>28194.61</v>
      </c>
      <c r="D859">
        <v>27703.7</v>
      </c>
      <c r="E859">
        <v>28075.55</v>
      </c>
    </row>
    <row r="860" spans="1:5" hidden="1" x14ac:dyDescent="0.3">
      <c r="A860" s="1">
        <v>42020</v>
      </c>
      <c r="B860">
        <v>28056.61</v>
      </c>
      <c r="C860">
        <v>28176.1</v>
      </c>
      <c r="D860">
        <v>27945.31</v>
      </c>
      <c r="E860">
        <v>28121.89</v>
      </c>
    </row>
    <row r="861" spans="1:5" hidden="1" x14ac:dyDescent="0.3">
      <c r="A861" s="1">
        <v>42023</v>
      </c>
      <c r="B861">
        <v>28249.84</v>
      </c>
      <c r="C861">
        <v>28334.06</v>
      </c>
      <c r="D861">
        <v>28197.360000000001</v>
      </c>
      <c r="E861">
        <v>28262.01</v>
      </c>
    </row>
    <row r="862" spans="1:5" hidden="1" x14ac:dyDescent="0.3">
      <c r="A862" s="1">
        <v>42024</v>
      </c>
      <c r="B862">
        <v>28324.85</v>
      </c>
      <c r="C862">
        <v>28829.29</v>
      </c>
      <c r="D862">
        <v>28324.85</v>
      </c>
      <c r="E862">
        <v>28784.67</v>
      </c>
    </row>
    <row r="863" spans="1:5" hidden="1" x14ac:dyDescent="0.3">
      <c r="A863" s="1">
        <v>42025</v>
      </c>
      <c r="B863">
        <v>28843.09</v>
      </c>
      <c r="C863">
        <v>28958.1</v>
      </c>
      <c r="D863">
        <v>28792.57</v>
      </c>
      <c r="E863">
        <v>28888.86</v>
      </c>
    </row>
    <row r="864" spans="1:5" hidden="1" x14ac:dyDescent="0.3">
      <c r="A864" s="1">
        <v>42026</v>
      </c>
      <c r="B864">
        <v>28957.79</v>
      </c>
      <c r="C864">
        <v>29060.41</v>
      </c>
      <c r="D864">
        <v>28892.23</v>
      </c>
      <c r="E864">
        <v>29006.02</v>
      </c>
    </row>
    <row r="865" spans="1:5" hidden="1" x14ac:dyDescent="0.3">
      <c r="A865" s="1">
        <v>42027</v>
      </c>
      <c r="B865">
        <v>29189.45</v>
      </c>
      <c r="C865">
        <v>29408.73</v>
      </c>
      <c r="D865">
        <v>29165.56</v>
      </c>
      <c r="E865">
        <v>29278.84</v>
      </c>
    </row>
    <row r="866" spans="1:5" hidden="1" x14ac:dyDescent="0.3">
      <c r="A866" s="1">
        <v>42031</v>
      </c>
      <c r="B866">
        <v>29451.65</v>
      </c>
      <c r="C866">
        <v>29618.59</v>
      </c>
      <c r="D866">
        <v>29286.09</v>
      </c>
      <c r="E866">
        <v>29571.040000000001</v>
      </c>
    </row>
    <row r="867" spans="1:5" hidden="1" x14ac:dyDescent="0.3">
      <c r="A867" s="1">
        <v>42032</v>
      </c>
      <c r="B867">
        <v>29565.72</v>
      </c>
      <c r="C867">
        <v>29786.32</v>
      </c>
      <c r="D867">
        <v>29417.67</v>
      </c>
      <c r="E867">
        <v>29559.18</v>
      </c>
    </row>
    <row r="868" spans="1:5" hidden="1" x14ac:dyDescent="0.3">
      <c r="A868" s="1">
        <v>42033</v>
      </c>
      <c r="B868">
        <v>29516.49</v>
      </c>
      <c r="C868">
        <v>29740.63</v>
      </c>
      <c r="D868">
        <v>29378.3</v>
      </c>
      <c r="E868">
        <v>29681.77</v>
      </c>
    </row>
    <row r="869" spans="1:5" hidden="1" x14ac:dyDescent="0.3">
      <c r="A869" s="1">
        <v>42034</v>
      </c>
      <c r="B869">
        <v>29801.599999999999</v>
      </c>
      <c r="C869">
        <v>29844.16</v>
      </c>
      <c r="D869">
        <v>29070.48</v>
      </c>
      <c r="E869">
        <v>29182.95</v>
      </c>
    </row>
    <row r="870" spans="1:5" hidden="1" x14ac:dyDescent="0.3">
      <c r="A870" s="1">
        <v>42037</v>
      </c>
      <c r="B870">
        <v>29143.63</v>
      </c>
      <c r="C870">
        <v>29268.13</v>
      </c>
      <c r="D870">
        <v>28958.52</v>
      </c>
      <c r="E870">
        <v>29122.27</v>
      </c>
    </row>
    <row r="871" spans="1:5" hidden="1" x14ac:dyDescent="0.3">
      <c r="A871" s="1">
        <v>42038</v>
      </c>
      <c r="B871">
        <v>29217.4</v>
      </c>
      <c r="C871">
        <v>29253.06</v>
      </c>
      <c r="D871">
        <v>28900.41</v>
      </c>
      <c r="E871">
        <v>29000.14</v>
      </c>
    </row>
    <row r="872" spans="1:5" hidden="1" x14ac:dyDescent="0.3">
      <c r="A872" s="1">
        <v>42039</v>
      </c>
      <c r="B872">
        <v>29129.85</v>
      </c>
      <c r="C872">
        <v>29133.62</v>
      </c>
      <c r="D872">
        <v>28824.68</v>
      </c>
      <c r="E872">
        <v>28883.11</v>
      </c>
    </row>
    <row r="873" spans="1:5" hidden="1" x14ac:dyDescent="0.3">
      <c r="A873" s="1">
        <v>42040</v>
      </c>
      <c r="B873">
        <v>28912.38</v>
      </c>
      <c r="C873">
        <v>29277.83</v>
      </c>
      <c r="D873">
        <v>28753.29</v>
      </c>
      <c r="E873">
        <v>28850.97</v>
      </c>
    </row>
    <row r="874" spans="1:5" hidden="1" x14ac:dyDescent="0.3">
      <c r="A874" s="1">
        <v>42041</v>
      </c>
      <c r="B874">
        <v>28892.21</v>
      </c>
      <c r="C874">
        <v>28922.85</v>
      </c>
      <c r="D874">
        <v>28647.14</v>
      </c>
      <c r="E874">
        <v>28717.91</v>
      </c>
    </row>
    <row r="875" spans="1:5" hidden="1" x14ac:dyDescent="0.3">
      <c r="A875" s="1">
        <v>42044</v>
      </c>
      <c r="B875">
        <v>28566.5</v>
      </c>
      <c r="C875">
        <v>28566.5</v>
      </c>
      <c r="D875">
        <v>28183.32</v>
      </c>
      <c r="E875">
        <v>28227.39</v>
      </c>
    </row>
    <row r="876" spans="1:5" hidden="1" x14ac:dyDescent="0.3">
      <c r="A876" s="1">
        <v>42045</v>
      </c>
      <c r="B876">
        <v>28122.48</v>
      </c>
      <c r="C876">
        <v>28633.72</v>
      </c>
      <c r="D876">
        <v>28044.49</v>
      </c>
      <c r="E876">
        <v>28355.62</v>
      </c>
    </row>
    <row r="877" spans="1:5" hidden="1" x14ac:dyDescent="0.3">
      <c r="A877" s="1">
        <v>42046</v>
      </c>
      <c r="B877">
        <v>28450.26</v>
      </c>
      <c r="C877">
        <v>28618.91</v>
      </c>
      <c r="D877">
        <v>28424.39</v>
      </c>
      <c r="E877">
        <v>28533.97</v>
      </c>
    </row>
    <row r="878" spans="1:5" hidden="1" x14ac:dyDescent="0.3">
      <c r="A878" s="1">
        <v>42047</v>
      </c>
      <c r="B878">
        <v>28650.25</v>
      </c>
      <c r="C878">
        <v>28838.52</v>
      </c>
      <c r="D878">
        <v>28406.25</v>
      </c>
      <c r="E878">
        <v>28805.1</v>
      </c>
    </row>
    <row r="879" spans="1:5" hidden="1" x14ac:dyDescent="0.3">
      <c r="A879" s="1">
        <v>42048</v>
      </c>
      <c r="B879">
        <v>28888.99</v>
      </c>
      <c r="C879">
        <v>29154.67</v>
      </c>
      <c r="D879">
        <v>28835.7</v>
      </c>
      <c r="E879">
        <v>29094.93</v>
      </c>
    </row>
    <row r="880" spans="1:5" hidden="1" x14ac:dyDescent="0.3">
      <c r="A880" s="1">
        <v>42051</v>
      </c>
      <c r="B880">
        <v>29170.77</v>
      </c>
      <c r="C880">
        <v>29325.35</v>
      </c>
      <c r="D880">
        <v>29083.4</v>
      </c>
      <c r="E880">
        <v>29135.88</v>
      </c>
    </row>
    <row r="881" spans="1:5" hidden="1" x14ac:dyDescent="0.3">
      <c r="A881" s="1">
        <v>42053</v>
      </c>
      <c r="B881">
        <v>29136.07</v>
      </c>
      <c r="C881">
        <v>29411.32</v>
      </c>
      <c r="D881">
        <v>29126.91</v>
      </c>
      <c r="E881">
        <v>29320.26</v>
      </c>
    </row>
    <row r="882" spans="1:5" hidden="1" x14ac:dyDescent="0.3">
      <c r="A882" s="1">
        <v>42054</v>
      </c>
      <c r="B882">
        <v>29434.91</v>
      </c>
      <c r="C882">
        <v>29522.86</v>
      </c>
      <c r="D882">
        <v>29108.15</v>
      </c>
      <c r="E882">
        <v>29462.27</v>
      </c>
    </row>
    <row r="883" spans="1:5" hidden="1" x14ac:dyDescent="0.3">
      <c r="A883" s="1">
        <v>42055</v>
      </c>
      <c r="B883">
        <v>29446.21</v>
      </c>
      <c r="C883">
        <v>29462.09</v>
      </c>
      <c r="D883">
        <v>29178.26</v>
      </c>
      <c r="E883">
        <v>29231.41</v>
      </c>
    </row>
    <row r="884" spans="1:5" hidden="1" x14ac:dyDescent="0.3">
      <c r="A884" s="1">
        <v>42058</v>
      </c>
      <c r="B884">
        <v>29316.58</v>
      </c>
      <c r="C884">
        <v>29362.959999999999</v>
      </c>
      <c r="D884">
        <v>28913.16</v>
      </c>
      <c r="E884">
        <v>28975.11</v>
      </c>
    </row>
    <row r="885" spans="1:5" hidden="1" x14ac:dyDescent="0.3">
      <c r="A885" s="1">
        <v>42059</v>
      </c>
      <c r="B885">
        <v>29016.55</v>
      </c>
      <c r="C885">
        <v>29130.67</v>
      </c>
      <c r="D885">
        <v>28875.94</v>
      </c>
      <c r="E885">
        <v>29004.66</v>
      </c>
    </row>
    <row r="886" spans="1:5" hidden="1" x14ac:dyDescent="0.3">
      <c r="A886" s="1">
        <v>42060</v>
      </c>
      <c r="B886">
        <v>29115.32</v>
      </c>
      <c r="C886">
        <v>29269.83</v>
      </c>
      <c r="D886">
        <v>28967.61</v>
      </c>
      <c r="E886">
        <v>29007.99</v>
      </c>
    </row>
    <row r="887" spans="1:5" hidden="1" x14ac:dyDescent="0.3">
      <c r="A887" s="1">
        <v>42061</v>
      </c>
      <c r="B887">
        <v>29051.9</v>
      </c>
      <c r="C887">
        <v>29069.13</v>
      </c>
      <c r="D887">
        <v>28693.82</v>
      </c>
      <c r="E887">
        <v>28746.65</v>
      </c>
    </row>
    <row r="888" spans="1:5" hidden="1" x14ac:dyDescent="0.3">
      <c r="A888" s="1">
        <v>42062</v>
      </c>
      <c r="B888">
        <v>28865.119999999999</v>
      </c>
      <c r="C888">
        <v>29254.02</v>
      </c>
      <c r="D888">
        <v>28837.06</v>
      </c>
      <c r="E888">
        <v>29220.12</v>
      </c>
    </row>
    <row r="889" spans="1:5" hidden="1" x14ac:dyDescent="0.3">
      <c r="A889" s="1">
        <v>42063</v>
      </c>
      <c r="B889">
        <v>29411.33</v>
      </c>
      <c r="C889">
        <v>29560.32</v>
      </c>
      <c r="D889">
        <v>28882.02</v>
      </c>
      <c r="E889">
        <v>29361.5</v>
      </c>
    </row>
    <row r="890" spans="1:5" hidden="1" x14ac:dyDescent="0.3">
      <c r="A890" s="1">
        <v>42065</v>
      </c>
      <c r="B890">
        <v>29533.42</v>
      </c>
      <c r="C890">
        <v>29576.32</v>
      </c>
      <c r="D890">
        <v>29259.77</v>
      </c>
      <c r="E890">
        <v>29459.14</v>
      </c>
    </row>
    <row r="891" spans="1:5" hidden="1" x14ac:dyDescent="0.3">
      <c r="A891" s="1">
        <v>42066</v>
      </c>
      <c r="B891">
        <v>29500.19</v>
      </c>
      <c r="C891">
        <v>29636.86</v>
      </c>
      <c r="D891">
        <v>29364.87</v>
      </c>
      <c r="E891">
        <v>29593.73</v>
      </c>
    </row>
    <row r="892" spans="1:5" hidden="1" x14ac:dyDescent="0.3">
      <c r="A892" s="1">
        <v>42067</v>
      </c>
      <c r="B892">
        <v>29937.27</v>
      </c>
      <c r="C892">
        <v>30024.74</v>
      </c>
      <c r="D892">
        <v>29289.05</v>
      </c>
      <c r="E892">
        <v>29380.73</v>
      </c>
    </row>
    <row r="893" spans="1:5" hidden="1" x14ac:dyDescent="0.3">
      <c r="A893" s="1">
        <v>42068</v>
      </c>
      <c r="B893">
        <v>29436.77</v>
      </c>
      <c r="C893">
        <v>29518.32</v>
      </c>
      <c r="D893">
        <v>29162.47</v>
      </c>
      <c r="E893">
        <v>29448.95</v>
      </c>
    </row>
    <row r="894" spans="1:5" hidden="1" x14ac:dyDescent="0.3">
      <c r="A894" s="1">
        <v>42072</v>
      </c>
      <c r="B894">
        <v>29316.54</v>
      </c>
      <c r="C894">
        <v>29321.06</v>
      </c>
      <c r="D894">
        <v>28799.759999999998</v>
      </c>
      <c r="E894">
        <v>28844.78</v>
      </c>
    </row>
    <row r="895" spans="1:5" hidden="1" x14ac:dyDescent="0.3">
      <c r="A895" s="1">
        <v>42073</v>
      </c>
      <c r="B895">
        <v>28924.06</v>
      </c>
      <c r="C895">
        <v>28949.11</v>
      </c>
      <c r="D895">
        <v>28584.49</v>
      </c>
      <c r="E895">
        <v>28709.87</v>
      </c>
    </row>
    <row r="896" spans="1:5" hidden="1" x14ac:dyDescent="0.3">
      <c r="A896" s="1">
        <v>42074</v>
      </c>
      <c r="B896">
        <v>28725.75</v>
      </c>
      <c r="C896">
        <v>28843.23</v>
      </c>
      <c r="D896">
        <v>28608.18</v>
      </c>
      <c r="E896">
        <v>28659.17</v>
      </c>
    </row>
    <row r="897" spans="1:5" hidden="1" x14ac:dyDescent="0.3">
      <c r="A897" s="1">
        <v>42075</v>
      </c>
      <c r="B897">
        <v>28798.61</v>
      </c>
      <c r="C897">
        <v>28971.01</v>
      </c>
      <c r="D897">
        <v>28772.71</v>
      </c>
      <c r="E897">
        <v>28930.41</v>
      </c>
    </row>
    <row r="898" spans="1:5" hidden="1" x14ac:dyDescent="0.3">
      <c r="A898" s="1">
        <v>42076</v>
      </c>
      <c r="B898">
        <v>29134.93</v>
      </c>
      <c r="C898">
        <v>29183.759999999998</v>
      </c>
      <c r="D898">
        <v>28448.48</v>
      </c>
      <c r="E898">
        <v>28503.3</v>
      </c>
    </row>
    <row r="899" spans="1:5" hidden="1" x14ac:dyDescent="0.3">
      <c r="A899" s="1">
        <v>42079</v>
      </c>
      <c r="B899">
        <v>28546.31</v>
      </c>
      <c r="C899">
        <v>28581.82</v>
      </c>
      <c r="D899">
        <v>28384.09</v>
      </c>
      <c r="E899">
        <v>28437.71</v>
      </c>
    </row>
    <row r="900" spans="1:5" hidden="1" x14ac:dyDescent="0.3">
      <c r="A900" s="1">
        <v>42080</v>
      </c>
      <c r="B900">
        <v>28595</v>
      </c>
      <c r="C900">
        <v>28784.35</v>
      </c>
      <c r="D900">
        <v>28435.45</v>
      </c>
      <c r="E900">
        <v>28736.38</v>
      </c>
    </row>
    <row r="901" spans="1:5" hidden="1" x14ac:dyDescent="0.3">
      <c r="A901" s="1">
        <v>42081</v>
      </c>
      <c r="B901">
        <v>28766.87</v>
      </c>
      <c r="C901">
        <v>28806.97</v>
      </c>
      <c r="D901">
        <v>28546.76</v>
      </c>
      <c r="E901">
        <v>28622.12</v>
      </c>
    </row>
    <row r="902" spans="1:5" hidden="1" x14ac:dyDescent="0.3">
      <c r="A902" s="1">
        <v>42082</v>
      </c>
      <c r="B902">
        <v>28805.22</v>
      </c>
      <c r="C902">
        <v>28978.74</v>
      </c>
      <c r="D902">
        <v>28411.7</v>
      </c>
      <c r="E902">
        <v>28469.67</v>
      </c>
    </row>
    <row r="903" spans="1:5" hidden="1" x14ac:dyDescent="0.3">
      <c r="A903" s="1">
        <v>42083</v>
      </c>
      <c r="B903">
        <v>28465.439999999999</v>
      </c>
      <c r="C903">
        <v>28484.36</v>
      </c>
      <c r="D903">
        <v>28209.66</v>
      </c>
      <c r="E903">
        <v>28261.08</v>
      </c>
    </row>
    <row r="904" spans="1:5" hidden="1" x14ac:dyDescent="0.3">
      <c r="A904" s="1">
        <v>42086</v>
      </c>
      <c r="B904">
        <v>28317.29</v>
      </c>
      <c r="C904">
        <v>28385.14</v>
      </c>
      <c r="D904">
        <v>28163.9</v>
      </c>
      <c r="E904">
        <v>28192.02</v>
      </c>
    </row>
    <row r="905" spans="1:5" hidden="1" x14ac:dyDescent="0.3">
      <c r="A905" s="1">
        <v>42087</v>
      </c>
      <c r="B905">
        <v>28209.33</v>
      </c>
      <c r="C905">
        <v>28455.32</v>
      </c>
      <c r="D905">
        <v>28130.09</v>
      </c>
      <c r="E905">
        <v>28161.72</v>
      </c>
    </row>
    <row r="906" spans="1:5" hidden="1" x14ac:dyDescent="0.3">
      <c r="A906" s="1">
        <v>42088</v>
      </c>
      <c r="B906">
        <v>28216.09</v>
      </c>
      <c r="C906">
        <v>28249.599999999999</v>
      </c>
      <c r="D906">
        <v>28031.42</v>
      </c>
      <c r="E906">
        <v>28111.83</v>
      </c>
    </row>
    <row r="907" spans="1:5" hidden="1" x14ac:dyDescent="0.3">
      <c r="A907" s="1">
        <v>42089</v>
      </c>
      <c r="B907">
        <v>27937.62</v>
      </c>
      <c r="C907">
        <v>27997.14</v>
      </c>
      <c r="D907">
        <v>27384.87</v>
      </c>
      <c r="E907">
        <v>27457.58</v>
      </c>
    </row>
    <row r="908" spans="1:5" hidden="1" x14ac:dyDescent="0.3">
      <c r="A908" s="1">
        <v>42090</v>
      </c>
      <c r="B908">
        <v>27649.78</v>
      </c>
      <c r="C908">
        <v>27694.41</v>
      </c>
      <c r="D908">
        <v>27248.45</v>
      </c>
      <c r="E908">
        <v>27458.639999999999</v>
      </c>
    </row>
    <row r="909" spans="1:5" hidden="1" x14ac:dyDescent="0.3">
      <c r="A909" s="1">
        <v>42093</v>
      </c>
      <c r="B909">
        <v>27655.79</v>
      </c>
      <c r="C909">
        <v>28017.97</v>
      </c>
      <c r="D909">
        <v>27624.76</v>
      </c>
      <c r="E909">
        <v>27975.86</v>
      </c>
    </row>
    <row r="910" spans="1:5" hidden="1" x14ac:dyDescent="0.3">
      <c r="A910" s="1">
        <v>42094</v>
      </c>
      <c r="B910">
        <v>28069.85</v>
      </c>
      <c r="C910">
        <v>28180.639999999999</v>
      </c>
      <c r="D910">
        <v>27868.21</v>
      </c>
      <c r="E910">
        <v>27957.49</v>
      </c>
    </row>
    <row r="911" spans="1:5" hidden="1" x14ac:dyDescent="0.3">
      <c r="A911" s="1">
        <v>42095</v>
      </c>
      <c r="B911">
        <v>27954.86</v>
      </c>
      <c r="C911">
        <v>28298.34</v>
      </c>
      <c r="D911">
        <v>27889.02</v>
      </c>
      <c r="E911">
        <v>28260.14</v>
      </c>
    </row>
    <row r="912" spans="1:5" hidden="1" x14ac:dyDescent="0.3">
      <c r="A912" s="1">
        <v>42100</v>
      </c>
      <c r="B912">
        <v>28351.94</v>
      </c>
      <c r="C912">
        <v>28530.81</v>
      </c>
      <c r="D912">
        <v>28221.99</v>
      </c>
      <c r="E912">
        <v>28504.46</v>
      </c>
    </row>
    <row r="913" spans="1:5" hidden="1" x14ac:dyDescent="0.3">
      <c r="A913" s="1">
        <v>42101</v>
      </c>
      <c r="B913">
        <v>28582.33</v>
      </c>
      <c r="C913">
        <v>28641.08</v>
      </c>
      <c r="D913">
        <v>28274.36</v>
      </c>
      <c r="E913">
        <v>28516.59</v>
      </c>
    </row>
    <row r="914" spans="1:5" hidden="1" x14ac:dyDescent="0.3">
      <c r="A914" s="1">
        <v>42102</v>
      </c>
      <c r="B914">
        <v>28601.49</v>
      </c>
      <c r="C914">
        <v>28763.06</v>
      </c>
      <c r="D914">
        <v>28566.61</v>
      </c>
      <c r="E914">
        <v>28707.75</v>
      </c>
    </row>
    <row r="915" spans="1:5" hidden="1" x14ac:dyDescent="0.3">
      <c r="A915" s="1">
        <v>42103</v>
      </c>
      <c r="B915">
        <v>28858.42</v>
      </c>
      <c r="C915">
        <v>28906.71</v>
      </c>
      <c r="D915">
        <v>28622.44</v>
      </c>
      <c r="E915">
        <v>28885.21</v>
      </c>
    </row>
    <row r="916" spans="1:5" hidden="1" x14ac:dyDescent="0.3">
      <c r="A916" s="1">
        <v>42104</v>
      </c>
      <c r="B916">
        <v>28889.27</v>
      </c>
      <c r="C916">
        <v>28907.81</v>
      </c>
      <c r="D916">
        <v>28756.75</v>
      </c>
      <c r="E916">
        <v>28879.38</v>
      </c>
    </row>
    <row r="917" spans="1:5" hidden="1" x14ac:dyDescent="0.3">
      <c r="A917" s="1">
        <v>42107</v>
      </c>
      <c r="B917">
        <v>28955.13</v>
      </c>
      <c r="C917">
        <v>29072.51</v>
      </c>
      <c r="D917">
        <v>28843.94</v>
      </c>
      <c r="E917">
        <v>29044.44</v>
      </c>
    </row>
    <row r="918" spans="1:5" hidden="1" x14ac:dyDescent="0.3">
      <c r="A918" s="1">
        <v>42109</v>
      </c>
      <c r="B918">
        <v>29087.25</v>
      </c>
      <c r="C918">
        <v>29094.61</v>
      </c>
      <c r="D918">
        <v>28721.63</v>
      </c>
      <c r="E918">
        <v>28799.69</v>
      </c>
    </row>
    <row r="919" spans="1:5" hidden="1" x14ac:dyDescent="0.3">
      <c r="A919" s="1">
        <v>42110</v>
      </c>
      <c r="B919">
        <v>28876.23</v>
      </c>
      <c r="C919">
        <v>28876.23</v>
      </c>
      <c r="D919">
        <v>28497.7</v>
      </c>
      <c r="E919">
        <v>28666.04</v>
      </c>
    </row>
    <row r="920" spans="1:5" hidden="1" x14ac:dyDescent="0.3">
      <c r="A920" s="1">
        <v>42111</v>
      </c>
      <c r="B920">
        <v>28682.97</v>
      </c>
      <c r="C920">
        <v>28696.19</v>
      </c>
      <c r="D920">
        <v>28403.759999999998</v>
      </c>
      <c r="E920">
        <v>28442.1</v>
      </c>
    </row>
    <row r="921" spans="1:5" hidden="1" x14ac:dyDescent="0.3">
      <c r="A921" s="1">
        <v>42114</v>
      </c>
      <c r="B921">
        <v>28525.65</v>
      </c>
      <c r="C921">
        <v>28539.46</v>
      </c>
      <c r="D921">
        <v>27802.37</v>
      </c>
      <c r="E921">
        <v>27886.21</v>
      </c>
    </row>
    <row r="922" spans="1:5" hidden="1" x14ac:dyDescent="0.3">
      <c r="A922" s="1">
        <v>42115</v>
      </c>
      <c r="B922">
        <v>27860.51</v>
      </c>
      <c r="C922">
        <v>27976.93</v>
      </c>
      <c r="D922">
        <v>27598.21</v>
      </c>
      <c r="E922">
        <v>27676.04</v>
      </c>
    </row>
    <row r="923" spans="1:5" hidden="1" x14ac:dyDescent="0.3">
      <c r="A923" s="1">
        <v>42116</v>
      </c>
      <c r="B923">
        <v>27756.68</v>
      </c>
      <c r="C923">
        <v>27947.26</v>
      </c>
      <c r="D923">
        <v>27385.48</v>
      </c>
      <c r="E923">
        <v>27890.13</v>
      </c>
    </row>
    <row r="924" spans="1:5" hidden="1" x14ac:dyDescent="0.3">
      <c r="A924" s="1">
        <v>42117</v>
      </c>
      <c r="B924">
        <v>27977.27</v>
      </c>
      <c r="C924">
        <v>28087.78</v>
      </c>
      <c r="D924">
        <v>27621.18</v>
      </c>
      <c r="E924">
        <v>27735.02</v>
      </c>
    </row>
    <row r="925" spans="1:5" hidden="1" x14ac:dyDescent="0.3">
      <c r="A925" s="1">
        <v>42118</v>
      </c>
      <c r="B925">
        <v>27804.58</v>
      </c>
      <c r="C925">
        <v>27829.11</v>
      </c>
      <c r="D925">
        <v>27344.7</v>
      </c>
      <c r="E925">
        <v>27437.94</v>
      </c>
    </row>
    <row r="926" spans="1:5" hidden="1" x14ac:dyDescent="0.3">
      <c r="A926" s="1">
        <v>42121</v>
      </c>
      <c r="B926">
        <v>27565.49</v>
      </c>
      <c r="C926">
        <v>27567.279999999999</v>
      </c>
      <c r="D926">
        <v>27141.55</v>
      </c>
      <c r="E926">
        <v>27176.99</v>
      </c>
    </row>
    <row r="927" spans="1:5" hidden="1" x14ac:dyDescent="0.3">
      <c r="A927" s="1">
        <v>42122</v>
      </c>
      <c r="B927">
        <v>27215.61</v>
      </c>
      <c r="C927">
        <v>27482.14</v>
      </c>
      <c r="D927">
        <v>27073.25</v>
      </c>
      <c r="E927">
        <v>27396.38</v>
      </c>
    </row>
    <row r="928" spans="1:5" hidden="1" x14ac:dyDescent="0.3">
      <c r="A928" s="1">
        <v>42123</v>
      </c>
      <c r="B928">
        <v>27395.71</v>
      </c>
      <c r="C928">
        <v>27438.959999999999</v>
      </c>
      <c r="D928">
        <v>27176.54</v>
      </c>
      <c r="E928">
        <v>27225.93</v>
      </c>
    </row>
    <row r="929" spans="1:5" hidden="1" x14ac:dyDescent="0.3">
      <c r="A929" s="1">
        <v>42124</v>
      </c>
      <c r="B929">
        <v>27242.05</v>
      </c>
      <c r="C929">
        <v>27242.05</v>
      </c>
      <c r="D929">
        <v>26897.54</v>
      </c>
      <c r="E929">
        <v>27011.31</v>
      </c>
    </row>
    <row r="930" spans="1:5" hidden="1" x14ac:dyDescent="0.3">
      <c r="A930" s="1">
        <v>42128</v>
      </c>
      <c r="B930">
        <v>27204.63</v>
      </c>
      <c r="C930">
        <v>27537.85</v>
      </c>
      <c r="D930">
        <v>27159.45</v>
      </c>
      <c r="E930">
        <v>27490.59</v>
      </c>
    </row>
    <row r="931" spans="1:5" hidden="1" x14ac:dyDescent="0.3">
      <c r="A931" s="1">
        <v>42129</v>
      </c>
      <c r="B931">
        <v>27561.32</v>
      </c>
      <c r="C931">
        <v>27603.71</v>
      </c>
      <c r="D931">
        <v>27338.23</v>
      </c>
      <c r="E931">
        <v>27440.14</v>
      </c>
    </row>
    <row r="932" spans="1:5" hidden="1" x14ac:dyDescent="0.3">
      <c r="A932" s="1">
        <v>42130</v>
      </c>
      <c r="B932">
        <v>27473.360000000001</v>
      </c>
      <c r="C932">
        <v>27501.15</v>
      </c>
      <c r="D932">
        <v>26677.64</v>
      </c>
      <c r="E932">
        <v>26717.37</v>
      </c>
    </row>
    <row r="933" spans="1:5" hidden="1" x14ac:dyDescent="0.3">
      <c r="A933" s="1">
        <v>42131</v>
      </c>
      <c r="B933">
        <v>26721.34</v>
      </c>
      <c r="C933">
        <v>26850.37</v>
      </c>
      <c r="D933">
        <v>26423.99</v>
      </c>
      <c r="E933">
        <v>26599.11</v>
      </c>
    </row>
    <row r="934" spans="1:5" hidden="1" x14ac:dyDescent="0.3">
      <c r="A934" s="1">
        <v>42132</v>
      </c>
      <c r="B934">
        <v>26814.38</v>
      </c>
      <c r="C934">
        <v>27196.28</v>
      </c>
      <c r="D934">
        <v>26814.38</v>
      </c>
      <c r="E934">
        <v>27105.39</v>
      </c>
    </row>
    <row r="935" spans="1:5" hidden="1" x14ac:dyDescent="0.3">
      <c r="A935" s="1">
        <v>42135</v>
      </c>
      <c r="B935">
        <v>27249.42</v>
      </c>
      <c r="C935">
        <v>27544.240000000002</v>
      </c>
      <c r="D935">
        <v>27231.279999999999</v>
      </c>
      <c r="E935">
        <v>27507.3</v>
      </c>
    </row>
    <row r="936" spans="1:5" hidden="1" x14ac:dyDescent="0.3">
      <c r="A936" s="1">
        <v>42136</v>
      </c>
      <c r="B936">
        <v>27502.91</v>
      </c>
      <c r="C936">
        <v>27502.91</v>
      </c>
      <c r="D936">
        <v>26837.39</v>
      </c>
      <c r="E936">
        <v>26877.48</v>
      </c>
    </row>
    <row r="937" spans="1:5" hidden="1" x14ac:dyDescent="0.3">
      <c r="A937" s="1">
        <v>42137</v>
      </c>
      <c r="B937">
        <v>27023.71</v>
      </c>
      <c r="C937">
        <v>27299.8</v>
      </c>
      <c r="D937">
        <v>26750.01</v>
      </c>
      <c r="E937">
        <v>27251.1</v>
      </c>
    </row>
    <row r="938" spans="1:5" hidden="1" x14ac:dyDescent="0.3">
      <c r="A938" s="1">
        <v>42138</v>
      </c>
      <c r="B938">
        <v>27290.17</v>
      </c>
      <c r="C938">
        <v>27293.99</v>
      </c>
      <c r="D938">
        <v>26948.62</v>
      </c>
      <c r="E938">
        <v>27206.06</v>
      </c>
    </row>
    <row r="939" spans="1:5" hidden="1" x14ac:dyDescent="0.3">
      <c r="A939" s="1">
        <v>42139</v>
      </c>
      <c r="B939">
        <v>27233.9</v>
      </c>
      <c r="C939">
        <v>27379.57</v>
      </c>
      <c r="D939">
        <v>27159.759999999998</v>
      </c>
      <c r="E939">
        <v>27324</v>
      </c>
    </row>
    <row r="940" spans="1:5" hidden="1" x14ac:dyDescent="0.3">
      <c r="A940" s="1">
        <v>42142</v>
      </c>
      <c r="B940">
        <v>27416.97</v>
      </c>
      <c r="C940">
        <v>27725.97</v>
      </c>
      <c r="D940">
        <v>27370.28</v>
      </c>
      <c r="E940">
        <v>27687.3</v>
      </c>
    </row>
    <row r="941" spans="1:5" hidden="1" x14ac:dyDescent="0.3">
      <c r="A941" s="1">
        <v>42143</v>
      </c>
      <c r="B941">
        <v>27663.08</v>
      </c>
      <c r="C941">
        <v>27872.23</v>
      </c>
      <c r="D941">
        <v>27574.07</v>
      </c>
      <c r="E941">
        <v>27645.53</v>
      </c>
    </row>
    <row r="942" spans="1:5" hidden="1" x14ac:dyDescent="0.3">
      <c r="A942" s="1">
        <v>42144</v>
      </c>
      <c r="B942">
        <v>27749.3</v>
      </c>
      <c r="C942">
        <v>27903.01</v>
      </c>
      <c r="D942">
        <v>27743.99</v>
      </c>
      <c r="E942">
        <v>27837.21</v>
      </c>
    </row>
    <row r="943" spans="1:5" hidden="1" x14ac:dyDescent="0.3">
      <c r="A943" s="1">
        <v>42145</v>
      </c>
      <c r="B943">
        <v>27885.360000000001</v>
      </c>
      <c r="C943">
        <v>27911.439999999999</v>
      </c>
      <c r="D943">
        <v>27712.73</v>
      </c>
      <c r="E943">
        <v>27809.35</v>
      </c>
    </row>
    <row r="944" spans="1:5" hidden="1" x14ac:dyDescent="0.3">
      <c r="A944" s="1">
        <v>42146</v>
      </c>
      <c r="B944">
        <v>27849.54</v>
      </c>
      <c r="C944">
        <v>28071.16</v>
      </c>
      <c r="D944">
        <v>27828.61</v>
      </c>
      <c r="E944">
        <v>27957.5</v>
      </c>
    </row>
    <row r="945" spans="1:5" hidden="1" x14ac:dyDescent="0.3">
      <c r="A945" s="1">
        <v>42149</v>
      </c>
      <c r="B945">
        <v>27893.25</v>
      </c>
      <c r="C945">
        <v>27903.29</v>
      </c>
      <c r="D945">
        <v>27614.32</v>
      </c>
      <c r="E945">
        <v>27643.88</v>
      </c>
    </row>
    <row r="946" spans="1:5" hidden="1" x14ac:dyDescent="0.3">
      <c r="A946" s="1">
        <v>42150</v>
      </c>
      <c r="B946">
        <v>27633.66</v>
      </c>
      <c r="C946">
        <v>27675.94</v>
      </c>
      <c r="D946">
        <v>27473.54</v>
      </c>
      <c r="E946">
        <v>27531.41</v>
      </c>
    </row>
    <row r="947" spans="1:5" hidden="1" x14ac:dyDescent="0.3">
      <c r="A947" s="1">
        <v>42151</v>
      </c>
      <c r="B947">
        <v>27447.4</v>
      </c>
      <c r="C947">
        <v>27595.8</v>
      </c>
      <c r="D947">
        <v>27363.72</v>
      </c>
      <c r="E947">
        <v>27564.66</v>
      </c>
    </row>
    <row r="948" spans="1:5" hidden="1" x14ac:dyDescent="0.3">
      <c r="A948" s="1">
        <v>42152</v>
      </c>
      <c r="B948">
        <v>27619.31</v>
      </c>
      <c r="C948">
        <v>27666.37</v>
      </c>
      <c r="D948">
        <v>27354.35</v>
      </c>
      <c r="E948">
        <v>27506.71</v>
      </c>
    </row>
    <row r="949" spans="1:5" hidden="1" x14ac:dyDescent="0.3">
      <c r="A949" s="1">
        <v>42153</v>
      </c>
      <c r="B949">
        <v>27553.03</v>
      </c>
      <c r="C949">
        <v>27888.32</v>
      </c>
      <c r="D949">
        <v>27467.23</v>
      </c>
      <c r="E949">
        <v>27828.44</v>
      </c>
    </row>
    <row r="950" spans="1:5" hidden="1" x14ac:dyDescent="0.3">
      <c r="A950" s="1">
        <v>42156</v>
      </c>
      <c r="B950">
        <v>27770.79</v>
      </c>
      <c r="C950">
        <v>27959.43</v>
      </c>
      <c r="D950">
        <v>27737.58</v>
      </c>
      <c r="E950">
        <v>27848.99</v>
      </c>
    </row>
    <row r="951" spans="1:5" hidden="1" x14ac:dyDescent="0.3">
      <c r="A951" s="1">
        <v>42157</v>
      </c>
      <c r="B951">
        <v>27890.73</v>
      </c>
      <c r="C951">
        <v>27902.53</v>
      </c>
      <c r="D951">
        <v>27146.68</v>
      </c>
      <c r="E951">
        <v>27188.38</v>
      </c>
    </row>
    <row r="952" spans="1:5" hidden="1" x14ac:dyDescent="0.3">
      <c r="A952" s="1">
        <v>42158</v>
      </c>
      <c r="B952">
        <v>27230.68</v>
      </c>
      <c r="C952">
        <v>27276.22</v>
      </c>
      <c r="D952">
        <v>26698.26</v>
      </c>
      <c r="E952">
        <v>26837.200000000001</v>
      </c>
    </row>
    <row r="953" spans="1:5" hidden="1" x14ac:dyDescent="0.3">
      <c r="A953" s="1">
        <v>42159</v>
      </c>
      <c r="B953">
        <v>26940.639999999999</v>
      </c>
      <c r="C953">
        <v>26948.84</v>
      </c>
      <c r="D953">
        <v>26551.97</v>
      </c>
      <c r="E953">
        <v>26813.42</v>
      </c>
    </row>
    <row r="954" spans="1:5" hidden="1" x14ac:dyDescent="0.3">
      <c r="A954" s="1">
        <v>42160</v>
      </c>
      <c r="B954">
        <v>26819.82</v>
      </c>
      <c r="C954">
        <v>27014.42</v>
      </c>
      <c r="D954">
        <v>26718.44</v>
      </c>
      <c r="E954">
        <v>26768.49</v>
      </c>
    </row>
    <row r="955" spans="1:5" hidden="1" x14ac:dyDescent="0.3">
      <c r="A955" s="1">
        <v>42163</v>
      </c>
      <c r="B955">
        <v>26814.31</v>
      </c>
      <c r="C955">
        <v>26827.06</v>
      </c>
      <c r="D955">
        <v>26472.87</v>
      </c>
      <c r="E955">
        <v>26523.09</v>
      </c>
    </row>
    <row r="956" spans="1:5" hidden="1" x14ac:dyDescent="0.3">
      <c r="A956" s="1">
        <v>42164</v>
      </c>
      <c r="B956">
        <v>26510.29</v>
      </c>
      <c r="C956">
        <v>26604.65</v>
      </c>
      <c r="D956">
        <v>26438.32</v>
      </c>
      <c r="E956">
        <v>26481.25</v>
      </c>
    </row>
    <row r="957" spans="1:5" hidden="1" x14ac:dyDescent="0.3">
      <c r="A957" s="1">
        <v>42165</v>
      </c>
      <c r="B957">
        <v>26517.32</v>
      </c>
      <c r="C957">
        <v>26934.74</v>
      </c>
      <c r="D957">
        <v>26493.29</v>
      </c>
      <c r="E957">
        <v>26840.5</v>
      </c>
    </row>
    <row r="958" spans="1:5" hidden="1" x14ac:dyDescent="0.3">
      <c r="A958" s="1">
        <v>42166</v>
      </c>
      <c r="B958">
        <v>26959.98</v>
      </c>
      <c r="C958">
        <v>27000.14</v>
      </c>
      <c r="D958">
        <v>26348.93</v>
      </c>
      <c r="E958">
        <v>26370.98</v>
      </c>
    </row>
    <row r="959" spans="1:5" hidden="1" x14ac:dyDescent="0.3">
      <c r="A959" s="1">
        <v>42167</v>
      </c>
      <c r="B959">
        <v>26340.32</v>
      </c>
      <c r="C959">
        <v>26489.58</v>
      </c>
      <c r="D959">
        <v>26307.07</v>
      </c>
      <c r="E959">
        <v>26425.3</v>
      </c>
    </row>
    <row r="960" spans="1:5" hidden="1" x14ac:dyDescent="0.3">
      <c r="A960" s="1">
        <v>42170</v>
      </c>
      <c r="B960">
        <v>26498.67</v>
      </c>
      <c r="C960">
        <v>26728.6</v>
      </c>
      <c r="D960">
        <v>26307.84</v>
      </c>
      <c r="E960">
        <v>26586.55</v>
      </c>
    </row>
    <row r="961" spans="1:5" hidden="1" x14ac:dyDescent="0.3">
      <c r="A961" s="1">
        <v>42171</v>
      </c>
      <c r="B961">
        <v>26586.86</v>
      </c>
      <c r="C961">
        <v>26731.35</v>
      </c>
      <c r="D961">
        <v>26379.93</v>
      </c>
      <c r="E961">
        <v>26686.51</v>
      </c>
    </row>
    <row r="962" spans="1:5" hidden="1" x14ac:dyDescent="0.3">
      <c r="A962" s="1">
        <v>42172</v>
      </c>
      <c r="B962">
        <v>26815.41</v>
      </c>
      <c r="C962">
        <v>26983.48</v>
      </c>
      <c r="D962">
        <v>26728.89</v>
      </c>
      <c r="E962">
        <v>26832.66</v>
      </c>
    </row>
    <row r="963" spans="1:5" hidden="1" x14ac:dyDescent="0.3">
      <c r="A963" s="1">
        <v>42173</v>
      </c>
      <c r="B963">
        <v>26916.99</v>
      </c>
      <c r="C963">
        <v>27175.39</v>
      </c>
      <c r="D963">
        <v>26910.26</v>
      </c>
      <c r="E963">
        <v>27115.83</v>
      </c>
    </row>
    <row r="964" spans="1:5" hidden="1" x14ac:dyDescent="0.3">
      <c r="A964" s="1">
        <v>42174</v>
      </c>
      <c r="B964">
        <v>27207.759999999998</v>
      </c>
      <c r="C964">
        <v>27404.6</v>
      </c>
      <c r="D964">
        <v>27202.38</v>
      </c>
      <c r="E964">
        <v>27316.17</v>
      </c>
    </row>
    <row r="965" spans="1:5" hidden="1" x14ac:dyDescent="0.3">
      <c r="A965" s="1">
        <v>42177</v>
      </c>
      <c r="B965">
        <v>27427.19</v>
      </c>
      <c r="C965">
        <v>27782.31</v>
      </c>
      <c r="D965">
        <v>27417.03</v>
      </c>
      <c r="E965">
        <v>27730.21</v>
      </c>
    </row>
    <row r="966" spans="1:5" hidden="1" x14ac:dyDescent="0.3">
      <c r="A966" s="1">
        <v>42178</v>
      </c>
      <c r="B966">
        <v>27760.11</v>
      </c>
      <c r="C966">
        <v>27882.66</v>
      </c>
      <c r="D966">
        <v>27666.59</v>
      </c>
      <c r="E966">
        <v>27804.37</v>
      </c>
    </row>
    <row r="967" spans="1:5" hidden="1" x14ac:dyDescent="0.3">
      <c r="A967" s="1">
        <v>42179</v>
      </c>
      <c r="B967">
        <v>27852.32</v>
      </c>
      <c r="C967">
        <v>27948.240000000002</v>
      </c>
      <c r="D967">
        <v>27647.29</v>
      </c>
      <c r="E967">
        <v>27729.67</v>
      </c>
    </row>
    <row r="968" spans="1:5" hidden="1" x14ac:dyDescent="0.3">
      <c r="A968" s="1">
        <v>42180</v>
      </c>
      <c r="B968">
        <v>27660.22</v>
      </c>
      <c r="C968">
        <v>27968.75</v>
      </c>
      <c r="D968">
        <v>27635.759999999998</v>
      </c>
      <c r="E968">
        <v>27895.97</v>
      </c>
    </row>
    <row r="969" spans="1:5" hidden="1" x14ac:dyDescent="0.3">
      <c r="A969" s="1">
        <v>42181</v>
      </c>
      <c r="B969">
        <v>27880.720000000001</v>
      </c>
      <c r="C969">
        <v>27921.86</v>
      </c>
      <c r="D969">
        <v>27675.16</v>
      </c>
      <c r="E969">
        <v>27811.84</v>
      </c>
    </row>
    <row r="970" spans="1:5" hidden="1" x14ac:dyDescent="0.3">
      <c r="A970" s="1">
        <v>42184</v>
      </c>
      <c r="B970">
        <v>27451.07</v>
      </c>
      <c r="C970">
        <v>27695.32</v>
      </c>
      <c r="D970">
        <v>27209.19</v>
      </c>
      <c r="E970">
        <v>27645.15</v>
      </c>
    </row>
    <row r="971" spans="1:5" hidden="1" x14ac:dyDescent="0.3">
      <c r="A971" s="1">
        <v>42185</v>
      </c>
      <c r="B971">
        <v>27627.39</v>
      </c>
      <c r="C971">
        <v>27814.53</v>
      </c>
      <c r="D971">
        <v>27570.95</v>
      </c>
      <c r="E971">
        <v>27780.83</v>
      </c>
    </row>
    <row r="972" spans="1:5" hidden="1" x14ac:dyDescent="0.3">
      <c r="A972" s="1">
        <v>42186</v>
      </c>
      <c r="B972">
        <v>27823.65</v>
      </c>
      <c r="C972">
        <v>28099.25</v>
      </c>
      <c r="D972">
        <v>27799.91</v>
      </c>
      <c r="E972">
        <v>28020.87</v>
      </c>
    </row>
    <row r="973" spans="1:5" hidden="1" x14ac:dyDescent="0.3">
      <c r="A973" s="1">
        <v>42187</v>
      </c>
      <c r="B973">
        <v>28100.38</v>
      </c>
      <c r="C973">
        <v>28115.96</v>
      </c>
      <c r="D973">
        <v>27906.35</v>
      </c>
      <c r="E973">
        <v>27945.8</v>
      </c>
    </row>
    <row r="974" spans="1:5" hidden="1" x14ac:dyDescent="0.3">
      <c r="A974" s="1">
        <v>42188</v>
      </c>
      <c r="B974">
        <v>27973.119999999999</v>
      </c>
      <c r="C974">
        <v>28135.43</v>
      </c>
      <c r="D974">
        <v>27897.45</v>
      </c>
      <c r="E974">
        <v>28092.79</v>
      </c>
    </row>
    <row r="975" spans="1:5" hidden="1" x14ac:dyDescent="0.3">
      <c r="A975" s="1">
        <v>42191</v>
      </c>
      <c r="B975">
        <v>27857.200000000001</v>
      </c>
      <c r="C975">
        <v>28235.31</v>
      </c>
      <c r="D975">
        <v>27774.799999999999</v>
      </c>
      <c r="E975">
        <v>28208.76</v>
      </c>
    </row>
    <row r="976" spans="1:5" hidden="1" x14ac:dyDescent="0.3">
      <c r="A976" s="1">
        <v>42192</v>
      </c>
      <c r="B976">
        <v>28220.11</v>
      </c>
      <c r="C976">
        <v>28335.23</v>
      </c>
      <c r="D976">
        <v>28084.36</v>
      </c>
      <c r="E976">
        <v>28171.69</v>
      </c>
    </row>
    <row r="977" spans="1:5" hidden="1" x14ac:dyDescent="0.3">
      <c r="A977" s="1">
        <v>42193</v>
      </c>
      <c r="B977">
        <v>28031.45</v>
      </c>
      <c r="C977">
        <v>28031.45</v>
      </c>
      <c r="D977">
        <v>27635.72</v>
      </c>
      <c r="E977">
        <v>27687.72</v>
      </c>
    </row>
    <row r="978" spans="1:5" hidden="1" x14ac:dyDescent="0.3">
      <c r="A978" s="1">
        <v>42194</v>
      </c>
      <c r="B978">
        <v>27681.49</v>
      </c>
      <c r="C978">
        <v>27798.13</v>
      </c>
      <c r="D978">
        <v>27540.6</v>
      </c>
      <c r="E978">
        <v>27573.66</v>
      </c>
    </row>
    <row r="979" spans="1:5" hidden="1" x14ac:dyDescent="0.3">
      <c r="A979" s="1">
        <v>42195</v>
      </c>
      <c r="B979">
        <v>27705.360000000001</v>
      </c>
      <c r="C979">
        <v>27729.46</v>
      </c>
      <c r="D979">
        <v>27530.9</v>
      </c>
      <c r="E979">
        <v>27661.4</v>
      </c>
    </row>
    <row r="980" spans="1:5" hidden="1" x14ac:dyDescent="0.3">
      <c r="A980" s="1">
        <v>42198</v>
      </c>
      <c r="B980">
        <v>27739.32</v>
      </c>
      <c r="C980">
        <v>28005.17</v>
      </c>
      <c r="D980">
        <v>27635.06</v>
      </c>
      <c r="E980">
        <v>27961.19</v>
      </c>
    </row>
    <row r="981" spans="1:5" hidden="1" x14ac:dyDescent="0.3">
      <c r="A981" s="1">
        <v>42199</v>
      </c>
      <c r="B981">
        <v>27986.92</v>
      </c>
      <c r="C981">
        <v>28018.59</v>
      </c>
      <c r="D981">
        <v>27853.96</v>
      </c>
      <c r="E981">
        <v>27932.9</v>
      </c>
    </row>
    <row r="982" spans="1:5" hidden="1" x14ac:dyDescent="0.3">
      <c r="A982" s="1">
        <v>42200</v>
      </c>
      <c r="B982">
        <v>28022.14</v>
      </c>
      <c r="C982">
        <v>28218.37</v>
      </c>
      <c r="D982">
        <v>27986.48</v>
      </c>
      <c r="E982">
        <v>28198.29</v>
      </c>
    </row>
    <row r="983" spans="1:5" hidden="1" x14ac:dyDescent="0.3">
      <c r="A983" s="1">
        <v>42201</v>
      </c>
      <c r="B983">
        <v>28259.7</v>
      </c>
      <c r="C983">
        <v>28478.43</v>
      </c>
      <c r="D983">
        <v>28245.81</v>
      </c>
      <c r="E983">
        <v>28446.12</v>
      </c>
    </row>
    <row r="984" spans="1:5" hidden="1" x14ac:dyDescent="0.3">
      <c r="A984" s="1">
        <v>42202</v>
      </c>
      <c r="B984">
        <v>28480.92</v>
      </c>
      <c r="C984">
        <v>28576.32</v>
      </c>
      <c r="D984">
        <v>28417.46</v>
      </c>
      <c r="E984">
        <v>28463.31</v>
      </c>
    </row>
    <row r="985" spans="1:5" hidden="1" x14ac:dyDescent="0.3">
      <c r="A985" s="1">
        <v>42205</v>
      </c>
      <c r="B985">
        <v>28544.28</v>
      </c>
      <c r="C985">
        <v>28549.13</v>
      </c>
      <c r="D985">
        <v>28319.83</v>
      </c>
      <c r="E985">
        <v>28420.12</v>
      </c>
    </row>
    <row r="986" spans="1:5" hidden="1" x14ac:dyDescent="0.3">
      <c r="A986" s="1">
        <v>42206</v>
      </c>
      <c r="B986">
        <v>28381.82</v>
      </c>
      <c r="C986">
        <v>28518.06</v>
      </c>
      <c r="D986">
        <v>28138.3</v>
      </c>
      <c r="E986">
        <v>28182.14</v>
      </c>
    </row>
    <row r="987" spans="1:5" hidden="1" x14ac:dyDescent="0.3">
      <c r="A987" s="1">
        <v>42207</v>
      </c>
      <c r="B987">
        <v>28159.42</v>
      </c>
      <c r="C987">
        <v>28546.42</v>
      </c>
      <c r="D987">
        <v>28070.91</v>
      </c>
      <c r="E987">
        <v>28504.93</v>
      </c>
    </row>
    <row r="988" spans="1:5" hidden="1" x14ac:dyDescent="0.3">
      <c r="A988" s="1">
        <v>42208</v>
      </c>
      <c r="B988">
        <v>28540.97</v>
      </c>
      <c r="C988">
        <v>28578.33</v>
      </c>
      <c r="D988">
        <v>28315.37</v>
      </c>
      <c r="E988">
        <v>28370.84</v>
      </c>
    </row>
    <row r="989" spans="1:5" hidden="1" x14ac:dyDescent="0.3">
      <c r="A989" s="1">
        <v>42209</v>
      </c>
      <c r="B989">
        <v>28390.5</v>
      </c>
      <c r="C989">
        <v>28402.639999999999</v>
      </c>
      <c r="D989">
        <v>28083.759999999998</v>
      </c>
      <c r="E989">
        <v>28112.31</v>
      </c>
    </row>
    <row r="990" spans="1:5" hidden="1" x14ac:dyDescent="0.3">
      <c r="A990" s="1">
        <v>42212</v>
      </c>
      <c r="B990">
        <v>28117.65</v>
      </c>
      <c r="C990">
        <v>28117.65</v>
      </c>
      <c r="D990">
        <v>27529.57</v>
      </c>
      <c r="E990">
        <v>27561.38</v>
      </c>
    </row>
    <row r="991" spans="1:5" hidden="1" x14ac:dyDescent="0.3">
      <c r="A991" s="1">
        <v>42213</v>
      </c>
      <c r="B991">
        <v>27630.21</v>
      </c>
      <c r="C991">
        <v>27676.65</v>
      </c>
      <c r="D991">
        <v>27416.39</v>
      </c>
      <c r="E991">
        <v>27459.23</v>
      </c>
    </row>
    <row r="992" spans="1:5" hidden="1" x14ac:dyDescent="0.3">
      <c r="A992" s="1">
        <v>42214</v>
      </c>
      <c r="B992">
        <v>27540.46</v>
      </c>
      <c r="C992">
        <v>27609.29</v>
      </c>
      <c r="D992">
        <v>27470.09</v>
      </c>
      <c r="E992">
        <v>27563.43</v>
      </c>
    </row>
    <row r="993" spans="1:5" hidden="1" x14ac:dyDescent="0.3">
      <c r="A993" s="1">
        <v>42215</v>
      </c>
      <c r="B993">
        <v>27685.82</v>
      </c>
      <c r="C993">
        <v>27854.46</v>
      </c>
      <c r="D993">
        <v>27649.97</v>
      </c>
      <c r="E993">
        <v>27705.35</v>
      </c>
    </row>
    <row r="994" spans="1:5" hidden="1" x14ac:dyDescent="0.3">
      <c r="A994" s="1">
        <v>42216</v>
      </c>
      <c r="B994">
        <v>27814.51</v>
      </c>
      <c r="C994">
        <v>28161.17</v>
      </c>
      <c r="D994">
        <v>27814.51</v>
      </c>
      <c r="E994">
        <v>28114.560000000001</v>
      </c>
    </row>
    <row r="995" spans="1:5" hidden="1" x14ac:dyDescent="0.3">
      <c r="A995" s="1">
        <v>42219</v>
      </c>
      <c r="B995">
        <v>28089.09</v>
      </c>
      <c r="C995">
        <v>28263.35</v>
      </c>
      <c r="D995">
        <v>28071.37</v>
      </c>
      <c r="E995">
        <v>28187.06</v>
      </c>
    </row>
    <row r="996" spans="1:5" hidden="1" x14ac:dyDescent="0.3">
      <c r="A996" s="1">
        <v>42220</v>
      </c>
      <c r="B996">
        <v>28225.040000000001</v>
      </c>
      <c r="C996">
        <v>28264.720000000001</v>
      </c>
      <c r="D996">
        <v>27866.12</v>
      </c>
      <c r="E996">
        <v>28071.93</v>
      </c>
    </row>
    <row r="997" spans="1:5" hidden="1" x14ac:dyDescent="0.3">
      <c r="A997" s="1">
        <v>42221</v>
      </c>
      <c r="B997">
        <v>28138.04</v>
      </c>
      <c r="C997">
        <v>28315.71</v>
      </c>
      <c r="D997">
        <v>28135.68</v>
      </c>
      <c r="E997">
        <v>28223.08</v>
      </c>
    </row>
    <row r="998" spans="1:5" hidden="1" x14ac:dyDescent="0.3">
      <c r="A998" s="1">
        <v>42222</v>
      </c>
      <c r="B998">
        <v>28291.88</v>
      </c>
      <c r="C998">
        <v>28359.96</v>
      </c>
      <c r="D998">
        <v>28163.69</v>
      </c>
      <c r="E998">
        <v>28298.13</v>
      </c>
    </row>
    <row r="999" spans="1:5" hidden="1" x14ac:dyDescent="0.3">
      <c r="A999" s="1">
        <v>42223</v>
      </c>
      <c r="B999">
        <v>28327.11</v>
      </c>
      <c r="C999">
        <v>28335.67</v>
      </c>
      <c r="D999">
        <v>28193.93</v>
      </c>
      <c r="E999">
        <v>28236.39</v>
      </c>
    </row>
    <row r="1000" spans="1:5" hidden="1" x14ac:dyDescent="0.3">
      <c r="A1000" s="1">
        <v>42226</v>
      </c>
      <c r="B1000">
        <v>28250.78</v>
      </c>
      <c r="C1000">
        <v>28417.59</v>
      </c>
      <c r="D1000">
        <v>28017.85</v>
      </c>
      <c r="E1000">
        <v>28101.72</v>
      </c>
    </row>
    <row r="1001" spans="1:5" hidden="1" x14ac:dyDescent="0.3">
      <c r="A1001" s="1">
        <v>42227</v>
      </c>
      <c r="B1001">
        <v>28193.26</v>
      </c>
      <c r="C1001">
        <v>28205.119999999999</v>
      </c>
      <c r="D1001">
        <v>27825.83</v>
      </c>
      <c r="E1001">
        <v>27866.09</v>
      </c>
    </row>
    <row r="1002" spans="1:5" hidden="1" x14ac:dyDescent="0.3">
      <c r="A1002" s="1">
        <v>42228</v>
      </c>
      <c r="B1002">
        <v>27880.76</v>
      </c>
      <c r="C1002">
        <v>27883.33</v>
      </c>
      <c r="D1002">
        <v>27479.43</v>
      </c>
      <c r="E1002">
        <v>27512.26</v>
      </c>
    </row>
    <row r="1003" spans="1:5" hidden="1" x14ac:dyDescent="0.3">
      <c r="A1003" s="1">
        <v>42229</v>
      </c>
      <c r="B1003">
        <v>27635.25</v>
      </c>
      <c r="C1003">
        <v>27791.1</v>
      </c>
      <c r="D1003">
        <v>27496.29</v>
      </c>
      <c r="E1003">
        <v>27549.53</v>
      </c>
    </row>
    <row r="1004" spans="1:5" hidden="1" x14ac:dyDescent="0.3">
      <c r="A1004" s="1">
        <v>42230</v>
      </c>
      <c r="B1004">
        <v>27668.06</v>
      </c>
      <c r="C1004">
        <v>28100.639999999999</v>
      </c>
      <c r="D1004">
        <v>27643.200000000001</v>
      </c>
      <c r="E1004">
        <v>28067.31</v>
      </c>
    </row>
    <row r="1005" spans="1:5" hidden="1" x14ac:dyDescent="0.3">
      <c r="A1005" s="1">
        <v>42233</v>
      </c>
      <c r="B1005">
        <v>28093.54</v>
      </c>
      <c r="C1005">
        <v>28095.97</v>
      </c>
      <c r="D1005">
        <v>27739.13</v>
      </c>
      <c r="E1005">
        <v>27878.27</v>
      </c>
    </row>
    <row r="1006" spans="1:5" hidden="1" x14ac:dyDescent="0.3">
      <c r="A1006" s="1">
        <v>42234</v>
      </c>
      <c r="B1006">
        <v>27949.13</v>
      </c>
      <c r="C1006">
        <v>28040.73</v>
      </c>
      <c r="D1006">
        <v>27747.4</v>
      </c>
      <c r="E1006">
        <v>27831.54</v>
      </c>
    </row>
    <row r="1007" spans="1:5" hidden="1" x14ac:dyDescent="0.3">
      <c r="A1007" s="1">
        <v>42235</v>
      </c>
      <c r="B1007">
        <v>27851.81</v>
      </c>
      <c r="C1007">
        <v>28021.39</v>
      </c>
      <c r="D1007">
        <v>27721.25</v>
      </c>
      <c r="E1007">
        <v>27931.64</v>
      </c>
    </row>
    <row r="1008" spans="1:5" hidden="1" x14ac:dyDescent="0.3">
      <c r="A1008" s="1">
        <v>42236</v>
      </c>
      <c r="B1008">
        <v>27959.19</v>
      </c>
      <c r="C1008">
        <v>27964.6</v>
      </c>
      <c r="D1008">
        <v>27564.16</v>
      </c>
      <c r="E1008">
        <v>27607.82</v>
      </c>
    </row>
    <row r="1009" spans="1:5" hidden="1" x14ac:dyDescent="0.3">
      <c r="A1009" s="1">
        <v>42237</v>
      </c>
      <c r="B1009">
        <v>27440.1</v>
      </c>
      <c r="C1009">
        <v>27442.82</v>
      </c>
      <c r="D1009">
        <v>27131.439999999999</v>
      </c>
      <c r="E1009">
        <v>27366.07</v>
      </c>
    </row>
    <row r="1010" spans="1:5" hidden="1" x14ac:dyDescent="0.3">
      <c r="A1010" s="1">
        <v>42240</v>
      </c>
      <c r="B1010">
        <v>26730.400000000001</v>
      </c>
      <c r="C1010">
        <v>26730.400000000001</v>
      </c>
      <c r="D1010">
        <v>25624.720000000001</v>
      </c>
      <c r="E1010">
        <v>25741.56</v>
      </c>
    </row>
    <row r="1011" spans="1:5" hidden="1" x14ac:dyDescent="0.3">
      <c r="A1011" s="1">
        <v>42241</v>
      </c>
      <c r="B1011">
        <v>25916.26</v>
      </c>
      <c r="C1011">
        <v>26124.83</v>
      </c>
      <c r="D1011">
        <v>25298.42</v>
      </c>
      <c r="E1011">
        <v>26032.38</v>
      </c>
    </row>
    <row r="1012" spans="1:5" hidden="1" x14ac:dyDescent="0.3">
      <c r="A1012" s="1">
        <v>42242</v>
      </c>
      <c r="B1012">
        <v>26063.27</v>
      </c>
      <c r="C1012">
        <v>26156.61</v>
      </c>
      <c r="D1012">
        <v>25657.56</v>
      </c>
      <c r="E1012">
        <v>25714.66</v>
      </c>
    </row>
    <row r="1013" spans="1:5" hidden="1" x14ac:dyDescent="0.3">
      <c r="A1013" s="1">
        <v>42243</v>
      </c>
      <c r="B1013">
        <v>26137.03</v>
      </c>
      <c r="C1013">
        <v>26302.77</v>
      </c>
      <c r="D1013">
        <v>25943.75</v>
      </c>
      <c r="E1013">
        <v>26231.19</v>
      </c>
    </row>
    <row r="1014" spans="1:5" hidden="1" x14ac:dyDescent="0.3">
      <c r="A1014" s="1">
        <v>42244</v>
      </c>
      <c r="B1014">
        <v>26542.84</v>
      </c>
      <c r="C1014">
        <v>26687.33</v>
      </c>
      <c r="D1014">
        <v>26270.17</v>
      </c>
      <c r="E1014">
        <v>26392.38</v>
      </c>
    </row>
    <row r="1015" spans="1:5" hidden="1" x14ac:dyDescent="0.3">
      <c r="A1015" s="1">
        <v>42247</v>
      </c>
      <c r="B1015">
        <v>26469.42</v>
      </c>
      <c r="C1015">
        <v>26504.73</v>
      </c>
      <c r="D1015">
        <v>26215.16</v>
      </c>
      <c r="E1015">
        <v>26283.09</v>
      </c>
    </row>
    <row r="1016" spans="1:5" hidden="1" x14ac:dyDescent="0.3">
      <c r="A1016" s="1">
        <v>42248</v>
      </c>
      <c r="B1016">
        <v>26127.040000000001</v>
      </c>
      <c r="C1016">
        <v>26141.07</v>
      </c>
      <c r="D1016">
        <v>25579.88</v>
      </c>
      <c r="E1016">
        <v>25696.44</v>
      </c>
    </row>
    <row r="1017" spans="1:5" hidden="1" x14ac:dyDescent="0.3">
      <c r="A1017" s="1">
        <v>42249</v>
      </c>
      <c r="B1017">
        <v>25891.95</v>
      </c>
      <c r="C1017">
        <v>25939.37</v>
      </c>
      <c r="D1017">
        <v>25395.09</v>
      </c>
      <c r="E1017">
        <v>25453.56</v>
      </c>
    </row>
    <row r="1018" spans="1:5" hidden="1" x14ac:dyDescent="0.3">
      <c r="A1018" s="1">
        <v>42250</v>
      </c>
      <c r="B1018">
        <v>25614.69</v>
      </c>
      <c r="C1018">
        <v>25835.41</v>
      </c>
      <c r="D1018">
        <v>25555.77</v>
      </c>
      <c r="E1018">
        <v>25764.78</v>
      </c>
    </row>
    <row r="1019" spans="1:5" hidden="1" x14ac:dyDescent="0.3">
      <c r="A1019" s="1">
        <v>42251</v>
      </c>
      <c r="B1019">
        <v>25772.58</v>
      </c>
      <c r="C1019">
        <v>25775.38</v>
      </c>
      <c r="D1019">
        <v>25119.06</v>
      </c>
      <c r="E1019">
        <v>25201.9</v>
      </c>
    </row>
    <row r="1020" spans="1:5" hidden="1" x14ac:dyDescent="0.3">
      <c r="A1020" s="1">
        <v>42254</v>
      </c>
      <c r="B1020">
        <v>25302.98</v>
      </c>
      <c r="C1020">
        <v>25387.32</v>
      </c>
      <c r="D1020">
        <v>24851.77</v>
      </c>
      <c r="E1020">
        <v>24893.81</v>
      </c>
    </row>
    <row r="1021" spans="1:5" hidden="1" x14ac:dyDescent="0.3">
      <c r="A1021" s="1">
        <v>42255</v>
      </c>
      <c r="B1021">
        <v>24972.01</v>
      </c>
      <c r="C1021">
        <v>25411</v>
      </c>
      <c r="D1021">
        <v>24833.54</v>
      </c>
      <c r="E1021">
        <v>25317.87</v>
      </c>
    </row>
    <row r="1022" spans="1:5" hidden="1" x14ac:dyDescent="0.3">
      <c r="A1022" s="1">
        <v>42256</v>
      </c>
      <c r="B1022">
        <v>25682.87</v>
      </c>
      <c r="C1022">
        <v>25820.560000000001</v>
      </c>
      <c r="D1022">
        <v>25553.61</v>
      </c>
      <c r="E1022">
        <v>25719.58</v>
      </c>
    </row>
    <row r="1023" spans="1:5" hidden="1" x14ac:dyDescent="0.3">
      <c r="A1023" s="1">
        <v>42257</v>
      </c>
      <c r="B1023">
        <v>25522.959999999999</v>
      </c>
      <c r="C1023">
        <v>25733.7</v>
      </c>
      <c r="D1023">
        <v>25287.5</v>
      </c>
      <c r="E1023">
        <v>25622.17</v>
      </c>
    </row>
    <row r="1024" spans="1:5" hidden="1" x14ac:dyDescent="0.3">
      <c r="A1024" s="1">
        <v>42258</v>
      </c>
      <c r="B1024">
        <v>25793.77</v>
      </c>
      <c r="C1024">
        <v>25875.96</v>
      </c>
      <c r="D1024">
        <v>25530.41</v>
      </c>
      <c r="E1024">
        <v>25610.21</v>
      </c>
    </row>
    <row r="1025" spans="1:5" hidden="1" x14ac:dyDescent="0.3">
      <c r="A1025" s="1">
        <v>42261</v>
      </c>
      <c r="B1025">
        <v>25706.87</v>
      </c>
      <c r="C1025">
        <v>25891.73</v>
      </c>
      <c r="D1025">
        <v>25531.07</v>
      </c>
      <c r="E1025">
        <v>25856.7</v>
      </c>
    </row>
    <row r="1026" spans="1:5" hidden="1" x14ac:dyDescent="0.3">
      <c r="A1026" s="1">
        <v>42262</v>
      </c>
      <c r="B1026">
        <v>25908.34</v>
      </c>
      <c r="C1026">
        <v>25909.83</v>
      </c>
      <c r="D1026">
        <v>25649.37</v>
      </c>
      <c r="E1026">
        <v>25705.93</v>
      </c>
    </row>
    <row r="1027" spans="1:5" hidden="1" x14ac:dyDescent="0.3">
      <c r="A1027" s="1">
        <v>42263</v>
      </c>
      <c r="B1027">
        <v>25884.05</v>
      </c>
      <c r="C1027">
        <v>26006.75</v>
      </c>
      <c r="D1027">
        <v>25816.5</v>
      </c>
      <c r="E1027">
        <v>25963.97</v>
      </c>
    </row>
    <row r="1028" spans="1:5" hidden="1" x14ac:dyDescent="0.3">
      <c r="A1028" s="1">
        <v>42265</v>
      </c>
      <c r="B1028">
        <v>26130.36</v>
      </c>
      <c r="C1028">
        <v>26471.82</v>
      </c>
      <c r="D1028">
        <v>26130.36</v>
      </c>
      <c r="E1028">
        <v>26218.91</v>
      </c>
    </row>
    <row r="1029" spans="1:5" hidden="1" x14ac:dyDescent="0.3">
      <c r="A1029" s="1">
        <v>42268</v>
      </c>
      <c r="B1029">
        <v>26107.98</v>
      </c>
      <c r="C1029">
        <v>26233.46</v>
      </c>
      <c r="D1029">
        <v>25972.54</v>
      </c>
      <c r="E1029">
        <v>26192.98</v>
      </c>
    </row>
    <row r="1030" spans="1:5" hidden="1" x14ac:dyDescent="0.3">
      <c r="A1030" s="1">
        <v>42269</v>
      </c>
      <c r="B1030">
        <v>26274.37</v>
      </c>
      <c r="C1030">
        <v>26339.1</v>
      </c>
      <c r="D1030">
        <v>25571.34</v>
      </c>
      <c r="E1030">
        <v>25651.84</v>
      </c>
    </row>
    <row r="1031" spans="1:5" hidden="1" x14ac:dyDescent="0.3">
      <c r="A1031" s="1">
        <v>42270</v>
      </c>
      <c r="B1031">
        <v>25526.53</v>
      </c>
      <c r="C1031">
        <v>25934.02</v>
      </c>
      <c r="D1031">
        <v>25386.48</v>
      </c>
      <c r="E1031">
        <v>25822.99</v>
      </c>
    </row>
    <row r="1032" spans="1:5" hidden="1" x14ac:dyDescent="0.3">
      <c r="A1032" s="1">
        <v>42271</v>
      </c>
      <c r="B1032">
        <v>25798.05</v>
      </c>
      <c r="C1032">
        <v>25949.9</v>
      </c>
      <c r="D1032">
        <v>25670.959999999999</v>
      </c>
      <c r="E1032">
        <v>25863.5</v>
      </c>
    </row>
    <row r="1033" spans="1:5" hidden="1" x14ac:dyDescent="0.3">
      <c r="A1033" s="1">
        <v>42275</v>
      </c>
      <c r="B1033">
        <v>25922.71</v>
      </c>
      <c r="C1033">
        <v>25936.89</v>
      </c>
      <c r="D1033">
        <v>25593.56</v>
      </c>
      <c r="E1033">
        <v>25616.84</v>
      </c>
    </row>
    <row r="1034" spans="1:5" hidden="1" x14ac:dyDescent="0.3">
      <c r="A1034" s="1">
        <v>42276</v>
      </c>
      <c r="B1034">
        <v>25496.38</v>
      </c>
      <c r="C1034">
        <v>26054.37</v>
      </c>
      <c r="D1034">
        <v>25287.33</v>
      </c>
      <c r="E1034">
        <v>25778.66</v>
      </c>
    </row>
    <row r="1035" spans="1:5" hidden="1" x14ac:dyDescent="0.3">
      <c r="A1035" s="1">
        <v>42277</v>
      </c>
      <c r="B1035">
        <v>25986.52</v>
      </c>
      <c r="C1035">
        <v>26179.7</v>
      </c>
      <c r="D1035">
        <v>25918.21</v>
      </c>
      <c r="E1035">
        <v>26154.83</v>
      </c>
    </row>
    <row r="1036" spans="1:5" hidden="1" x14ac:dyDescent="0.3">
      <c r="A1036" s="1">
        <v>42278</v>
      </c>
      <c r="B1036">
        <v>26344.19</v>
      </c>
      <c r="C1036">
        <v>26431.8</v>
      </c>
      <c r="D1036">
        <v>26168.71</v>
      </c>
      <c r="E1036">
        <v>26220.95</v>
      </c>
    </row>
    <row r="1037" spans="1:5" hidden="1" x14ac:dyDescent="0.3">
      <c r="A1037" s="1">
        <v>42282</v>
      </c>
      <c r="B1037">
        <v>26379.42</v>
      </c>
      <c r="C1037">
        <v>26822.42</v>
      </c>
      <c r="D1037">
        <v>26375.31</v>
      </c>
      <c r="E1037">
        <v>26785.55</v>
      </c>
    </row>
    <row r="1038" spans="1:5" hidden="1" x14ac:dyDescent="0.3">
      <c r="A1038" s="1">
        <v>42283</v>
      </c>
      <c r="B1038">
        <v>26976.66</v>
      </c>
      <c r="C1038">
        <v>27010.27</v>
      </c>
      <c r="D1038">
        <v>26751.25</v>
      </c>
      <c r="E1038">
        <v>26932.880000000001</v>
      </c>
    </row>
    <row r="1039" spans="1:5" hidden="1" x14ac:dyDescent="0.3">
      <c r="A1039" s="1">
        <v>42284</v>
      </c>
      <c r="B1039">
        <v>26966.86</v>
      </c>
      <c r="C1039">
        <v>27082.28</v>
      </c>
      <c r="D1039">
        <v>26877.51</v>
      </c>
      <c r="E1039">
        <v>27035.85</v>
      </c>
    </row>
    <row r="1040" spans="1:5" hidden="1" x14ac:dyDescent="0.3">
      <c r="A1040" s="1">
        <v>42285</v>
      </c>
      <c r="B1040">
        <v>27116.86</v>
      </c>
      <c r="C1040">
        <v>27120.11</v>
      </c>
      <c r="D1040">
        <v>26762.36</v>
      </c>
      <c r="E1040">
        <v>26845.81</v>
      </c>
    </row>
    <row r="1041" spans="1:5" hidden="1" x14ac:dyDescent="0.3">
      <c r="A1041" s="1">
        <v>42286</v>
      </c>
      <c r="B1041">
        <v>26974.92</v>
      </c>
      <c r="C1041">
        <v>27200.44</v>
      </c>
      <c r="D1041">
        <v>26910.59</v>
      </c>
      <c r="E1041">
        <v>27079.51</v>
      </c>
    </row>
    <row r="1042" spans="1:5" hidden="1" x14ac:dyDescent="0.3">
      <c r="A1042" s="1">
        <v>42289</v>
      </c>
      <c r="B1042">
        <v>27242.6</v>
      </c>
      <c r="C1042">
        <v>27305.040000000001</v>
      </c>
      <c r="D1042">
        <v>26855.75</v>
      </c>
      <c r="E1042">
        <v>26904.11</v>
      </c>
    </row>
    <row r="1043" spans="1:5" hidden="1" x14ac:dyDescent="0.3">
      <c r="A1043" s="1">
        <v>42290</v>
      </c>
      <c r="B1043">
        <v>26874.29</v>
      </c>
      <c r="C1043">
        <v>26918.52</v>
      </c>
      <c r="D1043">
        <v>26719.1</v>
      </c>
      <c r="E1043">
        <v>26846.53</v>
      </c>
    </row>
    <row r="1044" spans="1:5" hidden="1" x14ac:dyDescent="0.3">
      <c r="A1044" s="1">
        <v>42291</v>
      </c>
      <c r="B1044">
        <v>26760.32</v>
      </c>
      <c r="C1044">
        <v>26869.08</v>
      </c>
      <c r="D1044">
        <v>26713.279999999999</v>
      </c>
      <c r="E1044">
        <v>26779.66</v>
      </c>
    </row>
    <row r="1045" spans="1:5" hidden="1" x14ac:dyDescent="0.3">
      <c r="A1045" s="1">
        <v>42292</v>
      </c>
      <c r="B1045">
        <v>26842.19</v>
      </c>
      <c r="C1045">
        <v>27037.95</v>
      </c>
      <c r="D1045">
        <v>26836.77</v>
      </c>
      <c r="E1045">
        <v>27010.14</v>
      </c>
    </row>
    <row r="1046" spans="1:5" hidden="1" x14ac:dyDescent="0.3">
      <c r="A1046" s="1">
        <v>42293</v>
      </c>
      <c r="B1046">
        <v>27062.799999999999</v>
      </c>
      <c r="C1046">
        <v>27239.22</v>
      </c>
      <c r="D1046">
        <v>26917.119999999999</v>
      </c>
      <c r="E1046">
        <v>27214.6</v>
      </c>
    </row>
    <row r="1047" spans="1:5" hidden="1" x14ac:dyDescent="0.3">
      <c r="A1047" s="1">
        <v>42296</v>
      </c>
      <c r="B1047">
        <v>27305.62</v>
      </c>
      <c r="C1047">
        <v>27387.91</v>
      </c>
      <c r="D1047">
        <v>27246.79</v>
      </c>
      <c r="E1047">
        <v>27364.92</v>
      </c>
    </row>
    <row r="1048" spans="1:5" hidden="1" x14ac:dyDescent="0.3">
      <c r="A1048" s="1">
        <v>42297</v>
      </c>
      <c r="B1048">
        <v>27402.9</v>
      </c>
      <c r="C1048">
        <v>27432.07</v>
      </c>
      <c r="D1048">
        <v>27216.400000000001</v>
      </c>
      <c r="E1048">
        <v>27306.83</v>
      </c>
    </row>
    <row r="1049" spans="1:5" hidden="1" x14ac:dyDescent="0.3">
      <c r="A1049" s="1">
        <v>42298</v>
      </c>
      <c r="B1049">
        <v>27312.35</v>
      </c>
      <c r="C1049">
        <v>27445.24</v>
      </c>
      <c r="D1049">
        <v>27190.55</v>
      </c>
      <c r="E1049">
        <v>27287.66</v>
      </c>
    </row>
    <row r="1050" spans="1:5" hidden="1" x14ac:dyDescent="0.3">
      <c r="A1050" s="1">
        <v>42300</v>
      </c>
      <c r="B1050">
        <v>27466.639999999999</v>
      </c>
      <c r="C1050">
        <v>27555.06</v>
      </c>
      <c r="D1050">
        <v>27421.71</v>
      </c>
      <c r="E1050">
        <v>27470.81</v>
      </c>
    </row>
    <row r="1051" spans="1:5" hidden="1" x14ac:dyDescent="0.3">
      <c r="A1051" s="1">
        <v>42303</v>
      </c>
      <c r="B1051">
        <v>27575.040000000001</v>
      </c>
      <c r="C1051">
        <v>27618.14</v>
      </c>
      <c r="D1051">
        <v>27318.2</v>
      </c>
      <c r="E1051">
        <v>27361.96</v>
      </c>
    </row>
    <row r="1052" spans="1:5" hidden="1" x14ac:dyDescent="0.3">
      <c r="A1052" s="1">
        <v>42304</v>
      </c>
      <c r="B1052">
        <v>27291.06</v>
      </c>
      <c r="C1052">
        <v>27296.3</v>
      </c>
      <c r="D1052">
        <v>27209.52</v>
      </c>
      <c r="E1052">
        <v>27253.439999999999</v>
      </c>
    </row>
    <row r="1053" spans="1:5" hidden="1" x14ac:dyDescent="0.3">
      <c r="A1053" s="1">
        <v>42305</v>
      </c>
      <c r="B1053">
        <v>27131.71</v>
      </c>
      <c r="C1053">
        <v>27163.98</v>
      </c>
      <c r="D1053">
        <v>26919.96</v>
      </c>
      <c r="E1053">
        <v>27039.759999999998</v>
      </c>
    </row>
    <row r="1054" spans="1:5" hidden="1" x14ac:dyDescent="0.3">
      <c r="A1054" s="1">
        <v>42306</v>
      </c>
      <c r="B1054">
        <v>27083.7</v>
      </c>
      <c r="C1054">
        <v>27099.11</v>
      </c>
      <c r="D1054">
        <v>26794.1</v>
      </c>
      <c r="E1054">
        <v>26838.14</v>
      </c>
    </row>
    <row r="1055" spans="1:5" hidden="1" x14ac:dyDescent="0.3">
      <c r="A1055" s="1">
        <v>42307</v>
      </c>
      <c r="B1055">
        <v>26878.48</v>
      </c>
      <c r="C1055">
        <v>26942.29</v>
      </c>
      <c r="D1055">
        <v>26585.200000000001</v>
      </c>
      <c r="E1055">
        <v>26656.83</v>
      </c>
    </row>
    <row r="1056" spans="1:5" hidden="1" x14ac:dyDescent="0.3">
      <c r="A1056" s="1">
        <v>42310</v>
      </c>
      <c r="B1056">
        <v>26641.69</v>
      </c>
      <c r="C1056">
        <v>26824.3</v>
      </c>
      <c r="D1056">
        <v>26378.26</v>
      </c>
      <c r="E1056">
        <v>26559.15</v>
      </c>
    </row>
    <row r="1057" spans="1:5" hidden="1" x14ac:dyDescent="0.3">
      <c r="A1057" s="1">
        <v>42311</v>
      </c>
      <c r="B1057">
        <v>26660.71</v>
      </c>
      <c r="C1057">
        <v>26732.240000000002</v>
      </c>
      <c r="D1057">
        <v>26514.48</v>
      </c>
      <c r="E1057">
        <v>26590.59</v>
      </c>
    </row>
    <row r="1058" spans="1:5" hidden="1" x14ac:dyDescent="0.3">
      <c r="A1058" s="1">
        <v>42312</v>
      </c>
      <c r="B1058">
        <v>26704.02</v>
      </c>
      <c r="C1058">
        <v>26800.06</v>
      </c>
      <c r="D1058">
        <v>26510.31</v>
      </c>
      <c r="E1058">
        <v>26552.92</v>
      </c>
    </row>
    <row r="1059" spans="1:5" hidden="1" x14ac:dyDescent="0.3">
      <c r="A1059" s="1">
        <v>42313</v>
      </c>
      <c r="B1059">
        <v>26557.8</v>
      </c>
      <c r="C1059">
        <v>26557.8</v>
      </c>
      <c r="D1059">
        <v>26243.200000000001</v>
      </c>
      <c r="E1059">
        <v>26304.2</v>
      </c>
    </row>
    <row r="1060" spans="1:5" hidden="1" x14ac:dyDescent="0.3">
      <c r="A1060" s="1">
        <v>42314</v>
      </c>
      <c r="B1060">
        <v>26284.01</v>
      </c>
      <c r="C1060">
        <v>26438.86</v>
      </c>
      <c r="D1060">
        <v>26190.18</v>
      </c>
      <c r="E1060">
        <v>26265.24</v>
      </c>
    </row>
    <row r="1061" spans="1:5" hidden="1" x14ac:dyDescent="0.3">
      <c r="A1061" s="1">
        <v>42317</v>
      </c>
      <c r="B1061">
        <v>25809</v>
      </c>
      <c r="C1061">
        <v>26193.17</v>
      </c>
      <c r="D1061">
        <v>25656.9</v>
      </c>
      <c r="E1061">
        <v>26121.4</v>
      </c>
    </row>
    <row r="1062" spans="1:5" hidden="1" x14ac:dyDescent="0.3">
      <c r="A1062" s="1">
        <v>42318</v>
      </c>
      <c r="B1062">
        <v>26094.09</v>
      </c>
      <c r="C1062">
        <v>26094.09</v>
      </c>
      <c r="D1062">
        <v>25709.23</v>
      </c>
      <c r="E1062">
        <v>25743.26</v>
      </c>
    </row>
    <row r="1063" spans="1:5" hidden="1" x14ac:dyDescent="0.3">
      <c r="A1063" s="1">
        <v>42319</v>
      </c>
      <c r="B1063">
        <v>25934.9</v>
      </c>
      <c r="C1063">
        <v>25944.93</v>
      </c>
      <c r="D1063">
        <v>25853.42</v>
      </c>
      <c r="E1063">
        <v>25866.95</v>
      </c>
    </row>
    <row r="1064" spans="1:5" hidden="1" x14ac:dyDescent="0.3">
      <c r="A1064" s="1">
        <v>42321</v>
      </c>
      <c r="B1064">
        <v>25724.09</v>
      </c>
      <c r="C1064">
        <v>25724.09</v>
      </c>
      <c r="D1064">
        <v>25540.73</v>
      </c>
      <c r="E1064">
        <v>25610.53</v>
      </c>
    </row>
    <row r="1065" spans="1:5" hidden="1" x14ac:dyDescent="0.3">
      <c r="A1065" s="1">
        <v>42324</v>
      </c>
      <c r="B1065">
        <v>25580.15</v>
      </c>
      <c r="C1065">
        <v>25866.42</v>
      </c>
      <c r="D1065">
        <v>25451.42</v>
      </c>
      <c r="E1065">
        <v>25760.1</v>
      </c>
    </row>
    <row r="1066" spans="1:5" hidden="1" x14ac:dyDescent="0.3">
      <c r="A1066" s="1">
        <v>42325</v>
      </c>
      <c r="B1066">
        <v>25897.88</v>
      </c>
      <c r="C1066">
        <v>25948.2</v>
      </c>
      <c r="D1066">
        <v>25732.79</v>
      </c>
      <c r="E1066">
        <v>25864.47</v>
      </c>
    </row>
    <row r="1067" spans="1:5" hidden="1" x14ac:dyDescent="0.3">
      <c r="A1067" s="1">
        <v>42326</v>
      </c>
      <c r="B1067">
        <v>25837.71</v>
      </c>
      <c r="C1067">
        <v>25890.36</v>
      </c>
      <c r="D1067">
        <v>25453.32</v>
      </c>
      <c r="E1067">
        <v>25482.52</v>
      </c>
    </row>
    <row r="1068" spans="1:5" hidden="1" x14ac:dyDescent="0.3">
      <c r="A1068" s="1">
        <v>42327</v>
      </c>
      <c r="B1068">
        <v>25640.34</v>
      </c>
      <c r="C1068">
        <v>25884.52</v>
      </c>
      <c r="D1068">
        <v>25603.1</v>
      </c>
      <c r="E1068">
        <v>25841.919999999998</v>
      </c>
    </row>
    <row r="1069" spans="1:5" hidden="1" x14ac:dyDescent="0.3">
      <c r="A1069" s="1">
        <v>42328</v>
      </c>
      <c r="B1069">
        <v>25856.13</v>
      </c>
      <c r="C1069">
        <v>26058.76</v>
      </c>
      <c r="D1069">
        <v>25769.81</v>
      </c>
      <c r="E1069">
        <v>25868.49</v>
      </c>
    </row>
    <row r="1070" spans="1:5" hidden="1" x14ac:dyDescent="0.3">
      <c r="A1070" s="1">
        <v>42331</v>
      </c>
      <c r="B1070">
        <v>25945.14</v>
      </c>
      <c r="C1070">
        <v>25958.04</v>
      </c>
      <c r="D1070">
        <v>25747.01</v>
      </c>
      <c r="E1070">
        <v>25819.34</v>
      </c>
    </row>
    <row r="1071" spans="1:5" hidden="1" x14ac:dyDescent="0.3">
      <c r="A1071" s="1">
        <v>42332</v>
      </c>
      <c r="B1071">
        <v>25785.61</v>
      </c>
      <c r="C1071">
        <v>25901.56</v>
      </c>
      <c r="D1071">
        <v>25703.86</v>
      </c>
      <c r="E1071">
        <v>25775.74</v>
      </c>
    </row>
    <row r="1072" spans="1:5" hidden="1" x14ac:dyDescent="0.3">
      <c r="A1072" s="1">
        <v>42334</v>
      </c>
      <c r="B1072">
        <v>25769.81</v>
      </c>
      <c r="C1072">
        <v>26016.04</v>
      </c>
      <c r="D1072">
        <v>25769.81</v>
      </c>
      <c r="E1072">
        <v>25958.63</v>
      </c>
    </row>
    <row r="1073" spans="1:5" hidden="1" x14ac:dyDescent="0.3">
      <c r="A1073" s="1">
        <v>42335</v>
      </c>
      <c r="B1073">
        <v>26003.200000000001</v>
      </c>
      <c r="C1073">
        <v>26184.65</v>
      </c>
      <c r="D1073">
        <v>25937.32</v>
      </c>
      <c r="E1073">
        <v>26128.2</v>
      </c>
    </row>
    <row r="1074" spans="1:5" hidden="1" x14ac:dyDescent="0.3">
      <c r="A1074" s="1">
        <v>42338</v>
      </c>
      <c r="B1074">
        <v>26142.53</v>
      </c>
      <c r="C1074">
        <v>26231.06</v>
      </c>
      <c r="D1074">
        <v>26089.13</v>
      </c>
      <c r="E1074">
        <v>26145.67</v>
      </c>
    </row>
    <row r="1075" spans="1:5" hidden="1" x14ac:dyDescent="0.3">
      <c r="A1075" s="1">
        <v>42339</v>
      </c>
      <c r="B1075">
        <v>26201.27</v>
      </c>
      <c r="C1075">
        <v>26246.02</v>
      </c>
      <c r="D1075">
        <v>26121.52</v>
      </c>
      <c r="E1075">
        <v>26169.41</v>
      </c>
    </row>
    <row r="1076" spans="1:5" hidden="1" x14ac:dyDescent="0.3">
      <c r="A1076" s="1">
        <v>42340</v>
      </c>
      <c r="B1076">
        <v>26239.39</v>
      </c>
      <c r="C1076">
        <v>26256.42</v>
      </c>
      <c r="D1076">
        <v>26041.68</v>
      </c>
      <c r="E1076">
        <v>26117.85</v>
      </c>
    </row>
    <row r="1077" spans="1:5" hidden="1" x14ac:dyDescent="0.3">
      <c r="A1077" s="1">
        <v>42341</v>
      </c>
      <c r="B1077">
        <v>26123.86</v>
      </c>
      <c r="C1077">
        <v>26123.86</v>
      </c>
      <c r="D1077">
        <v>25857.35</v>
      </c>
      <c r="E1077">
        <v>25886.62</v>
      </c>
    </row>
    <row r="1078" spans="1:5" hidden="1" x14ac:dyDescent="0.3">
      <c r="A1078" s="1">
        <v>42342</v>
      </c>
      <c r="B1078">
        <v>25810.06</v>
      </c>
      <c r="C1078">
        <v>25810.06</v>
      </c>
      <c r="D1078">
        <v>25623.71</v>
      </c>
      <c r="E1078">
        <v>25638.11</v>
      </c>
    </row>
    <row r="1079" spans="1:5" hidden="1" x14ac:dyDescent="0.3">
      <c r="A1079" s="1">
        <v>42345</v>
      </c>
      <c r="B1079">
        <v>25746.03</v>
      </c>
      <c r="C1079">
        <v>25785.53</v>
      </c>
      <c r="D1079">
        <v>25477.69</v>
      </c>
      <c r="E1079">
        <v>25530.11</v>
      </c>
    </row>
    <row r="1080" spans="1:5" hidden="1" x14ac:dyDescent="0.3">
      <c r="A1080" s="1">
        <v>42346</v>
      </c>
      <c r="B1080">
        <v>25488.42</v>
      </c>
      <c r="C1080">
        <v>25542.47</v>
      </c>
      <c r="D1080">
        <v>25256.79</v>
      </c>
      <c r="E1080">
        <v>25310.33</v>
      </c>
    </row>
    <row r="1081" spans="1:5" hidden="1" x14ac:dyDescent="0.3">
      <c r="A1081" s="1">
        <v>42347</v>
      </c>
      <c r="B1081">
        <v>25299.34</v>
      </c>
      <c r="C1081">
        <v>25316.95</v>
      </c>
      <c r="D1081">
        <v>25012.22</v>
      </c>
      <c r="E1081">
        <v>25036.05</v>
      </c>
    </row>
    <row r="1082" spans="1:5" hidden="1" x14ac:dyDescent="0.3">
      <c r="A1082" s="1">
        <v>42348</v>
      </c>
      <c r="B1082">
        <v>25136.71</v>
      </c>
      <c r="C1082">
        <v>25289.58</v>
      </c>
      <c r="D1082">
        <v>25034.14</v>
      </c>
      <c r="E1082">
        <v>25252.32</v>
      </c>
    </row>
    <row r="1083" spans="1:5" hidden="1" x14ac:dyDescent="0.3">
      <c r="A1083" s="1">
        <v>42349</v>
      </c>
      <c r="B1083">
        <v>25281.77</v>
      </c>
      <c r="C1083">
        <v>25316.14</v>
      </c>
      <c r="D1083">
        <v>24930.43</v>
      </c>
      <c r="E1083">
        <v>25044.43</v>
      </c>
    </row>
    <row r="1084" spans="1:5" hidden="1" x14ac:dyDescent="0.3">
      <c r="A1084" s="1">
        <v>42352</v>
      </c>
      <c r="B1084">
        <v>24935.599999999999</v>
      </c>
      <c r="C1084">
        <v>25194.15</v>
      </c>
      <c r="D1084">
        <v>24867.73</v>
      </c>
      <c r="E1084">
        <v>25150.35</v>
      </c>
    </row>
    <row r="1085" spans="1:5" hidden="1" x14ac:dyDescent="0.3">
      <c r="A1085" s="1">
        <v>42353</v>
      </c>
      <c r="B1085">
        <v>25186.68</v>
      </c>
      <c r="C1085">
        <v>25342.78</v>
      </c>
      <c r="D1085">
        <v>25075.54</v>
      </c>
      <c r="E1085">
        <v>25320.44</v>
      </c>
    </row>
    <row r="1086" spans="1:5" hidden="1" x14ac:dyDescent="0.3">
      <c r="A1086" s="1">
        <v>42354</v>
      </c>
      <c r="B1086">
        <v>25402.47</v>
      </c>
      <c r="C1086">
        <v>25572.9</v>
      </c>
      <c r="D1086">
        <v>25372.47</v>
      </c>
      <c r="E1086">
        <v>25494.37</v>
      </c>
    </row>
    <row r="1087" spans="1:5" hidden="1" x14ac:dyDescent="0.3">
      <c r="A1087" s="1">
        <v>42355</v>
      </c>
      <c r="B1087">
        <v>25596.63</v>
      </c>
      <c r="C1087">
        <v>25831.31</v>
      </c>
      <c r="D1087">
        <v>25448.32</v>
      </c>
      <c r="E1087">
        <v>25803.78</v>
      </c>
    </row>
    <row r="1088" spans="1:5" hidden="1" x14ac:dyDescent="0.3">
      <c r="A1088" s="1">
        <v>42356</v>
      </c>
      <c r="B1088">
        <v>25764.67</v>
      </c>
      <c r="C1088">
        <v>25789.51</v>
      </c>
      <c r="D1088">
        <v>25481.51</v>
      </c>
      <c r="E1088">
        <v>25519.22</v>
      </c>
    </row>
    <row r="1089" spans="1:5" hidden="1" x14ac:dyDescent="0.3">
      <c r="A1089" s="1">
        <v>42359</v>
      </c>
      <c r="B1089">
        <v>25425.32</v>
      </c>
      <c r="C1089">
        <v>25757.84</v>
      </c>
      <c r="D1089">
        <v>25413.54</v>
      </c>
      <c r="E1089">
        <v>25735.9</v>
      </c>
    </row>
    <row r="1090" spans="1:5" hidden="1" x14ac:dyDescent="0.3">
      <c r="A1090" s="1">
        <v>42360</v>
      </c>
      <c r="B1090">
        <v>25731.07</v>
      </c>
      <c r="C1090">
        <v>25787.21</v>
      </c>
      <c r="D1090">
        <v>25485.17</v>
      </c>
      <c r="E1090">
        <v>25590.65</v>
      </c>
    </row>
    <row r="1091" spans="1:5" hidden="1" x14ac:dyDescent="0.3">
      <c r="A1091" s="1">
        <v>42361</v>
      </c>
      <c r="B1091">
        <v>25697.66</v>
      </c>
      <c r="C1091">
        <v>25875.27</v>
      </c>
      <c r="D1091">
        <v>25689.7</v>
      </c>
      <c r="E1091">
        <v>25850.3</v>
      </c>
    </row>
    <row r="1092" spans="1:5" hidden="1" x14ac:dyDescent="0.3">
      <c r="A1092" s="1">
        <v>42362</v>
      </c>
      <c r="B1092">
        <v>25893.84</v>
      </c>
      <c r="C1092">
        <v>25922.47</v>
      </c>
      <c r="D1092">
        <v>25763.4</v>
      </c>
      <c r="E1092">
        <v>25838.71</v>
      </c>
    </row>
    <row r="1093" spans="1:5" hidden="1" x14ac:dyDescent="0.3">
      <c r="A1093" s="1">
        <v>42366</v>
      </c>
      <c r="B1093">
        <v>25858.52</v>
      </c>
      <c r="C1093">
        <v>26073.41</v>
      </c>
      <c r="D1093">
        <v>25856.86</v>
      </c>
      <c r="E1093">
        <v>26034.13</v>
      </c>
    </row>
    <row r="1094" spans="1:5" hidden="1" x14ac:dyDescent="0.3">
      <c r="A1094" s="1">
        <v>42367</v>
      </c>
      <c r="B1094">
        <v>26075.68</v>
      </c>
      <c r="C1094">
        <v>26133.78</v>
      </c>
      <c r="D1094">
        <v>25994.45</v>
      </c>
      <c r="E1094">
        <v>26079.48</v>
      </c>
    </row>
    <row r="1095" spans="1:5" hidden="1" x14ac:dyDescent="0.3">
      <c r="A1095" s="1">
        <v>42368</v>
      </c>
      <c r="B1095">
        <v>26123.87</v>
      </c>
      <c r="C1095">
        <v>26130.2</v>
      </c>
      <c r="D1095">
        <v>25939.25</v>
      </c>
      <c r="E1095">
        <v>25960.03</v>
      </c>
    </row>
    <row r="1096" spans="1:5" hidden="1" x14ac:dyDescent="0.3">
      <c r="A1096" s="1">
        <v>42369</v>
      </c>
      <c r="B1096">
        <v>25980.86</v>
      </c>
      <c r="C1096">
        <v>26147.63</v>
      </c>
      <c r="D1096">
        <v>25941.91</v>
      </c>
      <c r="E1096">
        <v>26117.54</v>
      </c>
    </row>
    <row r="1097" spans="1:5" hidden="1" x14ac:dyDescent="0.3">
      <c r="A1097" s="1">
        <v>42370</v>
      </c>
      <c r="B1097">
        <v>26101.5</v>
      </c>
      <c r="C1097">
        <v>26197.27</v>
      </c>
      <c r="D1097">
        <v>26008.2</v>
      </c>
      <c r="E1097">
        <v>26160.9</v>
      </c>
    </row>
    <row r="1098" spans="1:5" hidden="1" x14ac:dyDescent="0.3">
      <c r="A1098" s="1">
        <v>42373</v>
      </c>
      <c r="B1098">
        <v>26116.52</v>
      </c>
      <c r="C1098">
        <v>26116.52</v>
      </c>
      <c r="D1098">
        <v>25596.57</v>
      </c>
      <c r="E1098">
        <v>25623.35</v>
      </c>
    </row>
    <row r="1099" spans="1:5" hidden="1" x14ac:dyDescent="0.3">
      <c r="A1099" s="1">
        <v>42374</v>
      </c>
      <c r="B1099">
        <v>25744.7</v>
      </c>
      <c r="C1099">
        <v>25766.76</v>
      </c>
      <c r="D1099">
        <v>25513.75</v>
      </c>
      <c r="E1099">
        <v>25580.34</v>
      </c>
    </row>
    <row r="1100" spans="1:5" hidden="1" x14ac:dyDescent="0.3">
      <c r="A1100" s="1">
        <v>42375</v>
      </c>
      <c r="B1100">
        <v>25628.23</v>
      </c>
      <c r="C1100">
        <v>25632.57</v>
      </c>
      <c r="D1100">
        <v>25357.7</v>
      </c>
      <c r="E1100">
        <v>25406.33</v>
      </c>
    </row>
    <row r="1101" spans="1:5" hidden="1" x14ac:dyDescent="0.3">
      <c r="A1101" s="1">
        <v>42376</v>
      </c>
      <c r="B1101">
        <v>25224.7</v>
      </c>
      <c r="C1101">
        <v>25230.35</v>
      </c>
      <c r="D1101">
        <v>24825.7</v>
      </c>
      <c r="E1101">
        <v>24851.83</v>
      </c>
    </row>
    <row r="1102" spans="1:5" hidden="1" x14ac:dyDescent="0.3">
      <c r="A1102" s="1">
        <v>42377</v>
      </c>
      <c r="B1102">
        <v>24969.02</v>
      </c>
      <c r="C1102">
        <v>25083.55</v>
      </c>
      <c r="D1102">
        <v>24887.22</v>
      </c>
      <c r="E1102">
        <v>24934.33</v>
      </c>
    </row>
    <row r="1103" spans="1:5" hidden="1" x14ac:dyDescent="0.3">
      <c r="A1103" s="1">
        <v>42380</v>
      </c>
      <c r="B1103">
        <v>24787.11</v>
      </c>
      <c r="C1103">
        <v>24961.88</v>
      </c>
      <c r="D1103">
        <v>24598.9</v>
      </c>
      <c r="E1103">
        <v>24825.040000000001</v>
      </c>
    </row>
    <row r="1104" spans="1:5" hidden="1" x14ac:dyDescent="0.3">
      <c r="A1104" s="1">
        <v>42381</v>
      </c>
      <c r="B1104">
        <v>24862.93</v>
      </c>
      <c r="C1104">
        <v>24882.3</v>
      </c>
      <c r="D1104">
        <v>24597.11</v>
      </c>
      <c r="E1104">
        <v>24682.03</v>
      </c>
    </row>
    <row r="1105" spans="1:5" hidden="1" x14ac:dyDescent="0.3">
      <c r="A1105" s="1">
        <v>42382</v>
      </c>
      <c r="B1105">
        <v>24804.639999999999</v>
      </c>
      <c r="C1105">
        <v>24956.54</v>
      </c>
      <c r="D1105">
        <v>24387.69</v>
      </c>
      <c r="E1105">
        <v>24854.11</v>
      </c>
    </row>
    <row r="1106" spans="1:5" hidden="1" x14ac:dyDescent="0.3">
      <c r="A1106" s="1">
        <v>42383</v>
      </c>
      <c r="B1106">
        <v>24606.2</v>
      </c>
      <c r="C1106">
        <v>25018.46</v>
      </c>
      <c r="D1106">
        <v>24473.22</v>
      </c>
      <c r="E1106">
        <v>24772.97</v>
      </c>
    </row>
    <row r="1107" spans="1:5" hidden="1" x14ac:dyDescent="0.3">
      <c r="A1107" s="1">
        <v>42384</v>
      </c>
      <c r="B1107">
        <v>24881.759999999998</v>
      </c>
      <c r="C1107">
        <v>24912.639999999999</v>
      </c>
      <c r="D1107">
        <v>24421.53</v>
      </c>
      <c r="E1107">
        <v>24455.040000000001</v>
      </c>
    </row>
    <row r="1108" spans="1:5" hidden="1" x14ac:dyDescent="0.3">
      <c r="A1108" s="1">
        <v>42387</v>
      </c>
      <c r="B1108">
        <v>24400.78</v>
      </c>
      <c r="C1108">
        <v>24524.85</v>
      </c>
      <c r="D1108">
        <v>24141.99</v>
      </c>
      <c r="E1108">
        <v>24188.37</v>
      </c>
    </row>
    <row r="1109" spans="1:5" hidden="1" x14ac:dyDescent="0.3">
      <c r="A1109" s="1">
        <v>42388</v>
      </c>
      <c r="B1109">
        <v>24257.279999999999</v>
      </c>
      <c r="C1109">
        <v>24563.34</v>
      </c>
      <c r="D1109">
        <v>24247.23</v>
      </c>
      <c r="E1109">
        <v>24479.84</v>
      </c>
    </row>
    <row r="1110" spans="1:5" hidden="1" x14ac:dyDescent="0.3">
      <c r="A1110" s="1">
        <v>42389</v>
      </c>
      <c r="B1110">
        <v>24325.77</v>
      </c>
      <c r="C1110">
        <v>24325.77</v>
      </c>
      <c r="D1110">
        <v>23839.759999999998</v>
      </c>
      <c r="E1110">
        <v>24062.04</v>
      </c>
    </row>
    <row r="1111" spans="1:5" hidden="1" x14ac:dyDescent="0.3">
      <c r="A1111" s="1">
        <v>42390</v>
      </c>
      <c r="B1111">
        <v>24194.75</v>
      </c>
      <c r="C1111">
        <v>24351.83</v>
      </c>
      <c r="D1111">
        <v>23862</v>
      </c>
      <c r="E1111">
        <v>23962.21</v>
      </c>
    </row>
    <row r="1112" spans="1:5" hidden="1" x14ac:dyDescent="0.3">
      <c r="A1112" s="1">
        <v>42391</v>
      </c>
      <c r="B1112">
        <v>24122.06</v>
      </c>
      <c r="C1112">
        <v>24472.880000000001</v>
      </c>
      <c r="D1112">
        <v>24120.04</v>
      </c>
      <c r="E1112">
        <v>24435.66</v>
      </c>
    </row>
    <row r="1113" spans="1:5" hidden="1" x14ac:dyDescent="0.3">
      <c r="A1113" s="1">
        <v>42394</v>
      </c>
      <c r="B1113">
        <v>24540.97</v>
      </c>
      <c r="C1113">
        <v>24650.57</v>
      </c>
      <c r="D1113">
        <v>24433.67</v>
      </c>
      <c r="E1113">
        <v>24485.95</v>
      </c>
    </row>
    <row r="1114" spans="1:5" hidden="1" x14ac:dyDescent="0.3">
      <c r="A1114" s="1">
        <v>42396</v>
      </c>
      <c r="B1114">
        <v>24643.13</v>
      </c>
      <c r="C1114">
        <v>24645.7</v>
      </c>
      <c r="D1114">
        <v>24458.13</v>
      </c>
      <c r="E1114">
        <v>24492.39</v>
      </c>
    </row>
    <row r="1115" spans="1:5" hidden="1" x14ac:dyDescent="0.3">
      <c r="A1115" s="1">
        <v>42397</v>
      </c>
      <c r="B1115">
        <v>24481.86</v>
      </c>
      <c r="C1115">
        <v>24587.200000000001</v>
      </c>
      <c r="D1115">
        <v>24400.52</v>
      </c>
      <c r="E1115">
        <v>24469.57</v>
      </c>
    </row>
    <row r="1116" spans="1:5" hidden="1" x14ac:dyDescent="0.3">
      <c r="A1116" s="1">
        <v>42398</v>
      </c>
      <c r="B1116">
        <v>24347.31</v>
      </c>
      <c r="C1116">
        <v>24911.9</v>
      </c>
      <c r="D1116">
        <v>24340.06</v>
      </c>
      <c r="E1116">
        <v>24870.69</v>
      </c>
    </row>
    <row r="1117" spans="1:5" hidden="1" x14ac:dyDescent="0.3">
      <c r="A1117" s="1">
        <v>42401</v>
      </c>
      <c r="B1117">
        <v>24982.22</v>
      </c>
      <c r="C1117">
        <v>25002.32</v>
      </c>
      <c r="D1117">
        <v>24788.58</v>
      </c>
      <c r="E1117">
        <v>24824.83</v>
      </c>
    </row>
    <row r="1118" spans="1:5" hidden="1" x14ac:dyDescent="0.3">
      <c r="A1118" s="1">
        <v>42402</v>
      </c>
      <c r="B1118">
        <v>24868.21</v>
      </c>
      <c r="C1118">
        <v>24928.75</v>
      </c>
      <c r="D1118">
        <v>24460.53</v>
      </c>
      <c r="E1118">
        <v>24539</v>
      </c>
    </row>
    <row r="1119" spans="1:5" hidden="1" x14ac:dyDescent="0.3">
      <c r="A1119" s="1">
        <v>42403</v>
      </c>
      <c r="B1119">
        <v>24393.59</v>
      </c>
      <c r="C1119">
        <v>24409.26</v>
      </c>
      <c r="D1119">
        <v>24187.54</v>
      </c>
      <c r="E1119">
        <v>24223.32</v>
      </c>
    </row>
    <row r="1120" spans="1:5" hidden="1" x14ac:dyDescent="0.3">
      <c r="A1120" s="1">
        <v>42404</v>
      </c>
      <c r="B1120">
        <v>24386.45</v>
      </c>
      <c r="C1120">
        <v>24514.01</v>
      </c>
      <c r="D1120">
        <v>24224.74</v>
      </c>
      <c r="E1120">
        <v>24338.43</v>
      </c>
    </row>
    <row r="1121" spans="1:5" hidden="1" x14ac:dyDescent="0.3">
      <c r="A1121" s="1">
        <v>42405</v>
      </c>
      <c r="B1121">
        <v>24360.36</v>
      </c>
      <c r="C1121">
        <v>24672.9</v>
      </c>
      <c r="D1121">
        <v>24345.79</v>
      </c>
      <c r="E1121">
        <v>24616.97</v>
      </c>
    </row>
    <row r="1122" spans="1:5" hidden="1" x14ac:dyDescent="0.3">
      <c r="A1122" s="1">
        <v>42408</v>
      </c>
      <c r="B1122">
        <v>24637.41</v>
      </c>
      <c r="C1122">
        <v>24698.95</v>
      </c>
      <c r="D1122">
        <v>24196.84</v>
      </c>
      <c r="E1122">
        <v>24287.42</v>
      </c>
    </row>
    <row r="1123" spans="1:5" hidden="1" x14ac:dyDescent="0.3">
      <c r="A1123" s="1">
        <v>42409</v>
      </c>
      <c r="B1123">
        <v>24076.85</v>
      </c>
      <c r="C1123">
        <v>24111.19</v>
      </c>
      <c r="D1123">
        <v>23919.47</v>
      </c>
      <c r="E1123">
        <v>24020.98</v>
      </c>
    </row>
    <row r="1124" spans="1:5" hidden="1" x14ac:dyDescent="0.3">
      <c r="A1124" s="1">
        <v>42410</v>
      </c>
      <c r="B1124">
        <v>23938.32</v>
      </c>
      <c r="C1124">
        <v>23938.32</v>
      </c>
      <c r="D1124">
        <v>23636.720000000001</v>
      </c>
      <c r="E1124">
        <v>23758.9</v>
      </c>
    </row>
    <row r="1125" spans="1:5" hidden="1" x14ac:dyDescent="0.3">
      <c r="A1125" s="1">
        <v>42411</v>
      </c>
      <c r="B1125">
        <v>23758.46</v>
      </c>
      <c r="C1125">
        <v>23758.46</v>
      </c>
      <c r="D1125">
        <v>22909.119999999999</v>
      </c>
      <c r="E1125">
        <v>22951.83</v>
      </c>
    </row>
    <row r="1126" spans="1:5" hidden="1" x14ac:dyDescent="0.3">
      <c r="A1126" s="1">
        <v>42412</v>
      </c>
      <c r="B1126">
        <v>23060.39</v>
      </c>
      <c r="C1126">
        <v>23161.15</v>
      </c>
      <c r="D1126">
        <v>22600.39</v>
      </c>
      <c r="E1126">
        <v>22986.12</v>
      </c>
    </row>
    <row r="1127" spans="1:5" hidden="1" x14ac:dyDescent="0.3">
      <c r="A1127" s="1">
        <v>42415</v>
      </c>
      <c r="B1127">
        <v>23223.43</v>
      </c>
      <c r="C1127">
        <v>23622.639999999999</v>
      </c>
      <c r="D1127">
        <v>23197.67</v>
      </c>
      <c r="E1127">
        <v>23554.12</v>
      </c>
    </row>
    <row r="1128" spans="1:5" hidden="1" x14ac:dyDescent="0.3">
      <c r="A1128" s="1">
        <v>42416</v>
      </c>
      <c r="B1128">
        <v>23688.61</v>
      </c>
      <c r="C1128">
        <v>23692.080000000002</v>
      </c>
      <c r="D1128">
        <v>23164.54</v>
      </c>
      <c r="E1128">
        <v>23191.97</v>
      </c>
    </row>
    <row r="1129" spans="1:5" hidden="1" x14ac:dyDescent="0.3">
      <c r="A1129" s="1">
        <v>42417</v>
      </c>
      <c r="B1129">
        <v>23237.23</v>
      </c>
      <c r="C1129">
        <v>23434.91</v>
      </c>
      <c r="D1129">
        <v>22920.84</v>
      </c>
      <c r="E1129">
        <v>23381.87</v>
      </c>
    </row>
    <row r="1130" spans="1:5" hidden="1" x14ac:dyDescent="0.3">
      <c r="A1130" s="1">
        <v>42418</v>
      </c>
      <c r="B1130">
        <v>23536.47</v>
      </c>
      <c r="C1130">
        <v>23735.35</v>
      </c>
      <c r="D1130">
        <v>23448.21</v>
      </c>
      <c r="E1130">
        <v>23649.22</v>
      </c>
    </row>
    <row r="1131" spans="1:5" hidden="1" x14ac:dyDescent="0.3">
      <c r="A1131" s="1">
        <v>42419</v>
      </c>
      <c r="B1131">
        <v>23640.32</v>
      </c>
      <c r="C1131">
        <v>23774.48</v>
      </c>
      <c r="D1131">
        <v>23508.36</v>
      </c>
      <c r="E1131">
        <v>23709.15</v>
      </c>
    </row>
    <row r="1132" spans="1:5" hidden="1" x14ac:dyDescent="0.3">
      <c r="A1132" s="1">
        <v>42422</v>
      </c>
      <c r="B1132">
        <v>23783.47</v>
      </c>
      <c r="C1132">
        <v>23855.040000000001</v>
      </c>
      <c r="D1132">
        <v>23674.86</v>
      </c>
      <c r="E1132">
        <v>23788.79</v>
      </c>
    </row>
    <row r="1133" spans="1:5" hidden="1" x14ac:dyDescent="0.3">
      <c r="A1133" s="1">
        <v>42423</v>
      </c>
      <c r="B1133">
        <v>23850.41</v>
      </c>
      <c r="C1133">
        <v>23851.51</v>
      </c>
      <c r="D1133">
        <v>23361.94</v>
      </c>
      <c r="E1133">
        <v>23410.18</v>
      </c>
    </row>
    <row r="1134" spans="1:5" hidden="1" x14ac:dyDescent="0.3">
      <c r="A1134" s="1">
        <v>42424</v>
      </c>
      <c r="B1134">
        <v>23332.94</v>
      </c>
      <c r="C1134">
        <v>23338.89</v>
      </c>
      <c r="D1134">
        <v>23057.45</v>
      </c>
      <c r="E1134">
        <v>23088.93</v>
      </c>
    </row>
    <row r="1135" spans="1:5" hidden="1" x14ac:dyDescent="0.3">
      <c r="A1135" s="1">
        <v>42425</v>
      </c>
      <c r="B1135">
        <v>23105.16</v>
      </c>
      <c r="C1135">
        <v>23142.959999999999</v>
      </c>
      <c r="D1135">
        <v>22948.1</v>
      </c>
      <c r="E1135">
        <v>22976</v>
      </c>
    </row>
    <row r="1136" spans="1:5" hidden="1" x14ac:dyDescent="0.3">
      <c r="A1136" s="1">
        <v>42426</v>
      </c>
      <c r="B1136">
        <v>23141.08</v>
      </c>
      <c r="C1136">
        <v>23227.91</v>
      </c>
      <c r="D1136">
        <v>23021.94</v>
      </c>
      <c r="E1136">
        <v>23154.3</v>
      </c>
    </row>
    <row r="1137" spans="1:5" hidden="1" x14ac:dyDescent="0.3">
      <c r="A1137" s="1">
        <v>42429</v>
      </c>
      <c r="B1137">
        <v>23238.5</v>
      </c>
      <c r="C1137">
        <v>23343.22</v>
      </c>
      <c r="D1137">
        <v>22494.61</v>
      </c>
      <c r="E1137">
        <v>23002</v>
      </c>
    </row>
    <row r="1138" spans="1:5" hidden="1" x14ac:dyDescent="0.3">
      <c r="A1138" s="1">
        <v>42430</v>
      </c>
      <c r="B1138">
        <v>23153.32</v>
      </c>
      <c r="C1138">
        <v>23821.49</v>
      </c>
      <c r="D1138">
        <v>23133.18</v>
      </c>
      <c r="E1138">
        <v>23779.35</v>
      </c>
    </row>
    <row r="1139" spans="1:5" hidden="1" x14ac:dyDescent="0.3">
      <c r="A1139" s="1">
        <v>42431</v>
      </c>
      <c r="B1139">
        <v>24044.959999999999</v>
      </c>
      <c r="C1139">
        <v>24280.42</v>
      </c>
      <c r="D1139">
        <v>24043.89</v>
      </c>
      <c r="E1139">
        <v>24242.98</v>
      </c>
    </row>
    <row r="1140" spans="1:5" hidden="1" x14ac:dyDescent="0.3">
      <c r="A1140" s="1">
        <v>42432</v>
      </c>
      <c r="B1140">
        <v>24386.67</v>
      </c>
      <c r="C1140">
        <v>24640.51</v>
      </c>
      <c r="D1140">
        <v>24383.279999999999</v>
      </c>
      <c r="E1140">
        <v>24606.99</v>
      </c>
    </row>
    <row r="1141" spans="1:5" hidden="1" x14ac:dyDescent="0.3">
      <c r="A1141" s="1">
        <v>42433</v>
      </c>
      <c r="B1141">
        <v>24704.59</v>
      </c>
      <c r="C1141">
        <v>24719.05</v>
      </c>
      <c r="D1141">
        <v>24531.8</v>
      </c>
      <c r="E1141">
        <v>24646.48</v>
      </c>
    </row>
    <row r="1142" spans="1:5" hidden="1" x14ac:dyDescent="0.3">
      <c r="A1142" s="1">
        <v>42437</v>
      </c>
      <c r="B1142">
        <v>24655.19</v>
      </c>
      <c r="C1142">
        <v>24793.62</v>
      </c>
      <c r="D1142">
        <v>24509.21</v>
      </c>
      <c r="E1142">
        <v>24659.23</v>
      </c>
    </row>
    <row r="1143" spans="1:5" hidden="1" x14ac:dyDescent="0.3">
      <c r="A1143" s="1">
        <v>42438</v>
      </c>
      <c r="B1143">
        <v>24527.27</v>
      </c>
      <c r="C1143">
        <v>24820.76</v>
      </c>
      <c r="D1143">
        <v>24451.599999999999</v>
      </c>
      <c r="E1143">
        <v>24793.96</v>
      </c>
    </row>
    <row r="1144" spans="1:5" hidden="1" x14ac:dyDescent="0.3">
      <c r="A1144" s="1">
        <v>42439</v>
      </c>
      <c r="B1144">
        <v>24815.7</v>
      </c>
      <c r="C1144">
        <v>24817.48</v>
      </c>
      <c r="D1144">
        <v>24471.39</v>
      </c>
      <c r="E1144">
        <v>24623.34</v>
      </c>
    </row>
    <row r="1145" spans="1:5" hidden="1" x14ac:dyDescent="0.3">
      <c r="A1145" s="1">
        <v>42440</v>
      </c>
      <c r="B1145">
        <v>24620.39</v>
      </c>
      <c r="C1145">
        <v>24817.8</v>
      </c>
      <c r="D1145">
        <v>24552.26</v>
      </c>
      <c r="E1145">
        <v>24717.99</v>
      </c>
    </row>
    <row r="1146" spans="1:5" hidden="1" x14ac:dyDescent="0.3">
      <c r="A1146" s="1">
        <v>42443</v>
      </c>
      <c r="B1146">
        <v>24801.7</v>
      </c>
      <c r="C1146">
        <v>24960.51</v>
      </c>
      <c r="D1146">
        <v>24734.04</v>
      </c>
      <c r="E1146">
        <v>24804.28</v>
      </c>
    </row>
    <row r="1147" spans="1:5" hidden="1" x14ac:dyDescent="0.3">
      <c r="A1147" s="1">
        <v>42444</v>
      </c>
      <c r="B1147">
        <v>24832.04</v>
      </c>
      <c r="C1147">
        <v>24840.77</v>
      </c>
      <c r="D1147">
        <v>24517.279999999999</v>
      </c>
      <c r="E1147">
        <v>24551.17</v>
      </c>
    </row>
    <row r="1148" spans="1:5" hidden="1" x14ac:dyDescent="0.3">
      <c r="A1148" s="1">
        <v>42445</v>
      </c>
      <c r="B1148">
        <v>24537.61</v>
      </c>
      <c r="C1148">
        <v>24706.85</v>
      </c>
      <c r="D1148">
        <v>24354.55</v>
      </c>
      <c r="E1148">
        <v>24682.48</v>
      </c>
    </row>
    <row r="1149" spans="1:5" hidden="1" x14ac:dyDescent="0.3">
      <c r="A1149" s="1">
        <v>42446</v>
      </c>
      <c r="B1149">
        <v>24852.18</v>
      </c>
      <c r="C1149">
        <v>24948.3</v>
      </c>
      <c r="D1149">
        <v>24576.52</v>
      </c>
      <c r="E1149">
        <v>24677.37</v>
      </c>
    </row>
    <row r="1150" spans="1:5" hidden="1" x14ac:dyDescent="0.3">
      <c r="A1150" s="1">
        <v>42447</v>
      </c>
      <c r="B1150">
        <v>24729.41</v>
      </c>
      <c r="C1150">
        <v>24986.94</v>
      </c>
      <c r="D1150">
        <v>24681.64</v>
      </c>
      <c r="E1150">
        <v>24952.74</v>
      </c>
    </row>
    <row r="1151" spans="1:5" hidden="1" x14ac:dyDescent="0.3">
      <c r="A1151" s="1">
        <v>42450</v>
      </c>
      <c r="B1151">
        <v>25007.56</v>
      </c>
      <c r="C1151">
        <v>25327.45</v>
      </c>
      <c r="D1151">
        <v>24988.27</v>
      </c>
      <c r="E1151">
        <v>25285.37</v>
      </c>
    </row>
    <row r="1152" spans="1:5" hidden="1" x14ac:dyDescent="0.3">
      <c r="A1152" s="1">
        <v>42451</v>
      </c>
      <c r="B1152">
        <v>25331.01</v>
      </c>
      <c r="C1152">
        <v>25381.33</v>
      </c>
      <c r="D1152">
        <v>25083.7</v>
      </c>
      <c r="E1152">
        <v>25330.49</v>
      </c>
    </row>
    <row r="1153" spans="1:5" hidden="1" x14ac:dyDescent="0.3">
      <c r="A1153" s="1">
        <v>42452</v>
      </c>
      <c r="B1153">
        <v>25322.1</v>
      </c>
      <c r="C1153">
        <v>25367.81</v>
      </c>
      <c r="D1153">
        <v>25156.82</v>
      </c>
      <c r="E1153">
        <v>25337.56</v>
      </c>
    </row>
    <row r="1154" spans="1:5" hidden="1" x14ac:dyDescent="0.3">
      <c r="A1154" s="1">
        <v>42457</v>
      </c>
      <c r="B1154">
        <v>25417.11</v>
      </c>
      <c r="C1154">
        <v>25432.94</v>
      </c>
      <c r="D1154">
        <v>24895.49</v>
      </c>
      <c r="E1154">
        <v>24966.400000000001</v>
      </c>
    </row>
    <row r="1155" spans="1:5" hidden="1" x14ac:dyDescent="0.3">
      <c r="A1155" s="1">
        <v>42458</v>
      </c>
      <c r="B1155">
        <v>24957.24</v>
      </c>
      <c r="C1155">
        <v>25079.35</v>
      </c>
      <c r="D1155">
        <v>24835.56</v>
      </c>
      <c r="E1155">
        <v>24900.46</v>
      </c>
    </row>
    <row r="1156" spans="1:5" hidden="1" x14ac:dyDescent="0.3">
      <c r="A1156" s="1">
        <v>42459</v>
      </c>
      <c r="B1156">
        <v>25062.06</v>
      </c>
      <c r="C1156">
        <v>25358.84</v>
      </c>
      <c r="D1156">
        <v>25055.42</v>
      </c>
      <c r="E1156">
        <v>25338.58</v>
      </c>
    </row>
    <row r="1157" spans="1:5" hidden="1" x14ac:dyDescent="0.3">
      <c r="A1157" s="1">
        <v>42460</v>
      </c>
      <c r="B1157">
        <v>25364.75</v>
      </c>
      <c r="C1157">
        <v>25479.62</v>
      </c>
      <c r="D1157">
        <v>25223.22</v>
      </c>
      <c r="E1157">
        <v>25341.86</v>
      </c>
    </row>
    <row r="1158" spans="1:5" hidden="1" x14ac:dyDescent="0.3">
      <c r="A1158" s="1">
        <v>42461</v>
      </c>
      <c r="B1158">
        <v>25301.7</v>
      </c>
      <c r="C1158">
        <v>25354.94</v>
      </c>
      <c r="D1158">
        <v>25119.35</v>
      </c>
      <c r="E1158">
        <v>25269.64</v>
      </c>
    </row>
    <row r="1159" spans="1:5" hidden="1" x14ac:dyDescent="0.3">
      <c r="A1159" s="1">
        <v>42464</v>
      </c>
      <c r="B1159">
        <v>25333.98</v>
      </c>
      <c r="C1159">
        <v>25424.15</v>
      </c>
      <c r="D1159">
        <v>25223.49</v>
      </c>
      <c r="E1159">
        <v>25399.65</v>
      </c>
    </row>
    <row r="1160" spans="1:5" hidden="1" x14ac:dyDescent="0.3">
      <c r="A1160" s="1">
        <v>42465</v>
      </c>
      <c r="B1160">
        <v>25372.44</v>
      </c>
      <c r="C1160">
        <v>25372.44</v>
      </c>
      <c r="D1160">
        <v>24837.51</v>
      </c>
      <c r="E1160">
        <v>24883.59</v>
      </c>
    </row>
    <row r="1161" spans="1:5" hidden="1" x14ac:dyDescent="0.3">
      <c r="A1161" s="1">
        <v>42466</v>
      </c>
      <c r="B1161">
        <v>24978.86</v>
      </c>
      <c r="C1161">
        <v>25000.65</v>
      </c>
      <c r="D1161">
        <v>24834.16</v>
      </c>
      <c r="E1161">
        <v>24900.63</v>
      </c>
    </row>
    <row r="1162" spans="1:5" hidden="1" x14ac:dyDescent="0.3">
      <c r="A1162" s="1">
        <v>42467</v>
      </c>
      <c r="B1162">
        <v>24998.79</v>
      </c>
      <c r="C1162">
        <v>25013.13</v>
      </c>
      <c r="D1162">
        <v>24647.48</v>
      </c>
      <c r="E1162">
        <v>24685.42</v>
      </c>
    </row>
    <row r="1163" spans="1:5" hidden="1" x14ac:dyDescent="0.3">
      <c r="A1163" s="1">
        <v>42468</v>
      </c>
      <c r="B1163">
        <v>24665.8</v>
      </c>
      <c r="C1163">
        <v>24736.03</v>
      </c>
      <c r="D1163">
        <v>24608.51</v>
      </c>
      <c r="E1163">
        <v>24673.84</v>
      </c>
    </row>
    <row r="1164" spans="1:5" hidden="1" x14ac:dyDescent="0.3">
      <c r="A1164" s="1">
        <v>42471</v>
      </c>
      <c r="B1164">
        <v>24789.4</v>
      </c>
      <c r="C1164">
        <v>25049.919999999998</v>
      </c>
      <c r="D1164">
        <v>24523.200000000001</v>
      </c>
      <c r="E1164">
        <v>25022.16</v>
      </c>
    </row>
    <row r="1165" spans="1:5" hidden="1" x14ac:dyDescent="0.3">
      <c r="A1165" s="1">
        <v>42472</v>
      </c>
      <c r="B1165">
        <v>25056.47</v>
      </c>
      <c r="C1165">
        <v>25180.02</v>
      </c>
      <c r="D1165">
        <v>24996.44</v>
      </c>
      <c r="E1165">
        <v>25145.59</v>
      </c>
    </row>
    <row r="1166" spans="1:5" hidden="1" x14ac:dyDescent="0.3">
      <c r="A1166" s="1">
        <v>42473</v>
      </c>
      <c r="B1166">
        <v>25358.42</v>
      </c>
      <c r="C1166">
        <v>25671.5</v>
      </c>
      <c r="D1166">
        <v>25358.42</v>
      </c>
      <c r="E1166">
        <v>25626.75</v>
      </c>
    </row>
    <row r="1167" spans="1:5" hidden="1" x14ac:dyDescent="0.3">
      <c r="A1167" s="1">
        <v>42478</v>
      </c>
      <c r="B1167">
        <v>25833.16</v>
      </c>
      <c r="C1167">
        <v>25870.03</v>
      </c>
      <c r="D1167">
        <v>25634.12</v>
      </c>
      <c r="E1167">
        <v>25816.36</v>
      </c>
    </row>
    <row r="1168" spans="1:5" hidden="1" x14ac:dyDescent="0.3">
      <c r="A1168" s="1">
        <v>42480</v>
      </c>
      <c r="B1168">
        <v>25942.34</v>
      </c>
      <c r="C1168">
        <v>25956.34</v>
      </c>
      <c r="D1168">
        <v>25716.81</v>
      </c>
      <c r="E1168">
        <v>25844.18</v>
      </c>
    </row>
    <row r="1169" spans="1:5" hidden="1" x14ac:dyDescent="0.3">
      <c r="A1169" s="1">
        <v>42481</v>
      </c>
      <c r="B1169">
        <v>25979.68</v>
      </c>
      <c r="C1169">
        <v>26080.07</v>
      </c>
      <c r="D1169">
        <v>25783.119999999999</v>
      </c>
      <c r="E1169">
        <v>25880.38</v>
      </c>
    </row>
    <row r="1170" spans="1:5" hidden="1" x14ac:dyDescent="0.3">
      <c r="A1170" s="1">
        <v>42482</v>
      </c>
      <c r="B1170">
        <v>25892.49</v>
      </c>
      <c r="C1170">
        <v>25922.02</v>
      </c>
      <c r="D1170">
        <v>25771.88</v>
      </c>
      <c r="E1170">
        <v>25838.14</v>
      </c>
    </row>
    <row r="1171" spans="1:5" hidden="1" x14ac:dyDescent="0.3">
      <c r="A1171" s="1">
        <v>42485</v>
      </c>
      <c r="B1171">
        <v>25891.03</v>
      </c>
      <c r="C1171">
        <v>25891.03</v>
      </c>
      <c r="D1171">
        <v>25585.93</v>
      </c>
      <c r="E1171">
        <v>25678.93</v>
      </c>
    </row>
    <row r="1172" spans="1:5" hidden="1" x14ac:dyDescent="0.3">
      <c r="A1172" s="1">
        <v>42486</v>
      </c>
      <c r="B1172">
        <v>25604.92</v>
      </c>
      <c r="C1172">
        <v>26055</v>
      </c>
      <c r="D1172">
        <v>25549.05</v>
      </c>
      <c r="E1172">
        <v>26007.3</v>
      </c>
    </row>
    <row r="1173" spans="1:5" hidden="1" x14ac:dyDescent="0.3">
      <c r="A1173" s="1">
        <v>42487</v>
      </c>
      <c r="B1173">
        <v>25956.42</v>
      </c>
      <c r="C1173">
        <v>26092.93</v>
      </c>
      <c r="D1173">
        <v>25885.24</v>
      </c>
      <c r="E1173">
        <v>26064.12</v>
      </c>
    </row>
    <row r="1174" spans="1:5" hidden="1" x14ac:dyDescent="0.3">
      <c r="A1174" s="1">
        <v>42488</v>
      </c>
      <c r="B1174">
        <v>26078.28</v>
      </c>
      <c r="C1174">
        <v>26100.54</v>
      </c>
      <c r="D1174">
        <v>25561.17</v>
      </c>
      <c r="E1174">
        <v>25603.1</v>
      </c>
    </row>
    <row r="1175" spans="1:5" hidden="1" x14ac:dyDescent="0.3">
      <c r="A1175" s="1">
        <v>42489</v>
      </c>
      <c r="B1175">
        <v>25612.91</v>
      </c>
      <c r="C1175">
        <v>25755.43</v>
      </c>
      <c r="D1175">
        <v>25424.03</v>
      </c>
      <c r="E1175">
        <v>25606.62</v>
      </c>
    </row>
    <row r="1176" spans="1:5" hidden="1" x14ac:dyDescent="0.3">
      <c r="A1176" s="1">
        <v>42492</v>
      </c>
      <c r="B1176">
        <v>25565.439999999999</v>
      </c>
      <c r="C1176">
        <v>25565.439999999999</v>
      </c>
      <c r="D1176">
        <v>25341.14</v>
      </c>
      <c r="E1176">
        <v>25436.97</v>
      </c>
    </row>
    <row r="1177" spans="1:5" hidden="1" x14ac:dyDescent="0.3">
      <c r="A1177" s="1">
        <v>42493</v>
      </c>
      <c r="B1177">
        <v>25500.14</v>
      </c>
      <c r="C1177">
        <v>25705.96</v>
      </c>
      <c r="D1177">
        <v>25192.94</v>
      </c>
      <c r="E1177">
        <v>25229.7</v>
      </c>
    </row>
    <row r="1178" spans="1:5" hidden="1" x14ac:dyDescent="0.3">
      <c r="A1178" s="1">
        <v>42494</v>
      </c>
      <c r="B1178">
        <v>25210.87</v>
      </c>
      <c r="C1178">
        <v>25245.7</v>
      </c>
      <c r="D1178">
        <v>25061.040000000001</v>
      </c>
      <c r="E1178">
        <v>25101.73</v>
      </c>
    </row>
    <row r="1179" spans="1:5" hidden="1" x14ac:dyDescent="0.3">
      <c r="A1179" s="1">
        <v>42495</v>
      </c>
      <c r="B1179">
        <v>25187.66</v>
      </c>
      <c r="C1179">
        <v>25394.1</v>
      </c>
      <c r="D1179">
        <v>25162.94</v>
      </c>
      <c r="E1179">
        <v>25262.21</v>
      </c>
    </row>
    <row r="1180" spans="1:5" hidden="1" x14ac:dyDescent="0.3">
      <c r="A1180" s="1">
        <v>42496</v>
      </c>
      <c r="B1180">
        <v>25223.67</v>
      </c>
      <c r="C1180">
        <v>25260.48</v>
      </c>
      <c r="D1180">
        <v>25057.93</v>
      </c>
      <c r="E1180">
        <v>25228.5</v>
      </c>
    </row>
    <row r="1181" spans="1:5" hidden="1" x14ac:dyDescent="0.3">
      <c r="A1181" s="1">
        <v>42499</v>
      </c>
      <c r="B1181">
        <v>25321.83</v>
      </c>
      <c r="C1181">
        <v>25709.68</v>
      </c>
      <c r="D1181">
        <v>25302.86</v>
      </c>
      <c r="E1181">
        <v>25688.86</v>
      </c>
    </row>
    <row r="1182" spans="1:5" hidden="1" x14ac:dyDescent="0.3">
      <c r="A1182" s="1">
        <v>42500</v>
      </c>
      <c r="B1182">
        <v>25682.98</v>
      </c>
      <c r="C1182">
        <v>25809.93</v>
      </c>
      <c r="D1182">
        <v>25614.240000000002</v>
      </c>
      <c r="E1182">
        <v>25772.53</v>
      </c>
    </row>
    <row r="1183" spans="1:5" hidden="1" x14ac:dyDescent="0.3">
      <c r="A1183" s="1">
        <v>42501</v>
      </c>
      <c r="B1183">
        <v>25548.97</v>
      </c>
      <c r="C1183">
        <v>25762.49</v>
      </c>
      <c r="D1183">
        <v>25409.24</v>
      </c>
      <c r="E1183">
        <v>25597.02</v>
      </c>
    </row>
    <row r="1184" spans="1:5" hidden="1" x14ac:dyDescent="0.3">
      <c r="A1184" s="1">
        <v>42502</v>
      </c>
      <c r="B1184">
        <v>25684.6</v>
      </c>
      <c r="C1184">
        <v>25827.03</v>
      </c>
      <c r="D1184">
        <v>25620.27</v>
      </c>
      <c r="E1184">
        <v>25790.22</v>
      </c>
    </row>
    <row r="1185" spans="1:5" hidden="1" x14ac:dyDescent="0.3">
      <c r="A1185" s="1">
        <v>42503</v>
      </c>
      <c r="B1185">
        <v>25739.94</v>
      </c>
      <c r="C1185">
        <v>25743.69</v>
      </c>
      <c r="D1185">
        <v>25400.27</v>
      </c>
      <c r="E1185">
        <v>25489.57</v>
      </c>
    </row>
    <row r="1186" spans="1:5" hidden="1" x14ac:dyDescent="0.3">
      <c r="A1186" s="1">
        <v>42506</v>
      </c>
      <c r="B1186">
        <v>25528.799999999999</v>
      </c>
      <c r="C1186">
        <v>25688.46</v>
      </c>
      <c r="D1186">
        <v>25351.62</v>
      </c>
      <c r="E1186">
        <v>25653.23</v>
      </c>
    </row>
    <row r="1187" spans="1:5" hidden="1" x14ac:dyDescent="0.3">
      <c r="A1187" s="1">
        <v>42507</v>
      </c>
      <c r="B1187">
        <v>25756.14</v>
      </c>
      <c r="C1187">
        <v>25927.31</v>
      </c>
      <c r="D1187">
        <v>25733.759999999998</v>
      </c>
      <c r="E1187">
        <v>25773.61</v>
      </c>
    </row>
    <row r="1188" spans="1:5" hidden="1" x14ac:dyDescent="0.3">
      <c r="A1188" s="1">
        <v>42508</v>
      </c>
      <c r="B1188">
        <v>25671.48</v>
      </c>
      <c r="C1188">
        <v>25747</v>
      </c>
      <c r="D1188">
        <v>25503.4</v>
      </c>
      <c r="E1188">
        <v>25704.61</v>
      </c>
    </row>
    <row r="1189" spans="1:5" hidden="1" x14ac:dyDescent="0.3">
      <c r="A1189" s="1">
        <v>42509</v>
      </c>
      <c r="B1189">
        <v>25713.84</v>
      </c>
      <c r="C1189">
        <v>25714.560000000001</v>
      </c>
      <c r="D1189">
        <v>25351.99</v>
      </c>
      <c r="E1189">
        <v>25399.72</v>
      </c>
    </row>
    <row r="1190" spans="1:5" hidden="1" x14ac:dyDescent="0.3">
      <c r="A1190" s="1">
        <v>42510</v>
      </c>
      <c r="B1190">
        <v>25428.42</v>
      </c>
      <c r="C1190">
        <v>25506.06</v>
      </c>
      <c r="D1190">
        <v>25251.9</v>
      </c>
      <c r="E1190">
        <v>25301.9</v>
      </c>
    </row>
    <row r="1191" spans="1:5" hidden="1" x14ac:dyDescent="0.3">
      <c r="A1191" s="1">
        <v>42513</v>
      </c>
      <c r="B1191">
        <v>25447.72</v>
      </c>
      <c r="C1191">
        <v>25519.26</v>
      </c>
      <c r="D1191">
        <v>25207.78</v>
      </c>
      <c r="E1191">
        <v>25230.36</v>
      </c>
    </row>
    <row r="1192" spans="1:5" hidden="1" x14ac:dyDescent="0.3">
      <c r="A1192" s="1">
        <v>42514</v>
      </c>
      <c r="B1192">
        <v>25256.97</v>
      </c>
      <c r="C1192">
        <v>25340.47</v>
      </c>
      <c r="D1192">
        <v>25181.47</v>
      </c>
      <c r="E1192">
        <v>25305.47</v>
      </c>
    </row>
    <row r="1193" spans="1:5" hidden="1" x14ac:dyDescent="0.3">
      <c r="A1193" s="1">
        <v>42515</v>
      </c>
      <c r="B1193">
        <v>25432.1</v>
      </c>
      <c r="C1193">
        <v>25897.87</v>
      </c>
      <c r="D1193">
        <v>25430.59</v>
      </c>
      <c r="E1193">
        <v>25881.17</v>
      </c>
    </row>
    <row r="1194" spans="1:5" hidden="1" x14ac:dyDescent="0.3">
      <c r="A1194" s="1">
        <v>42516</v>
      </c>
      <c r="B1194">
        <v>26008.25</v>
      </c>
      <c r="C1194">
        <v>26398.94</v>
      </c>
      <c r="D1194">
        <v>25941.51</v>
      </c>
      <c r="E1194">
        <v>26366.68</v>
      </c>
    </row>
    <row r="1195" spans="1:5" hidden="1" x14ac:dyDescent="0.3">
      <c r="A1195" s="1">
        <v>42517</v>
      </c>
      <c r="B1195">
        <v>26415.93</v>
      </c>
      <c r="C1195">
        <v>26677.43</v>
      </c>
      <c r="D1195">
        <v>26405.279999999999</v>
      </c>
      <c r="E1195">
        <v>26653.599999999999</v>
      </c>
    </row>
    <row r="1196" spans="1:5" hidden="1" x14ac:dyDescent="0.3">
      <c r="A1196" s="1">
        <v>42520</v>
      </c>
      <c r="B1196">
        <v>26694.75</v>
      </c>
      <c r="C1196">
        <v>26794.959999999999</v>
      </c>
      <c r="D1196">
        <v>26623.33</v>
      </c>
      <c r="E1196">
        <v>26725.599999999999</v>
      </c>
    </row>
    <row r="1197" spans="1:5" hidden="1" x14ac:dyDescent="0.3">
      <c r="A1197" s="1">
        <v>42521</v>
      </c>
      <c r="B1197">
        <v>26817.75</v>
      </c>
      <c r="C1197">
        <v>26837.200000000001</v>
      </c>
      <c r="D1197">
        <v>26561.58</v>
      </c>
      <c r="E1197">
        <v>26667.96</v>
      </c>
    </row>
    <row r="1198" spans="1:5" hidden="1" x14ac:dyDescent="0.3">
      <c r="A1198" s="1">
        <v>42522</v>
      </c>
      <c r="B1198">
        <v>26684.46</v>
      </c>
      <c r="C1198">
        <v>26857.25</v>
      </c>
      <c r="D1198">
        <v>26671.86</v>
      </c>
      <c r="E1198">
        <v>26713.93</v>
      </c>
    </row>
    <row r="1199" spans="1:5" hidden="1" x14ac:dyDescent="0.3">
      <c r="A1199" s="1">
        <v>42523</v>
      </c>
      <c r="B1199">
        <v>26694.28</v>
      </c>
      <c r="C1199">
        <v>26885.16</v>
      </c>
      <c r="D1199">
        <v>26641.02</v>
      </c>
      <c r="E1199">
        <v>26843.14</v>
      </c>
    </row>
    <row r="1200" spans="1:5" hidden="1" x14ac:dyDescent="0.3">
      <c r="A1200" s="1">
        <v>42524</v>
      </c>
      <c r="B1200">
        <v>26919.23</v>
      </c>
      <c r="C1200">
        <v>27008.14</v>
      </c>
      <c r="D1200">
        <v>26792.07</v>
      </c>
      <c r="E1200">
        <v>26843.03</v>
      </c>
    </row>
    <row r="1201" spans="1:5" hidden="1" x14ac:dyDescent="0.3">
      <c r="A1201" s="1">
        <v>42527</v>
      </c>
      <c r="B1201">
        <v>26897.84</v>
      </c>
      <c r="C1201">
        <v>26901.42</v>
      </c>
      <c r="D1201">
        <v>26729.54</v>
      </c>
      <c r="E1201">
        <v>26777.45</v>
      </c>
    </row>
    <row r="1202" spans="1:5" hidden="1" x14ac:dyDescent="0.3">
      <c r="A1202" s="1">
        <v>42528</v>
      </c>
      <c r="B1202">
        <v>26833.54</v>
      </c>
      <c r="C1202">
        <v>27082.63</v>
      </c>
      <c r="D1202">
        <v>26829.53</v>
      </c>
      <c r="E1202">
        <v>27009.67</v>
      </c>
    </row>
    <row r="1203" spans="1:5" hidden="1" x14ac:dyDescent="0.3">
      <c r="A1203" s="1">
        <v>42529</v>
      </c>
      <c r="B1203">
        <v>27085.24</v>
      </c>
      <c r="C1203">
        <v>27105.41</v>
      </c>
      <c r="D1203">
        <v>26973.71</v>
      </c>
      <c r="E1203">
        <v>27020.66</v>
      </c>
    </row>
    <row r="1204" spans="1:5" hidden="1" x14ac:dyDescent="0.3">
      <c r="A1204" s="1">
        <v>42530</v>
      </c>
      <c r="B1204">
        <v>26994.48</v>
      </c>
      <c r="C1204">
        <v>26994.91</v>
      </c>
      <c r="D1204">
        <v>26692.35</v>
      </c>
      <c r="E1204">
        <v>26763.46</v>
      </c>
    </row>
    <row r="1205" spans="1:5" hidden="1" x14ac:dyDescent="0.3">
      <c r="A1205" s="1">
        <v>42531</v>
      </c>
      <c r="B1205">
        <v>26742.26</v>
      </c>
      <c r="C1205">
        <v>26972.06</v>
      </c>
      <c r="D1205">
        <v>26620.5</v>
      </c>
      <c r="E1205">
        <v>26635.75</v>
      </c>
    </row>
    <row r="1206" spans="1:5" hidden="1" x14ac:dyDescent="0.3">
      <c r="A1206" s="1">
        <v>42534</v>
      </c>
      <c r="B1206">
        <v>26468.27</v>
      </c>
      <c r="C1206">
        <v>26468.27</v>
      </c>
      <c r="D1206">
        <v>26262.27</v>
      </c>
      <c r="E1206">
        <v>26396.77</v>
      </c>
    </row>
    <row r="1207" spans="1:5" hidden="1" x14ac:dyDescent="0.3">
      <c r="A1207" s="1">
        <v>42535</v>
      </c>
      <c r="B1207">
        <v>26482.5</v>
      </c>
      <c r="C1207">
        <v>26485.45</v>
      </c>
      <c r="D1207">
        <v>26264.81</v>
      </c>
      <c r="E1207">
        <v>26395.71</v>
      </c>
    </row>
    <row r="1208" spans="1:5" hidden="1" x14ac:dyDescent="0.3">
      <c r="A1208" s="1">
        <v>42536</v>
      </c>
      <c r="B1208">
        <v>26500.79</v>
      </c>
      <c r="C1208">
        <v>26752.59</v>
      </c>
      <c r="D1208">
        <v>26446.59</v>
      </c>
      <c r="E1208">
        <v>26726.34</v>
      </c>
    </row>
    <row r="1209" spans="1:5" hidden="1" x14ac:dyDescent="0.3">
      <c r="A1209" s="1">
        <v>42537</v>
      </c>
      <c r="B1209">
        <v>26686.03</v>
      </c>
      <c r="C1209">
        <v>26686.03</v>
      </c>
      <c r="D1209">
        <v>26314.91</v>
      </c>
      <c r="E1209">
        <v>26525.46</v>
      </c>
    </row>
    <row r="1210" spans="1:5" hidden="1" x14ac:dyDescent="0.3">
      <c r="A1210" s="1">
        <v>42538</v>
      </c>
      <c r="B1210">
        <v>26653.85</v>
      </c>
      <c r="C1210">
        <v>26730.55</v>
      </c>
      <c r="D1210">
        <v>26538.51</v>
      </c>
      <c r="E1210">
        <v>26625.91</v>
      </c>
    </row>
    <row r="1211" spans="1:5" hidden="1" x14ac:dyDescent="0.3">
      <c r="A1211" s="1">
        <v>42541</v>
      </c>
      <c r="B1211">
        <v>26497.11</v>
      </c>
      <c r="C1211">
        <v>26885.49</v>
      </c>
      <c r="D1211">
        <v>26447.88</v>
      </c>
      <c r="E1211">
        <v>26866.92</v>
      </c>
    </row>
    <row r="1212" spans="1:5" hidden="1" x14ac:dyDescent="0.3">
      <c r="A1212" s="1">
        <v>42542</v>
      </c>
      <c r="B1212">
        <v>26907.42</v>
      </c>
      <c r="C1212">
        <v>26925.64</v>
      </c>
      <c r="D1212">
        <v>26754.6</v>
      </c>
      <c r="E1212">
        <v>26812.78</v>
      </c>
    </row>
    <row r="1213" spans="1:5" hidden="1" x14ac:dyDescent="0.3">
      <c r="A1213" s="1">
        <v>42543</v>
      </c>
      <c r="B1213">
        <v>26791.68</v>
      </c>
      <c r="C1213">
        <v>26887.29</v>
      </c>
      <c r="D1213">
        <v>26617.45</v>
      </c>
      <c r="E1213">
        <v>26765.65</v>
      </c>
    </row>
    <row r="1214" spans="1:5" hidden="1" x14ac:dyDescent="0.3">
      <c r="A1214" s="1">
        <v>42544</v>
      </c>
      <c r="B1214">
        <v>26753.200000000001</v>
      </c>
      <c r="C1214">
        <v>27060.98</v>
      </c>
      <c r="D1214">
        <v>26736.52</v>
      </c>
      <c r="E1214">
        <v>27002.22</v>
      </c>
    </row>
    <row r="1215" spans="1:5" hidden="1" x14ac:dyDescent="0.3">
      <c r="A1215" s="1">
        <v>42545</v>
      </c>
      <c r="B1215">
        <v>26367.48</v>
      </c>
      <c r="C1215">
        <v>26435.85</v>
      </c>
      <c r="D1215">
        <v>25911.33</v>
      </c>
      <c r="E1215">
        <v>26397.71</v>
      </c>
    </row>
    <row r="1216" spans="1:5" hidden="1" x14ac:dyDescent="0.3">
      <c r="A1216" s="1">
        <v>42548</v>
      </c>
      <c r="B1216">
        <v>26347.81</v>
      </c>
      <c r="C1216">
        <v>26493.51</v>
      </c>
      <c r="D1216">
        <v>26262.720000000001</v>
      </c>
      <c r="E1216">
        <v>26402.959999999999</v>
      </c>
    </row>
    <row r="1217" spans="1:5" hidden="1" x14ac:dyDescent="0.3">
      <c r="A1217" s="1">
        <v>42549</v>
      </c>
      <c r="B1217">
        <v>26410.66</v>
      </c>
      <c r="C1217">
        <v>26583.33</v>
      </c>
      <c r="D1217">
        <v>26378.46</v>
      </c>
      <c r="E1217">
        <v>26524.55</v>
      </c>
    </row>
    <row r="1218" spans="1:5" hidden="1" x14ac:dyDescent="0.3">
      <c r="A1218" s="1">
        <v>42550</v>
      </c>
      <c r="B1218">
        <v>26627.15</v>
      </c>
      <c r="C1218">
        <v>26776.17</v>
      </c>
      <c r="D1218">
        <v>26606.31</v>
      </c>
      <c r="E1218">
        <v>26740.39</v>
      </c>
    </row>
    <row r="1219" spans="1:5" hidden="1" x14ac:dyDescent="0.3">
      <c r="A1219" s="1">
        <v>42551</v>
      </c>
      <c r="B1219">
        <v>26926.17</v>
      </c>
      <c r="C1219">
        <v>27069.23</v>
      </c>
      <c r="D1219">
        <v>26872.59</v>
      </c>
      <c r="E1219">
        <v>26999.72</v>
      </c>
    </row>
    <row r="1220" spans="1:5" hidden="1" x14ac:dyDescent="0.3">
      <c r="A1220" s="1">
        <v>42552</v>
      </c>
      <c r="B1220">
        <v>27064.33</v>
      </c>
      <c r="C1220">
        <v>27243.360000000001</v>
      </c>
      <c r="D1220">
        <v>27061.4</v>
      </c>
      <c r="E1220">
        <v>27144.91</v>
      </c>
    </row>
    <row r="1221" spans="1:5" hidden="1" x14ac:dyDescent="0.3">
      <c r="A1221" s="1">
        <v>42555</v>
      </c>
      <c r="B1221">
        <v>27314.44</v>
      </c>
      <c r="C1221">
        <v>27385.66</v>
      </c>
      <c r="D1221">
        <v>27251.06</v>
      </c>
      <c r="E1221">
        <v>27278.76</v>
      </c>
    </row>
    <row r="1222" spans="1:5" hidden="1" x14ac:dyDescent="0.3">
      <c r="A1222" s="1">
        <v>42556</v>
      </c>
      <c r="B1222">
        <v>27340.720000000001</v>
      </c>
      <c r="C1222">
        <v>27348.66</v>
      </c>
      <c r="D1222">
        <v>27127.3</v>
      </c>
      <c r="E1222">
        <v>27166.87</v>
      </c>
    </row>
    <row r="1223" spans="1:5" hidden="1" x14ac:dyDescent="0.3">
      <c r="A1223" s="1">
        <v>42558</v>
      </c>
      <c r="B1223">
        <v>27209.97</v>
      </c>
      <c r="C1223">
        <v>27288.22</v>
      </c>
      <c r="D1223">
        <v>27146.95</v>
      </c>
      <c r="E1223">
        <v>27201.49</v>
      </c>
    </row>
    <row r="1224" spans="1:5" hidden="1" x14ac:dyDescent="0.3">
      <c r="A1224" s="1">
        <v>42559</v>
      </c>
      <c r="B1224">
        <v>27292.2</v>
      </c>
      <c r="C1224">
        <v>27294.82</v>
      </c>
      <c r="D1224">
        <v>27034.14</v>
      </c>
      <c r="E1224">
        <v>27126.9</v>
      </c>
    </row>
    <row r="1225" spans="1:5" hidden="1" x14ac:dyDescent="0.3">
      <c r="A1225" s="1">
        <v>42562</v>
      </c>
      <c r="B1225">
        <v>27358.23</v>
      </c>
      <c r="C1225">
        <v>27647.48</v>
      </c>
      <c r="D1225">
        <v>27358.23</v>
      </c>
      <c r="E1225">
        <v>27626.69</v>
      </c>
    </row>
    <row r="1226" spans="1:5" hidden="1" x14ac:dyDescent="0.3">
      <c r="A1226" s="1">
        <v>42563</v>
      </c>
      <c r="B1226">
        <v>27667.81</v>
      </c>
      <c r="C1226">
        <v>27828.74</v>
      </c>
      <c r="D1226">
        <v>27667.81</v>
      </c>
      <c r="E1226">
        <v>27808.14</v>
      </c>
    </row>
    <row r="1227" spans="1:5" hidden="1" x14ac:dyDescent="0.3">
      <c r="A1227" s="1">
        <v>42564</v>
      </c>
      <c r="B1227">
        <v>27912.14</v>
      </c>
      <c r="C1227">
        <v>27928.76</v>
      </c>
      <c r="D1227">
        <v>27752.14</v>
      </c>
      <c r="E1227">
        <v>27815.18</v>
      </c>
    </row>
    <row r="1228" spans="1:5" hidden="1" x14ac:dyDescent="0.3">
      <c r="A1228" s="1">
        <v>42565</v>
      </c>
      <c r="B1228">
        <v>27857.8</v>
      </c>
      <c r="C1228">
        <v>27967.77</v>
      </c>
      <c r="D1228">
        <v>27763.15</v>
      </c>
      <c r="E1228">
        <v>27942.11</v>
      </c>
    </row>
    <row r="1229" spans="1:5" hidden="1" x14ac:dyDescent="0.3">
      <c r="A1229" s="1">
        <v>42566</v>
      </c>
      <c r="B1229">
        <v>27966.14</v>
      </c>
      <c r="C1229">
        <v>28048.7</v>
      </c>
      <c r="D1229">
        <v>27735.87</v>
      </c>
      <c r="E1229">
        <v>27836.5</v>
      </c>
    </row>
    <row r="1230" spans="1:5" hidden="1" x14ac:dyDescent="0.3">
      <c r="A1230" s="1">
        <v>42569</v>
      </c>
      <c r="B1230">
        <v>27920.66</v>
      </c>
      <c r="C1230">
        <v>28013.5</v>
      </c>
      <c r="D1230">
        <v>27697.69</v>
      </c>
      <c r="E1230">
        <v>27746.66</v>
      </c>
    </row>
    <row r="1231" spans="1:5" hidden="1" x14ac:dyDescent="0.3">
      <c r="A1231" s="1">
        <v>42570</v>
      </c>
      <c r="B1231">
        <v>27790.05</v>
      </c>
      <c r="C1231">
        <v>27826.69</v>
      </c>
      <c r="D1231">
        <v>27637.98</v>
      </c>
      <c r="E1231">
        <v>27787.62</v>
      </c>
    </row>
    <row r="1232" spans="1:5" hidden="1" x14ac:dyDescent="0.3">
      <c r="A1232" s="1">
        <v>42571</v>
      </c>
      <c r="B1232">
        <v>27775.7</v>
      </c>
      <c r="C1232">
        <v>27935.18</v>
      </c>
      <c r="D1232">
        <v>27759.71</v>
      </c>
      <c r="E1232">
        <v>27915.89</v>
      </c>
    </row>
    <row r="1233" spans="1:5" hidden="1" x14ac:dyDescent="0.3">
      <c r="A1233" s="1">
        <v>42572</v>
      </c>
      <c r="B1233">
        <v>27980.07</v>
      </c>
      <c r="C1233">
        <v>27988.76</v>
      </c>
      <c r="D1233">
        <v>27687.54</v>
      </c>
      <c r="E1233">
        <v>27710.52</v>
      </c>
    </row>
    <row r="1234" spans="1:5" hidden="1" x14ac:dyDescent="0.3">
      <c r="A1234" s="1">
        <v>42573</v>
      </c>
      <c r="B1234">
        <v>27721.72</v>
      </c>
      <c r="C1234">
        <v>27832.45</v>
      </c>
      <c r="D1234">
        <v>27646.21</v>
      </c>
      <c r="E1234">
        <v>27803.24</v>
      </c>
    </row>
    <row r="1235" spans="1:5" hidden="1" x14ac:dyDescent="0.3">
      <c r="A1235" s="1">
        <v>42576</v>
      </c>
      <c r="B1235">
        <v>27753.96</v>
      </c>
      <c r="C1235">
        <v>28110.37</v>
      </c>
      <c r="D1235">
        <v>27736.51</v>
      </c>
      <c r="E1235">
        <v>28095.34</v>
      </c>
    </row>
    <row r="1236" spans="1:5" hidden="1" x14ac:dyDescent="0.3">
      <c r="A1236" s="1">
        <v>42577</v>
      </c>
      <c r="B1236">
        <v>28121.37</v>
      </c>
      <c r="C1236">
        <v>28149.53</v>
      </c>
      <c r="D1236">
        <v>27927.13</v>
      </c>
      <c r="E1236">
        <v>27976.52</v>
      </c>
    </row>
    <row r="1237" spans="1:5" hidden="1" x14ac:dyDescent="0.3">
      <c r="A1237" s="1">
        <v>42578</v>
      </c>
      <c r="B1237">
        <v>27976.14</v>
      </c>
      <c r="C1237">
        <v>28210.880000000001</v>
      </c>
      <c r="D1237">
        <v>27899.93</v>
      </c>
      <c r="E1237">
        <v>28024.33</v>
      </c>
    </row>
    <row r="1238" spans="1:5" hidden="1" x14ac:dyDescent="0.3">
      <c r="A1238" s="1">
        <v>42579</v>
      </c>
      <c r="B1238">
        <v>28108.78</v>
      </c>
      <c r="C1238">
        <v>28240.2</v>
      </c>
      <c r="D1238">
        <v>28064.9</v>
      </c>
      <c r="E1238">
        <v>28208.62</v>
      </c>
    </row>
    <row r="1239" spans="1:5" hidden="1" x14ac:dyDescent="0.3">
      <c r="A1239" s="1">
        <v>42580</v>
      </c>
      <c r="B1239">
        <v>28232.87</v>
      </c>
      <c r="C1239">
        <v>28233.47</v>
      </c>
      <c r="D1239">
        <v>28037.87</v>
      </c>
      <c r="E1239">
        <v>28051.86</v>
      </c>
    </row>
    <row r="1240" spans="1:5" hidden="1" x14ac:dyDescent="0.3">
      <c r="A1240" s="1">
        <v>42583</v>
      </c>
      <c r="B1240">
        <v>28083.08</v>
      </c>
      <c r="C1240">
        <v>28284.85</v>
      </c>
      <c r="D1240">
        <v>27873.53</v>
      </c>
      <c r="E1240">
        <v>28003.119999999999</v>
      </c>
    </row>
    <row r="1241" spans="1:5" hidden="1" x14ac:dyDescent="0.3">
      <c r="A1241" s="1">
        <v>42584</v>
      </c>
      <c r="B1241">
        <v>28069.119999999999</v>
      </c>
      <c r="C1241">
        <v>28175.22</v>
      </c>
      <c r="D1241">
        <v>27943.91</v>
      </c>
      <c r="E1241">
        <v>27981.71</v>
      </c>
    </row>
    <row r="1242" spans="1:5" hidden="1" x14ac:dyDescent="0.3">
      <c r="A1242" s="1">
        <v>42585</v>
      </c>
      <c r="B1242">
        <v>28008.52</v>
      </c>
      <c r="C1242">
        <v>28015.43</v>
      </c>
      <c r="D1242">
        <v>27647.14</v>
      </c>
      <c r="E1242">
        <v>27697.51</v>
      </c>
    </row>
    <row r="1243" spans="1:5" hidden="1" x14ac:dyDescent="0.3">
      <c r="A1243" s="1">
        <v>42586</v>
      </c>
      <c r="B1243">
        <v>27899.88</v>
      </c>
      <c r="C1243">
        <v>27921.91</v>
      </c>
      <c r="D1243">
        <v>27627.97</v>
      </c>
      <c r="E1243">
        <v>27714.37</v>
      </c>
    </row>
    <row r="1244" spans="1:5" hidden="1" x14ac:dyDescent="0.3">
      <c r="A1244" s="1">
        <v>42587</v>
      </c>
      <c r="B1244">
        <v>27810.55</v>
      </c>
      <c r="C1244">
        <v>28110.37</v>
      </c>
      <c r="D1244">
        <v>27795.74</v>
      </c>
      <c r="E1244">
        <v>28078.35</v>
      </c>
    </row>
    <row r="1245" spans="1:5" hidden="1" x14ac:dyDescent="0.3">
      <c r="A1245" s="1">
        <v>42590</v>
      </c>
      <c r="B1245">
        <v>28181.919999999998</v>
      </c>
      <c r="C1245">
        <v>28226.38</v>
      </c>
      <c r="D1245">
        <v>28128.06</v>
      </c>
      <c r="E1245">
        <v>28182.57</v>
      </c>
    </row>
    <row r="1246" spans="1:5" hidden="1" x14ac:dyDescent="0.3">
      <c r="A1246" s="1">
        <v>42591</v>
      </c>
      <c r="B1246">
        <v>28289.22</v>
      </c>
      <c r="C1246">
        <v>28289.96</v>
      </c>
      <c r="D1246">
        <v>27956.77</v>
      </c>
      <c r="E1246">
        <v>28085.16</v>
      </c>
    </row>
    <row r="1247" spans="1:5" hidden="1" x14ac:dyDescent="0.3">
      <c r="A1247" s="1">
        <v>42592</v>
      </c>
      <c r="B1247">
        <v>28133.360000000001</v>
      </c>
      <c r="C1247">
        <v>28143.279999999999</v>
      </c>
      <c r="D1247">
        <v>27736.62</v>
      </c>
      <c r="E1247">
        <v>27774.880000000001</v>
      </c>
    </row>
    <row r="1248" spans="1:5" hidden="1" x14ac:dyDescent="0.3">
      <c r="A1248" s="1">
        <v>42593</v>
      </c>
      <c r="B1248">
        <v>27805.94</v>
      </c>
      <c r="C1248">
        <v>27902.39</v>
      </c>
      <c r="D1248">
        <v>27697.33</v>
      </c>
      <c r="E1248">
        <v>27859.599999999999</v>
      </c>
    </row>
    <row r="1249" spans="1:5" hidden="1" x14ac:dyDescent="0.3">
      <c r="A1249" s="1">
        <v>42594</v>
      </c>
      <c r="B1249">
        <v>27919.95</v>
      </c>
      <c r="C1249">
        <v>28203.27</v>
      </c>
      <c r="D1249">
        <v>27900.91</v>
      </c>
      <c r="E1249">
        <v>28152.400000000001</v>
      </c>
    </row>
    <row r="1250" spans="1:5" hidden="1" x14ac:dyDescent="0.3">
      <c r="A1250" s="1">
        <v>42598</v>
      </c>
      <c r="B1250">
        <v>28190.04</v>
      </c>
      <c r="C1250">
        <v>28199.1</v>
      </c>
      <c r="D1250">
        <v>27942.65</v>
      </c>
      <c r="E1250">
        <v>28064.61</v>
      </c>
    </row>
    <row r="1251" spans="1:5" hidden="1" x14ac:dyDescent="0.3">
      <c r="A1251" s="1">
        <v>42599</v>
      </c>
      <c r="B1251">
        <v>28061.79</v>
      </c>
      <c r="C1251">
        <v>28174.3</v>
      </c>
      <c r="D1251">
        <v>27960.14</v>
      </c>
      <c r="E1251">
        <v>28005.37</v>
      </c>
    </row>
    <row r="1252" spans="1:5" hidden="1" x14ac:dyDescent="0.3">
      <c r="A1252" s="1">
        <v>42600</v>
      </c>
      <c r="B1252">
        <v>28077.64</v>
      </c>
      <c r="C1252">
        <v>28214.17</v>
      </c>
      <c r="D1252">
        <v>28077</v>
      </c>
      <c r="E1252">
        <v>28123.439999999999</v>
      </c>
    </row>
    <row r="1253" spans="1:5" hidden="1" x14ac:dyDescent="0.3">
      <c r="A1253" s="1">
        <v>42601</v>
      </c>
      <c r="B1253">
        <v>28167.66</v>
      </c>
      <c r="C1253">
        <v>28212.3</v>
      </c>
      <c r="D1253">
        <v>28026.12</v>
      </c>
      <c r="E1253">
        <v>28077</v>
      </c>
    </row>
    <row r="1254" spans="1:5" hidden="1" x14ac:dyDescent="0.3">
      <c r="A1254" s="1">
        <v>42604</v>
      </c>
      <c r="B1254">
        <v>28088.07</v>
      </c>
      <c r="C1254">
        <v>28143.279999999999</v>
      </c>
      <c r="D1254">
        <v>27918.05</v>
      </c>
      <c r="E1254">
        <v>27985.54</v>
      </c>
    </row>
    <row r="1255" spans="1:5" hidden="1" x14ac:dyDescent="0.3">
      <c r="A1255" s="1">
        <v>42605</v>
      </c>
      <c r="B1255">
        <v>28012.560000000001</v>
      </c>
      <c r="C1255">
        <v>28028.98</v>
      </c>
      <c r="D1255">
        <v>27854.43</v>
      </c>
      <c r="E1255">
        <v>27990.21</v>
      </c>
    </row>
    <row r="1256" spans="1:5" hidden="1" x14ac:dyDescent="0.3">
      <c r="A1256" s="1">
        <v>42606</v>
      </c>
      <c r="B1256">
        <v>28065.25</v>
      </c>
      <c r="C1256">
        <v>28108.39</v>
      </c>
      <c r="D1256">
        <v>27959.87</v>
      </c>
      <c r="E1256">
        <v>28059.94</v>
      </c>
    </row>
    <row r="1257" spans="1:5" hidden="1" x14ac:dyDescent="0.3">
      <c r="A1257" s="1">
        <v>42607</v>
      </c>
      <c r="B1257">
        <v>28103.599999999999</v>
      </c>
      <c r="C1257">
        <v>28154.21</v>
      </c>
      <c r="D1257">
        <v>27803.24</v>
      </c>
      <c r="E1257">
        <v>27835.91</v>
      </c>
    </row>
    <row r="1258" spans="1:5" hidden="1" x14ac:dyDescent="0.3">
      <c r="A1258" s="1">
        <v>42608</v>
      </c>
      <c r="B1258">
        <v>27882.75</v>
      </c>
      <c r="C1258">
        <v>27935.88</v>
      </c>
      <c r="D1258">
        <v>27696.99</v>
      </c>
      <c r="E1258">
        <v>27782.25</v>
      </c>
    </row>
    <row r="1259" spans="1:5" hidden="1" x14ac:dyDescent="0.3">
      <c r="A1259" s="1">
        <v>42611</v>
      </c>
      <c r="B1259">
        <v>27827.26</v>
      </c>
      <c r="C1259">
        <v>27952.85</v>
      </c>
      <c r="D1259">
        <v>27698.71</v>
      </c>
      <c r="E1259">
        <v>27902.66</v>
      </c>
    </row>
    <row r="1260" spans="1:5" hidden="1" x14ac:dyDescent="0.3">
      <c r="A1260" s="1">
        <v>42612</v>
      </c>
      <c r="B1260">
        <v>28012.46</v>
      </c>
      <c r="C1260">
        <v>28478.02</v>
      </c>
      <c r="D1260">
        <v>28010.66</v>
      </c>
      <c r="E1260">
        <v>28343.01</v>
      </c>
    </row>
    <row r="1261" spans="1:5" hidden="1" x14ac:dyDescent="0.3">
      <c r="A1261" s="1">
        <v>42613</v>
      </c>
      <c r="B1261">
        <v>28372.25</v>
      </c>
      <c r="C1261">
        <v>28532.25</v>
      </c>
      <c r="D1261">
        <v>28363.1</v>
      </c>
      <c r="E1261">
        <v>28452.17</v>
      </c>
    </row>
    <row r="1262" spans="1:5" hidden="1" x14ac:dyDescent="0.3">
      <c r="A1262" s="1">
        <v>42614</v>
      </c>
      <c r="B1262">
        <v>28459.09</v>
      </c>
      <c r="C1262">
        <v>28548.85</v>
      </c>
      <c r="D1262">
        <v>28386.61</v>
      </c>
      <c r="E1262">
        <v>28423.48</v>
      </c>
    </row>
    <row r="1263" spans="1:5" hidden="1" x14ac:dyDescent="0.3">
      <c r="A1263" s="1">
        <v>42615</v>
      </c>
      <c r="B1263">
        <v>28498.720000000001</v>
      </c>
      <c r="C1263">
        <v>28581.58</v>
      </c>
      <c r="D1263">
        <v>28427.63</v>
      </c>
      <c r="E1263">
        <v>28532.11</v>
      </c>
    </row>
    <row r="1264" spans="1:5" hidden="1" x14ac:dyDescent="0.3">
      <c r="A1264" s="1">
        <v>42619</v>
      </c>
      <c r="B1264">
        <v>28631.27</v>
      </c>
      <c r="C1264">
        <v>29013.4</v>
      </c>
      <c r="D1264">
        <v>28631.27</v>
      </c>
      <c r="E1264">
        <v>28978.02</v>
      </c>
    </row>
    <row r="1265" spans="1:5" hidden="1" x14ac:dyDescent="0.3">
      <c r="A1265" s="1">
        <v>42620</v>
      </c>
      <c r="B1265">
        <v>29035.67</v>
      </c>
      <c r="C1265">
        <v>29067.84</v>
      </c>
      <c r="D1265">
        <v>28911.31</v>
      </c>
      <c r="E1265">
        <v>28926.36</v>
      </c>
    </row>
    <row r="1266" spans="1:5" hidden="1" x14ac:dyDescent="0.3">
      <c r="A1266" s="1">
        <v>42621</v>
      </c>
      <c r="B1266">
        <v>28929.46</v>
      </c>
      <c r="C1266">
        <v>29077.279999999999</v>
      </c>
      <c r="D1266">
        <v>28854.560000000001</v>
      </c>
      <c r="E1266">
        <v>29045.279999999999</v>
      </c>
    </row>
    <row r="1267" spans="1:5" hidden="1" x14ac:dyDescent="0.3">
      <c r="A1267" s="1">
        <v>42622</v>
      </c>
      <c r="B1267">
        <v>29062.9</v>
      </c>
      <c r="C1267">
        <v>29062.9</v>
      </c>
      <c r="D1267">
        <v>28755.08</v>
      </c>
      <c r="E1267">
        <v>28797.25</v>
      </c>
    </row>
    <row r="1268" spans="1:5" hidden="1" x14ac:dyDescent="0.3">
      <c r="A1268" s="1">
        <v>42625</v>
      </c>
      <c r="B1268">
        <v>28481.09</v>
      </c>
      <c r="C1268">
        <v>28481.11</v>
      </c>
      <c r="D1268">
        <v>28251.31</v>
      </c>
      <c r="E1268">
        <v>28353.54</v>
      </c>
    </row>
    <row r="1269" spans="1:5" hidden="1" x14ac:dyDescent="0.3">
      <c r="A1269" s="1">
        <v>42627</v>
      </c>
      <c r="B1269">
        <v>28345.49</v>
      </c>
      <c r="C1269">
        <v>28416.41</v>
      </c>
      <c r="D1269">
        <v>28259.38</v>
      </c>
      <c r="E1269">
        <v>28372.23</v>
      </c>
    </row>
    <row r="1270" spans="1:5" hidden="1" x14ac:dyDescent="0.3">
      <c r="A1270" s="1">
        <v>42628</v>
      </c>
      <c r="B1270">
        <v>28398.33</v>
      </c>
      <c r="C1270">
        <v>28454.02</v>
      </c>
      <c r="D1270">
        <v>28311.11</v>
      </c>
      <c r="E1270">
        <v>28412.89</v>
      </c>
    </row>
    <row r="1271" spans="1:5" hidden="1" x14ac:dyDescent="0.3">
      <c r="A1271" s="1">
        <v>42629</v>
      </c>
      <c r="B1271">
        <v>28520.3</v>
      </c>
      <c r="C1271">
        <v>28778.639999999999</v>
      </c>
      <c r="D1271">
        <v>28494.59</v>
      </c>
      <c r="E1271">
        <v>28599.03</v>
      </c>
    </row>
    <row r="1272" spans="1:5" hidden="1" x14ac:dyDescent="0.3">
      <c r="A1272" s="1">
        <v>42632</v>
      </c>
      <c r="B1272">
        <v>28626.6</v>
      </c>
      <c r="C1272">
        <v>28714.77</v>
      </c>
      <c r="D1272">
        <v>28552.55</v>
      </c>
      <c r="E1272">
        <v>28634.5</v>
      </c>
    </row>
    <row r="1273" spans="1:5" hidden="1" x14ac:dyDescent="0.3">
      <c r="A1273" s="1">
        <v>42633</v>
      </c>
      <c r="B1273">
        <v>28690.66</v>
      </c>
      <c r="C1273">
        <v>28698.81</v>
      </c>
      <c r="D1273">
        <v>28480.53</v>
      </c>
      <c r="E1273">
        <v>28523.200000000001</v>
      </c>
    </row>
    <row r="1274" spans="1:5" hidden="1" x14ac:dyDescent="0.3">
      <c r="A1274" s="1">
        <v>42634</v>
      </c>
      <c r="B1274">
        <v>28554.38</v>
      </c>
      <c r="C1274">
        <v>28689.360000000001</v>
      </c>
      <c r="D1274">
        <v>28462.33</v>
      </c>
      <c r="E1274">
        <v>28507.42</v>
      </c>
    </row>
    <row r="1275" spans="1:5" hidden="1" x14ac:dyDescent="0.3">
      <c r="A1275" s="1">
        <v>42635</v>
      </c>
      <c r="B1275">
        <v>28766.94</v>
      </c>
      <c r="C1275">
        <v>28871.919999999998</v>
      </c>
      <c r="D1275">
        <v>28693.07</v>
      </c>
      <c r="E1275">
        <v>28773.13</v>
      </c>
    </row>
    <row r="1276" spans="1:5" hidden="1" x14ac:dyDescent="0.3">
      <c r="A1276" s="1">
        <v>42636</v>
      </c>
      <c r="B1276">
        <v>28810.32</v>
      </c>
      <c r="C1276">
        <v>28825.09</v>
      </c>
      <c r="D1276">
        <v>28627.38</v>
      </c>
      <c r="E1276">
        <v>28668.22</v>
      </c>
    </row>
    <row r="1277" spans="1:5" hidden="1" x14ac:dyDescent="0.3">
      <c r="A1277" s="1">
        <v>42639</v>
      </c>
      <c r="B1277">
        <v>28630.92</v>
      </c>
      <c r="C1277">
        <v>28630.92</v>
      </c>
      <c r="D1277">
        <v>28272.03</v>
      </c>
      <c r="E1277">
        <v>28294.28</v>
      </c>
    </row>
    <row r="1278" spans="1:5" hidden="1" x14ac:dyDescent="0.3">
      <c r="A1278" s="1">
        <v>42640</v>
      </c>
      <c r="B1278">
        <v>28373.02</v>
      </c>
      <c r="C1278">
        <v>28432.74</v>
      </c>
      <c r="D1278">
        <v>28179.34</v>
      </c>
      <c r="E1278">
        <v>28223.7</v>
      </c>
    </row>
    <row r="1279" spans="1:5" hidden="1" x14ac:dyDescent="0.3">
      <c r="A1279" s="1">
        <v>42641</v>
      </c>
      <c r="B1279">
        <v>28198.880000000001</v>
      </c>
      <c r="C1279">
        <v>28378.560000000001</v>
      </c>
      <c r="D1279">
        <v>28198.3</v>
      </c>
      <c r="E1279">
        <v>28292.81</v>
      </c>
    </row>
    <row r="1280" spans="1:5" hidden="1" x14ac:dyDescent="0.3">
      <c r="A1280" s="1">
        <v>42642</v>
      </c>
      <c r="B1280">
        <v>28423.14</v>
      </c>
      <c r="C1280">
        <v>28475.57</v>
      </c>
      <c r="D1280">
        <v>27719.919999999998</v>
      </c>
      <c r="E1280">
        <v>27827.53</v>
      </c>
    </row>
    <row r="1281" spans="1:5" hidden="1" x14ac:dyDescent="0.3">
      <c r="A1281" s="1">
        <v>42643</v>
      </c>
      <c r="B1281">
        <v>27807.82</v>
      </c>
      <c r="C1281">
        <v>27955.21</v>
      </c>
      <c r="D1281">
        <v>27716.78</v>
      </c>
      <c r="E1281">
        <v>27865.96</v>
      </c>
    </row>
    <row r="1282" spans="1:5" hidden="1" x14ac:dyDescent="0.3">
      <c r="A1282" s="1">
        <v>42646</v>
      </c>
      <c r="B1282">
        <v>27997.29</v>
      </c>
      <c r="C1282">
        <v>28273.02</v>
      </c>
      <c r="D1282">
        <v>27919.89</v>
      </c>
      <c r="E1282">
        <v>28243.29</v>
      </c>
    </row>
    <row r="1283" spans="1:5" hidden="1" x14ac:dyDescent="0.3">
      <c r="A1283" s="1">
        <v>42647</v>
      </c>
      <c r="B1283">
        <v>28377.64</v>
      </c>
      <c r="C1283">
        <v>28404.7</v>
      </c>
      <c r="D1283">
        <v>28242.25</v>
      </c>
      <c r="E1283">
        <v>28334.55</v>
      </c>
    </row>
    <row r="1284" spans="1:5" hidden="1" x14ac:dyDescent="0.3">
      <c r="A1284" s="1">
        <v>42648</v>
      </c>
      <c r="B1284">
        <v>28425.74</v>
      </c>
      <c r="C1284">
        <v>28477.65</v>
      </c>
      <c r="D1284">
        <v>28188.9</v>
      </c>
      <c r="E1284">
        <v>28220.98</v>
      </c>
    </row>
    <row r="1285" spans="1:5" hidden="1" x14ac:dyDescent="0.3">
      <c r="A1285" s="1">
        <v>42649</v>
      </c>
      <c r="B1285">
        <v>28298.35</v>
      </c>
      <c r="C1285">
        <v>28328.560000000001</v>
      </c>
      <c r="D1285">
        <v>28031.22</v>
      </c>
      <c r="E1285">
        <v>28106.21</v>
      </c>
    </row>
    <row r="1286" spans="1:5" hidden="1" x14ac:dyDescent="0.3">
      <c r="A1286" s="1">
        <v>42650</v>
      </c>
      <c r="B1286">
        <v>28129.22</v>
      </c>
      <c r="C1286">
        <v>28155.68</v>
      </c>
      <c r="D1286">
        <v>27964.91</v>
      </c>
      <c r="E1286">
        <v>28061.14</v>
      </c>
    </row>
    <row r="1287" spans="1:5" hidden="1" x14ac:dyDescent="0.3">
      <c r="A1287" s="1">
        <v>42653</v>
      </c>
      <c r="B1287">
        <v>28144.28</v>
      </c>
      <c r="C1287">
        <v>28216.639999999999</v>
      </c>
      <c r="D1287">
        <v>28068.32</v>
      </c>
      <c r="E1287">
        <v>28082.34</v>
      </c>
    </row>
    <row r="1288" spans="1:5" hidden="1" x14ac:dyDescent="0.3">
      <c r="A1288" s="1">
        <v>42656</v>
      </c>
      <c r="B1288">
        <v>28042.62</v>
      </c>
      <c r="C1288">
        <v>28042.62</v>
      </c>
      <c r="D1288">
        <v>27563.84</v>
      </c>
      <c r="E1288">
        <v>27643.11</v>
      </c>
    </row>
    <row r="1289" spans="1:5" hidden="1" x14ac:dyDescent="0.3">
      <c r="A1289" s="1">
        <v>42657</v>
      </c>
      <c r="B1289">
        <v>27712.22</v>
      </c>
      <c r="C1289">
        <v>27763.54</v>
      </c>
      <c r="D1289">
        <v>27548.18</v>
      </c>
      <c r="E1289">
        <v>27673.599999999999</v>
      </c>
    </row>
    <row r="1290" spans="1:5" hidden="1" x14ac:dyDescent="0.3">
      <c r="A1290" s="1">
        <v>42660</v>
      </c>
      <c r="B1290">
        <v>27776.14</v>
      </c>
      <c r="C1290">
        <v>27803.21</v>
      </c>
      <c r="D1290">
        <v>27488.3</v>
      </c>
      <c r="E1290">
        <v>27529.97</v>
      </c>
    </row>
    <row r="1291" spans="1:5" hidden="1" x14ac:dyDescent="0.3">
      <c r="A1291" s="1">
        <v>42661</v>
      </c>
      <c r="B1291">
        <v>27656.89</v>
      </c>
      <c r="C1291">
        <v>28064.39</v>
      </c>
      <c r="D1291">
        <v>27652.76</v>
      </c>
      <c r="E1291">
        <v>28050.880000000001</v>
      </c>
    </row>
    <row r="1292" spans="1:5" hidden="1" x14ac:dyDescent="0.3">
      <c r="A1292" s="1">
        <v>42662</v>
      </c>
      <c r="B1292">
        <v>28112.36</v>
      </c>
      <c r="C1292">
        <v>28131.07</v>
      </c>
      <c r="D1292">
        <v>27926.17</v>
      </c>
      <c r="E1292">
        <v>27984.37</v>
      </c>
    </row>
    <row r="1293" spans="1:5" hidden="1" x14ac:dyDescent="0.3">
      <c r="A1293" s="1">
        <v>42663</v>
      </c>
      <c r="B1293">
        <v>28031.57</v>
      </c>
      <c r="C1293">
        <v>28212.5</v>
      </c>
      <c r="D1293">
        <v>28031.57</v>
      </c>
      <c r="E1293">
        <v>28129.84</v>
      </c>
    </row>
    <row r="1294" spans="1:5" hidden="1" x14ac:dyDescent="0.3">
      <c r="A1294" s="1">
        <v>42664</v>
      </c>
      <c r="B1294">
        <v>28163.41</v>
      </c>
      <c r="C1294">
        <v>28163.41</v>
      </c>
      <c r="D1294">
        <v>27957.919999999998</v>
      </c>
      <c r="E1294">
        <v>28077.18</v>
      </c>
    </row>
    <row r="1295" spans="1:5" hidden="1" x14ac:dyDescent="0.3">
      <c r="A1295" s="1">
        <v>42667</v>
      </c>
      <c r="B1295">
        <v>28156.59</v>
      </c>
      <c r="C1295">
        <v>28256.65</v>
      </c>
      <c r="D1295">
        <v>28075.95</v>
      </c>
      <c r="E1295">
        <v>28179.08</v>
      </c>
    </row>
    <row r="1296" spans="1:5" hidden="1" x14ac:dyDescent="0.3">
      <c r="A1296" s="1">
        <v>42668</v>
      </c>
      <c r="B1296">
        <v>28159.09</v>
      </c>
      <c r="C1296">
        <v>28211.41</v>
      </c>
      <c r="D1296">
        <v>28013.69</v>
      </c>
      <c r="E1296">
        <v>28091.42</v>
      </c>
    </row>
    <row r="1297" spans="1:5" hidden="1" x14ac:dyDescent="0.3">
      <c r="A1297" s="1">
        <v>42669</v>
      </c>
      <c r="B1297">
        <v>28050.55</v>
      </c>
      <c r="C1297">
        <v>28050.55</v>
      </c>
      <c r="D1297">
        <v>27759.56</v>
      </c>
      <c r="E1297">
        <v>27836.51</v>
      </c>
    </row>
    <row r="1298" spans="1:5" hidden="1" x14ac:dyDescent="0.3">
      <c r="A1298" s="1">
        <v>42670</v>
      </c>
      <c r="B1298">
        <v>27808.63</v>
      </c>
      <c r="C1298">
        <v>27958.13</v>
      </c>
      <c r="D1298">
        <v>27665.599999999999</v>
      </c>
      <c r="E1298">
        <v>27915.9</v>
      </c>
    </row>
    <row r="1299" spans="1:5" hidden="1" x14ac:dyDescent="0.3">
      <c r="A1299" s="1">
        <v>42671</v>
      </c>
      <c r="B1299">
        <v>27983.14</v>
      </c>
      <c r="C1299">
        <v>28000.14</v>
      </c>
      <c r="D1299">
        <v>27789.84</v>
      </c>
      <c r="E1299">
        <v>27941.51</v>
      </c>
    </row>
    <row r="1300" spans="1:5" hidden="1" x14ac:dyDescent="0.3">
      <c r="A1300" s="1">
        <v>42673</v>
      </c>
      <c r="B1300">
        <v>28066.32</v>
      </c>
      <c r="C1300">
        <v>28095.71</v>
      </c>
      <c r="D1300">
        <v>27890.14</v>
      </c>
      <c r="E1300">
        <v>27930.21</v>
      </c>
    </row>
    <row r="1301" spans="1:5" hidden="1" x14ac:dyDescent="0.3">
      <c r="A1301" s="1">
        <v>42675</v>
      </c>
      <c r="B1301">
        <v>27966.18</v>
      </c>
      <c r="C1301">
        <v>28029.8</v>
      </c>
      <c r="D1301">
        <v>27845.63</v>
      </c>
      <c r="E1301">
        <v>27876.61</v>
      </c>
    </row>
    <row r="1302" spans="1:5" hidden="1" x14ac:dyDescent="0.3">
      <c r="A1302" s="1">
        <v>42676</v>
      </c>
      <c r="B1302">
        <v>27679.32</v>
      </c>
      <c r="C1302">
        <v>27679.32</v>
      </c>
      <c r="D1302">
        <v>27500.81</v>
      </c>
      <c r="E1302">
        <v>27527.22</v>
      </c>
    </row>
    <row r="1303" spans="1:5" hidden="1" x14ac:dyDescent="0.3">
      <c r="A1303" s="1">
        <v>42677</v>
      </c>
      <c r="B1303">
        <v>27518.06</v>
      </c>
      <c r="C1303">
        <v>27600.74</v>
      </c>
      <c r="D1303">
        <v>27399.26</v>
      </c>
      <c r="E1303">
        <v>27430.28</v>
      </c>
    </row>
    <row r="1304" spans="1:5" hidden="1" x14ac:dyDescent="0.3">
      <c r="A1304" s="1">
        <v>42678</v>
      </c>
      <c r="B1304">
        <v>27465.55</v>
      </c>
      <c r="C1304">
        <v>27498.91</v>
      </c>
      <c r="D1304">
        <v>27193.61</v>
      </c>
      <c r="E1304">
        <v>27274.15</v>
      </c>
    </row>
    <row r="1305" spans="1:5" hidden="1" x14ac:dyDescent="0.3">
      <c r="A1305" s="1">
        <v>42681</v>
      </c>
      <c r="B1305">
        <v>27552.27</v>
      </c>
      <c r="C1305">
        <v>27591.15</v>
      </c>
      <c r="D1305">
        <v>27398.720000000001</v>
      </c>
      <c r="E1305">
        <v>27458.99</v>
      </c>
    </row>
    <row r="1306" spans="1:5" hidden="1" x14ac:dyDescent="0.3">
      <c r="A1306" s="1">
        <v>42682</v>
      </c>
      <c r="B1306">
        <v>27537.26</v>
      </c>
      <c r="C1306">
        <v>27646.84</v>
      </c>
      <c r="D1306">
        <v>27406.76</v>
      </c>
      <c r="E1306">
        <v>27591.14</v>
      </c>
    </row>
    <row r="1307" spans="1:5" hidden="1" x14ac:dyDescent="0.3">
      <c r="A1307" s="1">
        <v>42683</v>
      </c>
      <c r="B1307">
        <v>26251.38</v>
      </c>
      <c r="C1307">
        <v>27397.38</v>
      </c>
      <c r="D1307">
        <v>25902.45</v>
      </c>
      <c r="E1307">
        <v>27252.53</v>
      </c>
    </row>
    <row r="1308" spans="1:5" hidden="1" x14ac:dyDescent="0.3">
      <c r="A1308" s="1">
        <v>42684</v>
      </c>
      <c r="B1308">
        <v>27605.05</v>
      </c>
      <c r="C1308">
        <v>27743.46</v>
      </c>
      <c r="D1308">
        <v>27457.05</v>
      </c>
      <c r="E1308">
        <v>27517.68</v>
      </c>
    </row>
    <row r="1309" spans="1:5" hidden="1" x14ac:dyDescent="0.3">
      <c r="A1309" s="1">
        <v>42685</v>
      </c>
      <c r="B1309">
        <v>27344.85</v>
      </c>
      <c r="C1309">
        <v>27344.85</v>
      </c>
      <c r="D1309">
        <v>26777.18</v>
      </c>
      <c r="E1309">
        <v>26818.82</v>
      </c>
    </row>
    <row r="1310" spans="1:5" hidden="1" x14ac:dyDescent="0.3">
      <c r="A1310" s="1">
        <v>42689</v>
      </c>
      <c r="B1310">
        <v>26809.61</v>
      </c>
      <c r="C1310">
        <v>26809.61</v>
      </c>
      <c r="D1310">
        <v>26253.63</v>
      </c>
      <c r="E1310">
        <v>26304.63</v>
      </c>
    </row>
    <row r="1311" spans="1:5" hidden="1" x14ac:dyDescent="0.3">
      <c r="A1311" s="1">
        <v>42690</v>
      </c>
      <c r="B1311">
        <v>26508.94</v>
      </c>
      <c r="C1311">
        <v>26621.4</v>
      </c>
      <c r="D1311">
        <v>26239.21</v>
      </c>
      <c r="E1311">
        <v>26298.69</v>
      </c>
    </row>
    <row r="1312" spans="1:5" hidden="1" x14ac:dyDescent="0.3">
      <c r="A1312" s="1">
        <v>42691</v>
      </c>
      <c r="B1312">
        <v>26304.9</v>
      </c>
      <c r="C1312">
        <v>26449.87</v>
      </c>
      <c r="D1312">
        <v>26155.4</v>
      </c>
      <c r="E1312">
        <v>26227.62</v>
      </c>
    </row>
    <row r="1313" spans="1:5" hidden="1" x14ac:dyDescent="0.3">
      <c r="A1313" s="1">
        <v>42692</v>
      </c>
      <c r="B1313">
        <v>26270.2</v>
      </c>
      <c r="C1313">
        <v>26349.02</v>
      </c>
      <c r="D1313">
        <v>26106.78</v>
      </c>
      <c r="E1313">
        <v>26150.240000000002</v>
      </c>
    </row>
    <row r="1314" spans="1:5" hidden="1" x14ac:dyDescent="0.3">
      <c r="A1314" s="1">
        <v>42695</v>
      </c>
      <c r="B1314">
        <v>26246.7</v>
      </c>
      <c r="C1314">
        <v>26270.28</v>
      </c>
      <c r="D1314">
        <v>25717.93</v>
      </c>
      <c r="E1314">
        <v>25765.14</v>
      </c>
    </row>
    <row r="1315" spans="1:5" hidden="1" x14ac:dyDescent="0.3">
      <c r="A1315" s="1">
        <v>42696</v>
      </c>
      <c r="B1315">
        <v>25928.16</v>
      </c>
      <c r="C1315">
        <v>26039.7</v>
      </c>
      <c r="D1315">
        <v>25765.51</v>
      </c>
      <c r="E1315">
        <v>25960.78</v>
      </c>
    </row>
    <row r="1316" spans="1:5" hidden="1" x14ac:dyDescent="0.3">
      <c r="A1316" s="1">
        <v>42697</v>
      </c>
      <c r="B1316">
        <v>26101.33</v>
      </c>
      <c r="C1316">
        <v>26130.49</v>
      </c>
      <c r="D1316">
        <v>25877.16</v>
      </c>
      <c r="E1316">
        <v>26051.81</v>
      </c>
    </row>
    <row r="1317" spans="1:5" hidden="1" x14ac:dyDescent="0.3">
      <c r="A1317" s="1">
        <v>42698</v>
      </c>
      <c r="B1317">
        <v>26049.14</v>
      </c>
      <c r="C1317">
        <v>26049.14</v>
      </c>
      <c r="D1317">
        <v>25810.97</v>
      </c>
      <c r="E1317">
        <v>25860.17</v>
      </c>
    </row>
    <row r="1318" spans="1:5" hidden="1" x14ac:dyDescent="0.3">
      <c r="A1318" s="1">
        <v>42699</v>
      </c>
      <c r="B1318">
        <v>25953.24</v>
      </c>
      <c r="C1318">
        <v>26343.95</v>
      </c>
      <c r="D1318">
        <v>25874.45</v>
      </c>
      <c r="E1318">
        <v>26316.34</v>
      </c>
    </row>
    <row r="1319" spans="1:5" hidden="1" x14ac:dyDescent="0.3">
      <c r="A1319" s="1">
        <v>42702</v>
      </c>
      <c r="B1319">
        <v>26303.52</v>
      </c>
      <c r="C1319">
        <v>26413.99</v>
      </c>
      <c r="D1319">
        <v>26183.22</v>
      </c>
      <c r="E1319">
        <v>26350.17</v>
      </c>
    </row>
    <row r="1320" spans="1:5" hidden="1" x14ac:dyDescent="0.3">
      <c r="A1320" s="1">
        <v>42703</v>
      </c>
      <c r="B1320">
        <v>26408.62</v>
      </c>
      <c r="C1320">
        <v>26587.07</v>
      </c>
      <c r="D1320">
        <v>26354.66</v>
      </c>
      <c r="E1320">
        <v>26394.01</v>
      </c>
    </row>
    <row r="1321" spans="1:5" hidden="1" x14ac:dyDescent="0.3">
      <c r="A1321" s="1">
        <v>42704</v>
      </c>
      <c r="B1321">
        <v>26441.02</v>
      </c>
      <c r="C1321">
        <v>26680.55</v>
      </c>
      <c r="D1321">
        <v>26395.5</v>
      </c>
      <c r="E1321">
        <v>26652.81</v>
      </c>
    </row>
    <row r="1322" spans="1:5" hidden="1" x14ac:dyDescent="0.3">
      <c r="A1322" s="1">
        <v>42705</v>
      </c>
      <c r="B1322">
        <v>26756.66</v>
      </c>
      <c r="C1322">
        <v>26769.32</v>
      </c>
      <c r="D1322">
        <v>26540.82</v>
      </c>
      <c r="E1322">
        <v>26559.919999999998</v>
      </c>
    </row>
    <row r="1323" spans="1:5" hidden="1" x14ac:dyDescent="0.3">
      <c r="A1323" s="1">
        <v>42706</v>
      </c>
      <c r="B1323">
        <v>26437.37</v>
      </c>
      <c r="C1323">
        <v>26463.06</v>
      </c>
      <c r="D1323">
        <v>26182.93</v>
      </c>
      <c r="E1323">
        <v>26230.66</v>
      </c>
    </row>
    <row r="1324" spans="1:5" hidden="1" x14ac:dyDescent="0.3">
      <c r="A1324" s="1">
        <v>42709</v>
      </c>
      <c r="B1324">
        <v>26253.48</v>
      </c>
      <c r="C1324">
        <v>26390.799999999999</v>
      </c>
      <c r="D1324">
        <v>26125.35</v>
      </c>
      <c r="E1324">
        <v>26349.1</v>
      </c>
    </row>
    <row r="1325" spans="1:5" hidden="1" x14ac:dyDescent="0.3">
      <c r="A1325" s="1">
        <v>42710</v>
      </c>
      <c r="B1325">
        <v>26403.62</v>
      </c>
      <c r="C1325">
        <v>26502.43</v>
      </c>
      <c r="D1325">
        <v>26356.02</v>
      </c>
      <c r="E1325">
        <v>26392.76</v>
      </c>
    </row>
    <row r="1326" spans="1:5" hidden="1" x14ac:dyDescent="0.3">
      <c r="A1326" s="1">
        <v>42711</v>
      </c>
      <c r="B1326">
        <v>26456.21</v>
      </c>
      <c r="C1326">
        <v>26540.83</v>
      </c>
      <c r="D1326">
        <v>26164.82</v>
      </c>
      <c r="E1326">
        <v>26236.87</v>
      </c>
    </row>
    <row r="1327" spans="1:5" hidden="1" x14ac:dyDescent="0.3">
      <c r="A1327" s="1">
        <v>42712</v>
      </c>
      <c r="B1327">
        <v>26366.52</v>
      </c>
      <c r="C1327">
        <v>26733.87</v>
      </c>
      <c r="D1327">
        <v>26357.35</v>
      </c>
      <c r="E1327">
        <v>26694.28</v>
      </c>
    </row>
    <row r="1328" spans="1:5" hidden="1" x14ac:dyDescent="0.3">
      <c r="A1328" s="1">
        <v>42713</v>
      </c>
      <c r="B1328">
        <v>26787.14</v>
      </c>
      <c r="C1328">
        <v>26803.759999999998</v>
      </c>
      <c r="D1328">
        <v>26707.81</v>
      </c>
      <c r="E1328">
        <v>26747.18</v>
      </c>
    </row>
    <row r="1329" spans="1:5" hidden="1" x14ac:dyDescent="0.3">
      <c r="A1329" s="1">
        <v>42716</v>
      </c>
      <c r="B1329">
        <v>26725.31</v>
      </c>
      <c r="C1329">
        <v>26725.31</v>
      </c>
      <c r="D1329">
        <v>26468.59</v>
      </c>
      <c r="E1329">
        <v>26515.24</v>
      </c>
    </row>
    <row r="1330" spans="1:5" hidden="1" x14ac:dyDescent="0.3">
      <c r="A1330" s="1">
        <v>42717</v>
      </c>
      <c r="B1330">
        <v>26607.65</v>
      </c>
      <c r="C1330">
        <v>26724.97</v>
      </c>
      <c r="D1330">
        <v>26494.23</v>
      </c>
      <c r="E1330">
        <v>26697.82</v>
      </c>
    </row>
    <row r="1331" spans="1:5" hidden="1" x14ac:dyDescent="0.3">
      <c r="A1331" s="1">
        <v>42718</v>
      </c>
      <c r="B1331">
        <v>26707.91</v>
      </c>
      <c r="C1331">
        <v>26736.34</v>
      </c>
      <c r="D1331">
        <v>26547.05</v>
      </c>
      <c r="E1331">
        <v>26602.84</v>
      </c>
    </row>
    <row r="1332" spans="1:5" hidden="1" x14ac:dyDescent="0.3">
      <c r="A1332" s="1">
        <v>42719</v>
      </c>
      <c r="B1332">
        <v>26497.71</v>
      </c>
      <c r="C1332">
        <v>26737.86</v>
      </c>
      <c r="D1332">
        <v>26407.58</v>
      </c>
      <c r="E1332">
        <v>26519.07</v>
      </c>
    </row>
    <row r="1333" spans="1:5" hidden="1" x14ac:dyDescent="0.3">
      <c r="A1333" s="1">
        <v>42720</v>
      </c>
      <c r="B1333">
        <v>26548.67</v>
      </c>
      <c r="C1333">
        <v>26594.55</v>
      </c>
      <c r="D1333">
        <v>26455.21</v>
      </c>
      <c r="E1333">
        <v>26489.56</v>
      </c>
    </row>
    <row r="1334" spans="1:5" hidden="1" x14ac:dyDescent="0.3">
      <c r="A1334" s="1">
        <v>42723</v>
      </c>
      <c r="B1334">
        <v>26505.66</v>
      </c>
      <c r="C1334">
        <v>26505.66</v>
      </c>
      <c r="D1334">
        <v>26340.38</v>
      </c>
      <c r="E1334">
        <v>26374.7</v>
      </c>
    </row>
    <row r="1335" spans="1:5" hidden="1" x14ac:dyDescent="0.3">
      <c r="A1335" s="1">
        <v>42724</v>
      </c>
      <c r="B1335">
        <v>26374.59</v>
      </c>
      <c r="C1335">
        <v>26435.56</v>
      </c>
      <c r="D1335">
        <v>26241.43</v>
      </c>
      <c r="E1335">
        <v>26307.98</v>
      </c>
    </row>
    <row r="1336" spans="1:5" hidden="1" x14ac:dyDescent="0.3">
      <c r="A1336" s="1">
        <v>42725</v>
      </c>
      <c r="B1336">
        <v>26368.880000000001</v>
      </c>
      <c r="C1336">
        <v>26396</v>
      </c>
      <c r="D1336">
        <v>26213.51</v>
      </c>
      <c r="E1336">
        <v>26242.38</v>
      </c>
    </row>
    <row r="1337" spans="1:5" hidden="1" x14ac:dyDescent="0.3">
      <c r="A1337" s="1">
        <v>42726</v>
      </c>
      <c r="B1337">
        <v>26224.07</v>
      </c>
      <c r="C1337">
        <v>26248.45</v>
      </c>
      <c r="D1337">
        <v>25940.14</v>
      </c>
      <c r="E1337">
        <v>25979.599999999999</v>
      </c>
    </row>
    <row r="1338" spans="1:5" hidden="1" x14ac:dyDescent="0.3">
      <c r="A1338" s="1">
        <v>42727</v>
      </c>
      <c r="B1338">
        <v>25959.99</v>
      </c>
      <c r="C1338">
        <v>26143.19</v>
      </c>
      <c r="D1338">
        <v>25872.38</v>
      </c>
      <c r="E1338">
        <v>26040.7</v>
      </c>
    </row>
    <row r="1339" spans="1:5" hidden="1" x14ac:dyDescent="0.3">
      <c r="A1339" s="1">
        <v>42730</v>
      </c>
      <c r="B1339">
        <v>25992.41</v>
      </c>
      <c r="C1339">
        <v>26008.57</v>
      </c>
      <c r="D1339">
        <v>25753.74</v>
      </c>
      <c r="E1339">
        <v>25807.1</v>
      </c>
    </row>
    <row r="1340" spans="1:5" hidden="1" x14ac:dyDescent="0.3">
      <c r="A1340" s="1">
        <v>42731</v>
      </c>
      <c r="B1340">
        <v>25815.43</v>
      </c>
      <c r="C1340">
        <v>26249.03</v>
      </c>
      <c r="D1340">
        <v>25803.19</v>
      </c>
      <c r="E1340">
        <v>26213.439999999999</v>
      </c>
    </row>
    <row r="1341" spans="1:5" hidden="1" x14ac:dyDescent="0.3">
      <c r="A1341" s="1">
        <v>42732</v>
      </c>
      <c r="B1341">
        <v>26243.19</v>
      </c>
      <c r="C1341">
        <v>26415.05</v>
      </c>
      <c r="D1341">
        <v>26191.72</v>
      </c>
      <c r="E1341">
        <v>26210.68</v>
      </c>
    </row>
    <row r="1342" spans="1:5" hidden="1" x14ac:dyDescent="0.3">
      <c r="A1342" s="1">
        <v>42733</v>
      </c>
      <c r="B1342">
        <v>26429.41</v>
      </c>
      <c r="C1342">
        <v>26429.63</v>
      </c>
      <c r="D1342">
        <v>26166.67</v>
      </c>
      <c r="E1342">
        <v>26366.15</v>
      </c>
    </row>
    <row r="1343" spans="1:5" hidden="1" x14ac:dyDescent="0.3">
      <c r="A1343" s="1">
        <v>42734</v>
      </c>
      <c r="B1343">
        <v>26441.51</v>
      </c>
      <c r="C1343">
        <v>26678.6</v>
      </c>
      <c r="D1343">
        <v>26406.53</v>
      </c>
      <c r="E1343">
        <v>26626.46</v>
      </c>
    </row>
    <row r="1344" spans="1:5" hidden="1" x14ac:dyDescent="0.3">
      <c r="A1344" s="1">
        <v>42737</v>
      </c>
      <c r="B1344">
        <v>26711.15</v>
      </c>
      <c r="C1344">
        <v>26720.98</v>
      </c>
      <c r="D1344">
        <v>26447.06</v>
      </c>
      <c r="E1344">
        <v>26595.45</v>
      </c>
    </row>
    <row r="1345" spans="1:5" hidden="1" x14ac:dyDescent="0.3">
      <c r="A1345" s="1">
        <v>42738</v>
      </c>
      <c r="B1345">
        <v>26616.92</v>
      </c>
      <c r="C1345">
        <v>26724.400000000001</v>
      </c>
      <c r="D1345">
        <v>26488.37</v>
      </c>
      <c r="E1345">
        <v>26643.24</v>
      </c>
    </row>
    <row r="1346" spans="1:5" hidden="1" x14ac:dyDescent="0.3">
      <c r="A1346" s="1">
        <v>42739</v>
      </c>
      <c r="B1346">
        <v>26677.22</v>
      </c>
      <c r="C1346">
        <v>26723.37</v>
      </c>
      <c r="D1346">
        <v>26606.06</v>
      </c>
      <c r="E1346">
        <v>26633.13</v>
      </c>
    </row>
    <row r="1347" spans="1:5" hidden="1" x14ac:dyDescent="0.3">
      <c r="A1347" s="1">
        <v>42740</v>
      </c>
      <c r="B1347">
        <v>26738.42</v>
      </c>
      <c r="C1347">
        <v>26917.21</v>
      </c>
      <c r="D1347">
        <v>26738.42</v>
      </c>
      <c r="E1347">
        <v>26878.240000000002</v>
      </c>
    </row>
    <row r="1348" spans="1:5" hidden="1" x14ac:dyDescent="0.3">
      <c r="A1348" s="1">
        <v>42741</v>
      </c>
      <c r="B1348">
        <v>26929.69</v>
      </c>
      <c r="C1348">
        <v>27009.61</v>
      </c>
      <c r="D1348">
        <v>26733.33</v>
      </c>
      <c r="E1348">
        <v>26759.23</v>
      </c>
    </row>
    <row r="1349" spans="1:5" hidden="1" x14ac:dyDescent="0.3">
      <c r="A1349" s="1">
        <v>42744</v>
      </c>
      <c r="B1349">
        <v>26860.81</v>
      </c>
      <c r="C1349">
        <v>26860.880000000001</v>
      </c>
      <c r="D1349">
        <v>26701.18</v>
      </c>
      <c r="E1349">
        <v>26726.55</v>
      </c>
    </row>
    <row r="1350" spans="1:5" hidden="1" x14ac:dyDescent="0.3">
      <c r="A1350" s="1">
        <v>42745</v>
      </c>
      <c r="B1350">
        <v>26811.63</v>
      </c>
      <c r="C1350">
        <v>26914.95</v>
      </c>
      <c r="D1350">
        <v>26804.17</v>
      </c>
      <c r="E1350">
        <v>26899.56</v>
      </c>
    </row>
    <row r="1351" spans="1:5" hidden="1" x14ac:dyDescent="0.3">
      <c r="A1351" s="1">
        <v>42746</v>
      </c>
      <c r="B1351">
        <v>26978.44</v>
      </c>
      <c r="C1351">
        <v>27174.87</v>
      </c>
      <c r="D1351">
        <v>26978.44</v>
      </c>
      <c r="E1351">
        <v>27140.41</v>
      </c>
    </row>
    <row r="1352" spans="1:5" hidden="1" x14ac:dyDescent="0.3">
      <c r="A1352" s="1">
        <v>42747</v>
      </c>
      <c r="B1352">
        <v>27171.66</v>
      </c>
      <c r="C1352">
        <v>27278.93</v>
      </c>
      <c r="D1352">
        <v>27166.69</v>
      </c>
      <c r="E1352">
        <v>27247.16</v>
      </c>
    </row>
    <row r="1353" spans="1:5" hidden="1" x14ac:dyDescent="0.3">
      <c r="A1353" s="1">
        <v>42748</v>
      </c>
      <c r="B1353">
        <v>27378.01</v>
      </c>
      <c r="C1353">
        <v>27459.75</v>
      </c>
      <c r="D1353">
        <v>27143.07</v>
      </c>
      <c r="E1353">
        <v>27238.06</v>
      </c>
    </row>
    <row r="1354" spans="1:5" hidden="1" x14ac:dyDescent="0.3">
      <c r="A1354" s="1">
        <v>42751</v>
      </c>
      <c r="B1354">
        <v>27238.35</v>
      </c>
      <c r="C1354">
        <v>27335.08</v>
      </c>
      <c r="D1354">
        <v>27172.68</v>
      </c>
      <c r="E1354">
        <v>27288.17</v>
      </c>
    </row>
    <row r="1355" spans="1:5" hidden="1" x14ac:dyDescent="0.3">
      <c r="A1355" s="1">
        <v>42752</v>
      </c>
      <c r="B1355">
        <v>27331.82</v>
      </c>
      <c r="C1355">
        <v>27381.43</v>
      </c>
      <c r="D1355">
        <v>27179.19</v>
      </c>
      <c r="E1355">
        <v>27235.66</v>
      </c>
    </row>
    <row r="1356" spans="1:5" hidden="1" x14ac:dyDescent="0.3">
      <c r="A1356" s="1">
        <v>42753</v>
      </c>
      <c r="B1356">
        <v>27261.759999999998</v>
      </c>
      <c r="C1356">
        <v>27422.67</v>
      </c>
      <c r="D1356">
        <v>27217.65</v>
      </c>
      <c r="E1356">
        <v>27257.64</v>
      </c>
    </row>
    <row r="1357" spans="1:5" hidden="1" x14ac:dyDescent="0.3">
      <c r="A1357" s="1">
        <v>42754</v>
      </c>
      <c r="B1357">
        <v>27253.34</v>
      </c>
      <c r="C1357">
        <v>27348.19</v>
      </c>
      <c r="D1357">
        <v>27219.89</v>
      </c>
      <c r="E1357">
        <v>27308.6</v>
      </c>
    </row>
    <row r="1358" spans="1:5" hidden="1" x14ac:dyDescent="0.3">
      <c r="A1358" s="1">
        <v>42755</v>
      </c>
      <c r="B1358">
        <v>27232.69</v>
      </c>
      <c r="C1358">
        <v>27264.41</v>
      </c>
      <c r="D1358">
        <v>27009.81</v>
      </c>
      <c r="E1358">
        <v>27034.5</v>
      </c>
    </row>
    <row r="1359" spans="1:5" hidden="1" x14ac:dyDescent="0.3">
      <c r="A1359" s="1">
        <v>42758</v>
      </c>
      <c r="B1359">
        <v>26990.93</v>
      </c>
      <c r="C1359">
        <v>27167.79</v>
      </c>
      <c r="D1359">
        <v>26963.58</v>
      </c>
      <c r="E1359">
        <v>27117.34</v>
      </c>
    </row>
    <row r="1360" spans="1:5" hidden="1" x14ac:dyDescent="0.3">
      <c r="A1360" s="1">
        <v>42759</v>
      </c>
      <c r="B1360">
        <v>27170.880000000001</v>
      </c>
      <c r="C1360">
        <v>27393.35</v>
      </c>
      <c r="D1360">
        <v>27140.85</v>
      </c>
      <c r="E1360">
        <v>27375.58</v>
      </c>
    </row>
    <row r="1361" spans="1:5" hidden="1" x14ac:dyDescent="0.3">
      <c r="A1361" s="1">
        <v>42760</v>
      </c>
      <c r="B1361">
        <v>27462.83</v>
      </c>
      <c r="C1361">
        <v>27736.83</v>
      </c>
      <c r="D1361">
        <v>27439.68</v>
      </c>
      <c r="E1361">
        <v>27708.14</v>
      </c>
    </row>
    <row r="1362" spans="1:5" hidden="1" x14ac:dyDescent="0.3">
      <c r="A1362" s="1">
        <v>42762</v>
      </c>
      <c r="B1362">
        <v>27761.03</v>
      </c>
      <c r="C1362">
        <v>27980.39</v>
      </c>
      <c r="D1362">
        <v>27759.48</v>
      </c>
      <c r="E1362">
        <v>27882.46</v>
      </c>
    </row>
    <row r="1363" spans="1:5" hidden="1" x14ac:dyDescent="0.3">
      <c r="A1363" s="1">
        <v>42765</v>
      </c>
      <c r="B1363">
        <v>27866.799999999999</v>
      </c>
      <c r="C1363">
        <v>27947.37</v>
      </c>
      <c r="D1363">
        <v>27813.32</v>
      </c>
      <c r="E1363">
        <v>27849.56</v>
      </c>
    </row>
    <row r="1364" spans="1:5" hidden="1" x14ac:dyDescent="0.3">
      <c r="A1364" s="1">
        <v>42766</v>
      </c>
      <c r="B1364">
        <v>27867.919999999998</v>
      </c>
      <c r="C1364">
        <v>27867.919999999998</v>
      </c>
      <c r="D1364">
        <v>27624.54</v>
      </c>
      <c r="E1364">
        <v>27655.96</v>
      </c>
    </row>
    <row r="1365" spans="1:5" hidden="1" x14ac:dyDescent="0.3">
      <c r="A1365" s="1">
        <v>42767</v>
      </c>
      <c r="B1365">
        <v>27669.08</v>
      </c>
      <c r="C1365">
        <v>28159.54</v>
      </c>
      <c r="D1365">
        <v>27590.1</v>
      </c>
      <c r="E1365">
        <v>28141.64</v>
      </c>
    </row>
    <row r="1366" spans="1:5" hidden="1" x14ac:dyDescent="0.3">
      <c r="A1366" s="1">
        <v>42768</v>
      </c>
      <c r="B1366">
        <v>28167.83</v>
      </c>
      <c r="C1366">
        <v>28299.919999999998</v>
      </c>
      <c r="D1366">
        <v>28070.81</v>
      </c>
      <c r="E1366">
        <v>28226.61</v>
      </c>
    </row>
    <row r="1367" spans="1:5" hidden="1" x14ac:dyDescent="0.3">
      <c r="A1367" s="1">
        <v>42769</v>
      </c>
      <c r="B1367">
        <v>28270.67</v>
      </c>
      <c r="C1367">
        <v>28280.58</v>
      </c>
      <c r="D1367">
        <v>28127.18</v>
      </c>
      <c r="E1367">
        <v>28240.52</v>
      </c>
    </row>
    <row r="1368" spans="1:5" hidden="1" x14ac:dyDescent="0.3">
      <c r="A1368" s="1">
        <v>42772</v>
      </c>
      <c r="B1368">
        <v>28340.39</v>
      </c>
      <c r="C1368">
        <v>28487.279999999999</v>
      </c>
      <c r="D1368">
        <v>28340.39</v>
      </c>
      <c r="E1368">
        <v>28439.279999999999</v>
      </c>
    </row>
    <row r="1369" spans="1:5" hidden="1" x14ac:dyDescent="0.3">
      <c r="A1369" s="1">
        <v>42773</v>
      </c>
      <c r="B1369">
        <v>28443.23</v>
      </c>
      <c r="C1369">
        <v>28483.41</v>
      </c>
      <c r="D1369">
        <v>28239.119999999999</v>
      </c>
      <c r="E1369">
        <v>28335.16</v>
      </c>
    </row>
    <row r="1370" spans="1:5" hidden="1" x14ac:dyDescent="0.3">
      <c r="A1370" s="1">
        <v>42774</v>
      </c>
      <c r="B1370">
        <v>28386.080000000002</v>
      </c>
      <c r="C1370">
        <v>28391.64</v>
      </c>
      <c r="D1370">
        <v>28149.08</v>
      </c>
      <c r="E1370">
        <v>28289.919999999998</v>
      </c>
    </row>
    <row r="1371" spans="1:5" hidden="1" x14ac:dyDescent="0.3">
      <c r="A1371" s="1">
        <v>42775</v>
      </c>
      <c r="B1371">
        <v>28349.22</v>
      </c>
      <c r="C1371">
        <v>28469.48</v>
      </c>
      <c r="D1371">
        <v>28152.18</v>
      </c>
      <c r="E1371">
        <v>28329.7</v>
      </c>
    </row>
    <row r="1372" spans="1:5" hidden="1" x14ac:dyDescent="0.3">
      <c r="A1372" s="1">
        <v>42776</v>
      </c>
      <c r="B1372">
        <v>28367.17</v>
      </c>
      <c r="C1372">
        <v>28456.18</v>
      </c>
      <c r="D1372">
        <v>28286.799999999999</v>
      </c>
      <c r="E1372">
        <v>28334.25</v>
      </c>
    </row>
    <row r="1373" spans="1:5" hidden="1" x14ac:dyDescent="0.3">
      <c r="A1373" s="1">
        <v>42779</v>
      </c>
      <c r="B1373">
        <v>28450.42</v>
      </c>
      <c r="C1373">
        <v>28458.799999999999</v>
      </c>
      <c r="D1373">
        <v>28197.38</v>
      </c>
      <c r="E1373">
        <v>28351.62</v>
      </c>
    </row>
    <row r="1374" spans="1:5" hidden="1" x14ac:dyDescent="0.3">
      <c r="A1374" s="1">
        <v>42780</v>
      </c>
      <c r="B1374">
        <v>28386.12</v>
      </c>
      <c r="C1374">
        <v>28393.42</v>
      </c>
      <c r="D1374">
        <v>28263.45</v>
      </c>
      <c r="E1374">
        <v>28339.31</v>
      </c>
    </row>
    <row r="1375" spans="1:5" hidden="1" x14ac:dyDescent="0.3">
      <c r="A1375" s="1">
        <v>42781</v>
      </c>
      <c r="B1375">
        <v>28270.11</v>
      </c>
      <c r="C1375">
        <v>28382.32</v>
      </c>
      <c r="D1375">
        <v>28102.23</v>
      </c>
      <c r="E1375">
        <v>28155.56</v>
      </c>
    </row>
    <row r="1376" spans="1:5" hidden="1" x14ac:dyDescent="0.3">
      <c r="A1376" s="1">
        <v>42782</v>
      </c>
      <c r="B1376">
        <v>28223.85</v>
      </c>
      <c r="C1376">
        <v>28327.84</v>
      </c>
      <c r="D1376">
        <v>28146.19</v>
      </c>
      <c r="E1376">
        <v>28301.27</v>
      </c>
    </row>
    <row r="1377" spans="1:5" hidden="1" x14ac:dyDescent="0.3">
      <c r="A1377" s="1">
        <v>42783</v>
      </c>
      <c r="B1377">
        <v>28670.43</v>
      </c>
      <c r="C1377">
        <v>28726.26</v>
      </c>
      <c r="D1377">
        <v>28410.91</v>
      </c>
      <c r="E1377">
        <v>28468.75</v>
      </c>
    </row>
    <row r="1378" spans="1:5" hidden="1" x14ac:dyDescent="0.3">
      <c r="A1378" s="1">
        <v>42786</v>
      </c>
      <c r="B1378">
        <v>28481.91</v>
      </c>
      <c r="C1378">
        <v>28696.53</v>
      </c>
      <c r="D1378">
        <v>28419.27</v>
      </c>
      <c r="E1378">
        <v>28661.58</v>
      </c>
    </row>
    <row r="1379" spans="1:5" hidden="1" x14ac:dyDescent="0.3">
      <c r="A1379" s="1">
        <v>42787</v>
      </c>
      <c r="B1379">
        <v>28716.7</v>
      </c>
      <c r="C1379">
        <v>28801</v>
      </c>
      <c r="D1379">
        <v>28597.33</v>
      </c>
      <c r="E1379">
        <v>28761.59</v>
      </c>
    </row>
    <row r="1380" spans="1:5" hidden="1" x14ac:dyDescent="0.3">
      <c r="A1380" s="1">
        <v>42788</v>
      </c>
      <c r="B1380">
        <v>28822.400000000001</v>
      </c>
      <c r="C1380">
        <v>28963.52</v>
      </c>
      <c r="D1380">
        <v>28789.3</v>
      </c>
      <c r="E1380">
        <v>28864.71</v>
      </c>
    </row>
    <row r="1381" spans="1:5" hidden="1" x14ac:dyDescent="0.3">
      <c r="A1381" s="1">
        <v>42789</v>
      </c>
      <c r="B1381">
        <v>28927.67</v>
      </c>
      <c r="C1381">
        <v>29065.31</v>
      </c>
      <c r="D1381">
        <v>28860.46</v>
      </c>
      <c r="E1381">
        <v>28892.97</v>
      </c>
    </row>
    <row r="1382" spans="1:5" hidden="1" x14ac:dyDescent="0.3">
      <c r="A1382" s="1">
        <v>42793</v>
      </c>
      <c r="B1382">
        <v>28910.5</v>
      </c>
      <c r="C1382">
        <v>28961.83</v>
      </c>
      <c r="D1382">
        <v>28791.19</v>
      </c>
      <c r="E1382">
        <v>28812.880000000001</v>
      </c>
    </row>
    <row r="1383" spans="1:5" hidden="1" x14ac:dyDescent="0.3">
      <c r="A1383" s="1">
        <v>42794</v>
      </c>
      <c r="B1383">
        <v>28825.19</v>
      </c>
      <c r="C1383">
        <v>28876.54</v>
      </c>
      <c r="D1383">
        <v>28721.119999999999</v>
      </c>
      <c r="E1383">
        <v>28743.32</v>
      </c>
    </row>
    <row r="1384" spans="1:5" hidden="1" x14ac:dyDescent="0.3">
      <c r="A1384" s="1">
        <v>42795</v>
      </c>
      <c r="B1384">
        <v>28849.040000000001</v>
      </c>
      <c r="C1384">
        <v>29029.17</v>
      </c>
      <c r="D1384">
        <v>28824.17</v>
      </c>
      <c r="E1384">
        <v>28984.49</v>
      </c>
    </row>
    <row r="1385" spans="1:5" hidden="1" x14ac:dyDescent="0.3">
      <c r="A1385" s="1">
        <v>42796</v>
      </c>
      <c r="B1385">
        <v>29117.38</v>
      </c>
      <c r="C1385">
        <v>29145.62</v>
      </c>
      <c r="D1385">
        <v>28784.31</v>
      </c>
      <c r="E1385">
        <v>28839.79</v>
      </c>
    </row>
    <row r="1386" spans="1:5" hidden="1" x14ac:dyDescent="0.3">
      <c r="A1386" s="1">
        <v>42797</v>
      </c>
      <c r="B1386">
        <v>28827.5</v>
      </c>
      <c r="C1386">
        <v>28860.13</v>
      </c>
      <c r="D1386">
        <v>28716.21</v>
      </c>
      <c r="E1386">
        <v>28832.45</v>
      </c>
    </row>
    <row r="1387" spans="1:5" hidden="1" x14ac:dyDescent="0.3">
      <c r="A1387" s="1">
        <v>42800</v>
      </c>
      <c r="B1387">
        <v>28859.21</v>
      </c>
      <c r="C1387">
        <v>29070.2</v>
      </c>
      <c r="D1387">
        <v>28856.12</v>
      </c>
      <c r="E1387">
        <v>29048.19</v>
      </c>
    </row>
    <row r="1388" spans="1:5" hidden="1" x14ac:dyDescent="0.3">
      <c r="A1388" s="1">
        <v>42801</v>
      </c>
      <c r="B1388">
        <v>29092.16</v>
      </c>
      <c r="C1388">
        <v>29098.17</v>
      </c>
      <c r="D1388">
        <v>28957.68</v>
      </c>
      <c r="E1388">
        <v>28999.56</v>
      </c>
    </row>
    <row r="1389" spans="1:5" hidden="1" x14ac:dyDescent="0.3">
      <c r="A1389" s="1">
        <v>42802</v>
      </c>
      <c r="B1389">
        <v>29021.06</v>
      </c>
      <c r="C1389">
        <v>29022.32</v>
      </c>
      <c r="D1389">
        <v>28815.48</v>
      </c>
      <c r="E1389">
        <v>28901.94</v>
      </c>
    </row>
    <row r="1390" spans="1:5" hidden="1" x14ac:dyDescent="0.3">
      <c r="A1390" s="1">
        <v>42803</v>
      </c>
      <c r="B1390">
        <v>28909.7</v>
      </c>
      <c r="C1390">
        <v>28986.720000000001</v>
      </c>
      <c r="D1390">
        <v>28815.02</v>
      </c>
      <c r="E1390">
        <v>28929.13</v>
      </c>
    </row>
    <row r="1391" spans="1:5" hidden="1" x14ac:dyDescent="0.3">
      <c r="A1391" s="1">
        <v>42804</v>
      </c>
      <c r="B1391">
        <v>29006</v>
      </c>
      <c r="C1391">
        <v>29076.63</v>
      </c>
      <c r="D1391">
        <v>28851.040000000001</v>
      </c>
      <c r="E1391">
        <v>28946.23</v>
      </c>
    </row>
    <row r="1392" spans="1:5" hidden="1" x14ac:dyDescent="0.3">
      <c r="A1392" s="1">
        <v>42808</v>
      </c>
      <c r="B1392">
        <v>29437.23</v>
      </c>
      <c r="C1392">
        <v>29561.93</v>
      </c>
      <c r="D1392">
        <v>29356.05</v>
      </c>
      <c r="E1392">
        <v>29442.63</v>
      </c>
    </row>
    <row r="1393" spans="1:5" hidden="1" x14ac:dyDescent="0.3">
      <c r="A1393" s="1">
        <v>42809</v>
      </c>
      <c r="B1393">
        <v>29452.86</v>
      </c>
      <c r="C1393">
        <v>29500.080000000002</v>
      </c>
      <c r="D1393">
        <v>29358.91</v>
      </c>
      <c r="E1393">
        <v>29398.11</v>
      </c>
    </row>
    <row r="1394" spans="1:5" hidden="1" x14ac:dyDescent="0.3">
      <c r="A1394" s="1">
        <v>42810</v>
      </c>
      <c r="B1394">
        <v>29482.83</v>
      </c>
      <c r="C1394">
        <v>29614.79</v>
      </c>
      <c r="D1394">
        <v>29482.83</v>
      </c>
      <c r="E1394">
        <v>29585.85</v>
      </c>
    </row>
    <row r="1395" spans="1:5" hidden="1" x14ac:dyDescent="0.3">
      <c r="A1395" s="1">
        <v>42811</v>
      </c>
      <c r="B1395">
        <v>29755.74</v>
      </c>
      <c r="C1395">
        <v>29824.62</v>
      </c>
      <c r="D1395">
        <v>29601.86</v>
      </c>
      <c r="E1395">
        <v>29648.99</v>
      </c>
    </row>
    <row r="1396" spans="1:5" hidden="1" x14ac:dyDescent="0.3">
      <c r="A1396" s="1">
        <v>42814</v>
      </c>
      <c r="B1396">
        <v>29653.54</v>
      </c>
      <c r="C1396">
        <v>29699.48</v>
      </c>
      <c r="D1396">
        <v>29482.400000000001</v>
      </c>
      <c r="E1396">
        <v>29518.74</v>
      </c>
    </row>
    <row r="1397" spans="1:5" hidden="1" x14ac:dyDescent="0.3">
      <c r="A1397" s="1">
        <v>42815</v>
      </c>
      <c r="B1397">
        <v>29525.88</v>
      </c>
      <c r="C1397">
        <v>29585.05</v>
      </c>
      <c r="D1397">
        <v>29380.14</v>
      </c>
      <c r="E1397">
        <v>29485.45</v>
      </c>
    </row>
    <row r="1398" spans="1:5" hidden="1" x14ac:dyDescent="0.3">
      <c r="A1398" s="1">
        <v>42816</v>
      </c>
      <c r="B1398">
        <v>29341.41</v>
      </c>
      <c r="C1398">
        <v>29341.41</v>
      </c>
      <c r="D1398">
        <v>29137.48</v>
      </c>
      <c r="E1398">
        <v>29167.68</v>
      </c>
    </row>
    <row r="1399" spans="1:5" hidden="1" x14ac:dyDescent="0.3">
      <c r="A1399" s="1">
        <v>42817</v>
      </c>
      <c r="B1399">
        <v>29201.01</v>
      </c>
      <c r="C1399">
        <v>29373.79</v>
      </c>
      <c r="D1399">
        <v>29198.080000000002</v>
      </c>
      <c r="E1399">
        <v>29332.16</v>
      </c>
    </row>
    <row r="1400" spans="1:5" hidden="1" x14ac:dyDescent="0.3">
      <c r="A1400" s="1">
        <v>42818</v>
      </c>
      <c r="B1400">
        <v>29350.6</v>
      </c>
      <c r="C1400">
        <v>29539.85</v>
      </c>
      <c r="D1400">
        <v>29350.17</v>
      </c>
      <c r="E1400">
        <v>29421.4</v>
      </c>
    </row>
    <row r="1401" spans="1:5" hidden="1" x14ac:dyDescent="0.3">
      <c r="A1401" s="1">
        <v>42821</v>
      </c>
      <c r="B1401">
        <v>29395.68</v>
      </c>
      <c r="C1401">
        <v>29420.7</v>
      </c>
      <c r="D1401">
        <v>29163.54</v>
      </c>
      <c r="E1401">
        <v>29237.15</v>
      </c>
    </row>
    <row r="1402" spans="1:5" hidden="1" x14ac:dyDescent="0.3">
      <c r="A1402" s="1">
        <v>42822</v>
      </c>
      <c r="B1402">
        <v>29301.22</v>
      </c>
      <c r="C1402">
        <v>29442.18</v>
      </c>
      <c r="D1402">
        <v>29301.22</v>
      </c>
      <c r="E1402">
        <v>29409.52</v>
      </c>
    </row>
    <row r="1403" spans="1:5" hidden="1" x14ac:dyDescent="0.3">
      <c r="A1403" s="1">
        <v>42823</v>
      </c>
      <c r="B1403">
        <v>29463.01</v>
      </c>
      <c r="C1403">
        <v>29554.39</v>
      </c>
      <c r="D1403">
        <v>29439.42</v>
      </c>
      <c r="E1403">
        <v>29531.43</v>
      </c>
    </row>
    <row r="1404" spans="1:5" hidden="1" x14ac:dyDescent="0.3">
      <c r="A1404" s="1">
        <v>42824</v>
      </c>
      <c r="B1404">
        <v>29538.03</v>
      </c>
      <c r="C1404">
        <v>29684.54</v>
      </c>
      <c r="D1404">
        <v>29521.65</v>
      </c>
      <c r="E1404">
        <v>29647.42</v>
      </c>
    </row>
    <row r="1405" spans="1:5" hidden="1" x14ac:dyDescent="0.3">
      <c r="A1405" s="1">
        <v>42825</v>
      </c>
      <c r="B1405">
        <v>29633.91</v>
      </c>
      <c r="C1405">
        <v>29687.64</v>
      </c>
      <c r="D1405">
        <v>29552.61</v>
      </c>
      <c r="E1405">
        <v>29620.5</v>
      </c>
    </row>
    <row r="1406" spans="1:5" hidden="1" x14ac:dyDescent="0.3">
      <c r="A1406" s="1">
        <v>42828</v>
      </c>
      <c r="B1406">
        <v>29737.73</v>
      </c>
      <c r="C1406">
        <v>29926.94</v>
      </c>
      <c r="D1406">
        <v>29705.72</v>
      </c>
      <c r="E1406">
        <v>29910.22</v>
      </c>
    </row>
    <row r="1407" spans="1:5" hidden="1" x14ac:dyDescent="0.3">
      <c r="A1407" s="1">
        <v>42830</v>
      </c>
      <c r="B1407">
        <v>29996.03</v>
      </c>
      <c r="C1407">
        <v>30007.48</v>
      </c>
      <c r="D1407">
        <v>29817.69</v>
      </c>
      <c r="E1407">
        <v>29974.240000000002</v>
      </c>
    </row>
    <row r="1408" spans="1:5" hidden="1" x14ac:dyDescent="0.3">
      <c r="A1408" s="1">
        <v>42831</v>
      </c>
      <c r="B1408">
        <v>29946.89</v>
      </c>
      <c r="C1408">
        <v>29954.25</v>
      </c>
      <c r="D1408">
        <v>29817.59</v>
      </c>
      <c r="E1408">
        <v>29927.34</v>
      </c>
    </row>
    <row r="1409" spans="1:5" hidden="1" x14ac:dyDescent="0.3">
      <c r="A1409" s="1">
        <v>42832</v>
      </c>
      <c r="B1409">
        <v>29850.71</v>
      </c>
      <c r="C1409">
        <v>29886.12</v>
      </c>
      <c r="D1409">
        <v>29668.45</v>
      </c>
      <c r="E1409">
        <v>29706.61</v>
      </c>
    </row>
    <row r="1410" spans="1:5" hidden="1" x14ac:dyDescent="0.3">
      <c r="A1410" s="1">
        <v>42835</v>
      </c>
      <c r="B1410">
        <v>29752.62</v>
      </c>
      <c r="C1410">
        <v>29831.32</v>
      </c>
      <c r="D1410">
        <v>29553.040000000001</v>
      </c>
      <c r="E1410">
        <v>29575.74</v>
      </c>
    </row>
    <row r="1411" spans="1:5" hidden="1" x14ac:dyDescent="0.3">
      <c r="A1411" s="1">
        <v>42836</v>
      </c>
      <c r="B1411">
        <v>29630.06</v>
      </c>
      <c r="C1411">
        <v>29804.51</v>
      </c>
      <c r="D1411">
        <v>29570.58</v>
      </c>
      <c r="E1411">
        <v>29788.35</v>
      </c>
    </row>
    <row r="1412" spans="1:5" hidden="1" x14ac:dyDescent="0.3">
      <c r="A1412" s="1">
        <v>42837</v>
      </c>
      <c r="B1412">
        <v>29838.82</v>
      </c>
      <c r="C1412">
        <v>29838.82</v>
      </c>
      <c r="D1412">
        <v>29549.74</v>
      </c>
      <c r="E1412">
        <v>29643.48</v>
      </c>
    </row>
    <row r="1413" spans="1:5" hidden="1" x14ac:dyDescent="0.3">
      <c r="A1413" s="1">
        <v>42838</v>
      </c>
      <c r="B1413">
        <v>29637.119999999999</v>
      </c>
      <c r="C1413">
        <v>29660.48</v>
      </c>
      <c r="D1413">
        <v>29442.26</v>
      </c>
      <c r="E1413">
        <v>29461.45</v>
      </c>
    </row>
    <row r="1414" spans="1:5" hidden="1" x14ac:dyDescent="0.3">
      <c r="A1414" s="1">
        <v>42842</v>
      </c>
      <c r="B1414">
        <v>29470.27</v>
      </c>
      <c r="C1414">
        <v>29494.080000000002</v>
      </c>
      <c r="D1414">
        <v>29363.279999999999</v>
      </c>
      <c r="E1414">
        <v>29413.66</v>
      </c>
    </row>
    <row r="1415" spans="1:5" hidden="1" x14ac:dyDescent="0.3">
      <c r="A1415" s="1">
        <v>42843</v>
      </c>
      <c r="B1415">
        <v>29487.78</v>
      </c>
      <c r="C1415">
        <v>29701.19</v>
      </c>
      <c r="D1415">
        <v>29286.38</v>
      </c>
      <c r="E1415">
        <v>29319.1</v>
      </c>
    </row>
    <row r="1416" spans="1:5" hidden="1" x14ac:dyDescent="0.3">
      <c r="A1416" s="1">
        <v>42844</v>
      </c>
      <c r="B1416">
        <v>29369.9</v>
      </c>
      <c r="C1416">
        <v>29388.25</v>
      </c>
      <c r="D1416">
        <v>29241.48</v>
      </c>
      <c r="E1416">
        <v>29336.57</v>
      </c>
    </row>
    <row r="1417" spans="1:5" hidden="1" x14ac:dyDescent="0.3">
      <c r="A1417" s="1">
        <v>42845</v>
      </c>
      <c r="B1417">
        <v>29358.59</v>
      </c>
      <c r="C1417">
        <v>29453.06</v>
      </c>
      <c r="D1417">
        <v>29341.68</v>
      </c>
      <c r="E1417">
        <v>29422.39</v>
      </c>
    </row>
    <row r="1418" spans="1:5" hidden="1" x14ac:dyDescent="0.3">
      <c r="A1418" s="1">
        <v>42846</v>
      </c>
      <c r="B1418">
        <v>29575.66</v>
      </c>
      <c r="C1418">
        <v>29584.34</v>
      </c>
      <c r="D1418">
        <v>29259.42</v>
      </c>
      <c r="E1418">
        <v>29365.3</v>
      </c>
    </row>
    <row r="1419" spans="1:5" hidden="1" x14ac:dyDescent="0.3">
      <c r="A1419" s="1">
        <v>42849</v>
      </c>
      <c r="B1419">
        <v>29407.68</v>
      </c>
      <c r="C1419">
        <v>29681.33</v>
      </c>
      <c r="D1419">
        <v>29392.99</v>
      </c>
      <c r="E1419">
        <v>29655.84</v>
      </c>
    </row>
    <row r="1420" spans="1:5" hidden="1" x14ac:dyDescent="0.3">
      <c r="A1420" s="1">
        <v>42850</v>
      </c>
      <c r="B1420">
        <v>29825.14</v>
      </c>
      <c r="C1420">
        <v>29961.82</v>
      </c>
      <c r="D1420">
        <v>29780.84</v>
      </c>
      <c r="E1420">
        <v>29943.24</v>
      </c>
    </row>
    <row r="1421" spans="1:5" hidden="1" x14ac:dyDescent="0.3">
      <c r="A1421" s="1">
        <v>42851</v>
      </c>
      <c r="B1421">
        <v>30030.2</v>
      </c>
      <c r="C1421">
        <v>30167.09</v>
      </c>
      <c r="D1421">
        <v>29968.57</v>
      </c>
      <c r="E1421">
        <v>30133.35</v>
      </c>
    </row>
    <row r="1422" spans="1:5" hidden="1" x14ac:dyDescent="0.3">
      <c r="A1422" s="1">
        <v>42852</v>
      </c>
      <c r="B1422">
        <v>30141.39</v>
      </c>
      <c r="C1422">
        <v>30184.22</v>
      </c>
      <c r="D1422">
        <v>29973.4</v>
      </c>
      <c r="E1422">
        <v>30029.74</v>
      </c>
    </row>
    <row r="1423" spans="1:5" hidden="1" x14ac:dyDescent="0.3">
      <c r="A1423" s="1">
        <v>42853</v>
      </c>
      <c r="B1423">
        <v>30064.6</v>
      </c>
      <c r="C1423">
        <v>30067.64</v>
      </c>
      <c r="D1423">
        <v>29848.21</v>
      </c>
      <c r="E1423">
        <v>29918.400000000001</v>
      </c>
    </row>
    <row r="1424" spans="1:5" hidden="1" x14ac:dyDescent="0.3">
      <c r="A1424" s="1">
        <v>42857</v>
      </c>
      <c r="B1424">
        <v>30021.49</v>
      </c>
      <c r="C1424">
        <v>30069.24</v>
      </c>
      <c r="D1424">
        <v>29804.12</v>
      </c>
      <c r="E1424">
        <v>29921.18</v>
      </c>
    </row>
    <row r="1425" spans="1:5" hidden="1" x14ac:dyDescent="0.3">
      <c r="A1425" s="1">
        <v>42858</v>
      </c>
      <c r="B1425">
        <v>29984.95</v>
      </c>
      <c r="C1425">
        <v>30020.59</v>
      </c>
      <c r="D1425">
        <v>29846.57</v>
      </c>
      <c r="E1425">
        <v>29894.799999999999</v>
      </c>
    </row>
    <row r="1426" spans="1:5" hidden="1" x14ac:dyDescent="0.3">
      <c r="A1426" s="1">
        <v>42859</v>
      </c>
      <c r="B1426">
        <v>30069.72</v>
      </c>
      <c r="C1426">
        <v>30169.95</v>
      </c>
      <c r="D1426">
        <v>30007.4</v>
      </c>
      <c r="E1426">
        <v>30126.21</v>
      </c>
    </row>
    <row r="1427" spans="1:5" hidden="1" x14ac:dyDescent="0.3">
      <c r="A1427" s="1">
        <v>42860</v>
      </c>
      <c r="B1427">
        <v>30142.14</v>
      </c>
      <c r="C1427">
        <v>30176.55</v>
      </c>
      <c r="D1427">
        <v>29823.599999999999</v>
      </c>
      <c r="E1427">
        <v>29858.799999999999</v>
      </c>
    </row>
    <row r="1428" spans="1:5" hidden="1" x14ac:dyDescent="0.3">
      <c r="A1428" s="1">
        <v>42863</v>
      </c>
      <c r="B1428">
        <v>29915.119999999999</v>
      </c>
      <c r="C1428">
        <v>30016.04</v>
      </c>
      <c r="D1428">
        <v>29877.41</v>
      </c>
      <c r="E1428">
        <v>29926.15</v>
      </c>
    </row>
    <row r="1429" spans="1:5" hidden="1" x14ac:dyDescent="0.3">
      <c r="A1429" s="1">
        <v>42864</v>
      </c>
      <c r="B1429">
        <v>29977.5</v>
      </c>
      <c r="C1429">
        <v>30017.82</v>
      </c>
      <c r="D1429">
        <v>29911.439999999999</v>
      </c>
      <c r="E1429">
        <v>29933.25</v>
      </c>
    </row>
    <row r="1430" spans="1:5" hidden="1" x14ac:dyDescent="0.3">
      <c r="A1430" s="1">
        <v>42865</v>
      </c>
      <c r="B1430">
        <v>29988.78</v>
      </c>
      <c r="C1430">
        <v>30271.599999999999</v>
      </c>
      <c r="D1430">
        <v>29987.439999999999</v>
      </c>
      <c r="E1430">
        <v>30248.17</v>
      </c>
    </row>
    <row r="1431" spans="1:5" hidden="1" x14ac:dyDescent="0.3">
      <c r="A1431" s="1">
        <v>42866</v>
      </c>
      <c r="B1431">
        <v>30309.71</v>
      </c>
      <c r="C1431">
        <v>30366.43</v>
      </c>
      <c r="D1431">
        <v>30207.11</v>
      </c>
      <c r="E1431">
        <v>30250.98</v>
      </c>
    </row>
    <row r="1432" spans="1:5" hidden="1" x14ac:dyDescent="0.3">
      <c r="A1432" s="1">
        <v>42867</v>
      </c>
      <c r="B1432">
        <v>30285.61</v>
      </c>
      <c r="C1432">
        <v>30299.74</v>
      </c>
      <c r="D1432">
        <v>30111.45</v>
      </c>
      <c r="E1432">
        <v>30188.15</v>
      </c>
    </row>
    <row r="1433" spans="1:5" hidden="1" x14ac:dyDescent="0.3">
      <c r="A1433" s="1">
        <v>42870</v>
      </c>
      <c r="B1433">
        <v>30287.37</v>
      </c>
      <c r="C1433">
        <v>30357.96</v>
      </c>
      <c r="D1433">
        <v>30273.62</v>
      </c>
      <c r="E1433">
        <v>30322.12</v>
      </c>
    </row>
    <row r="1434" spans="1:5" hidden="1" x14ac:dyDescent="0.3">
      <c r="A1434" s="1">
        <v>42871</v>
      </c>
      <c r="B1434">
        <v>30391.48</v>
      </c>
      <c r="C1434">
        <v>30591.55</v>
      </c>
      <c r="D1434">
        <v>30363.37</v>
      </c>
      <c r="E1434">
        <v>30582.6</v>
      </c>
    </row>
    <row r="1435" spans="1:5" hidden="1" x14ac:dyDescent="0.3">
      <c r="A1435" s="1">
        <v>42872</v>
      </c>
      <c r="B1435">
        <v>30616.53</v>
      </c>
      <c r="C1435">
        <v>30692.45</v>
      </c>
      <c r="D1435">
        <v>30519.14</v>
      </c>
      <c r="E1435">
        <v>30658.77</v>
      </c>
    </row>
    <row r="1436" spans="1:5" hidden="1" x14ac:dyDescent="0.3">
      <c r="A1436" s="1">
        <v>42873</v>
      </c>
      <c r="B1436">
        <v>30466.82</v>
      </c>
      <c r="C1436">
        <v>30575.83</v>
      </c>
      <c r="D1436">
        <v>30393.72</v>
      </c>
      <c r="E1436">
        <v>30434.79</v>
      </c>
    </row>
    <row r="1437" spans="1:5" hidden="1" x14ac:dyDescent="0.3">
      <c r="A1437" s="1">
        <v>42874</v>
      </c>
      <c r="B1437">
        <v>30539.65</v>
      </c>
      <c r="C1437">
        <v>30712.35</v>
      </c>
      <c r="D1437">
        <v>30338.52</v>
      </c>
      <c r="E1437">
        <v>30464.92</v>
      </c>
    </row>
    <row r="1438" spans="1:5" hidden="1" x14ac:dyDescent="0.3">
      <c r="A1438" s="1">
        <v>42877</v>
      </c>
      <c r="B1438">
        <v>30638.880000000001</v>
      </c>
      <c r="C1438">
        <v>30712.15</v>
      </c>
      <c r="D1438">
        <v>30516.87</v>
      </c>
      <c r="E1438">
        <v>30570.97</v>
      </c>
    </row>
    <row r="1439" spans="1:5" hidden="1" x14ac:dyDescent="0.3">
      <c r="A1439" s="1">
        <v>42878</v>
      </c>
      <c r="B1439">
        <v>30553.89</v>
      </c>
      <c r="C1439">
        <v>30610.639999999999</v>
      </c>
      <c r="D1439">
        <v>30316.92</v>
      </c>
      <c r="E1439">
        <v>30365.25</v>
      </c>
    </row>
    <row r="1440" spans="1:5" hidden="1" x14ac:dyDescent="0.3">
      <c r="A1440" s="1">
        <v>42879</v>
      </c>
      <c r="B1440">
        <v>30446.77</v>
      </c>
      <c r="C1440">
        <v>30534.15</v>
      </c>
      <c r="D1440">
        <v>30247.599999999999</v>
      </c>
      <c r="E1440">
        <v>30301.64</v>
      </c>
    </row>
    <row r="1441" spans="1:5" hidden="1" x14ac:dyDescent="0.3">
      <c r="A1441" s="1">
        <v>42880</v>
      </c>
      <c r="B1441">
        <v>30374.81</v>
      </c>
      <c r="C1441">
        <v>30793.43</v>
      </c>
      <c r="D1441">
        <v>30352.26</v>
      </c>
      <c r="E1441">
        <v>30750.03</v>
      </c>
    </row>
    <row r="1442" spans="1:5" hidden="1" x14ac:dyDescent="0.3">
      <c r="A1442" s="1">
        <v>42881</v>
      </c>
      <c r="B1442">
        <v>30765.77</v>
      </c>
      <c r="C1442">
        <v>31074.07</v>
      </c>
      <c r="D1442">
        <v>30745.57</v>
      </c>
      <c r="E1442">
        <v>31028.21</v>
      </c>
    </row>
    <row r="1443" spans="1:5" hidden="1" x14ac:dyDescent="0.3">
      <c r="A1443" s="1">
        <v>42884</v>
      </c>
      <c r="B1443">
        <v>30944.38</v>
      </c>
      <c r="C1443">
        <v>31214.39</v>
      </c>
      <c r="D1443">
        <v>30869.9</v>
      </c>
      <c r="E1443">
        <v>31109.279999999999</v>
      </c>
    </row>
    <row r="1444" spans="1:5" hidden="1" x14ac:dyDescent="0.3">
      <c r="A1444" s="1">
        <v>42885</v>
      </c>
      <c r="B1444">
        <v>31111.73</v>
      </c>
      <c r="C1444">
        <v>31220.38</v>
      </c>
      <c r="D1444">
        <v>31064.04</v>
      </c>
      <c r="E1444">
        <v>31159.4</v>
      </c>
    </row>
    <row r="1445" spans="1:5" hidden="1" x14ac:dyDescent="0.3">
      <c r="A1445" s="1">
        <v>42886</v>
      </c>
      <c r="B1445">
        <v>31222.51</v>
      </c>
      <c r="C1445">
        <v>31255.279999999999</v>
      </c>
      <c r="D1445">
        <v>31107.48</v>
      </c>
      <c r="E1445">
        <v>31145.8</v>
      </c>
    </row>
    <row r="1446" spans="1:5" hidden="1" x14ac:dyDescent="0.3">
      <c r="A1446" s="1">
        <v>42887</v>
      </c>
      <c r="B1446">
        <v>31117.09</v>
      </c>
      <c r="C1446">
        <v>31213.119999999999</v>
      </c>
      <c r="D1446">
        <v>31062.02</v>
      </c>
      <c r="E1446">
        <v>31137.59</v>
      </c>
    </row>
    <row r="1447" spans="1:5" hidden="1" x14ac:dyDescent="0.3">
      <c r="A1447" s="1">
        <v>42888</v>
      </c>
      <c r="B1447">
        <v>31205.37</v>
      </c>
      <c r="C1447">
        <v>31332.560000000001</v>
      </c>
      <c r="D1447">
        <v>31190.400000000001</v>
      </c>
      <c r="E1447">
        <v>31273.29</v>
      </c>
    </row>
    <row r="1448" spans="1:5" hidden="1" x14ac:dyDescent="0.3">
      <c r="A1448" s="1">
        <v>42891</v>
      </c>
      <c r="B1448">
        <v>31274.74</v>
      </c>
      <c r="C1448">
        <v>31355.42</v>
      </c>
      <c r="D1448">
        <v>31198.22</v>
      </c>
      <c r="E1448">
        <v>31309.49</v>
      </c>
    </row>
    <row r="1449" spans="1:5" hidden="1" x14ac:dyDescent="0.3">
      <c r="A1449" s="1">
        <v>42892</v>
      </c>
      <c r="B1449">
        <v>31420.85</v>
      </c>
      <c r="C1449">
        <v>31430.32</v>
      </c>
      <c r="D1449">
        <v>31172.55</v>
      </c>
      <c r="E1449">
        <v>31190.560000000001</v>
      </c>
    </row>
    <row r="1450" spans="1:5" hidden="1" x14ac:dyDescent="0.3">
      <c r="A1450" s="1">
        <v>42893</v>
      </c>
      <c r="B1450">
        <v>31252.71</v>
      </c>
      <c r="C1450">
        <v>31346.99</v>
      </c>
      <c r="D1450">
        <v>31172.98</v>
      </c>
      <c r="E1450">
        <v>31271.279999999999</v>
      </c>
    </row>
    <row r="1451" spans="1:5" hidden="1" x14ac:dyDescent="0.3">
      <c r="A1451" s="1">
        <v>42894</v>
      </c>
      <c r="B1451">
        <v>31316.91</v>
      </c>
      <c r="C1451">
        <v>31354.51</v>
      </c>
      <c r="D1451">
        <v>31193.77</v>
      </c>
      <c r="E1451">
        <v>31213.360000000001</v>
      </c>
    </row>
    <row r="1452" spans="1:5" hidden="1" x14ac:dyDescent="0.3">
      <c r="A1452" s="1">
        <v>42895</v>
      </c>
      <c r="B1452">
        <v>31196.86</v>
      </c>
      <c r="C1452">
        <v>31289.99</v>
      </c>
      <c r="D1452">
        <v>31087.279999999999</v>
      </c>
      <c r="E1452">
        <v>31262.06</v>
      </c>
    </row>
    <row r="1453" spans="1:5" hidden="1" x14ac:dyDescent="0.3">
      <c r="A1453" s="1">
        <v>42898</v>
      </c>
      <c r="B1453">
        <v>31225.43</v>
      </c>
      <c r="C1453">
        <v>31225.43</v>
      </c>
      <c r="D1453">
        <v>31044.28</v>
      </c>
      <c r="E1453">
        <v>31095.7</v>
      </c>
    </row>
    <row r="1454" spans="1:5" hidden="1" x14ac:dyDescent="0.3">
      <c r="A1454" s="1">
        <v>42899</v>
      </c>
      <c r="B1454">
        <v>31091.1</v>
      </c>
      <c r="C1454">
        <v>31260.77</v>
      </c>
      <c r="D1454">
        <v>31062.34</v>
      </c>
      <c r="E1454">
        <v>31103.49</v>
      </c>
    </row>
    <row r="1455" spans="1:5" hidden="1" x14ac:dyDescent="0.3">
      <c r="A1455" s="1">
        <v>42900</v>
      </c>
      <c r="B1455">
        <v>31147.69</v>
      </c>
      <c r="C1455">
        <v>31190.36</v>
      </c>
      <c r="D1455">
        <v>31054.94</v>
      </c>
      <c r="E1455">
        <v>31155.91</v>
      </c>
    </row>
    <row r="1456" spans="1:5" hidden="1" x14ac:dyDescent="0.3">
      <c r="A1456" s="1">
        <v>42901</v>
      </c>
      <c r="B1456">
        <v>31222.89</v>
      </c>
      <c r="C1456">
        <v>31229.439999999999</v>
      </c>
      <c r="D1456">
        <v>31026.48</v>
      </c>
      <c r="E1456">
        <v>31075.73</v>
      </c>
    </row>
    <row r="1457" spans="1:5" hidden="1" x14ac:dyDescent="0.3">
      <c r="A1457" s="1">
        <v>42902</v>
      </c>
      <c r="B1457">
        <v>31160.47</v>
      </c>
      <c r="C1457">
        <v>31182.73</v>
      </c>
      <c r="D1457">
        <v>31017.18</v>
      </c>
      <c r="E1457">
        <v>31056.400000000001</v>
      </c>
    </row>
    <row r="1458" spans="1:5" hidden="1" x14ac:dyDescent="0.3">
      <c r="A1458" s="1">
        <v>42905</v>
      </c>
      <c r="B1458">
        <v>31168.98</v>
      </c>
      <c r="C1458">
        <v>31362.15</v>
      </c>
      <c r="D1458">
        <v>31163.35</v>
      </c>
      <c r="E1458">
        <v>31311.57</v>
      </c>
    </row>
    <row r="1459" spans="1:5" hidden="1" x14ac:dyDescent="0.3">
      <c r="A1459" s="1">
        <v>42906</v>
      </c>
      <c r="B1459">
        <v>31392.53</v>
      </c>
      <c r="C1459">
        <v>31392.53</v>
      </c>
      <c r="D1459">
        <v>31261.49</v>
      </c>
      <c r="E1459">
        <v>31297.53</v>
      </c>
    </row>
    <row r="1460" spans="1:5" hidden="1" x14ac:dyDescent="0.3">
      <c r="A1460" s="1">
        <v>42907</v>
      </c>
      <c r="B1460">
        <v>31302.18</v>
      </c>
      <c r="C1460">
        <v>31336.44</v>
      </c>
      <c r="D1460">
        <v>31193.61</v>
      </c>
      <c r="E1460">
        <v>31283.64</v>
      </c>
    </row>
    <row r="1461" spans="1:5" hidden="1" x14ac:dyDescent="0.3">
      <c r="A1461" s="1">
        <v>42908</v>
      </c>
      <c r="B1461">
        <v>31351.53</v>
      </c>
      <c r="C1461">
        <v>31522.87</v>
      </c>
      <c r="D1461">
        <v>31255.63</v>
      </c>
      <c r="E1461">
        <v>31290.74</v>
      </c>
    </row>
    <row r="1462" spans="1:5" hidden="1" x14ac:dyDescent="0.3">
      <c r="A1462" s="1">
        <v>42909</v>
      </c>
      <c r="B1462">
        <v>31352.57</v>
      </c>
      <c r="C1462">
        <v>31365.39</v>
      </c>
      <c r="D1462">
        <v>31110.39</v>
      </c>
      <c r="E1462">
        <v>31138.21</v>
      </c>
    </row>
    <row r="1463" spans="1:5" hidden="1" x14ac:dyDescent="0.3">
      <c r="A1463" s="1">
        <v>42913</v>
      </c>
      <c r="B1463">
        <v>31194.68</v>
      </c>
      <c r="C1463">
        <v>31294.959999999999</v>
      </c>
      <c r="D1463">
        <v>30847.08</v>
      </c>
      <c r="E1463">
        <v>30958.25</v>
      </c>
    </row>
    <row r="1464" spans="1:5" hidden="1" x14ac:dyDescent="0.3">
      <c r="A1464" s="1">
        <v>42914</v>
      </c>
      <c r="B1464">
        <v>30988.87</v>
      </c>
      <c r="C1464">
        <v>31000.48</v>
      </c>
      <c r="D1464">
        <v>30798.7</v>
      </c>
      <c r="E1464">
        <v>30834.32</v>
      </c>
    </row>
    <row r="1465" spans="1:5" hidden="1" x14ac:dyDescent="0.3">
      <c r="A1465" s="1">
        <v>42915</v>
      </c>
      <c r="B1465">
        <v>30910.97</v>
      </c>
      <c r="C1465">
        <v>31097.919999999998</v>
      </c>
      <c r="D1465">
        <v>30794.61</v>
      </c>
      <c r="E1465">
        <v>30857.52</v>
      </c>
    </row>
    <row r="1466" spans="1:5" hidden="1" x14ac:dyDescent="0.3">
      <c r="A1466" s="1">
        <v>42916</v>
      </c>
      <c r="B1466">
        <v>30824.97</v>
      </c>
      <c r="C1466">
        <v>30965.45</v>
      </c>
      <c r="D1466">
        <v>30680.66</v>
      </c>
      <c r="E1466">
        <v>30921.61</v>
      </c>
    </row>
    <row r="1467" spans="1:5" hidden="1" x14ac:dyDescent="0.3">
      <c r="A1467" s="1">
        <v>42919</v>
      </c>
      <c r="B1467">
        <v>31156.04</v>
      </c>
      <c r="C1467">
        <v>31258.33</v>
      </c>
      <c r="D1467">
        <v>31017.11</v>
      </c>
      <c r="E1467">
        <v>31221.62</v>
      </c>
    </row>
    <row r="1468" spans="1:5" hidden="1" x14ac:dyDescent="0.3">
      <c r="A1468" s="1">
        <v>42920</v>
      </c>
      <c r="B1468">
        <v>31331.21</v>
      </c>
      <c r="C1468">
        <v>31353.46</v>
      </c>
      <c r="D1468">
        <v>31166.37</v>
      </c>
      <c r="E1468">
        <v>31209.79</v>
      </c>
    </row>
    <row r="1469" spans="1:5" hidden="1" x14ac:dyDescent="0.3">
      <c r="A1469" s="1">
        <v>42921</v>
      </c>
      <c r="B1469">
        <v>31272.720000000001</v>
      </c>
      <c r="C1469">
        <v>31284.639999999999</v>
      </c>
      <c r="D1469">
        <v>31177.78</v>
      </c>
      <c r="E1469">
        <v>31245.56</v>
      </c>
    </row>
    <row r="1470" spans="1:5" hidden="1" x14ac:dyDescent="0.3">
      <c r="A1470" s="1">
        <v>42922</v>
      </c>
      <c r="B1470">
        <v>31298.42</v>
      </c>
      <c r="C1470">
        <v>31460.7</v>
      </c>
      <c r="D1470">
        <v>31264.86</v>
      </c>
      <c r="E1470">
        <v>31369.34</v>
      </c>
    </row>
    <row r="1471" spans="1:5" hidden="1" x14ac:dyDescent="0.3">
      <c r="A1471" s="1">
        <v>42923</v>
      </c>
      <c r="B1471">
        <v>31373.52</v>
      </c>
      <c r="C1471">
        <v>31426.29</v>
      </c>
      <c r="D1471">
        <v>31286.62</v>
      </c>
      <c r="E1471">
        <v>31360.63</v>
      </c>
    </row>
    <row r="1472" spans="1:5" hidden="1" x14ac:dyDescent="0.3">
      <c r="A1472" s="1">
        <v>42926</v>
      </c>
      <c r="B1472">
        <v>31510.62</v>
      </c>
      <c r="C1472">
        <v>31768.39</v>
      </c>
      <c r="D1472">
        <v>31471.41</v>
      </c>
      <c r="E1472">
        <v>31715.64</v>
      </c>
    </row>
    <row r="1473" spans="1:5" hidden="1" x14ac:dyDescent="0.3">
      <c r="A1473" s="1">
        <v>42927</v>
      </c>
      <c r="B1473">
        <v>31789.5</v>
      </c>
      <c r="C1473">
        <v>31885.11</v>
      </c>
      <c r="D1473">
        <v>31718.48</v>
      </c>
      <c r="E1473">
        <v>31747.09</v>
      </c>
    </row>
    <row r="1474" spans="1:5" hidden="1" x14ac:dyDescent="0.3">
      <c r="A1474" s="1">
        <v>42928</v>
      </c>
      <c r="B1474">
        <v>31813.24</v>
      </c>
      <c r="C1474">
        <v>31865.69</v>
      </c>
      <c r="D1474">
        <v>31731.43</v>
      </c>
      <c r="E1474">
        <v>31804.82</v>
      </c>
    </row>
    <row r="1475" spans="1:5" hidden="1" x14ac:dyDescent="0.3">
      <c r="A1475" s="1">
        <v>42929</v>
      </c>
      <c r="B1475">
        <v>31896.23</v>
      </c>
      <c r="C1475">
        <v>32091.52</v>
      </c>
      <c r="D1475">
        <v>31892.63</v>
      </c>
      <c r="E1475">
        <v>32037.38</v>
      </c>
    </row>
    <row r="1476" spans="1:5" hidden="1" x14ac:dyDescent="0.3">
      <c r="A1476" s="1">
        <v>42930</v>
      </c>
      <c r="B1476">
        <v>32099.93</v>
      </c>
      <c r="C1476">
        <v>32109.75</v>
      </c>
      <c r="D1476">
        <v>31897.87</v>
      </c>
      <c r="E1476">
        <v>32020.75</v>
      </c>
    </row>
    <row r="1477" spans="1:5" hidden="1" x14ac:dyDescent="0.3">
      <c r="A1477" s="1">
        <v>42933</v>
      </c>
      <c r="B1477">
        <v>32053.98</v>
      </c>
      <c r="C1477">
        <v>32131.919999999998</v>
      </c>
      <c r="D1477">
        <v>32037.21</v>
      </c>
      <c r="E1477">
        <v>32074.78</v>
      </c>
    </row>
    <row r="1478" spans="1:5" hidden="1" x14ac:dyDescent="0.3">
      <c r="A1478" s="1">
        <v>42934</v>
      </c>
      <c r="B1478">
        <v>31775.54</v>
      </c>
      <c r="C1478">
        <v>31911.61</v>
      </c>
      <c r="D1478">
        <v>31626.44</v>
      </c>
      <c r="E1478">
        <v>31710.99</v>
      </c>
    </row>
    <row r="1479" spans="1:5" hidden="1" x14ac:dyDescent="0.3">
      <c r="A1479" s="1">
        <v>42935</v>
      </c>
      <c r="B1479">
        <v>31882.799999999999</v>
      </c>
      <c r="C1479">
        <v>31978.89</v>
      </c>
      <c r="D1479">
        <v>31793.72</v>
      </c>
      <c r="E1479">
        <v>31955.35</v>
      </c>
    </row>
    <row r="1480" spans="1:5" hidden="1" x14ac:dyDescent="0.3">
      <c r="A1480" s="1">
        <v>42936</v>
      </c>
      <c r="B1480">
        <v>32033.82</v>
      </c>
      <c r="C1480">
        <v>32057.119999999999</v>
      </c>
      <c r="D1480">
        <v>31859.5</v>
      </c>
      <c r="E1480">
        <v>31904.400000000001</v>
      </c>
    </row>
    <row r="1481" spans="1:5" hidden="1" x14ac:dyDescent="0.3">
      <c r="A1481" s="1">
        <v>42937</v>
      </c>
      <c r="B1481">
        <v>32035.88</v>
      </c>
      <c r="C1481">
        <v>32062.23</v>
      </c>
      <c r="D1481">
        <v>31808.93</v>
      </c>
      <c r="E1481">
        <v>32028.89</v>
      </c>
    </row>
    <row r="1482" spans="1:5" hidden="1" x14ac:dyDescent="0.3">
      <c r="A1482" s="1">
        <v>42940</v>
      </c>
      <c r="B1482">
        <v>32100.22</v>
      </c>
      <c r="C1482">
        <v>32320.86</v>
      </c>
      <c r="D1482">
        <v>32058.33</v>
      </c>
      <c r="E1482">
        <v>32245.87</v>
      </c>
    </row>
    <row r="1483" spans="1:5" hidden="1" x14ac:dyDescent="0.3">
      <c r="A1483" s="1">
        <v>42941</v>
      </c>
      <c r="B1483">
        <v>32350.71</v>
      </c>
      <c r="C1483">
        <v>32374.3</v>
      </c>
      <c r="D1483">
        <v>32196.86</v>
      </c>
      <c r="E1483">
        <v>32228.27</v>
      </c>
    </row>
    <row r="1484" spans="1:5" hidden="1" x14ac:dyDescent="0.3">
      <c r="A1484" s="1">
        <v>42942</v>
      </c>
      <c r="B1484">
        <v>32255.99</v>
      </c>
      <c r="C1484">
        <v>32413.63</v>
      </c>
      <c r="D1484">
        <v>32226.080000000002</v>
      </c>
      <c r="E1484">
        <v>32382.46</v>
      </c>
    </row>
    <row r="1485" spans="1:5" hidden="1" x14ac:dyDescent="0.3">
      <c r="A1485" s="1">
        <v>42943</v>
      </c>
      <c r="B1485">
        <v>32519.439999999999</v>
      </c>
      <c r="C1485">
        <v>32672.66</v>
      </c>
      <c r="D1485">
        <v>32325.33</v>
      </c>
      <c r="E1485">
        <v>32383.3</v>
      </c>
    </row>
    <row r="1486" spans="1:5" hidden="1" x14ac:dyDescent="0.3">
      <c r="A1486" s="1">
        <v>42944</v>
      </c>
      <c r="B1486">
        <v>32381.360000000001</v>
      </c>
      <c r="C1486">
        <v>32381.360000000001</v>
      </c>
      <c r="D1486">
        <v>32104.66</v>
      </c>
      <c r="E1486">
        <v>32309.88</v>
      </c>
    </row>
    <row r="1487" spans="1:5" hidden="1" x14ac:dyDescent="0.3">
      <c r="A1487" s="1">
        <v>42947</v>
      </c>
      <c r="B1487">
        <v>32412.2</v>
      </c>
      <c r="C1487">
        <v>32546.5</v>
      </c>
      <c r="D1487">
        <v>32324.45</v>
      </c>
      <c r="E1487">
        <v>32514.94</v>
      </c>
    </row>
    <row r="1488" spans="1:5" hidden="1" x14ac:dyDescent="0.3">
      <c r="A1488" s="1">
        <v>42948</v>
      </c>
      <c r="B1488">
        <v>32579.8</v>
      </c>
      <c r="C1488">
        <v>32632.02</v>
      </c>
      <c r="D1488">
        <v>32462.25</v>
      </c>
      <c r="E1488">
        <v>32575.17</v>
      </c>
    </row>
    <row r="1489" spans="1:5" hidden="1" x14ac:dyDescent="0.3">
      <c r="A1489" s="1">
        <v>42949</v>
      </c>
      <c r="B1489">
        <v>32641.58</v>
      </c>
      <c r="C1489">
        <v>32686.48</v>
      </c>
      <c r="D1489">
        <v>32394.89</v>
      </c>
      <c r="E1489">
        <v>32476.74</v>
      </c>
    </row>
    <row r="1490" spans="1:5" hidden="1" x14ac:dyDescent="0.3">
      <c r="A1490" s="1">
        <v>42950</v>
      </c>
      <c r="B1490">
        <v>32502.55</v>
      </c>
      <c r="C1490">
        <v>32502.55</v>
      </c>
      <c r="D1490">
        <v>32194.58</v>
      </c>
      <c r="E1490">
        <v>32237.88</v>
      </c>
    </row>
    <row r="1491" spans="1:5" hidden="1" x14ac:dyDescent="0.3">
      <c r="A1491" s="1">
        <v>42951</v>
      </c>
      <c r="B1491">
        <v>32191.119999999999</v>
      </c>
      <c r="C1491">
        <v>32352.19</v>
      </c>
      <c r="D1491">
        <v>32107.99</v>
      </c>
      <c r="E1491">
        <v>32325.41</v>
      </c>
    </row>
    <row r="1492" spans="1:5" hidden="1" x14ac:dyDescent="0.3">
      <c r="A1492" s="1">
        <v>42954</v>
      </c>
      <c r="B1492">
        <v>32377.8</v>
      </c>
      <c r="C1492">
        <v>32396.14</v>
      </c>
      <c r="D1492">
        <v>32235.82</v>
      </c>
      <c r="E1492">
        <v>32273.67</v>
      </c>
    </row>
    <row r="1493" spans="1:5" hidden="1" x14ac:dyDescent="0.3">
      <c r="A1493" s="1">
        <v>42955</v>
      </c>
      <c r="B1493">
        <v>32341.05</v>
      </c>
      <c r="C1493">
        <v>32354.77</v>
      </c>
      <c r="D1493">
        <v>31915.200000000001</v>
      </c>
      <c r="E1493">
        <v>32014.19</v>
      </c>
    </row>
    <row r="1494" spans="1:5" hidden="1" x14ac:dyDescent="0.3">
      <c r="A1494" s="1">
        <v>42956</v>
      </c>
      <c r="B1494">
        <v>31926.14</v>
      </c>
      <c r="C1494">
        <v>31967.279999999999</v>
      </c>
      <c r="D1494">
        <v>31731.91</v>
      </c>
      <c r="E1494">
        <v>31797.84</v>
      </c>
    </row>
    <row r="1495" spans="1:5" hidden="1" x14ac:dyDescent="0.3">
      <c r="A1495" s="1">
        <v>42957</v>
      </c>
      <c r="B1495">
        <v>31750.73</v>
      </c>
      <c r="C1495">
        <v>31756.27</v>
      </c>
      <c r="D1495">
        <v>31422.799999999999</v>
      </c>
      <c r="E1495">
        <v>31531.33</v>
      </c>
    </row>
    <row r="1496" spans="1:5" hidden="1" x14ac:dyDescent="0.3">
      <c r="A1496" s="1">
        <v>42958</v>
      </c>
      <c r="B1496">
        <v>31355.919999999998</v>
      </c>
      <c r="C1496">
        <v>31379.200000000001</v>
      </c>
      <c r="D1496">
        <v>31128.02</v>
      </c>
      <c r="E1496">
        <v>31213.59</v>
      </c>
    </row>
    <row r="1497" spans="1:5" hidden="1" x14ac:dyDescent="0.3">
      <c r="A1497" s="1">
        <v>42961</v>
      </c>
      <c r="B1497">
        <v>31299.52</v>
      </c>
      <c r="C1497">
        <v>31526.400000000001</v>
      </c>
      <c r="D1497">
        <v>31298.9</v>
      </c>
      <c r="E1497">
        <v>31449.03</v>
      </c>
    </row>
    <row r="1498" spans="1:5" hidden="1" x14ac:dyDescent="0.3">
      <c r="A1498" s="1">
        <v>42963</v>
      </c>
      <c r="B1498">
        <v>31566.240000000002</v>
      </c>
      <c r="C1498">
        <v>31805.99</v>
      </c>
      <c r="D1498">
        <v>31399.35</v>
      </c>
      <c r="E1498">
        <v>31770.89</v>
      </c>
    </row>
    <row r="1499" spans="1:5" hidden="1" x14ac:dyDescent="0.3">
      <c r="A1499" s="1">
        <v>42964</v>
      </c>
      <c r="B1499">
        <v>31919.17</v>
      </c>
      <c r="C1499">
        <v>31937.51</v>
      </c>
      <c r="D1499">
        <v>31714.1</v>
      </c>
      <c r="E1499">
        <v>31795.46</v>
      </c>
    </row>
    <row r="1500" spans="1:5" hidden="1" x14ac:dyDescent="0.3">
      <c r="A1500" s="1">
        <v>42965</v>
      </c>
      <c r="B1500">
        <v>31729.88</v>
      </c>
      <c r="C1500">
        <v>31729.88</v>
      </c>
      <c r="D1500">
        <v>31349.13</v>
      </c>
      <c r="E1500">
        <v>31524.68</v>
      </c>
    </row>
    <row r="1501" spans="1:5" hidden="1" x14ac:dyDescent="0.3">
      <c r="A1501" s="1">
        <v>42968</v>
      </c>
      <c r="B1501">
        <v>31609.93</v>
      </c>
      <c r="C1501">
        <v>31641.81</v>
      </c>
      <c r="D1501">
        <v>31220.53</v>
      </c>
      <c r="E1501">
        <v>31258.85</v>
      </c>
    </row>
    <row r="1502" spans="1:5" hidden="1" x14ac:dyDescent="0.3">
      <c r="A1502" s="1">
        <v>42969</v>
      </c>
      <c r="B1502">
        <v>31393.93</v>
      </c>
      <c r="C1502">
        <v>31484.28</v>
      </c>
      <c r="D1502">
        <v>31241.5</v>
      </c>
      <c r="E1502">
        <v>31291.85</v>
      </c>
    </row>
    <row r="1503" spans="1:5" hidden="1" x14ac:dyDescent="0.3">
      <c r="A1503" s="1">
        <v>42970</v>
      </c>
      <c r="B1503">
        <v>31407.47</v>
      </c>
      <c r="C1503">
        <v>31593.39</v>
      </c>
      <c r="D1503">
        <v>31379.25</v>
      </c>
      <c r="E1503">
        <v>31568.01</v>
      </c>
    </row>
    <row r="1504" spans="1:5" hidden="1" x14ac:dyDescent="0.3">
      <c r="A1504" s="1">
        <v>42971</v>
      </c>
      <c r="B1504">
        <v>31673.439999999999</v>
      </c>
      <c r="C1504">
        <v>31678.19</v>
      </c>
      <c r="D1504">
        <v>31546.05</v>
      </c>
      <c r="E1504">
        <v>31596.06</v>
      </c>
    </row>
    <row r="1505" spans="1:5" hidden="1" x14ac:dyDescent="0.3">
      <c r="A1505" s="1">
        <v>42975</v>
      </c>
      <c r="B1505">
        <v>31756.87</v>
      </c>
      <c r="C1505">
        <v>31809.7</v>
      </c>
      <c r="D1505">
        <v>31701.67</v>
      </c>
      <c r="E1505">
        <v>31750.82</v>
      </c>
    </row>
    <row r="1506" spans="1:5" hidden="1" x14ac:dyDescent="0.3">
      <c r="A1506" s="1">
        <v>42976</v>
      </c>
      <c r="B1506">
        <v>31724.84</v>
      </c>
      <c r="C1506">
        <v>31739.8</v>
      </c>
      <c r="D1506">
        <v>31360.81</v>
      </c>
      <c r="E1506">
        <v>31388.39</v>
      </c>
    </row>
    <row r="1507" spans="1:5" hidden="1" x14ac:dyDescent="0.3">
      <c r="A1507" s="1">
        <v>42977</v>
      </c>
      <c r="B1507">
        <v>31534.57</v>
      </c>
      <c r="C1507">
        <v>31727.98</v>
      </c>
      <c r="D1507">
        <v>31533.02</v>
      </c>
      <c r="E1507">
        <v>31646.46</v>
      </c>
    </row>
    <row r="1508" spans="1:5" hidden="1" x14ac:dyDescent="0.3">
      <c r="A1508" s="1">
        <v>42978</v>
      </c>
      <c r="B1508">
        <v>31685.439999999999</v>
      </c>
      <c r="C1508">
        <v>31757.18</v>
      </c>
      <c r="D1508">
        <v>31551.85</v>
      </c>
      <c r="E1508">
        <v>31730.49</v>
      </c>
    </row>
    <row r="1509" spans="1:5" hidden="1" x14ac:dyDescent="0.3">
      <c r="A1509" s="1">
        <v>42979</v>
      </c>
      <c r="B1509">
        <v>31769.34</v>
      </c>
      <c r="C1509">
        <v>31944.1</v>
      </c>
      <c r="D1509">
        <v>31707.27</v>
      </c>
      <c r="E1509">
        <v>31892.23</v>
      </c>
    </row>
    <row r="1510" spans="1:5" hidden="1" x14ac:dyDescent="0.3">
      <c r="A1510" s="1">
        <v>42982</v>
      </c>
      <c r="B1510">
        <v>31932.2</v>
      </c>
      <c r="C1510">
        <v>31932.2</v>
      </c>
      <c r="D1510">
        <v>31560.32</v>
      </c>
      <c r="E1510">
        <v>31702.25</v>
      </c>
    </row>
    <row r="1511" spans="1:5" hidden="1" x14ac:dyDescent="0.3">
      <c r="A1511" s="1">
        <v>42983</v>
      </c>
      <c r="B1511">
        <v>31755.16</v>
      </c>
      <c r="C1511">
        <v>31863.47</v>
      </c>
      <c r="D1511">
        <v>31674.23</v>
      </c>
      <c r="E1511">
        <v>31809.55</v>
      </c>
    </row>
    <row r="1512" spans="1:5" hidden="1" x14ac:dyDescent="0.3">
      <c r="A1512" s="1">
        <v>42984</v>
      </c>
      <c r="B1512">
        <v>31713.5</v>
      </c>
      <c r="C1512">
        <v>31727.85</v>
      </c>
      <c r="D1512">
        <v>31586.53</v>
      </c>
      <c r="E1512">
        <v>31661.97</v>
      </c>
    </row>
    <row r="1513" spans="1:5" hidden="1" x14ac:dyDescent="0.3">
      <c r="A1513" s="1">
        <v>42985</v>
      </c>
      <c r="B1513">
        <v>31738.74</v>
      </c>
      <c r="C1513">
        <v>31814.959999999999</v>
      </c>
      <c r="D1513">
        <v>31620.44</v>
      </c>
      <c r="E1513">
        <v>31662.74</v>
      </c>
    </row>
    <row r="1514" spans="1:5" hidden="1" x14ac:dyDescent="0.3">
      <c r="A1514" s="1">
        <v>42986</v>
      </c>
      <c r="B1514">
        <v>31694.15</v>
      </c>
      <c r="C1514">
        <v>31763.7</v>
      </c>
      <c r="D1514">
        <v>31619</v>
      </c>
      <c r="E1514">
        <v>31687.52</v>
      </c>
    </row>
    <row r="1515" spans="1:5" hidden="1" x14ac:dyDescent="0.3">
      <c r="A1515" s="1">
        <v>42989</v>
      </c>
      <c r="B1515">
        <v>31798.31</v>
      </c>
      <c r="C1515">
        <v>31952.87</v>
      </c>
      <c r="D1515">
        <v>31797.89</v>
      </c>
      <c r="E1515">
        <v>31882.16</v>
      </c>
    </row>
    <row r="1516" spans="1:5" hidden="1" x14ac:dyDescent="0.3">
      <c r="A1516" s="1">
        <v>42990</v>
      </c>
      <c r="B1516">
        <v>32029.15</v>
      </c>
      <c r="C1516">
        <v>32172.46</v>
      </c>
      <c r="D1516">
        <v>31950.240000000002</v>
      </c>
      <c r="E1516">
        <v>32158.66</v>
      </c>
    </row>
    <row r="1517" spans="1:5" hidden="1" x14ac:dyDescent="0.3">
      <c r="A1517" s="1">
        <v>42991</v>
      </c>
      <c r="B1517">
        <v>32188.95</v>
      </c>
      <c r="C1517">
        <v>32348.3</v>
      </c>
      <c r="D1517">
        <v>32126.77</v>
      </c>
      <c r="E1517">
        <v>32186.41</v>
      </c>
    </row>
    <row r="1518" spans="1:5" hidden="1" x14ac:dyDescent="0.3">
      <c r="A1518" s="1">
        <v>42992</v>
      </c>
      <c r="B1518">
        <v>32289.26</v>
      </c>
      <c r="C1518">
        <v>32328.61</v>
      </c>
      <c r="D1518">
        <v>32186.84</v>
      </c>
      <c r="E1518">
        <v>32241.93</v>
      </c>
    </row>
    <row r="1519" spans="1:5" hidden="1" x14ac:dyDescent="0.3">
      <c r="A1519" s="1">
        <v>42993</v>
      </c>
      <c r="B1519">
        <v>32207.63</v>
      </c>
      <c r="C1519">
        <v>32356.11</v>
      </c>
      <c r="D1519">
        <v>32138.38</v>
      </c>
      <c r="E1519">
        <v>32272.61</v>
      </c>
    </row>
    <row r="1520" spans="1:5" hidden="1" x14ac:dyDescent="0.3">
      <c r="A1520" s="1">
        <v>42996</v>
      </c>
      <c r="B1520">
        <v>32361.37</v>
      </c>
      <c r="C1520">
        <v>32508.06</v>
      </c>
      <c r="D1520">
        <v>32361.25</v>
      </c>
      <c r="E1520">
        <v>32423.759999999998</v>
      </c>
    </row>
    <row r="1521" spans="1:5" hidden="1" x14ac:dyDescent="0.3">
      <c r="A1521" s="1">
        <v>42997</v>
      </c>
      <c r="B1521">
        <v>32522.44</v>
      </c>
      <c r="C1521">
        <v>32524.11</v>
      </c>
      <c r="D1521">
        <v>32358.63</v>
      </c>
      <c r="E1521">
        <v>32402.37</v>
      </c>
    </row>
    <row r="1522" spans="1:5" hidden="1" x14ac:dyDescent="0.3">
      <c r="A1522" s="1">
        <v>42998</v>
      </c>
      <c r="B1522">
        <v>32467.1</v>
      </c>
      <c r="C1522">
        <v>32499.88</v>
      </c>
      <c r="D1522">
        <v>32383.82</v>
      </c>
      <c r="E1522">
        <v>32400.51</v>
      </c>
    </row>
    <row r="1523" spans="1:5" hidden="1" x14ac:dyDescent="0.3">
      <c r="A1523" s="1">
        <v>42999</v>
      </c>
      <c r="B1523">
        <v>32406.42</v>
      </c>
      <c r="C1523">
        <v>32462.61</v>
      </c>
      <c r="D1523">
        <v>32164.42</v>
      </c>
      <c r="E1523">
        <v>32370.04</v>
      </c>
    </row>
    <row r="1524" spans="1:5" hidden="1" x14ac:dyDescent="0.3">
      <c r="A1524" s="1">
        <v>43000</v>
      </c>
      <c r="B1524">
        <v>32339.5</v>
      </c>
      <c r="C1524">
        <v>32342.81</v>
      </c>
      <c r="D1524">
        <v>31886.09</v>
      </c>
      <c r="E1524">
        <v>31922.44</v>
      </c>
    </row>
    <row r="1525" spans="1:5" hidden="1" x14ac:dyDescent="0.3">
      <c r="A1525" s="1">
        <v>43003</v>
      </c>
      <c r="B1525">
        <v>31986.400000000001</v>
      </c>
      <c r="C1525">
        <v>32016.52</v>
      </c>
      <c r="D1525">
        <v>31474.560000000001</v>
      </c>
      <c r="E1525">
        <v>31626.63</v>
      </c>
    </row>
    <row r="1526" spans="1:5" hidden="1" x14ac:dyDescent="0.3">
      <c r="A1526" s="1">
        <v>43004</v>
      </c>
      <c r="B1526">
        <v>31685.81</v>
      </c>
      <c r="C1526">
        <v>31693.59</v>
      </c>
      <c r="D1526">
        <v>31455.65</v>
      </c>
      <c r="E1526">
        <v>31599.759999999998</v>
      </c>
    </row>
    <row r="1527" spans="1:5" hidden="1" x14ac:dyDescent="0.3">
      <c r="A1527" s="1">
        <v>43005</v>
      </c>
      <c r="B1527">
        <v>31785.24</v>
      </c>
      <c r="C1527">
        <v>31797.46</v>
      </c>
      <c r="D1527">
        <v>31100.799999999999</v>
      </c>
      <c r="E1527">
        <v>31159.81</v>
      </c>
    </row>
    <row r="1528" spans="1:5" hidden="1" x14ac:dyDescent="0.3">
      <c r="A1528" s="1">
        <v>43006</v>
      </c>
      <c r="B1528">
        <v>31216.36</v>
      </c>
      <c r="C1528">
        <v>31340.91</v>
      </c>
      <c r="D1528">
        <v>31081.83</v>
      </c>
      <c r="E1528">
        <v>31282.48</v>
      </c>
    </row>
    <row r="1529" spans="1:5" hidden="1" x14ac:dyDescent="0.3">
      <c r="A1529" s="1">
        <v>43007</v>
      </c>
      <c r="B1529">
        <v>31367.25</v>
      </c>
      <c r="C1529">
        <v>31523.87</v>
      </c>
      <c r="D1529">
        <v>31243.71</v>
      </c>
      <c r="E1529">
        <v>31283.72</v>
      </c>
    </row>
    <row r="1530" spans="1:5" hidden="1" x14ac:dyDescent="0.3">
      <c r="A1530" s="1">
        <v>43011</v>
      </c>
      <c r="B1530">
        <v>31537.81</v>
      </c>
      <c r="C1530">
        <v>31615.279999999999</v>
      </c>
      <c r="D1530">
        <v>31440.48</v>
      </c>
      <c r="E1530">
        <v>31497.38</v>
      </c>
    </row>
    <row r="1531" spans="1:5" hidden="1" x14ac:dyDescent="0.3">
      <c r="A1531" s="1">
        <v>43012</v>
      </c>
      <c r="B1531">
        <v>31522.17</v>
      </c>
      <c r="C1531">
        <v>31752.16</v>
      </c>
      <c r="D1531">
        <v>31457.78</v>
      </c>
      <c r="E1531">
        <v>31671.71</v>
      </c>
    </row>
    <row r="1532" spans="1:5" hidden="1" x14ac:dyDescent="0.3">
      <c r="A1532" s="1">
        <v>43013</v>
      </c>
      <c r="B1532">
        <v>31725.85</v>
      </c>
      <c r="C1532">
        <v>31772.41</v>
      </c>
      <c r="D1532">
        <v>31562.25</v>
      </c>
      <c r="E1532">
        <v>31592.03</v>
      </c>
    </row>
    <row r="1533" spans="1:5" hidden="1" x14ac:dyDescent="0.3">
      <c r="A1533" s="1">
        <v>43014</v>
      </c>
      <c r="B1533">
        <v>31633.34</v>
      </c>
      <c r="C1533">
        <v>31844.28</v>
      </c>
      <c r="D1533">
        <v>31632.81</v>
      </c>
      <c r="E1533">
        <v>31814.22</v>
      </c>
    </row>
    <row r="1534" spans="1:5" hidden="1" x14ac:dyDescent="0.3">
      <c r="A1534" s="1">
        <v>43017</v>
      </c>
      <c r="B1534">
        <v>31862.2</v>
      </c>
      <c r="C1534">
        <v>31935.63</v>
      </c>
      <c r="D1534">
        <v>31781.75</v>
      </c>
      <c r="E1534">
        <v>31846.89</v>
      </c>
    </row>
    <row r="1535" spans="1:5" hidden="1" x14ac:dyDescent="0.3">
      <c r="A1535" s="1">
        <v>43018</v>
      </c>
      <c r="B1535">
        <v>31910.82</v>
      </c>
      <c r="C1535">
        <v>31994.77</v>
      </c>
      <c r="D1535">
        <v>31896.9</v>
      </c>
      <c r="E1535">
        <v>31924.41</v>
      </c>
    </row>
    <row r="1536" spans="1:5" hidden="1" x14ac:dyDescent="0.3">
      <c r="A1536" s="1">
        <v>43019</v>
      </c>
      <c r="B1536">
        <v>31975.59</v>
      </c>
      <c r="C1536">
        <v>32098.46</v>
      </c>
      <c r="D1536">
        <v>31769.4</v>
      </c>
      <c r="E1536">
        <v>31833.99</v>
      </c>
    </row>
    <row r="1537" spans="1:5" hidden="1" x14ac:dyDescent="0.3">
      <c r="A1537" s="1">
        <v>43020</v>
      </c>
      <c r="B1537">
        <v>31887.47</v>
      </c>
      <c r="C1537">
        <v>32209.03</v>
      </c>
      <c r="D1537">
        <v>31813.67</v>
      </c>
      <c r="E1537">
        <v>32182.22</v>
      </c>
    </row>
    <row r="1538" spans="1:5" hidden="1" x14ac:dyDescent="0.3">
      <c r="A1538" s="1">
        <v>43021</v>
      </c>
      <c r="B1538">
        <v>32247.74</v>
      </c>
      <c r="C1538">
        <v>32508.59</v>
      </c>
      <c r="D1538">
        <v>32247.74</v>
      </c>
      <c r="E1538">
        <v>32432.69</v>
      </c>
    </row>
    <row r="1539" spans="1:5" hidden="1" x14ac:dyDescent="0.3">
      <c r="A1539" s="1">
        <v>43024</v>
      </c>
      <c r="B1539">
        <v>32488.23</v>
      </c>
      <c r="C1539">
        <v>32687.32</v>
      </c>
      <c r="D1539">
        <v>32445.43</v>
      </c>
      <c r="E1539">
        <v>32633.64</v>
      </c>
    </row>
    <row r="1540" spans="1:5" hidden="1" x14ac:dyDescent="0.3">
      <c r="A1540" s="1">
        <v>43025</v>
      </c>
      <c r="B1540">
        <v>32654.41</v>
      </c>
      <c r="C1540">
        <v>32699.86</v>
      </c>
      <c r="D1540">
        <v>32556.74</v>
      </c>
      <c r="E1540">
        <v>32609.16</v>
      </c>
    </row>
    <row r="1541" spans="1:5" hidden="1" x14ac:dyDescent="0.3">
      <c r="A1541" s="1">
        <v>43026</v>
      </c>
      <c r="B1541">
        <v>32518.560000000001</v>
      </c>
      <c r="C1541">
        <v>32670.32</v>
      </c>
      <c r="D1541">
        <v>32462.85</v>
      </c>
      <c r="E1541">
        <v>32584.35</v>
      </c>
    </row>
    <row r="1542" spans="1:5" hidden="1" x14ac:dyDescent="0.3">
      <c r="A1542" s="1">
        <v>43027</v>
      </c>
      <c r="B1542">
        <v>32656.75</v>
      </c>
      <c r="C1542">
        <v>32663.06</v>
      </c>
      <c r="D1542">
        <v>32319.37</v>
      </c>
      <c r="E1542">
        <v>32389.96</v>
      </c>
    </row>
    <row r="1543" spans="1:5" hidden="1" x14ac:dyDescent="0.3">
      <c r="A1543" s="1">
        <v>43031</v>
      </c>
      <c r="B1543">
        <v>32411.86</v>
      </c>
      <c r="C1543">
        <v>32614.89</v>
      </c>
      <c r="D1543">
        <v>32312.74</v>
      </c>
      <c r="E1543">
        <v>32506.720000000001</v>
      </c>
    </row>
    <row r="1544" spans="1:5" hidden="1" x14ac:dyDescent="0.3">
      <c r="A1544" s="1">
        <v>43032</v>
      </c>
      <c r="B1544">
        <v>32619.26</v>
      </c>
      <c r="C1544">
        <v>32670.37</v>
      </c>
      <c r="D1544">
        <v>32502.080000000002</v>
      </c>
      <c r="E1544">
        <v>32607.34</v>
      </c>
    </row>
    <row r="1545" spans="1:5" hidden="1" x14ac:dyDescent="0.3">
      <c r="A1545" s="1">
        <v>43033</v>
      </c>
      <c r="B1545">
        <v>32995.279999999999</v>
      </c>
      <c r="C1545">
        <v>33117.33</v>
      </c>
      <c r="D1545">
        <v>32804.6</v>
      </c>
      <c r="E1545">
        <v>33042.5</v>
      </c>
    </row>
    <row r="1546" spans="1:5" hidden="1" x14ac:dyDescent="0.3">
      <c r="A1546" s="1">
        <v>43034</v>
      </c>
      <c r="B1546">
        <v>33025.17</v>
      </c>
      <c r="C1546">
        <v>33196.17</v>
      </c>
      <c r="D1546">
        <v>32835.06</v>
      </c>
      <c r="E1546">
        <v>33147.129999999997</v>
      </c>
    </row>
    <row r="1547" spans="1:5" hidden="1" x14ac:dyDescent="0.3">
      <c r="A1547" s="1">
        <v>43035</v>
      </c>
      <c r="B1547">
        <v>33228.32</v>
      </c>
      <c r="C1547">
        <v>33286.51</v>
      </c>
      <c r="D1547">
        <v>33109.410000000003</v>
      </c>
      <c r="E1547">
        <v>33157.22</v>
      </c>
    </row>
    <row r="1548" spans="1:5" hidden="1" x14ac:dyDescent="0.3">
      <c r="A1548" s="1">
        <v>43038</v>
      </c>
      <c r="B1548">
        <v>33260.1</v>
      </c>
      <c r="C1548">
        <v>33340.17</v>
      </c>
      <c r="D1548">
        <v>33206.93</v>
      </c>
      <c r="E1548">
        <v>33266.160000000003</v>
      </c>
    </row>
    <row r="1549" spans="1:5" hidden="1" x14ac:dyDescent="0.3">
      <c r="A1549" s="1">
        <v>43039</v>
      </c>
      <c r="B1549">
        <v>33254.93</v>
      </c>
      <c r="C1549">
        <v>33294.300000000003</v>
      </c>
      <c r="D1549">
        <v>33164.28</v>
      </c>
      <c r="E1549">
        <v>33213.129999999997</v>
      </c>
    </row>
    <row r="1550" spans="1:5" hidden="1" x14ac:dyDescent="0.3">
      <c r="A1550" s="1">
        <v>43040</v>
      </c>
      <c r="B1550">
        <v>33344.230000000003</v>
      </c>
      <c r="C1550">
        <v>33651.519999999997</v>
      </c>
      <c r="D1550">
        <v>33340.620000000003</v>
      </c>
      <c r="E1550">
        <v>33600.269999999997</v>
      </c>
    </row>
    <row r="1551" spans="1:5" hidden="1" x14ac:dyDescent="0.3">
      <c r="A1551" s="1">
        <v>43041</v>
      </c>
      <c r="B1551">
        <v>33615.839999999997</v>
      </c>
      <c r="C1551">
        <v>33657.57</v>
      </c>
      <c r="D1551">
        <v>33527</v>
      </c>
      <c r="E1551">
        <v>33573.22</v>
      </c>
    </row>
    <row r="1552" spans="1:5" hidden="1" x14ac:dyDescent="0.3">
      <c r="A1552" s="1">
        <v>43042</v>
      </c>
      <c r="B1552">
        <v>33667.339999999997</v>
      </c>
      <c r="C1552">
        <v>33733.71</v>
      </c>
      <c r="D1552">
        <v>33531.94</v>
      </c>
      <c r="E1552">
        <v>33685.56</v>
      </c>
    </row>
    <row r="1553" spans="1:5" hidden="1" x14ac:dyDescent="0.3">
      <c r="A1553" s="1">
        <v>43045</v>
      </c>
      <c r="B1553">
        <v>33710.15</v>
      </c>
      <c r="C1553">
        <v>33848.42</v>
      </c>
      <c r="D1553">
        <v>33582.379999999997</v>
      </c>
      <c r="E1553">
        <v>33731.19</v>
      </c>
    </row>
    <row r="1554" spans="1:5" hidden="1" x14ac:dyDescent="0.3">
      <c r="A1554" s="1">
        <v>43046</v>
      </c>
      <c r="B1554">
        <v>33781.01</v>
      </c>
      <c r="C1554">
        <v>33865.949999999997</v>
      </c>
      <c r="D1554">
        <v>33341.82</v>
      </c>
      <c r="E1554">
        <v>33370.76</v>
      </c>
    </row>
    <row r="1555" spans="1:5" hidden="1" x14ac:dyDescent="0.3">
      <c r="A1555" s="1">
        <v>43047</v>
      </c>
      <c r="B1555">
        <v>33417.35</v>
      </c>
      <c r="C1555">
        <v>33484.699999999997</v>
      </c>
      <c r="D1555">
        <v>33157.68</v>
      </c>
      <c r="E1555">
        <v>33218.81</v>
      </c>
    </row>
    <row r="1556" spans="1:5" hidden="1" x14ac:dyDescent="0.3">
      <c r="A1556" s="1">
        <v>43048</v>
      </c>
      <c r="B1556">
        <v>33376.620000000003</v>
      </c>
      <c r="C1556">
        <v>33463.800000000003</v>
      </c>
      <c r="D1556">
        <v>33111.54</v>
      </c>
      <c r="E1556">
        <v>33250.93</v>
      </c>
    </row>
    <row r="1557" spans="1:5" hidden="1" x14ac:dyDescent="0.3">
      <c r="A1557" s="1">
        <v>43049</v>
      </c>
      <c r="B1557">
        <v>33235.75</v>
      </c>
      <c r="C1557">
        <v>33380.42</v>
      </c>
      <c r="D1557">
        <v>33108.089999999997</v>
      </c>
      <c r="E1557">
        <v>33314.559999999998</v>
      </c>
    </row>
    <row r="1558" spans="1:5" hidden="1" x14ac:dyDescent="0.3">
      <c r="A1558" s="1">
        <v>43052</v>
      </c>
      <c r="B1558">
        <v>33397.410000000003</v>
      </c>
      <c r="C1558">
        <v>33417.300000000003</v>
      </c>
      <c r="D1558">
        <v>32999.980000000003</v>
      </c>
      <c r="E1558">
        <v>33033.56</v>
      </c>
    </row>
    <row r="1559" spans="1:5" hidden="1" x14ac:dyDescent="0.3">
      <c r="A1559" s="1">
        <v>43053</v>
      </c>
      <c r="B1559">
        <v>32990.03</v>
      </c>
      <c r="C1559">
        <v>33126.550000000003</v>
      </c>
      <c r="D1559">
        <v>32907.11</v>
      </c>
      <c r="E1559">
        <v>32941.870000000003</v>
      </c>
    </row>
    <row r="1560" spans="1:5" hidden="1" x14ac:dyDescent="0.3">
      <c r="A1560" s="1">
        <v>43054</v>
      </c>
      <c r="B1560">
        <v>32944.94</v>
      </c>
      <c r="C1560">
        <v>32944.94</v>
      </c>
      <c r="D1560">
        <v>32683.59</v>
      </c>
      <c r="E1560">
        <v>32760.44</v>
      </c>
    </row>
    <row r="1561" spans="1:5" hidden="1" x14ac:dyDescent="0.3">
      <c r="A1561" s="1">
        <v>43055</v>
      </c>
      <c r="B1561">
        <v>32829.82</v>
      </c>
      <c r="C1561">
        <v>33165.15</v>
      </c>
      <c r="D1561">
        <v>32829.82</v>
      </c>
      <c r="E1561">
        <v>33106.82</v>
      </c>
    </row>
    <row r="1562" spans="1:5" hidden="1" x14ac:dyDescent="0.3">
      <c r="A1562" s="1">
        <v>43056</v>
      </c>
      <c r="B1562">
        <v>33388.47</v>
      </c>
      <c r="C1562">
        <v>33520.82</v>
      </c>
      <c r="D1562">
        <v>33278.910000000003</v>
      </c>
      <c r="E1562">
        <v>33342.800000000003</v>
      </c>
    </row>
    <row r="1563" spans="1:5" hidden="1" x14ac:dyDescent="0.3">
      <c r="A1563" s="1">
        <v>43059</v>
      </c>
      <c r="B1563">
        <v>33365.839999999997</v>
      </c>
      <c r="C1563">
        <v>33449.53</v>
      </c>
      <c r="D1563">
        <v>33288.21</v>
      </c>
      <c r="E1563">
        <v>33359.9</v>
      </c>
    </row>
    <row r="1564" spans="1:5" hidden="1" x14ac:dyDescent="0.3">
      <c r="A1564" s="1">
        <v>43060</v>
      </c>
      <c r="B1564">
        <v>33438.28</v>
      </c>
      <c r="C1564">
        <v>33625.050000000003</v>
      </c>
      <c r="D1564">
        <v>33437.61</v>
      </c>
      <c r="E1564">
        <v>33478.35</v>
      </c>
    </row>
    <row r="1565" spans="1:5" hidden="1" x14ac:dyDescent="0.3">
      <c r="A1565" s="1">
        <v>43061</v>
      </c>
      <c r="B1565">
        <v>33569.07</v>
      </c>
      <c r="C1565">
        <v>33654.53</v>
      </c>
      <c r="D1565">
        <v>33465.230000000003</v>
      </c>
      <c r="E1565">
        <v>33561.550000000003</v>
      </c>
    </row>
    <row r="1566" spans="1:5" hidden="1" x14ac:dyDescent="0.3">
      <c r="A1566" s="1">
        <v>43062</v>
      </c>
      <c r="B1566">
        <v>33575.910000000003</v>
      </c>
      <c r="C1566">
        <v>33670.19</v>
      </c>
      <c r="D1566">
        <v>33468.300000000003</v>
      </c>
      <c r="E1566">
        <v>33588.080000000002</v>
      </c>
    </row>
    <row r="1567" spans="1:5" hidden="1" x14ac:dyDescent="0.3">
      <c r="A1567" s="1">
        <v>43063</v>
      </c>
      <c r="B1567">
        <v>33670</v>
      </c>
      <c r="C1567">
        <v>33738.53</v>
      </c>
      <c r="D1567">
        <v>33639.980000000003</v>
      </c>
      <c r="E1567">
        <v>33679.24</v>
      </c>
    </row>
    <row r="1568" spans="1:5" hidden="1" x14ac:dyDescent="0.3">
      <c r="A1568" s="1">
        <v>43066</v>
      </c>
      <c r="B1568">
        <v>33640.51</v>
      </c>
      <c r="C1568">
        <v>33745.17</v>
      </c>
      <c r="D1568">
        <v>33540.46</v>
      </c>
      <c r="E1568">
        <v>33724.44</v>
      </c>
    </row>
    <row r="1569" spans="1:5" hidden="1" x14ac:dyDescent="0.3">
      <c r="A1569" s="1">
        <v>43067</v>
      </c>
      <c r="B1569">
        <v>33726.65</v>
      </c>
      <c r="C1569">
        <v>33770.15</v>
      </c>
      <c r="D1569">
        <v>33576.65</v>
      </c>
      <c r="E1569">
        <v>33618.589999999997</v>
      </c>
    </row>
    <row r="1570" spans="1:5" hidden="1" x14ac:dyDescent="0.3">
      <c r="A1570" s="1">
        <v>43068</v>
      </c>
      <c r="B1570">
        <v>33664.269999999997</v>
      </c>
      <c r="C1570">
        <v>33728.81</v>
      </c>
      <c r="D1570">
        <v>33553.120000000003</v>
      </c>
      <c r="E1570">
        <v>33602.76</v>
      </c>
    </row>
    <row r="1571" spans="1:5" hidden="1" x14ac:dyDescent="0.3">
      <c r="A1571" s="1">
        <v>43069</v>
      </c>
      <c r="B1571">
        <v>33542.5</v>
      </c>
      <c r="C1571">
        <v>33576.199999999997</v>
      </c>
      <c r="D1571">
        <v>33108.720000000001</v>
      </c>
      <c r="E1571">
        <v>33149.35</v>
      </c>
    </row>
    <row r="1572" spans="1:5" hidden="1" x14ac:dyDescent="0.3">
      <c r="A1572" s="1">
        <v>43070</v>
      </c>
      <c r="B1572">
        <v>33247.660000000003</v>
      </c>
      <c r="C1572">
        <v>33300.81</v>
      </c>
      <c r="D1572">
        <v>32797.78</v>
      </c>
      <c r="E1572">
        <v>32832.94</v>
      </c>
    </row>
    <row r="1573" spans="1:5" hidden="1" x14ac:dyDescent="0.3">
      <c r="A1573" s="1">
        <v>43073</v>
      </c>
      <c r="B1573">
        <v>32968.019999999997</v>
      </c>
      <c r="C1573">
        <v>33008.47</v>
      </c>
      <c r="D1573">
        <v>32785.760000000002</v>
      </c>
      <c r="E1573">
        <v>32869.72</v>
      </c>
    </row>
    <row r="1574" spans="1:5" hidden="1" x14ac:dyDescent="0.3">
      <c r="A1574" s="1">
        <v>43074</v>
      </c>
      <c r="B1574">
        <v>32814.03</v>
      </c>
      <c r="C1574">
        <v>32893.050000000003</v>
      </c>
      <c r="D1574">
        <v>32682.52</v>
      </c>
      <c r="E1574">
        <v>32802.44</v>
      </c>
    </row>
    <row r="1575" spans="1:5" hidden="1" x14ac:dyDescent="0.3">
      <c r="A1575" s="1">
        <v>43075</v>
      </c>
      <c r="B1575">
        <v>32798.5</v>
      </c>
      <c r="C1575">
        <v>32804.75</v>
      </c>
      <c r="D1575">
        <v>32565.16</v>
      </c>
      <c r="E1575">
        <v>32597.18</v>
      </c>
    </row>
    <row r="1576" spans="1:5" hidden="1" x14ac:dyDescent="0.3">
      <c r="A1576" s="1">
        <v>43076</v>
      </c>
      <c r="B1576">
        <v>32615.05</v>
      </c>
      <c r="C1576">
        <v>32992.449999999997</v>
      </c>
      <c r="D1576">
        <v>32598.12</v>
      </c>
      <c r="E1576">
        <v>32949.21</v>
      </c>
    </row>
    <row r="1577" spans="1:5" hidden="1" x14ac:dyDescent="0.3">
      <c r="A1577" s="1">
        <v>43077</v>
      </c>
      <c r="B1577">
        <v>33034.199999999997</v>
      </c>
      <c r="C1577">
        <v>33285.68</v>
      </c>
      <c r="D1577">
        <v>33034.199999999997</v>
      </c>
      <c r="E1577">
        <v>33250.300000000003</v>
      </c>
    </row>
    <row r="1578" spans="1:5" hidden="1" x14ac:dyDescent="0.3">
      <c r="A1578" s="1">
        <v>43080</v>
      </c>
      <c r="B1578">
        <v>33317.72</v>
      </c>
      <c r="C1578">
        <v>33535.97</v>
      </c>
      <c r="D1578">
        <v>33313.17</v>
      </c>
      <c r="E1578">
        <v>33455.79</v>
      </c>
    </row>
    <row r="1579" spans="1:5" hidden="1" x14ac:dyDescent="0.3">
      <c r="A1579" s="1">
        <v>43081</v>
      </c>
      <c r="B1579">
        <v>33426.589999999997</v>
      </c>
      <c r="C1579">
        <v>33458.410000000003</v>
      </c>
      <c r="D1579">
        <v>33179.75</v>
      </c>
      <c r="E1579">
        <v>33227.99</v>
      </c>
    </row>
    <row r="1580" spans="1:5" hidden="1" x14ac:dyDescent="0.3">
      <c r="A1580" s="1">
        <v>43082</v>
      </c>
      <c r="B1580">
        <v>33229.730000000003</v>
      </c>
      <c r="C1580">
        <v>33404.26</v>
      </c>
      <c r="D1580">
        <v>32988.82</v>
      </c>
      <c r="E1580">
        <v>33053.040000000001</v>
      </c>
    </row>
    <row r="1581" spans="1:5" hidden="1" x14ac:dyDescent="0.3">
      <c r="A1581" s="1">
        <v>43083</v>
      </c>
      <c r="B1581">
        <v>33114.69</v>
      </c>
      <c r="C1581">
        <v>33321.519999999997</v>
      </c>
      <c r="D1581">
        <v>32886.93</v>
      </c>
      <c r="E1581">
        <v>33246.699999999997</v>
      </c>
    </row>
    <row r="1582" spans="1:5" hidden="1" x14ac:dyDescent="0.3">
      <c r="A1582" s="1">
        <v>43084</v>
      </c>
      <c r="B1582">
        <v>33456.019999999997</v>
      </c>
      <c r="C1582">
        <v>33621.96</v>
      </c>
      <c r="D1582">
        <v>33405.82</v>
      </c>
      <c r="E1582">
        <v>33462.97</v>
      </c>
    </row>
    <row r="1583" spans="1:5" hidden="1" x14ac:dyDescent="0.3">
      <c r="A1583" s="1">
        <v>43087</v>
      </c>
      <c r="B1583">
        <v>33364.519999999997</v>
      </c>
      <c r="C1583">
        <v>33801.9</v>
      </c>
      <c r="D1583">
        <v>32595.63</v>
      </c>
      <c r="E1583">
        <v>33601.68</v>
      </c>
    </row>
    <row r="1584" spans="1:5" hidden="1" x14ac:dyDescent="0.3">
      <c r="A1584" s="1">
        <v>43088</v>
      </c>
      <c r="B1584">
        <v>33732.080000000002</v>
      </c>
      <c r="C1584">
        <v>33862.07</v>
      </c>
      <c r="D1584">
        <v>33666.620000000003</v>
      </c>
      <c r="E1584">
        <v>33836.74</v>
      </c>
    </row>
    <row r="1585" spans="1:5" hidden="1" x14ac:dyDescent="0.3">
      <c r="A1585" s="1">
        <v>43089</v>
      </c>
      <c r="B1585">
        <v>33928.589999999997</v>
      </c>
      <c r="C1585">
        <v>33956.31</v>
      </c>
      <c r="D1585">
        <v>33754.94</v>
      </c>
      <c r="E1585">
        <v>33777.379999999997</v>
      </c>
    </row>
    <row r="1586" spans="1:5" hidden="1" x14ac:dyDescent="0.3">
      <c r="A1586" s="1">
        <v>43090</v>
      </c>
      <c r="B1586">
        <v>33826.25</v>
      </c>
      <c r="C1586">
        <v>33860.99</v>
      </c>
      <c r="D1586">
        <v>33707.800000000003</v>
      </c>
      <c r="E1586">
        <v>33756.28</v>
      </c>
    </row>
    <row r="1587" spans="1:5" hidden="1" x14ac:dyDescent="0.3">
      <c r="A1587" s="1">
        <v>43091</v>
      </c>
      <c r="B1587">
        <v>33768.47</v>
      </c>
      <c r="C1587">
        <v>33964.28</v>
      </c>
      <c r="D1587">
        <v>33767.730000000003</v>
      </c>
      <c r="E1587">
        <v>33940.300000000003</v>
      </c>
    </row>
    <row r="1588" spans="1:5" hidden="1" x14ac:dyDescent="0.3">
      <c r="A1588" s="1">
        <v>43095</v>
      </c>
      <c r="B1588">
        <v>33980.76</v>
      </c>
      <c r="C1588">
        <v>34061.879999999997</v>
      </c>
      <c r="D1588">
        <v>33889.75</v>
      </c>
      <c r="E1588">
        <v>34010.61</v>
      </c>
    </row>
    <row r="1589" spans="1:5" hidden="1" x14ac:dyDescent="0.3">
      <c r="A1589" s="1">
        <v>43096</v>
      </c>
      <c r="B1589">
        <v>34087.32</v>
      </c>
      <c r="C1589">
        <v>34137.97</v>
      </c>
      <c r="D1589">
        <v>33839.51</v>
      </c>
      <c r="E1589">
        <v>33911.81</v>
      </c>
    </row>
    <row r="1590" spans="1:5" hidden="1" x14ac:dyDescent="0.3">
      <c r="A1590" s="1">
        <v>43097</v>
      </c>
      <c r="B1590">
        <v>33928.86</v>
      </c>
      <c r="C1590">
        <v>34023.65</v>
      </c>
      <c r="D1590">
        <v>33752.03</v>
      </c>
      <c r="E1590">
        <v>33848.03</v>
      </c>
    </row>
    <row r="1591" spans="1:5" hidden="1" x14ac:dyDescent="0.3">
      <c r="A1591" s="1">
        <v>43098</v>
      </c>
      <c r="B1591">
        <v>33889.39</v>
      </c>
      <c r="C1591">
        <v>34086.050000000003</v>
      </c>
      <c r="D1591">
        <v>33889.39</v>
      </c>
      <c r="E1591">
        <v>34056.83</v>
      </c>
    </row>
    <row r="1592" spans="1:5" hidden="1" x14ac:dyDescent="0.3">
      <c r="A1592" s="1">
        <v>43101</v>
      </c>
      <c r="B1592">
        <v>34059.99</v>
      </c>
      <c r="C1592">
        <v>34101.129999999997</v>
      </c>
      <c r="D1592">
        <v>33766.15</v>
      </c>
      <c r="E1592">
        <v>33812.75</v>
      </c>
    </row>
    <row r="1593" spans="1:5" hidden="1" x14ac:dyDescent="0.3">
      <c r="A1593" s="1">
        <v>43102</v>
      </c>
      <c r="B1593">
        <v>33913.550000000003</v>
      </c>
      <c r="C1593">
        <v>33964.14</v>
      </c>
      <c r="D1593">
        <v>33703.370000000003</v>
      </c>
      <c r="E1593">
        <v>33812.26</v>
      </c>
    </row>
    <row r="1594" spans="1:5" hidden="1" x14ac:dyDescent="0.3">
      <c r="A1594" s="1">
        <v>43103</v>
      </c>
      <c r="B1594">
        <v>33929.61</v>
      </c>
      <c r="C1594">
        <v>33998.370000000003</v>
      </c>
      <c r="D1594">
        <v>33765.43</v>
      </c>
      <c r="E1594">
        <v>33793.379999999997</v>
      </c>
    </row>
    <row r="1595" spans="1:5" hidden="1" x14ac:dyDescent="0.3">
      <c r="A1595" s="1">
        <v>43104</v>
      </c>
      <c r="B1595">
        <v>33912.49</v>
      </c>
      <c r="C1595">
        <v>33995.4</v>
      </c>
      <c r="D1595">
        <v>33802.129999999997</v>
      </c>
      <c r="E1595">
        <v>33969.64</v>
      </c>
    </row>
    <row r="1596" spans="1:5" hidden="1" x14ac:dyDescent="0.3">
      <c r="A1596" s="1">
        <v>43105</v>
      </c>
      <c r="B1596">
        <v>34021.269999999997</v>
      </c>
      <c r="C1596">
        <v>34188.85</v>
      </c>
      <c r="D1596">
        <v>34020.839999999997</v>
      </c>
      <c r="E1596">
        <v>34153.85</v>
      </c>
    </row>
    <row r="1597" spans="1:5" hidden="1" x14ac:dyDescent="0.3">
      <c r="A1597" s="1">
        <v>43108</v>
      </c>
      <c r="B1597">
        <v>34216.33</v>
      </c>
      <c r="C1597">
        <v>34385.67</v>
      </c>
      <c r="D1597">
        <v>34216.33</v>
      </c>
      <c r="E1597">
        <v>34352.79</v>
      </c>
    </row>
    <row r="1598" spans="1:5" hidden="1" x14ac:dyDescent="0.3">
      <c r="A1598" s="1">
        <v>43109</v>
      </c>
      <c r="B1598">
        <v>34431.61</v>
      </c>
      <c r="C1598">
        <v>34488.03</v>
      </c>
      <c r="D1598">
        <v>34343.410000000003</v>
      </c>
      <c r="E1598">
        <v>34443.19</v>
      </c>
    </row>
    <row r="1599" spans="1:5" hidden="1" x14ac:dyDescent="0.3">
      <c r="A1599" s="1">
        <v>43110</v>
      </c>
      <c r="B1599">
        <v>34538.78</v>
      </c>
      <c r="C1599">
        <v>34565.629999999997</v>
      </c>
      <c r="D1599">
        <v>34311.629999999997</v>
      </c>
      <c r="E1599">
        <v>34433.07</v>
      </c>
    </row>
    <row r="1600" spans="1:5" hidden="1" x14ac:dyDescent="0.3">
      <c r="A1600" s="1">
        <v>43111</v>
      </c>
      <c r="B1600">
        <v>34471.480000000003</v>
      </c>
      <c r="C1600">
        <v>34558.879999999997</v>
      </c>
      <c r="D1600">
        <v>34400.61</v>
      </c>
      <c r="E1600">
        <v>34503.49</v>
      </c>
    </row>
    <row r="1601" spans="1:5" hidden="1" x14ac:dyDescent="0.3">
      <c r="A1601" s="1">
        <v>43112</v>
      </c>
      <c r="B1601">
        <v>34578.99</v>
      </c>
      <c r="C1601">
        <v>34638.42</v>
      </c>
      <c r="D1601">
        <v>34342.160000000003</v>
      </c>
      <c r="E1601">
        <v>34592.39</v>
      </c>
    </row>
    <row r="1602" spans="1:5" hidden="1" x14ac:dyDescent="0.3">
      <c r="A1602" s="1">
        <v>43115</v>
      </c>
      <c r="B1602">
        <v>34687.21</v>
      </c>
      <c r="C1602">
        <v>34963.69</v>
      </c>
      <c r="D1602">
        <v>34687.21</v>
      </c>
      <c r="E1602">
        <v>34843.51</v>
      </c>
    </row>
    <row r="1603" spans="1:5" hidden="1" x14ac:dyDescent="0.3">
      <c r="A1603" s="1">
        <v>43116</v>
      </c>
      <c r="B1603">
        <v>34877.71</v>
      </c>
      <c r="C1603">
        <v>34936.03</v>
      </c>
      <c r="D1603">
        <v>34735.550000000003</v>
      </c>
      <c r="E1603">
        <v>34771.050000000003</v>
      </c>
    </row>
    <row r="1604" spans="1:5" hidden="1" x14ac:dyDescent="0.3">
      <c r="A1604" s="1">
        <v>43117</v>
      </c>
      <c r="B1604">
        <v>34753.800000000003</v>
      </c>
      <c r="C1604">
        <v>35118.61</v>
      </c>
      <c r="D1604">
        <v>34700.82</v>
      </c>
      <c r="E1604">
        <v>35081.82</v>
      </c>
    </row>
    <row r="1605" spans="1:5" hidden="1" x14ac:dyDescent="0.3">
      <c r="A1605" s="1">
        <v>43118</v>
      </c>
      <c r="B1605">
        <v>35366.449999999997</v>
      </c>
      <c r="C1605">
        <v>35507.360000000001</v>
      </c>
      <c r="D1605">
        <v>35166.44</v>
      </c>
      <c r="E1605">
        <v>35260.29</v>
      </c>
    </row>
    <row r="1606" spans="1:5" hidden="1" x14ac:dyDescent="0.3">
      <c r="A1606" s="1">
        <v>43119</v>
      </c>
      <c r="B1606">
        <v>35339.11</v>
      </c>
      <c r="C1606">
        <v>35542.17</v>
      </c>
      <c r="D1606">
        <v>35221.160000000003</v>
      </c>
      <c r="E1606">
        <v>35511.58</v>
      </c>
    </row>
    <row r="1607" spans="1:5" hidden="1" x14ac:dyDescent="0.3">
      <c r="A1607" s="1">
        <v>43122</v>
      </c>
      <c r="B1607">
        <v>35613.97</v>
      </c>
      <c r="C1607">
        <v>35827.699999999997</v>
      </c>
      <c r="D1607">
        <v>35544.68</v>
      </c>
      <c r="E1607">
        <v>35798.01</v>
      </c>
    </row>
    <row r="1608" spans="1:5" hidden="1" x14ac:dyDescent="0.3">
      <c r="A1608" s="1">
        <v>43123</v>
      </c>
      <c r="B1608">
        <v>35868.19</v>
      </c>
      <c r="C1608">
        <v>36170.83</v>
      </c>
      <c r="D1608">
        <v>35863.980000000003</v>
      </c>
      <c r="E1608">
        <v>36139.980000000003</v>
      </c>
    </row>
    <row r="1609" spans="1:5" hidden="1" x14ac:dyDescent="0.3">
      <c r="A1609" s="1">
        <v>43124</v>
      </c>
      <c r="B1609">
        <v>36161.620000000003</v>
      </c>
      <c r="C1609">
        <v>36268.19</v>
      </c>
      <c r="D1609">
        <v>36036.51</v>
      </c>
      <c r="E1609">
        <v>36161.64</v>
      </c>
    </row>
    <row r="1610" spans="1:5" hidden="1" x14ac:dyDescent="0.3">
      <c r="A1610" s="1">
        <v>43125</v>
      </c>
      <c r="B1610">
        <v>36208.39</v>
      </c>
      <c r="C1610">
        <v>36247.019999999997</v>
      </c>
      <c r="D1610">
        <v>35823.35</v>
      </c>
      <c r="E1610">
        <v>36050.44</v>
      </c>
    </row>
    <row r="1611" spans="1:5" hidden="1" x14ac:dyDescent="0.3">
      <c r="A1611" s="1">
        <v>43129</v>
      </c>
      <c r="B1611">
        <v>36106.36</v>
      </c>
      <c r="C1611">
        <v>36443.980000000003</v>
      </c>
      <c r="D1611">
        <v>36093.360000000001</v>
      </c>
      <c r="E1611">
        <v>36283.25</v>
      </c>
    </row>
    <row r="1612" spans="1:5" hidden="1" x14ac:dyDescent="0.3">
      <c r="A1612" s="1">
        <v>43130</v>
      </c>
      <c r="B1612">
        <v>36277.120000000003</v>
      </c>
      <c r="C1612">
        <v>36291.82</v>
      </c>
      <c r="D1612">
        <v>35993.410000000003</v>
      </c>
      <c r="E1612">
        <v>36033.730000000003</v>
      </c>
    </row>
    <row r="1613" spans="1:5" hidden="1" x14ac:dyDescent="0.3">
      <c r="A1613" s="1">
        <v>43131</v>
      </c>
      <c r="B1613">
        <v>35951.64</v>
      </c>
      <c r="C1613">
        <v>36050.69</v>
      </c>
      <c r="D1613">
        <v>35818.410000000003</v>
      </c>
      <c r="E1613">
        <v>35965.019999999997</v>
      </c>
    </row>
    <row r="1614" spans="1:5" hidden="1" x14ac:dyDescent="0.3">
      <c r="A1614" s="1">
        <v>43132</v>
      </c>
      <c r="B1614">
        <v>36048.99</v>
      </c>
      <c r="C1614">
        <v>36256.83</v>
      </c>
      <c r="D1614">
        <v>35501.74</v>
      </c>
      <c r="E1614">
        <v>35906.660000000003</v>
      </c>
    </row>
    <row r="1615" spans="1:5" hidden="1" x14ac:dyDescent="0.3">
      <c r="A1615" s="1">
        <v>43133</v>
      </c>
      <c r="B1615">
        <v>35707.599999999999</v>
      </c>
      <c r="C1615">
        <v>35738.129999999997</v>
      </c>
      <c r="D1615">
        <v>35006.410000000003</v>
      </c>
      <c r="E1615">
        <v>35066.75</v>
      </c>
    </row>
    <row r="1616" spans="1:5" hidden="1" x14ac:dyDescent="0.3">
      <c r="A1616" s="1">
        <v>43136</v>
      </c>
      <c r="B1616">
        <v>34718.85</v>
      </c>
      <c r="C1616">
        <v>34874.17</v>
      </c>
      <c r="D1616">
        <v>34520.800000000003</v>
      </c>
      <c r="E1616">
        <v>34757.160000000003</v>
      </c>
    </row>
    <row r="1617" spans="1:5" hidden="1" x14ac:dyDescent="0.3">
      <c r="A1617" s="1">
        <v>43137</v>
      </c>
      <c r="B1617">
        <v>33753.78</v>
      </c>
      <c r="C1617">
        <v>34521.01</v>
      </c>
      <c r="D1617">
        <v>33482.81</v>
      </c>
      <c r="E1617">
        <v>34195.94</v>
      </c>
    </row>
    <row r="1618" spans="1:5" hidden="1" x14ac:dyDescent="0.3">
      <c r="A1618" s="1">
        <v>43138</v>
      </c>
      <c r="B1618">
        <v>34563.300000000003</v>
      </c>
      <c r="C1618">
        <v>34666.33</v>
      </c>
      <c r="D1618">
        <v>34008.42</v>
      </c>
      <c r="E1618">
        <v>34082.71</v>
      </c>
    </row>
    <row r="1619" spans="1:5" hidden="1" x14ac:dyDescent="0.3">
      <c r="A1619" s="1">
        <v>43139</v>
      </c>
      <c r="B1619">
        <v>34208.11</v>
      </c>
      <c r="C1619">
        <v>34634.35</v>
      </c>
      <c r="D1619">
        <v>34108.76</v>
      </c>
      <c r="E1619">
        <v>34413.160000000003</v>
      </c>
    </row>
    <row r="1620" spans="1:5" hidden="1" x14ac:dyDescent="0.3">
      <c r="A1620" s="1">
        <v>43140</v>
      </c>
      <c r="B1620">
        <v>34002.449999999997</v>
      </c>
      <c r="C1620">
        <v>34070.730000000003</v>
      </c>
      <c r="D1620">
        <v>33849.65</v>
      </c>
      <c r="E1620">
        <v>34005.760000000002</v>
      </c>
    </row>
    <row r="1621" spans="1:5" hidden="1" x14ac:dyDescent="0.3">
      <c r="A1621" s="1">
        <v>43143</v>
      </c>
      <c r="B1621">
        <v>34203.339999999997</v>
      </c>
      <c r="C1621">
        <v>34351.339999999997</v>
      </c>
      <c r="D1621">
        <v>34115.120000000003</v>
      </c>
      <c r="E1621">
        <v>34300.47</v>
      </c>
    </row>
    <row r="1622" spans="1:5" hidden="1" x14ac:dyDescent="0.3">
      <c r="A1622" s="1">
        <v>43145</v>
      </c>
      <c r="B1622">
        <v>34436.980000000003</v>
      </c>
      <c r="C1622">
        <v>34473.43</v>
      </c>
      <c r="D1622">
        <v>34028.68</v>
      </c>
      <c r="E1622">
        <v>34155.949999999997</v>
      </c>
    </row>
    <row r="1623" spans="1:5" hidden="1" x14ac:dyDescent="0.3">
      <c r="A1623" s="1">
        <v>43146</v>
      </c>
      <c r="B1623">
        <v>34207.57</v>
      </c>
      <c r="C1623">
        <v>34535.08</v>
      </c>
      <c r="D1623">
        <v>34186.01</v>
      </c>
      <c r="E1623">
        <v>34297.47</v>
      </c>
    </row>
    <row r="1624" spans="1:5" hidden="1" x14ac:dyDescent="0.3">
      <c r="A1624" s="1">
        <v>43147</v>
      </c>
      <c r="B1624">
        <v>34411.24</v>
      </c>
      <c r="C1624">
        <v>34508.239999999998</v>
      </c>
      <c r="D1624">
        <v>33957.33</v>
      </c>
      <c r="E1624">
        <v>34010.76</v>
      </c>
    </row>
    <row r="1625" spans="1:5" hidden="1" x14ac:dyDescent="0.3">
      <c r="A1625" s="1">
        <v>43150</v>
      </c>
      <c r="B1625">
        <v>34053.949999999997</v>
      </c>
      <c r="C1625">
        <v>34122.959999999999</v>
      </c>
      <c r="D1625">
        <v>33554.370000000003</v>
      </c>
      <c r="E1625">
        <v>33774.660000000003</v>
      </c>
    </row>
    <row r="1626" spans="1:5" hidden="1" x14ac:dyDescent="0.3">
      <c r="A1626" s="1">
        <v>43151</v>
      </c>
      <c r="B1626">
        <v>33913.94</v>
      </c>
      <c r="C1626">
        <v>33960.949999999997</v>
      </c>
      <c r="D1626">
        <v>33657.89</v>
      </c>
      <c r="E1626">
        <v>33703.589999999997</v>
      </c>
    </row>
    <row r="1627" spans="1:5" hidden="1" x14ac:dyDescent="0.3">
      <c r="A1627" s="1">
        <v>43152</v>
      </c>
      <c r="B1627">
        <v>33813.83</v>
      </c>
      <c r="C1627">
        <v>33911.360000000001</v>
      </c>
      <c r="D1627">
        <v>33702.5</v>
      </c>
      <c r="E1627">
        <v>33844.86</v>
      </c>
    </row>
    <row r="1628" spans="1:5" hidden="1" x14ac:dyDescent="0.3">
      <c r="A1628" s="1">
        <v>43153</v>
      </c>
      <c r="B1628">
        <v>33817.089999999997</v>
      </c>
      <c r="C1628">
        <v>33868.74</v>
      </c>
      <c r="D1628">
        <v>33691.42</v>
      </c>
      <c r="E1628">
        <v>33819.5</v>
      </c>
    </row>
    <row r="1629" spans="1:5" hidden="1" x14ac:dyDescent="0.3">
      <c r="A1629" s="1">
        <v>43154</v>
      </c>
      <c r="B1629">
        <v>33832</v>
      </c>
      <c r="C1629">
        <v>34167.599999999999</v>
      </c>
      <c r="D1629">
        <v>33832</v>
      </c>
      <c r="E1629">
        <v>34142.15</v>
      </c>
    </row>
    <row r="1630" spans="1:5" hidden="1" x14ac:dyDescent="0.3">
      <c r="A1630" s="1">
        <v>43157</v>
      </c>
      <c r="B1630">
        <v>34225.72</v>
      </c>
      <c r="C1630">
        <v>34483.39</v>
      </c>
      <c r="D1630">
        <v>34225.72</v>
      </c>
      <c r="E1630">
        <v>34445.75</v>
      </c>
    </row>
    <row r="1631" spans="1:5" hidden="1" x14ac:dyDescent="0.3">
      <c r="A1631" s="1">
        <v>43158</v>
      </c>
      <c r="B1631">
        <v>34558.559999999998</v>
      </c>
      <c r="C1631">
        <v>34610.79</v>
      </c>
      <c r="D1631">
        <v>34314.870000000003</v>
      </c>
      <c r="E1631">
        <v>34346.39</v>
      </c>
    </row>
    <row r="1632" spans="1:5" hidden="1" x14ac:dyDescent="0.3">
      <c r="A1632" s="1">
        <v>43159</v>
      </c>
      <c r="B1632">
        <v>34155.629999999997</v>
      </c>
      <c r="C1632">
        <v>34302.74</v>
      </c>
      <c r="D1632">
        <v>34076.449999999997</v>
      </c>
      <c r="E1632">
        <v>34184.04</v>
      </c>
    </row>
    <row r="1633" spans="1:5" hidden="1" x14ac:dyDescent="0.3">
      <c r="A1633" s="1">
        <v>43160</v>
      </c>
      <c r="B1633">
        <v>34141.22</v>
      </c>
      <c r="C1633">
        <v>34278.629999999997</v>
      </c>
      <c r="D1633">
        <v>34015.79</v>
      </c>
      <c r="E1633">
        <v>34046.94</v>
      </c>
    </row>
    <row r="1634" spans="1:5" hidden="1" x14ac:dyDescent="0.3">
      <c r="A1634" s="1">
        <v>43164</v>
      </c>
      <c r="B1634">
        <v>34034.28</v>
      </c>
      <c r="C1634">
        <v>34034.28</v>
      </c>
      <c r="D1634">
        <v>33653.410000000003</v>
      </c>
      <c r="E1634">
        <v>33746.78</v>
      </c>
    </row>
    <row r="1635" spans="1:5" hidden="1" x14ac:dyDescent="0.3">
      <c r="A1635" s="1">
        <v>43165</v>
      </c>
      <c r="B1635">
        <v>34047.43</v>
      </c>
      <c r="C1635">
        <v>34060.129999999997</v>
      </c>
      <c r="D1635">
        <v>33209.760000000002</v>
      </c>
      <c r="E1635">
        <v>33317.199999999997</v>
      </c>
    </row>
    <row r="1636" spans="1:5" hidden="1" x14ac:dyDescent="0.3">
      <c r="A1636" s="1">
        <v>43166</v>
      </c>
      <c r="B1636">
        <v>33279.39</v>
      </c>
      <c r="C1636">
        <v>33331.21</v>
      </c>
      <c r="D1636">
        <v>32991.14</v>
      </c>
      <c r="E1636">
        <v>33033.089999999997</v>
      </c>
    </row>
    <row r="1637" spans="1:5" hidden="1" x14ac:dyDescent="0.3">
      <c r="A1637" s="1">
        <v>43167</v>
      </c>
      <c r="B1637">
        <v>33244.519999999997</v>
      </c>
      <c r="C1637">
        <v>33439.97</v>
      </c>
      <c r="D1637">
        <v>33037.480000000003</v>
      </c>
      <c r="E1637">
        <v>33351.57</v>
      </c>
    </row>
    <row r="1638" spans="1:5" hidden="1" x14ac:dyDescent="0.3">
      <c r="A1638" s="1">
        <v>43168</v>
      </c>
      <c r="B1638">
        <v>33465.050000000003</v>
      </c>
      <c r="C1638">
        <v>33519.49</v>
      </c>
      <c r="D1638">
        <v>33256.42</v>
      </c>
      <c r="E1638">
        <v>33307.14</v>
      </c>
    </row>
    <row r="1639" spans="1:5" hidden="1" x14ac:dyDescent="0.3">
      <c r="A1639" s="1">
        <v>43171</v>
      </c>
      <c r="B1639">
        <v>33468.160000000003</v>
      </c>
      <c r="C1639">
        <v>33962.480000000003</v>
      </c>
      <c r="D1639">
        <v>33468.160000000003</v>
      </c>
      <c r="E1639">
        <v>33917.94</v>
      </c>
    </row>
    <row r="1640" spans="1:5" hidden="1" x14ac:dyDescent="0.3">
      <c r="A1640" s="1">
        <v>43172</v>
      </c>
      <c r="B1640">
        <v>33818.22</v>
      </c>
      <c r="C1640">
        <v>34077.32</v>
      </c>
      <c r="D1640">
        <v>33722.959999999999</v>
      </c>
      <c r="E1640">
        <v>33856.78</v>
      </c>
    </row>
    <row r="1641" spans="1:5" hidden="1" x14ac:dyDescent="0.3">
      <c r="A1641" s="1">
        <v>43173</v>
      </c>
      <c r="B1641">
        <v>33733.550000000003</v>
      </c>
      <c r="C1641">
        <v>33875.15</v>
      </c>
      <c r="D1641">
        <v>33580.69</v>
      </c>
      <c r="E1641">
        <v>33835.74</v>
      </c>
    </row>
    <row r="1642" spans="1:5" hidden="1" x14ac:dyDescent="0.3">
      <c r="A1642" s="1">
        <v>43174</v>
      </c>
      <c r="B1642">
        <v>33843.47</v>
      </c>
      <c r="C1642">
        <v>33866.28</v>
      </c>
      <c r="D1642">
        <v>33637.279999999999</v>
      </c>
      <c r="E1642">
        <v>33685.54</v>
      </c>
    </row>
    <row r="1643" spans="1:5" hidden="1" x14ac:dyDescent="0.3">
      <c r="A1643" s="1">
        <v>43175</v>
      </c>
      <c r="B1643">
        <v>33685.86</v>
      </c>
      <c r="C1643">
        <v>33691.32</v>
      </c>
      <c r="D1643">
        <v>33119.919999999998</v>
      </c>
      <c r="E1643">
        <v>33176</v>
      </c>
    </row>
    <row r="1644" spans="1:5" hidden="1" x14ac:dyDescent="0.3">
      <c r="A1644" s="1">
        <v>43178</v>
      </c>
      <c r="B1644">
        <v>33268.97</v>
      </c>
      <c r="C1644">
        <v>33275.79</v>
      </c>
      <c r="D1644">
        <v>32856.54</v>
      </c>
      <c r="E1644">
        <v>32923.120000000003</v>
      </c>
    </row>
    <row r="1645" spans="1:5" hidden="1" x14ac:dyDescent="0.3">
      <c r="A1645" s="1">
        <v>43179</v>
      </c>
      <c r="B1645">
        <v>32876.480000000003</v>
      </c>
      <c r="C1645">
        <v>33102.74</v>
      </c>
      <c r="D1645">
        <v>32810.86</v>
      </c>
      <c r="E1645">
        <v>32996.76</v>
      </c>
    </row>
    <row r="1646" spans="1:5" hidden="1" x14ac:dyDescent="0.3">
      <c r="A1646" s="1">
        <v>43180</v>
      </c>
      <c r="B1646">
        <v>33090.82</v>
      </c>
      <c r="C1646">
        <v>33354.93</v>
      </c>
      <c r="D1646">
        <v>33070.53</v>
      </c>
      <c r="E1646">
        <v>33136.18</v>
      </c>
    </row>
    <row r="1647" spans="1:5" hidden="1" x14ac:dyDescent="0.3">
      <c r="A1647" s="1">
        <v>43181</v>
      </c>
      <c r="B1647">
        <v>33206.99</v>
      </c>
      <c r="C1647">
        <v>33281.769999999997</v>
      </c>
      <c r="D1647">
        <v>32963.31</v>
      </c>
      <c r="E1647">
        <v>33006.269999999997</v>
      </c>
    </row>
    <row r="1648" spans="1:5" hidden="1" x14ac:dyDescent="0.3">
      <c r="A1648" s="1">
        <v>43182</v>
      </c>
      <c r="B1648">
        <v>32650.89</v>
      </c>
      <c r="C1648">
        <v>32720.03</v>
      </c>
      <c r="D1648">
        <v>32483.84</v>
      </c>
      <c r="E1648">
        <v>32596.54</v>
      </c>
    </row>
    <row r="1649" spans="1:5" hidden="1" x14ac:dyDescent="0.3">
      <c r="A1649" s="1">
        <v>43185</v>
      </c>
      <c r="B1649">
        <v>32536.44</v>
      </c>
      <c r="C1649">
        <v>33115.410000000003</v>
      </c>
      <c r="D1649">
        <v>32515.17</v>
      </c>
      <c r="E1649">
        <v>33066.410000000003</v>
      </c>
    </row>
    <row r="1650" spans="1:5" hidden="1" x14ac:dyDescent="0.3">
      <c r="A1650" s="1">
        <v>43186</v>
      </c>
      <c r="B1650">
        <v>33172.980000000003</v>
      </c>
      <c r="C1650">
        <v>33371.040000000001</v>
      </c>
      <c r="D1650">
        <v>33077.129999999997</v>
      </c>
      <c r="E1650">
        <v>33174.39</v>
      </c>
    </row>
    <row r="1651" spans="1:5" hidden="1" x14ac:dyDescent="0.3">
      <c r="A1651" s="1">
        <v>43187</v>
      </c>
      <c r="B1651">
        <v>33098.089999999997</v>
      </c>
      <c r="C1651">
        <v>33104.11</v>
      </c>
      <c r="D1651">
        <v>32917.660000000003</v>
      </c>
      <c r="E1651">
        <v>32968.68</v>
      </c>
    </row>
    <row r="1652" spans="1:5" hidden="1" x14ac:dyDescent="0.3">
      <c r="A1652" s="1">
        <v>43192</v>
      </c>
      <c r="B1652">
        <v>33030.870000000003</v>
      </c>
      <c r="C1652">
        <v>33289.339999999997</v>
      </c>
      <c r="D1652">
        <v>32997.879999999997</v>
      </c>
      <c r="E1652">
        <v>33255.360000000001</v>
      </c>
    </row>
    <row r="1653" spans="1:5" hidden="1" x14ac:dyDescent="0.3">
      <c r="A1653" s="1">
        <v>43193</v>
      </c>
      <c r="B1653">
        <v>33197.42</v>
      </c>
      <c r="C1653">
        <v>33402.94</v>
      </c>
      <c r="D1653">
        <v>33153.83</v>
      </c>
      <c r="E1653">
        <v>33370.629999999997</v>
      </c>
    </row>
    <row r="1654" spans="1:5" hidden="1" x14ac:dyDescent="0.3">
      <c r="A1654" s="1">
        <v>43194</v>
      </c>
      <c r="B1654">
        <v>33437.519999999997</v>
      </c>
      <c r="C1654">
        <v>33505.53</v>
      </c>
      <c r="D1654">
        <v>32972.559999999998</v>
      </c>
      <c r="E1654">
        <v>33019.07</v>
      </c>
    </row>
    <row r="1655" spans="1:5" hidden="1" x14ac:dyDescent="0.3">
      <c r="A1655" s="1">
        <v>43195</v>
      </c>
      <c r="B1655">
        <v>33289.96</v>
      </c>
      <c r="C1655">
        <v>33637.46</v>
      </c>
      <c r="D1655">
        <v>33267.86</v>
      </c>
      <c r="E1655">
        <v>33596.800000000003</v>
      </c>
    </row>
    <row r="1656" spans="1:5" hidden="1" x14ac:dyDescent="0.3">
      <c r="A1656" s="1">
        <v>43196</v>
      </c>
      <c r="B1656">
        <v>33608.589999999997</v>
      </c>
      <c r="C1656">
        <v>33697.51</v>
      </c>
      <c r="D1656">
        <v>33501.370000000003</v>
      </c>
      <c r="E1656">
        <v>33626.97</v>
      </c>
    </row>
    <row r="1657" spans="1:5" hidden="1" x14ac:dyDescent="0.3">
      <c r="A1657" s="1">
        <v>43199</v>
      </c>
      <c r="B1657">
        <v>33653.61</v>
      </c>
      <c r="C1657">
        <v>33846.5</v>
      </c>
      <c r="D1657">
        <v>33578.910000000003</v>
      </c>
      <c r="E1657">
        <v>33788.54</v>
      </c>
    </row>
    <row r="1658" spans="1:5" hidden="1" x14ac:dyDescent="0.3">
      <c r="A1658" s="1">
        <v>43200</v>
      </c>
      <c r="B1658">
        <v>33880.11</v>
      </c>
      <c r="C1658">
        <v>33949.980000000003</v>
      </c>
      <c r="D1658">
        <v>33813.300000000003</v>
      </c>
      <c r="E1658">
        <v>33880.25</v>
      </c>
    </row>
    <row r="1659" spans="1:5" hidden="1" x14ac:dyDescent="0.3">
      <c r="A1659" s="1">
        <v>43201</v>
      </c>
      <c r="B1659">
        <v>33970.35</v>
      </c>
      <c r="C1659">
        <v>33981.54</v>
      </c>
      <c r="D1659">
        <v>33750.74</v>
      </c>
      <c r="E1659">
        <v>33940.44</v>
      </c>
    </row>
    <row r="1660" spans="1:5" hidden="1" x14ac:dyDescent="0.3">
      <c r="A1660" s="1">
        <v>43202</v>
      </c>
      <c r="B1660">
        <v>33987.550000000003</v>
      </c>
      <c r="C1660">
        <v>34177.440000000002</v>
      </c>
      <c r="D1660">
        <v>33924.879999999997</v>
      </c>
      <c r="E1660">
        <v>34101.129999999997</v>
      </c>
    </row>
    <row r="1661" spans="1:5" hidden="1" x14ac:dyDescent="0.3">
      <c r="A1661" s="1">
        <v>43203</v>
      </c>
      <c r="B1661">
        <v>34167.53</v>
      </c>
      <c r="C1661">
        <v>34313.14</v>
      </c>
      <c r="D1661">
        <v>34103.53</v>
      </c>
      <c r="E1661">
        <v>34192.65</v>
      </c>
    </row>
    <row r="1662" spans="1:5" hidden="1" x14ac:dyDescent="0.3">
      <c r="A1662" s="1">
        <v>43206</v>
      </c>
      <c r="B1662">
        <v>33944.730000000003</v>
      </c>
      <c r="C1662">
        <v>34341.46</v>
      </c>
      <c r="D1662">
        <v>33899.339999999997</v>
      </c>
      <c r="E1662">
        <v>34305.43</v>
      </c>
    </row>
    <row r="1663" spans="1:5" hidden="1" x14ac:dyDescent="0.3">
      <c r="A1663" s="1">
        <v>43207</v>
      </c>
      <c r="B1663">
        <v>34381.800000000003</v>
      </c>
      <c r="C1663">
        <v>34434.14</v>
      </c>
      <c r="D1663">
        <v>34229.83</v>
      </c>
      <c r="E1663">
        <v>34395.06</v>
      </c>
    </row>
    <row r="1664" spans="1:5" hidden="1" x14ac:dyDescent="0.3">
      <c r="A1664" s="1">
        <v>43208</v>
      </c>
      <c r="B1664">
        <v>34443.42</v>
      </c>
      <c r="C1664">
        <v>34591.81</v>
      </c>
      <c r="D1664">
        <v>34270.04</v>
      </c>
      <c r="E1664">
        <v>34331.68</v>
      </c>
    </row>
    <row r="1665" spans="1:5" hidden="1" x14ac:dyDescent="0.3">
      <c r="A1665" s="1">
        <v>43209</v>
      </c>
      <c r="B1665">
        <v>34403.67</v>
      </c>
      <c r="C1665">
        <v>34478.82</v>
      </c>
      <c r="D1665">
        <v>34358.910000000003</v>
      </c>
      <c r="E1665">
        <v>34427.29</v>
      </c>
    </row>
    <row r="1666" spans="1:5" hidden="1" x14ac:dyDescent="0.3">
      <c r="A1666" s="1">
        <v>43210</v>
      </c>
      <c r="B1666">
        <v>34434.14</v>
      </c>
      <c r="C1666">
        <v>34487.33</v>
      </c>
      <c r="D1666">
        <v>34311.29</v>
      </c>
      <c r="E1666">
        <v>34415.58</v>
      </c>
    </row>
    <row r="1667" spans="1:5" hidden="1" x14ac:dyDescent="0.3">
      <c r="A1667" s="1">
        <v>43213</v>
      </c>
      <c r="B1667">
        <v>34493.69</v>
      </c>
      <c r="C1667">
        <v>34663.949999999997</v>
      </c>
      <c r="D1667">
        <v>34259.269999999997</v>
      </c>
      <c r="E1667">
        <v>34450.769999999997</v>
      </c>
    </row>
    <row r="1668" spans="1:5" hidden="1" x14ac:dyDescent="0.3">
      <c r="A1668" s="1">
        <v>43214</v>
      </c>
      <c r="B1668">
        <v>34491.379999999997</v>
      </c>
      <c r="C1668">
        <v>34706.71</v>
      </c>
      <c r="D1668">
        <v>34465.49</v>
      </c>
      <c r="E1668">
        <v>34616.639999999999</v>
      </c>
    </row>
    <row r="1669" spans="1:5" hidden="1" x14ac:dyDescent="0.3">
      <c r="A1669" s="1">
        <v>43215</v>
      </c>
      <c r="B1669">
        <v>34593.17</v>
      </c>
      <c r="C1669">
        <v>34631.269999999997</v>
      </c>
      <c r="D1669">
        <v>34400.559999999998</v>
      </c>
      <c r="E1669">
        <v>34501.269999999997</v>
      </c>
    </row>
    <row r="1670" spans="1:5" hidden="1" x14ac:dyDescent="0.3">
      <c r="A1670" s="1">
        <v>43216</v>
      </c>
      <c r="B1670">
        <v>34532.949999999997</v>
      </c>
      <c r="C1670">
        <v>34747.97</v>
      </c>
      <c r="D1670">
        <v>34505.620000000003</v>
      </c>
      <c r="E1670">
        <v>34713.599999999999</v>
      </c>
    </row>
    <row r="1671" spans="1:5" hidden="1" x14ac:dyDescent="0.3">
      <c r="A1671" s="1">
        <v>43217</v>
      </c>
      <c r="B1671">
        <v>34747.040000000001</v>
      </c>
      <c r="C1671">
        <v>35065.370000000003</v>
      </c>
      <c r="D1671">
        <v>34744.730000000003</v>
      </c>
      <c r="E1671">
        <v>34969.699999999997</v>
      </c>
    </row>
    <row r="1672" spans="1:5" hidden="1" x14ac:dyDescent="0.3">
      <c r="A1672" s="1">
        <v>43220</v>
      </c>
      <c r="B1672">
        <v>35021.199999999997</v>
      </c>
      <c r="C1672">
        <v>35213.300000000003</v>
      </c>
      <c r="D1672">
        <v>35004</v>
      </c>
      <c r="E1672">
        <v>35160.36</v>
      </c>
    </row>
    <row r="1673" spans="1:5" hidden="1" x14ac:dyDescent="0.3">
      <c r="A1673" s="1">
        <v>43222</v>
      </c>
      <c r="B1673">
        <v>35328.910000000003</v>
      </c>
      <c r="C1673">
        <v>35357.15</v>
      </c>
      <c r="D1673">
        <v>35072.42</v>
      </c>
      <c r="E1673">
        <v>35176.42</v>
      </c>
    </row>
    <row r="1674" spans="1:5" hidden="1" x14ac:dyDescent="0.3">
      <c r="A1674" s="1">
        <v>43223</v>
      </c>
      <c r="B1674">
        <v>35257.31</v>
      </c>
      <c r="C1674">
        <v>35257.31</v>
      </c>
      <c r="D1674">
        <v>35020.080000000002</v>
      </c>
      <c r="E1674">
        <v>35103.14</v>
      </c>
    </row>
    <row r="1675" spans="1:5" hidden="1" x14ac:dyDescent="0.3">
      <c r="A1675" s="1">
        <v>43224</v>
      </c>
      <c r="B1675">
        <v>35144.959999999999</v>
      </c>
      <c r="C1675">
        <v>35206.550000000003</v>
      </c>
      <c r="D1675">
        <v>34847.61</v>
      </c>
      <c r="E1675">
        <v>34915.379999999997</v>
      </c>
    </row>
    <row r="1676" spans="1:5" hidden="1" x14ac:dyDescent="0.3">
      <c r="A1676" s="1">
        <v>43227</v>
      </c>
      <c r="B1676">
        <v>34983.589999999997</v>
      </c>
      <c r="C1676">
        <v>35259.81</v>
      </c>
      <c r="D1676">
        <v>34977.74</v>
      </c>
      <c r="E1676">
        <v>35208.14</v>
      </c>
    </row>
    <row r="1677" spans="1:5" hidden="1" x14ac:dyDescent="0.3">
      <c r="A1677" s="1">
        <v>43228</v>
      </c>
      <c r="B1677">
        <v>35349.85</v>
      </c>
      <c r="C1677">
        <v>35388.870000000003</v>
      </c>
      <c r="D1677">
        <v>35136.01</v>
      </c>
      <c r="E1677">
        <v>35216.32</v>
      </c>
    </row>
    <row r="1678" spans="1:5" hidden="1" x14ac:dyDescent="0.3">
      <c r="A1678" s="1">
        <v>43229</v>
      </c>
      <c r="B1678">
        <v>35198.080000000002</v>
      </c>
      <c r="C1678">
        <v>35404.83</v>
      </c>
      <c r="D1678">
        <v>35134.199999999997</v>
      </c>
      <c r="E1678">
        <v>35319.35</v>
      </c>
    </row>
    <row r="1679" spans="1:5" hidden="1" x14ac:dyDescent="0.3">
      <c r="A1679" s="1">
        <v>43230</v>
      </c>
      <c r="B1679">
        <v>35353.96</v>
      </c>
      <c r="C1679">
        <v>35500.76</v>
      </c>
      <c r="D1679">
        <v>35203.85</v>
      </c>
      <c r="E1679">
        <v>35246.269999999997</v>
      </c>
    </row>
    <row r="1680" spans="1:5" hidden="1" x14ac:dyDescent="0.3">
      <c r="A1680" s="1">
        <v>43231</v>
      </c>
      <c r="B1680">
        <v>35287.99</v>
      </c>
      <c r="C1680">
        <v>35596.15</v>
      </c>
      <c r="D1680">
        <v>35262.06</v>
      </c>
      <c r="E1680">
        <v>35535.79</v>
      </c>
    </row>
    <row r="1681" spans="1:5" hidden="1" x14ac:dyDescent="0.3">
      <c r="A1681" s="1">
        <v>43234</v>
      </c>
      <c r="B1681">
        <v>35555.83</v>
      </c>
      <c r="C1681">
        <v>35642.720000000001</v>
      </c>
      <c r="D1681">
        <v>35456.559999999998</v>
      </c>
      <c r="E1681">
        <v>35556.71</v>
      </c>
    </row>
    <row r="1682" spans="1:5" hidden="1" x14ac:dyDescent="0.3">
      <c r="A1682" s="1">
        <v>43235</v>
      </c>
      <c r="B1682">
        <v>35537.85</v>
      </c>
      <c r="C1682">
        <v>35993.53</v>
      </c>
      <c r="D1682">
        <v>35497.919999999998</v>
      </c>
      <c r="E1682">
        <v>35543.94</v>
      </c>
    </row>
    <row r="1683" spans="1:5" hidden="1" x14ac:dyDescent="0.3">
      <c r="A1683" s="1">
        <v>43236</v>
      </c>
      <c r="B1683">
        <v>35452.35</v>
      </c>
      <c r="C1683">
        <v>35543.89</v>
      </c>
      <c r="D1683">
        <v>35241.629999999997</v>
      </c>
      <c r="E1683">
        <v>35387.879999999997</v>
      </c>
    </row>
    <row r="1684" spans="1:5" hidden="1" x14ac:dyDescent="0.3">
      <c r="A1684" s="1">
        <v>43237</v>
      </c>
      <c r="B1684">
        <v>35483.620000000003</v>
      </c>
      <c r="C1684">
        <v>35510.01</v>
      </c>
      <c r="D1684">
        <v>35087.82</v>
      </c>
      <c r="E1684">
        <v>35149.120000000003</v>
      </c>
    </row>
    <row r="1685" spans="1:5" hidden="1" x14ac:dyDescent="0.3">
      <c r="A1685" s="1">
        <v>43238</v>
      </c>
      <c r="B1685">
        <v>35143.589999999997</v>
      </c>
      <c r="C1685">
        <v>35163.11</v>
      </c>
      <c r="D1685">
        <v>34821.620000000003</v>
      </c>
      <c r="E1685">
        <v>34848.300000000003</v>
      </c>
    </row>
    <row r="1686" spans="1:5" hidden="1" x14ac:dyDescent="0.3">
      <c r="A1686" s="1">
        <v>43241</v>
      </c>
      <c r="B1686">
        <v>34873.160000000003</v>
      </c>
      <c r="C1686">
        <v>34973.949999999997</v>
      </c>
      <c r="D1686">
        <v>34593.82</v>
      </c>
      <c r="E1686">
        <v>34616.129999999997</v>
      </c>
    </row>
    <row r="1687" spans="1:5" hidden="1" x14ac:dyDescent="0.3">
      <c r="A1687" s="1">
        <v>43242</v>
      </c>
      <c r="B1687">
        <v>34601.49</v>
      </c>
      <c r="C1687">
        <v>34754.6</v>
      </c>
      <c r="D1687">
        <v>34550.22</v>
      </c>
      <c r="E1687">
        <v>34651.24</v>
      </c>
    </row>
    <row r="1688" spans="1:5" hidden="1" x14ac:dyDescent="0.3">
      <c r="A1688" s="1">
        <v>43243</v>
      </c>
      <c r="B1688">
        <v>34656.629999999997</v>
      </c>
      <c r="C1688">
        <v>34668.47</v>
      </c>
      <c r="D1688">
        <v>34302.89</v>
      </c>
      <c r="E1688">
        <v>34344.910000000003</v>
      </c>
    </row>
    <row r="1689" spans="1:5" hidden="1" x14ac:dyDescent="0.3">
      <c r="A1689" s="1">
        <v>43244</v>
      </c>
      <c r="B1689">
        <v>34404.14</v>
      </c>
      <c r="C1689">
        <v>34741.46</v>
      </c>
      <c r="D1689">
        <v>34367.83</v>
      </c>
      <c r="E1689">
        <v>34663.11</v>
      </c>
    </row>
    <row r="1690" spans="1:5" hidden="1" x14ac:dyDescent="0.3">
      <c r="A1690" s="1">
        <v>43245</v>
      </c>
      <c r="B1690">
        <v>34753.47</v>
      </c>
      <c r="C1690">
        <v>35017.93</v>
      </c>
      <c r="D1690">
        <v>34700.519999999997</v>
      </c>
      <c r="E1690">
        <v>34924.870000000003</v>
      </c>
    </row>
    <row r="1691" spans="1:5" hidden="1" x14ac:dyDescent="0.3">
      <c r="A1691" s="1">
        <v>43248</v>
      </c>
      <c r="B1691">
        <v>35074.32</v>
      </c>
      <c r="C1691">
        <v>35240.959999999999</v>
      </c>
      <c r="D1691">
        <v>35006.5</v>
      </c>
      <c r="E1691">
        <v>35165.480000000003</v>
      </c>
    </row>
    <row r="1692" spans="1:5" hidden="1" x14ac:dyDescent="0.3">
      <c r="A1692" s="1">
        <v>43249</v>
      </c>
      <c r="B1692">
        <v>35213.14</v>
      </c>
      <c r="C1692">
        <v>35234.14</v>
      </c>
      <c r="D1692">
        <v>34922.18</v>
      </c>
      <c r="E1692">
        <v>34949.24</v>
      </c>
    </row>
    <row r="1693" spans="1:5" hidden="1" x14ac:dyDescent="0.3">
      <c r="A1693" s="1">
        <v>43250</v>
      </c>
      <c r="B1693">
        <v>34876.129999999997</v>
      </c>
      <c r="C1693">
        <v>35017.449999999997</v>
      </c>
      <c r="D1693">
        <v>34735.11</v>
      </c>
      <c r="E1693">
        <v>34906.11</v>
      </c>
    </row>
    <row r="1694" spans="1:5" hidden="1" x14ac:dyDescent="0.3">
      <c r="A1694" s="1">
        <v>43251</v>
      </c>
      <c r="B1694">
        <v>35083.81</v>
      </c>
      <c r="C1694">
        <v>35416.03</v>
      </c>
      <c r="D1694">
        <v>34926.080000000002</v>
      </c>
      <c r="E1694">
        <v>35322.379999999997</v>
      </c>
    </row>
    <row r="1695" spans="1:5" hidden="1" x14ac:dyDescent="0.3">
      <c r="A1695" s="1">
        <v>43252</v>
      </c>
      <c r="B1695">
        <v>35373.980000000003</v>
      </c>
      <c r="C1695">
        <v>35438.22</v>
      </c>
      <c r="D1695">
        <v>35177.35</v>
      </c>
      <c r="E1695">
        <v>35227.26</v>
      </c>
    </row>
    <row r="1696" spans="1:5" hidden="1" x14ac:dyDescent="0.3">
      <c r="A1696" s="1">
        <v>43255</v>
      </c>
      <c r="B1696">
        <v>35503.24</v>
      </c>
      <c r="C1696">
        <v>35555.589999999997</v>
      </c>
      <c r="D1696">
        <v>34982.25</v>
      </c>
      <c r="E1696">
        <v>35011.89</v>
      </c>
    </row>
    <row r="1697" spans="1:5" hidden="1" x14ac:dyDescent="0.3">
      <c r="A1697" s="1">
        <v>43256</v>
      </c>
      <c r="B1697">
        <v>35029.449999999997</v>
      </c>
      <c r="C1697">
        <v>35073.120000000003</v>
      </c>
      <c r="D1697">
        <v>34784.68</v>
      </c>
      <c r="E1697">
        <v>34903.21</v>
      </c>
    </row>
    <row r="1698" spans="1:5" hidden="1" x14ac:dyDescent="0.3">
      <c r="A1698" s="1">
        <v>43257</v>
      </c>
      <c r="B1698">
        <v>34932.49</v>
      </c>
      <c r="C1698">
        <v>35230.54</v>
      </c>
      <c r="D1698">
        <v>34896.370000000003</v>
      </c>
      <c r="E1698">
        <v>35178.879999999997</v>
      </c>
    </row>
    <row r="1699" spans="1:5" hidden="1" x14ac:dyDescent="0.3">
      <c r="A1699" s="1">
        <v>43258</v>
      </c>
      <c r="B1699">
        <v>35278.379999999997</v>
      </c>
      <c r="C1699">
        <v>35628.49</v>
      </c>
      <c r="D1699">
        <v>35278.379999999997</v>
      </c>
      <c r="E1699">
        <v>35463.08</v>
      </c>
    </row>
    <row r="1700" spans="1:5" hidden="1" x14ac:dyDescent="0.3">
      <c r="A1700" s="1">
        <v>43259</v>
      </c>
      <c r="B1700">
        <v>35406.47</v>
      </c>
      <c r="C1700">
        <v>35484.94</v>
      </c>
      <c r="D1700">
        <v>35260</v>
      </c>
      <c r="E1700">
        <v>35443.67</v>
      </c>
    </row>
    <row r="1701" spans="1:5" hidden="1" x14ac:dyDescent="0.3">
      <c r="A1701" s="1">
        <v>43262</v>
      </c>
      <c r="B1701">
        <v>35472.589999999997</v>
      </c>
      <c r="C1701">
        <v>35704.839999999997</v>
      </c>
      <c r="D1701">
        <v>35444.49</v>
      </c>
      <c r="E1701">
        <v>35483.47</v>
      </c>
    </row>
    <row r="1702" spans="1:5" hidden="1" x14ac:dyDescent="0.3">
      <c r="A1702" s="1">
        <v>43263</v>
      </c>
      <c r="B1702">
        <v>35525.300000000003</v>
      </c>
      <c r="C1702">
        <v>35743.08</v>
      </c>
      <c r="D1702">
        <v>35479.07</v>
      </c>
      <c r="E1702">
        <v>35692.519999999997</v>
      </c>
    </row>
    <row r="1703" spans="1:5" hidden="1" x14ac:dyDescent="0.3">
      <c r="A1703" s="1">
        <v>43264</v>
      </c>
      <c r="B1703">
        <v>35835.440000000002</v>
      </c>
      <c r="C1703">
        <v>35877.410000000003</v>
      </c>
      <c r="D1703">
        <v>35715.96</v>
      </c>
      <c r="E1703">
        <v>35739.160000000003</v>
      </c>
    </row>
    <row r="1704" spans="1:5" hidden="1" x14ac:dyDescent="0.3">
      <c r="A1704" s="1">
        <v>43265</v>
      </c>
      <c r="B1704">
        <v>35743.1</v>
      </c>
      <c r="C1704">
        <v>35749.879999999997</v>
      </c>
      <c r="D1704">
        <v>35488.550000000003</v>
      </c>
      <c r="E1704">
        <v>35599.82</v>
      </c>
    </row>
    <row r="1705" spans="1:5" hidden="1" x14ac:dyDescent="0.3">
      <c r="A1705" s="1">
        <v>43266</v>
      </c>
      <c r="B1705">
        <v>35656.26</v>
      </c>
      <c r="C1705">
        <v>35675.199999999997</v>
      </c>
      <c r="D1705">
        <v>35419.68</v>
      </c>
      <c r="E1705">
        <v>35622.14</v>
      </c>
    </row>
    <row r="1706" spans="1:5" hidden="1" x14ac:dyDescent="0.3">
      <c r="A1706" s="1">
        <v>43269</v>
      </c>
      <c r="B1706">
        <v>35698.43</v>
      </c>
      <c r="C1706">
        <v>35721.550000000003</v>
      </c>
      <c r="D1706">
        <v>35518.730000000003</v>
      </c>
      <c r="E1706">
        <v>35548.26</v>
      </c>
    </row>
    <row r="1707" spans="1:5" hidden="1" x14ac:dyDescent="0.3">
      <c r="A1707" s="1">
        <v>43270</v>
      </c>
      <c r="B1707">
        <v>35552.47</v>
      </c>
      <c r="C1707">
        <v>35552.47</v>
      </c>
      <c r="D1707">
        <v>35249.06</v>
      </c>
      <c r="E1707">
        <v>35286.74</v>
      </c>
    </row>
    <row r="1708" spans="1:5" hidden="1" x14ac:dyDescent="0.3">
      <c r="A1708" s="1">
        <v>43271</v>
      </c>
      <c r="B1708">
        <v>35329.61</v>
      </c>
      <c r="C1708">
        <v>35571.370000000003</v>
      </c>
      <c r="D1708">
        <v>35329.51</v>
      </c>
      <c r="E1708">
        <v>35547.33</v>
      </c>
    </row>
    <row r="1709" spans="1:5" hidden="1" x14ac:dyDescent="0.3">
      <c r="A1709" s="1">
        <v>43272</v>
      </c>
      <c r="B1709">
        <v>35644.050000000003</v>
      </c>
      <c r="C1709">
        <v>35678.69</v>
      </c>
      <c r="D1709">
        <v>35396.97</v>
      </c>
      <c r="E1709">
        <v>35432.39</v>
      </c>
    </row>
    <row r="1710" spans="1:5" hidden="1" x14ac:dyDescent="0.3">
      <c r="A1710" s="1">
        <v>43273</v>
      </c>
      <c r="B1710">
        <v>35428.42</v>
      </c>
      <c r="C1710">
        <v>35741.26</v>
      </c>
      <c r="D1710">
        <v>35344.49</v>
      </c>
      <c r="E1710">
        <v>35689.599999999999</v>
      </c>
    </row>
    <row r="1711" spans="1:5" hidden="1" x14ac:dyDescent="0.3">
      <c r="A1711" s="1">
        <v>43276</v>
      </c>
      <c r="B1711">
        <v>35783.75</v>
      </c>
      <c r="C1711">
        <v>35806.97</v>
      </c>
      <c r="D1711">
        <v>35430.11</v>
      </c>
      <c r="E1711">
        <v>35470.35</v>
      </c>
    </row>
    <row r="1712" spans="1:5" hidden="1" x14ac:dyDescent="0.3">
      <c r="A1712" s="1">
        <v>43277</v>
      </c>
      <c r="B1712">
        <v>35355.72</v>
      </c>
      <c r="C1712">
        <v>35616.639999999999</v>
      </c>
      <c r="D1712">
        <v>35338.089999999997</v>
      </c>
      <c r="E1712">
        <v>35490.04</v>
      </c>
    </row>
    <row r="1713" spans="1:5" hidden="1" x14ac:dyDescent="0.3">
      <c r="A1713" s="1">
        <v>43278</v>
      </c>
      <c r="B1713">
        <v>35543.89</v>
      </c>
      <c r="C1713">
        <v>35618.85</v>
      </c>
      <c r="D1713">
        <v>35154.21</v>
      </c>
      <c r="E1713">
        <v>35217.11</v>
      </c>
    </row>
    <row r="1714" spans="1:5" hidden="1" x14ac:dyDescent="0.3">
      <c r="A1714" s="1">
        <v>43279</v>
      </c>
      <c r="B1714">
        <v>35207.19</v>
      </c>
      <c r="C1714">
        <v>35282.400000000001</v>
      </c>
      <c r="D1714">
        <v>34937.15</v>
      </c>
      <c r="E1714">
        <v>35037.64</v>
      </c>
    </row>
    <row r="1715" spans="1:5" hidden="1" x14ac:dyDescent="0.3">
      <c r="A1715" s="1">
        <v>43280</v>
      </c>
      <c r="B1715">
        <v>35128.160000000003</v>
      </c>
      <c r="C1715">
        <v>35459.050000000003</v>
      </c>
      <c r="D1715">
        <v>35099.65</v>
      </c>
      <c r="E1715">
        <v>35423.480000000003</v>
      </c>
    </row>
    <row r="1716" spans="1:5" hidden="1" x14ac:dyDescent="0.3">
      <c r="A1716" s="1">
        <v>43283</v>
      </c>
      <c r="B1716">
        <v>35545.22</v>
      </c>
      <c r="C1716">
        <v>35578.239999999998</v>
      </c>
      <c r="D1716">
        <v>35106.57</v>
      </c>
      <c r="E1716">
        <v>35264.410000000003</v>
      </c>
    </row>
    <row r="1717" spans="1:5" hidden="1" x14ac:dyDescent="0.3">
      <c r="A1717" s="1">
        <v>43284</v>
      </c>
      <c r="B1717">
        <v>35344.21</v>
      </c>
      <c r="C1717">
        <v>35445.21</v>
      </c>
      <c r="D1717">
        <v>35195.629999999997</v>
      </c>
      <c r="E1717">
        <v>35378.6</v>
      </c>
    </row>
    <row r="1718" spans="1:5" hidden="1" x14ac:dyDescent="0.3">
      <c r="A1718" s="1">
        <v>43285</v>
      </c>
      <c r="B1718">
        <v>35385.519999999997</v>
      </c>
      <c r="C1718">
        <v>35667.31</v>
      </c>
      <c r="D1718">
        <v>35309.67</v>
      </c>
      <c r="E1718">
        <v>35645.4</v>
      </c>
    </row>
    <row r="1719" spans="1:5" hidden="1" x14ac:dyDescent="0.3">
      <c r="A1719" s="1">
        <v>43286</v>
      </c>
      <c r="B1719">
        <v>35703.17</v>
      </c>
      <c r="C1719">
        <v>35748.26</v>
      </c>
      <c r="D1719">
        <v>35517.79</v>
      </c>
      <c r="E1719">
        <v>35574.550000000003</v>
      </c>
    </row>
    <row r="1720" spans="1:5" hidden="1" x14ac:dyDescent="0.3">
      <c r="A1720" s="1">
        <v>43287</v>
      </c>
      <c r="B1720">
        <v>35543.660000000003</v>
      </c>
      <c r="C1720">
        <v>35799.71</v>
      </c>
      <c r="D1720">
        <v>35532.21</v>
      </c>
      <c r="E1720">
        <v>35657.86</v>
      </c>
    </row>
    <row r="1721" spans="1:5" hidden="1" x14ac:dyDescent="0.3">
      <c r="A1721" s="1">
        <v>43290</v>
      </c>
      <c r="B1721">
        <v>35835.1</v>
      </c>
      <c r="C1721">
        <v>35977.370000000003</v>
      </c>
      <c r="D1721">
        <v>35779.72</v>
      </c>
      <c r="E1721">
        <v>35934.720000000001</v>
      </c>
    </row>
    <row r="1722" spans="1:5" hidden="1" x14ac:dyDescent="0.3">
      <c r="A1722" s="1">
        <v>43291</v>
      </c>
      <c r="B1722">
        <v>36068.269999999997</v>
      </c>
      <c r="C1722">
        <v>36274.33</v>
      </c>
      <c r="D1722">
        <v>36019.629999999997</v>
      </c>
      <c r="E1722">
        <v>36239.620000000003</v>
      </c>
    </row>
    <row r="1723" spans="1:5" hidden="1" x14ac:dyDescent="0.3">
      <c r="A1723" s="1">
        <v>43292</v>
      </c>
      <c r="B1723">
        <v>36299.26</v>
      </c>
      <c r="C1723">
        <v>36362.300000000003</v>
      </c>
      <c r="D1723">
        <v>36169.699999999997</v>
      </c>
      <c r="E1723">
        <v>36265.93</v>
      </c>
    </row>
    <row r="1724" spans="1:5" hidden="1" x14ac:dyDescent="0.3">
      <c r="A1724" s="1">
        <v>43293</v>
      </c>
      <c r="B1724">
        <v>36424.230000000003</v>
      </c>
      <c r="C1724">
        <v>36699.53</v>
      </c>
      <c r="D1724">
        <v>36422.080000000002</v>
      </c>
      <c r="E1724">
        <v>36548.410000000003</v>
      </c>
    </row>
    <row r="1725" spans="1:5" hidden="1" x14ac:dyDescent="0.3">
      <c r="A1725" s="1">
        <v>43294</v>
      </c>
      <c r="B1725">
        <v>36635.14</v>
      </c>
      <c r="C1725">
        <v>36740.07</v>
      </c>
      <c r="D1725">
        <v>36501.61</v>
      </c>
      <c r="E1725">
        <v>36541.629999999997</v>
      </c>
    </row>
    <row r="1726" spans="1:5" hidden="1" x14ac:dyDescent="0.3">
      <c r="A1726" s="1">
        <v>43297</v>
      </c>
      <c r="B1726">
        <v>36658.71</v>
      </c>
      <c r="C1726">
        <v>36658.71</v>
      </c>
      <c r="D1726">
        <v>36298.94</v>
      </c>
      <c r="E1726">
        <v>36323.769999999997</v>
      </c>
    </row>
    <row r="1727" spans="1:5" hidden="1" x14ac:dyDescent="0.3">
      <c r="A1727" s="1">
        <v>43298</v>
      </c>
      <c r="B1727">
        <v>36390.99</v>
      </c>
      <c r="C1727">
        <v>36549.550000000003</v>
      </c>
      <c r="D1727">
        <v>36261.78</v>
      </c>
      <c r="E1727">
        <v>36519.96</v>
      </c>
    </row>
    <row r="1728" spans="1:5" hidden="1" x14ac:dyDescent="0.3">
      <c r="A1728" s="1">
        <v>43299</v>
      </c>
      <c r="B1728">
        <v>36722.410000000003</v>
      </c>
      <c r="C1728">
        <v>36747.870000000003</v>
      </c>
      <c r="D1728">
        <v>36320.92</v>
      </c>
      <c r="E1728">
        <v>36373.440000000002</v>
      </c>
    </row>
    <row r="1729" spans="1:5" hidden="1" x14ac:dyDescent="0.3">
      <c r="A1729" s="1">
        <v>43300</v>
      </c>
      <c r="B1729">
        <v>36509.08</v>
      </c>
      <c r="C1729">
        <v>36515.58</v>
      </c>
      <c r="D1729">
        <v>36279.33</v>
      </c>
      <c r="E1729">
        <v>36351.230000000003</v>
      </c>
    </row>
    <row r="1730" spans="1:5" hidden="1" x14ac:dyDescent="0.3">
      <c r="A1730" s="1">
        <v>43301</v>
      </c>
      <c r="B1730">
        <v>36377.03</v>
      </c>
      <c r="C1730">
        <v>36567.339999999997</v>
      </c>
      <c r="D1730">
        <v>36335.61</v>
      </c>
      <c r="E1730">
        <v>36496.370000000003</v>
      </c>
    </row>
    <row r="1731" spans="1:5" hidden="1" x14ac:dyDescent="0.3">
      <c r="A1731" s="1">
        <v>43304</v>
      </c>
      <c r="B1731">
        <v>36501.050000000003</v>
      </c>
      <c r="C1731">
        <v>36749.69</v>
      </c>
      <c r="D1731">
        <v>36491.83</v>
      </c>
      <c r="E1731">
        <v>36718.6</v>
      </c>
    </row>
    <row r="1732" spans="1:5" hidden="1" x14ac:dyDescent="0.3">
      <c r="A1732" s="1">
        <v>43305</v>
      </c>
      <c r="B1732">
        <v>36859.39</v>
      </c>
      <c r="C1732">
        <v>36902.06</v>
      </c>
      <c r="D1732">
        <v>36709.72</v>
      </c>
      <c r="E1732">
        <v>36825.1</v>
      </c>
    </row>
    <row r="1733" spans="1:5" hidden="1" x14ac:dyDescent="0.3">
      <c r="A1733" s="1">
        <v>43306</v>
      </c>
      <c r="B1733">
        <v>36928.06</v>
      </c>
      <c r="C1733">
        <v>36947.18</v>
      </c>
      <c r="D1733">
        <v>36803.15</v>
      </c>
      <c r="E1733">
        <v>36858.230000000003</v>
      </c>
    </row>
    <row r="1734" spans="1:5" hidden="1" x14ac:dyDescent="0.3">
      <c r="A1734" s="1">
        <v>43307</v>
      </c>
      <c r="B1734">
        <v>36928.379999999997</v>
      </c>
      <c r="C1734">
        <v>37061.620000000003</v>
      </c>
      <c r="D1734">
        <v>36852.53</v>
      </c>
      <c r="E1734">
        <v>36984.639999999999</v>
      </c>
    </row>
    <row r="1735" spans="1:5" hidden="1" x14ac:dyDescent="0.3">
      <c r="A1735" s="1">
        <v>43308</v>
      </c>
      <c r="B1735">
        <v>37253.86</v>
      </c>
      <c r="C1735">
        <v>37368.620000000003</v>
      </c>
      <c r="D1735">
        <v>37134.879999999997</v>
      </c>
      <c r="E1735">
        <v>37336.85</v>
      </c>
    </row>
    <row r="1736" spans="1:5" hidden="1" x14ac:dyDescent="0.3">
      <c r="A1736" s="1">
        <v>43311</v>
      </c>
      <c r="B1736">
        <v>37491.39</v>
      </c>
      <c r="C1736">
        <v>37533.5</v>
      </c>
      <c r="D1736">
        <v>37292.449999999997</v>
      </c>
      <c r="E1736">
        <v>37494.400000000001</v>
      </c>
    </row>
    <row r="1737" spans="1:5" hidden="1" x14ac:dyDescent="0.3">
      <c r="A1737" s="1">
        <v>43312</v>
      </c>
      <c r="B1737">
        <v>37534.949999999997</v>
      </c>
      <c r="C1737">
        <v>37644.589999999997</v>
      </c>
      <c r="D1737">
        <v>37298.75</v>
      </c>
      <c r="E1737">
        <v>37606.58</v>
      </c>
    </row>
    <row r="1738" spans="1:5" hidden="1" x14ac:dyDescent="0.3">
      <c r="A1738" s="1">
        <v>43313</v>
      </c>
      <c r="B1738">
        <v>37643.870000000003</v>
      </c>
      <c r="C1738">
        <v>37711.870000000003</v>
      </c>
      <c r="D1738">
        <v>37432.910000000003</v>
      </c>
      <c r="E1738">
        <v>37521.620000000003</v>
      </c>
    </row>
    <row r="1739" spans="1:5" hidden="1" x14ac:dyDescent="0.3">
      <c r="A1739" s="1">
        <v>43314</v>
      </c>
      <c r="B1739">
        <v>37529.69</v>
      </c>
      <c r="C1739">
        <v>37529.69</v>
      </c>
      <c r="D1739">
        <v>37128.99</v>
      </c>
      <c r="E1739">
        <v>37165.160000000003</v>
      </c>
    </row>
    <row r="1740" spans="1:5" hidden="1" x14ac:dyDescent="0.3">
      <c r="A1740" s="1">
        <v>43315</v>
      </c>
      <c r="B1740">
        <v>37327.160000000003</v>
      </c>
      <c r="C1740">
        <v>37582.269999999997</v>
      </c>
      <c r="D1740">
        <v>37319.61</v>
      </c>
      <c r="E1740">
        <v>37556.160000000003</v>
      </c>
    </row>
    <row r="1741" spans="1:5" hidden="1" x14ac:dyDescent="0.3">
      <c r="A1741" s="1">
        <v>43318</v>
      </c>
      <c r="B1741">
        <v>37714.699999999997</v>
      </c>
      <c r="C1741">
        <v>37805.25</v>
      </c>
      <c r="D1741">
        <v>37643.29</v>
      </c>
      <c r="E1741">
        <v>37691.89</v>
      </c>
    </row>
    <row r="1742" spans="1:5" hidden="1" x14ac:dyDescent="0.3">
      <c r="A1742" s="1">
        <v>43319</v>
      </c>
      <c r="B1742">
        <v>37849.21</v>
      </c>
      <c r="C1742">
        <v>37876.870000000003</v>
      </c>
      <c r="D1742">
        <v>37586.879999999997</v>
      </c>
      <c r="E1742">
        <v>37665.800000000003</v>
      </c>
    </row>
    <row r="1743" spans="1:5" hidden="1" x14ac:dyDescent="0.3">
      <c r="A1743" s="1">
        <v>43320</v>
      </c>
      <c r="B1743">
        <v>37756.239999999998</v>
      </c>
      <c r="C1743">
        <v>37931.42</v>
      </c>
      <c r="D1743">
        <v>37641.4</v>
      </c>
      <c r="E1743">
        <v>37887.56</v>
      </c>
    </row>
    <row r="1744" spans="1:5" hidden="1" x14ac:dyDescent="0.3">
      <c r="A1744" s="1">
        <v>43321</v>
      </c>
      <c r="B1744">
        <v>37994.51</v>
      </c>
      <c r="C1744">
        <v>38076.230000000003</v>
      </c>
      <c r="D1744">
        <v>37939.279999999999</v>
      </c>
      <c r="E1744">
        <v>38024.370000000003</v>
      </c>
    </row>
    <row r="1745" spans="1:5" hidden="1" x14ac:dyDescent="0.3">
      <c r="A1745" s="1">
        <v>43322</v>
      </c>
      <c r="B1745">
        <v>38050.07</v>
      </c>
      <c r="C1745">
        <v>38051.449999999997</v>
      </c>
      <c r="D1745">
        <v>37815.75</v>
      </c>
      <c r="E1745">
        <v>37869.230000000003</v>
      </c>
    </row>
    <row r="1746" spans="1:5" hidden="1" x14ac:dyDescent="0.3">
      <c r="A1746" s="1">
        <v>43325</v>
      </c>
      <c r="B1746">
        <v>37693.19</v>
      </c>
      <c r="C1746">
        <v>37799.54</v>
      </c>
      <c r="D1746">
        <v>37559.26</v>
      </c>
      <c r="E1746">
        <v>37644.9</v>
      </c>
    </row>
    <row r="1747" spans="1:5" hidden="1" x14ac:dyDescent="0.3">
      <c r="A1747" s="1">
        <v>43326</v>
      </c>
      <c r="B1747">
        <v>37749.589999999997</v>
      </c>
      <c r="C1747">
        <v>37932.400000000001</v>
      </c>
      <c r="D1747">
        <v>37689.71</v>
      </c>
      <c r="E1747">
        <v>37852</v>
      </c>
    </row>
    <row r="1748" spans="1:5" hidden="1" x14ac:dyDescent="0.3">
      <c r="A1748" s="1">
        <v>43328</v>
      </c>
      <c r="B1748">
        <v>37796.01</v>
      </c>
      <c r="C1748">
        <v>37891.919999999998</v>
      </c>
      <c r="D1748">
        <v>37634.129999999997</v>
      </c>
      <c r="E1748">
        <v>37663.56</v>
      </c>
    </row>
    <row r="1749" spans="1:5" hidden="1" x14ac:dyDescent="0.3">
      <c r="A1749" s="1">
        <v>43329</v>
      </c>
      <c r="B1749">
        <v>37898.6</v>
      </c>
      <c r="C1749">
        <v>38022.32</v>
      </c>
      <c r="D1749">
        <v>37840.160000000003</v>
      </c>
      <c r="E1749">
        <v>37947.879999999997</v>
      </c>
    </row>
    <row r="1750" spans="1:5" hidden="1" x14ac:dyDescent="0.3">
      <c r="A1750" s="1">
        <v>43332</v>
      </c>
      <c r="B1750">
        <v>38075.07</v>
      </c>
      <c r="C1750">
        <v>38340.69</v>
      </c>
      <c r="D1750">
        <v>38050.69</v>
      </c>
      <c r="E1750">
        <v>38278.75</v>
      </c>
    </row>
    <row r="1751" spans="1:5" hidden="1" x14ac:dyDescent="0.3">
      <c r="A1751" s="1">
        <v>43333</v>
      </c>
      <c r="B1751">
        <v>38360.32</v>
      </c>
      <c r="C1751">
        <v>38402.959999999999</v>
      </c>
      <c r="D1751">
        <v>38213.870000000003</v>
      </c>
      <c r="E1751">
        <v>38285.75</v>
      </c>
    </row>
    <row r="1752" spans="1:5" hidden="1" x14ac:dyDescent="0.3">
      <c r="A1752" s="1">
        <v>43335</v>
      </c>
      <c r="B1752">
        <v>38416.65</v>
      </c>
      <c r="C1752">
        <v>38487.629999999997</v>
      </c>
      <c r="D1752">
        <v>38227.360000000001</v>
      </c>
      <c r="E1752">
        <v>38336.76</v>
      </c>
    </row>
    <row r="1753" spans="1:5" hidden="1" x14ac:dyDescent="0.3">
      <c r="A1753" s="1">
        <v>43336</v>
      </c>
      <c r="B1753">
        <v>38366.79</v>
      </c>
      <c r="C1753">
        <v>38429.5</v>
      </c>
      <c r="D1753">
        <v>38172.769999999997</v>
      </c>
      <c r="E1753">
        <v>38251.800000000003</v>
      </c>
    </row>
    <row r="1754" spans="1:5" hidden="1" x14ac:dyDescent="0.3">
      <c r="A1754" s="1">
        <v>43339</v>
      </c>
      <c r="B1754">
        <v>38472.03</v>
      </c>
      <c r="C1754">
        <v>38736.879999999997</v>
      </c>
      <c r="D1754">
        <v>38416.730000000003</v>
      </c>
      <c r="E1754">
        <v>38694.11</v>
      </c>
    </row>
    <row r="1755" spans="1:5" hidden="1" x14ac:dyDescent="0.3">
      <c r="A1755" s="1">
        <v>43340</v>
      </c>
      <c r="B1755">
        <v>38814.76</v>
      </c>
      <c r="C1755">
        <v>38938.910000000003</v>
      </c>
      <c r="D1755">
        <v>38760.58</v>
      </c>
      <c r="E1755">
        <v>38896.629999999997</v>
      </c>
    </row>
    <row r="1756" spans="1:5" hidden="1" x14ac:dyDescent="0.3">
      <c r="A1756" s="1">
        <v>43341</v>
      </c>
      <c r="B1756">
        <v>38989.65</v>
      </c>
      <c r="C1756">
        <v>38989.65</v>
      </c>
      <c r="D1756">
        <v>38679.57</v>
      </c>
      <c r="E1756">
        <v>38722.93</v>
      </c>
    </row>
    <row r="1757" spans="1:5" hidden="1" x14ac:dyDescent="0.3">
      <c r="A1757" s="1">
        <v>43342</v>
      </c>
      <c r="B1757">
        <v>38796.980000000003</v>
      </c>
      <c r="C1757">
        <v>38819.06</v>
      </c>
      <c r="D1757">
        <v>38581.83</v>
      </c>
      <c r="E1757">
        <v>38690.1</v>
      </c>
    </row>
    <row r="1758" spans="1:5" hidden="1" x14ac:dyDescent="0.3">
      <c r="A1758" s="1">
        <v>43343</v>
      </c>
      <c r="B1758">
        <v>38704.839999999997</v>
      </c>
      <c r="C1758">
        <v>38838.449999999997</v>
      </c>
      <c r="D1758">
        <v>38562.21</v>
      </c>
      <c r="E1758">
        <v>38645.07</v>
      </c>
    </row>
    <row r="1759" spans="1:5" hidden="1" x14ac:dyDescent="0.3">
      <c r="A1759" s="1">
        <v>43346</v>
      </c>
      <c r="B1759">
        <v>38915.910000000003</v>
      </c>
      <c r="C1759">
        <v>38934.35</v>
      </c>
      <c r="D1759">
        <v>38270.01</v>
      </c>
      <c r="E1759">
        <v>38312.519999999997</v>
      </c>
    </row>
    <row r="1760" spans="1:5" hidden="1" x14ac:dyDescent="0.3">
      <c r="A1760" s="1">
        <v>43347</v>
      </c>
      <c r="B1760">
        <v>38460.959999999999</v>
      </c>
      <c r="C1760">
        <v>38518.559999999998</v>
      </c>
      <c r="D1760">
        <v>38098.6</v>
      </c>
      <c r="E1760">
        <v>38157.919999999998</v>
      </c>
    </row>
    <row r="1761" spans="1:5" hidden="1" x14ac:dyDescent="0.3">
      <c r="A1761" s="1">
        <v>43348</v>
      </c>
      <c r="B1761">
        <v>38192.949999999997</v>
      </c>
      <c r="C1761">
        <v>38250.61</v>
      </c>
      <c r="D1761">
        <v>37774.42</v>
      </c>
      <c r="E1761">
        <v>38018.31</v>
      </c>
    </row>
    <row r="1762" spans="1:5" hidden="1" x14ac:dyDescent="0.3">
      <c r="A1762" s="1">
        <v>43349</v>
      </c>
      <c r="B1762">
        <v>38161.85</v>
      </c>
      <c r="C1762">
        <v>38320.959999999999</v>
      </c>
      <c r="D1762">
        <v>37912.5</v>
      </c>
      <c r="E1762">
        <v>38242.81</v>
      </c>
    </row>
    <row r="1763" spans="1:5" hidden="1" x14ac:dyDescent="0.3">
      <c r="A1763" s="1">
        <v>43350</v>
      </c>
      <c r="B1763">
        <v>38314.550000000003</v>
      </c>
      <c r="C1763">
        <v>38421.56</v>
      </c>
      <c r="D1763">
        <v>38067.22</v>
      </c>
      <c r="E1763">
        <v>38389.82</v>
      </c>
    </row>
    <row r="1764" spans="1:5" hidden="1" x14ac:dyDescent="0.3">
      <c r="A1764" s="1">
        <v>43353</v>
      </c>
      <c r="B1764">
        <v>38348.39</v>
      </c>
      <c r="C1764">
        <v>38354.519999999997</v>
      </c>
      <c r="D1764">
        <v>37882.83</v>
      </c>
      <c r="E1764">
        <v>37922.17</v>
      </c>
    </row>
    <row r="1765" spans="1:5" hidden="1" x14ac:dyDescent="0.3">
      <c r="A1765" s="1">
        <v>43354</v>
      </c>
      <c r="B1765">
        <v>38017.49</v>
      </c>
      <c r="C1765">
        <v>38043.269999999997</v>
      </c>
      <c r="D1765">
        <v>37361.199999999997</v>
      </c>
      <c r="E1765">
        <v>37413.129999999997</v>
      </c>
    </row>
    <row r="1766" spans="1:5" hidden="1" x14ac:dyDescent="0.3">
      <c r="A1766" s="1">
        <v>43355</v>
      </c>
      <c r="B1766">
        <v>37546.42</v>
      </c>
      <c r="C1766">
        <v>37752.58</v>
      </c>
      <c r="D1766">
        <v>37342</v>
      </c>
      <c r="E1766">
        <v>37717.96</v>
      </c>
    </row>
    <row r="1767" spans="1:5" hidden="1" x14ac:dyDescent="0.3">
      <c r="A1767" s="1">
        <v>43357</v>
      </c>
      <c r="B1767">
        <v>37939.29</v>
      </c>
      <c r="C1767">
        <v>38125.620000000003</v>
      </c>
      <c r="D1767">
        <v>37859.519999999997</v>
      </c>
      <c r="E1767">
        <v>38090.639999999999</v>
      </c>
    </row>
    <row r="1768" spans="1:5" hidden="1" x14ac:dyDescent="0.3">
      <c r="A1768" s="1">
        <v>43360</v>
      </c>
      <c r="B1768">
        <v>38027.81</v>
      </c>
      <c r="C1768">
        <v>38027.81</v>
      </c>
      <c r="D1768">
        <v>37548.93</v>
      </c>
      <c r="E1768">
        <v>37585.51</v>
      </c>
    </row>
    <row r="1769" spans="1:5" hidden="1" x14ac:dyDescent="0.3">
      <c r="A1769" s="1">
        <v>43361</v>
      </c>
      <c r="B1769">
        <v>37660.19</v>
      </c>
      <c r="C1769">
        <v>37745.440000000002</v>
      </c>
      <c r="D1769">
        <v>37242.85</v>
      </c>
      <c r="E1769">
        <v>37290.67</v>
      </c>
    </row>
    <row r="1770" spans="1:5" hidden="1" x14ac:dyDescent="0.3">
      <c r="A1770" s="1">
        <v>43362</v>
      </c>
      <c r="B1770">
        <v>37432.93</v>
      </c>
      <c r="C1770">
        <v>37530.629999999997</v>
      </c>
      <c r="D1770">
        <v>37062.69</v>
      </c>
      <c r="E1770">
        <v>37121.22</v>
      </c>
    </row>
    <row r="1771" spans="1:5" hidden="1" x14ac:dyDescent="0.3">
      <c r="A1771" s="1">
        <v>43364</v>
      </c>
      <c r="B1771">
        <v>37278.89</v>
      </c>
      <c r="C1771">
        <v>37489.24</v>
      </c>
      <c r="D1771">
        <v>35993.64</v>
      </c>
      <c r="E1771">
        <v>36841.599999999999</v>
      </c>
    </row>
    <row r="1772" spans="1:5" hidden="1" x14ac:dyDescent="0.3">
      <c r="A1772" s="1">
        <v>43367</v>
      </c>
      <c r="B1772">
        <v>36924.720000000001</v>
      </c>
      <c r="C1772">
        <v>36945.5</v>
      </c>
      <c r="D1772">
        <v>36216.949999999997</v>
      </c>
      <c r="E1772">
        <v>36305.019999999997</v>
      </c>
    </row>
    <row r="1773" spans="1:5" hidden="1" x14ac:dyDescent="0.3">
      <c r="A1773" s="1">
        <v>43368</v>
      </c>
      <c r="B1773">
        <v>36350.25</v>
      </c>
      <c r="C1773">
        <v>36705.79</v>
      </c>
      <c r="D1773">
        <v>36064.1</v>
      </c>
      <c r="E1773">
        <v>36652.06</v>
      </c>
    </row>
    <row r="1774" spans="1:5" hidden="1" x14ac:dyDescent="0.3">
      <c r="A1774" s="1">
        <v>43369</v>
      </c>
      <c r="B1774">
        <v>36936.639999999999</v>
      </c>
      <c r="C1774">
        <v>36938.74</v>
      </c>
      <c r="D1774">
        <v>36357.93</v>
      </c>
      <c r="E1774">
        <v>36542.269999999997</v>
      </c>
    </row>
    <row r="1775" spans="1:5" hidden="1" x14ac:dyDescent="0.3">
      <c r="A1775" s="1">
        <v>43370</v>
      </c>
      <c r="B1775">
        <v>36691.93</v>
      </c>
      <c r="C1775">
        <v>36711.620000000003</v>
      </c>
      <c r="D1775">
        <v>36238.230000000003</v>
      </c>
      <c r="E1775">
        <v>36324.17</v>
      </c>
    </row>
    <row r="1776" spans="1:5" hidden="1" x14ac:dyDescent="0.3">
      <c r="A1776" s="1">
        <v>43371</v>
      </c>
      <c r="B1776">
        <v>36452.74</v>
      </c>
      <c r="C1776">
        <v>36551.86</v>
      </c>
      <c r="D1776">
        <v>35985.629999999997</v>
      </c>
      <c r="E1776">
        <v>36227.14</v>
      </c>
    </row>
    <row r="1777" spans="1:5" hidden="1" x14ac:dyDescent="0.3">
      <c r="A1777" s="1">
        <v>43374</v>
      </c>
      <c r="B1777">
        <v>36274.25</v>
      </c>
      <c r="C1777">
        <v>36616.639999999999</v>
      </c>
      <c r="D1777">
        <v>35960.65</v>
      </c>
      <c r="E1777">
        <v>36526.14</v>
      </c>
    </row>
    <row r="1778" spans="1:5" hidden="1" x14ac:dyDescent="0.3">
      <c r="A1778" s="1">
        <v>43376</v>
      </c>
      <c r="B1778">
        <v>36602.85</v>
      </c>
      <c r="C1778">
        <v>36602.85</v>
      </c>
      <c r="D1778">
        <v>35911.82</v>
      </c>
      <c r="E1778">
        <v>35975.629999999997</v>
      </c>
    </row>
    <row r="1779" spans="1:5" hidden="1" x14ac:dyDescent="0.3">
      <c r="A1779" s="1">
        <v>43377</v>
      </c>
      <c r="B1779">
        <v>35820.53</v>
      </c>
      <c r="C1779">
        <v>35820.53</v>
      </c>
      <c r="D1779">
        <v>35022.120000000003</v>
      </c>
      <c r="E1779">
        <v>35169.160000000003</v>
      </c>
    </row>
    <row r="1780" spans="1:5" hidden="1" x14ac:dyDescent="0.3">
      <c r="A1780" s="1">
        <v>43378</v>
      </c>
      <c r="B1780">
        <v>35097.99</v>
      </c>
      <c r="C1780">
        <v>35118.54</v>
      </c>
      <c r="D1780">
        <v>34202.22</v>
      </c>
      <c r="E1780">
        <v>34376.99</v>
      </c>
    </row>
    <row r="1781" spans="1:5" hidden="1" x14ac:dyDescent="0.3">
      <c r="A1781" s="1">
        <v>43381</v>
      </c>
      <c r="B1781">
        <v>34412.36</v>
      </c>
      <c r="C1781">
        <v>34636.43</v>
      </c>
      <c r="D1781">
        <v>33974.660000000003</v>
      </c>
      <c r="E1781">
        <v>34474.379999999997</v>
      </c>
    </row>
    <row r="1782" spans="1:5" hidden="1" x14ac:dyDescent="0.3">
      <c r="A1782" s="1">
        <v>43382</v>
      </c>
      <c r="B1782">
        <v>34651.82</v>
      </c>
      <c r="C1782">
        <v>34711.68</v>
      </c>
      <c r="D1782">
        <v>34233.5</v>
      </c>
      <c r="E1782">
        <v>34299.47</v>
      </c>
    </row>
    <row r="1783" spans="1:5" hidden="1" x14ac:dyDescent="0.3">
      <c r="A1783" s="1">
        <v>43383</v>
      </c>
      <c r="B1783">
        <v>34493.21</v>
      </c>
      <c r="C1783">
        <v>34858.35</v>
      </c>
      <c r="D1783">
        <v>34346.5</v>
      </c>
      <c r="E1783">
        <v>34760.89</v>
      </c>
    </row>
    <row r="1784" spans="1:5" hidden="1" x14ac:dyDescent="0.3">
      <c r="A1784" s="1">
        <v>43384</v>
      </c>
      <c r="B1784">
        <v>34063.82</v>
      </c>
      <c r="C1784">
        <v>34325.18</v>
      </c>
      <c r="D1784">
        <v>33723.53</v>
      </c>
      <c r="E1784">
        <v>34001.15</v>
      </c>
    </row>
    <row r="1785" spans="1:5" hidden="1" x14ac:dyDescent="0.3">
      <c r="A1785" s="1">
        <v>43385</v>
      </c>
      <c r="B1785">
        <v>34291.919999999998</v>
      </c>
      <c r="C1785">
        <v>34808.42</v>
      </c>
      <c r="D1785">
        <v>34279.78</v>
      </c>
      <c r="E1785">
        <v>34733.58</v>
      </c>
    </row>
    <row r="1786" spans="1:5" hidden="1" x14ac:dyDescent="0.3">
      <c r="A1786" s="1">
        <v>43388</v>
      </c>
      <c r="B1786">
        <v>34971.83</v>
      </c>
      <c r="C1786">
        <v>35008.65</v>
      </c>
      <c r="D1786">
        <v>34559.980000000003</v>
      </c>
      <c r="E1786">
        <v>34865.1</v>
      </c>
    </row>
    <row r="1787" spans="1:5" hidden="1" x14ac:dyDescent="0.3">
      <c r="A1787" s="1">
        <v>43389</v>
      </c>
      <c r="B1787">
        <v>35004.33</v>
      </c>
      <c r="C1787">
        <v>35215.79</v>
      </c>
      <c r="D1787">
        <v>34913.06</v>
      </c>
      <c r="E1787">
        <v>35162.480000000003</v>
      </c>
    </row>
    <row r="1788" spans="1:5" hidden="1" x14ac:dyDescent="0.3">
      <c r="A1788" s="1">
        <v>43390</v>
      </c>
      <c r="B1788">
        <v>35543.379999999997</v>
      </c>
      <c r="C1788">
        <v>35605.43</v>
      </c>
      <c r="D1788">
        <v>34727.160000000003</v>
      </c>
      <c r="E1788">
        <v>34779.58</v>
      </c>
    </row>
    <row r="1789" spans="1:5" hidden="1" x14ac:dyDescent="0.3">
      <c r="A1789" s="1">
        <v>43392</v>
      </c>
      <c r="B1789">
        <v>34563.29</v>
      </c>
      <c r="C1789">
        <v>34563.29</v>
      </c>
      <c r="D1789">
        <v>34140.32</v>
      </c>
      <c r="E1789">
        <v>34315.629999999997</v>
      </c>
    </row>
    <row r="1790" spans="1:5" hidden="1" x14ac:dyDescent="0.3">
      <c r="A1790" s="1">
        <v>43395</v>
      </c>
      <c r="B1790">
        <v>34689.39</v>
      </c>
      <c r="C1790">
        <v>34748.69</v>
      </c>
      <c r="D1790">
        <v>34082.76</v>
      </c>
      <c r="E1790">
        <v>34134.379999999997</v>
      </c>
    </row>
    <row r="1791" spans="1:5" hidden="1" x14ac:dyDescent="0.3">
      <c r="A1791" s="1">
        <v>43396</v>
      </c>
      <c r="B1791">
        <v>33935.879999999997</v>
      </c>
      <c r="C1791">
        <v>34073.919999999998</v>
      </c>
      <c r="D1791">
        <v>33742.75</v>
      </c>
      <c r="E1791">
        <v>33847.230000000003</v>
      </c>
    </row>
    <row r="1792" spans="1:5" hidden="1" x14ac:dyDescent="0.3">
      <c r="A1792" s="1">
        <v>43397</v>
      </c>
      <c r="B1792">
        <v>34203.699999999997</v>
      </c>
      <c r="C1792">
        <v>34300.97</v>
      </c>
      <c r="D1792">
        <v>33726.07</v>
      </c>
      <c r="E1792">
        <v>34033.96</v>
      </c>
    </row>
    <row r="1793" spans="1:5" hidden="1" x14ac:dyDescent="0.3">
      <c r="A1793" s="1">
        <v>43398</v>
      </c>
      <c r="B1793">
        <v>33778.6</v>
      </c>
      <c r="C1793">
        <v>33838.76</v>
      </c>
      <c r="D1793">
        <v>33553.18</v>
      </c>
      <c r="E1793">
        <v>33690.089999999997</v>
      </c>
    </row>
    <row r="1794" spans="1:5" hidden="1" x14ac:dyDescent="0.3">
      <c r="A1794" s="1">
        <v>43399</v>
      </c>
      <c r="B1794">
        <v>33776.800000000003</v>
      </c>
      <c r="C1794">
        <v>33776.800000000003</v>
      </c>
      <c r="D1794">
        <v>33291.58</v>
      </c>
      <c r="E1794">
        <v>33349.31</v>
      </c>
    </row>
    <row r="1795" spans="1:5" hidden="1" x14ac:dyDescent="0.3">
      <c r="A1795" s="1">
        <v>43402</v>
      </c>
      <c r="B1795">
        <v>33549.879999999997</v>
      </c>
      <c r="C1795">
        <v>34154.6</v>
      </c>
      <c r="D1795">
        <v>33341.800000000003</v>
      </c>
      <c r="E1795">
        <v>34067.4</v>
      </c>
    </row>
    <row r="1796" spans="1:5" hidden="1" x14ac:dyDescent="0.3">
      <c r="A1796" s="1">
        <v>43403</v>
      </c>
      <c r="B1796">
        <v>34068.92</v>
      </c>
      <c r="C1796">
        <v>34176.36</v>
      </c>
      <c r="D1796">
        <v>33799.79</v>
      </c>
      <c r="E1796">
        <v>33891.129999999997</v>
      </c>
    </row>
    <row r="1797" spans="1:5" hidden="1" x14ac:dyDescent="0.3">
      <c r="A1797" s="1">
        <v>43404</v>
      </c>
      <c r="B1797">
        <v>33963.089999999997</v>
      </c>
      <c r="C1797">
        <v>34463.379999999997</v>
      </c>
      <c r="D1797">
        <v>33587.24</v>
      </c>
      <c r="E1797">
        <v>34442.050000000003</v>
      </c>
    </row>
    <row r="1798" spans="1:5" hidden="1" x14ac:dyDescent="0.3">
      <c r="A1798" s="1">
        <v>43405</v>
      </c>
      <c r="B1798">
        <v>34650.629999999997</v>
      </c>
      <c r="C1798">
        <v>34679.93</v>
      </c>
      <c r="D1798">
        <v>34303.379999999997</v>
      </c>
      <c r="E1798">
        <v>34431.97</v>
      </c>
    </row>
    <row r="1799" spans="1:5" hidden="1" x14ac:dyDescent="0.3">
      <c r="A1799" s="1">
        <v>43406</v>
      </c>
      <c r="B1799">
        <v>34743.949999999997</v>
      </c>
      <c r="C1799">
        <v>35190.199999999997</v>
      </c>
      <c r="D1799">
        <v>34649.800000000003</v>
      </c>
      <c r="E1799">
        <v>35011.65</v>
      </c>
    </row>
    <row r="1800" spans="1:5" hidden="1" x14ac:dyDescent="0.3">
      <c r="A1800" s="1">
        <v>43409</v>
      </c>
      <c r="B1800">
        <v>35118.620000000003</v>
      </c>
      <c r="C1800">
        <v>35123.410000000003</v>
      </c>
      <c r="D1800">
        <v>34811.599999999999</v>
      </c>
      <c r="E1800">
        <v>34950.92</v>
      </c>
    </row>
    <row r="1801" spans="1:5" hidden="1" x14ac:dyDescent="0.3">
      <c r="A1801" s="1">
        <v>43410</v>
      </c>
      <c r="B1801">
        <v>35076.239999999998</v>
      </c>
      <c r="C1801">
        <v>35196.03</v>
      </c>
      <c r="D1801">
        <v>34889.72</v>
      </c>
      <c r="E1801">
        <v>34991.910000000003</v>
      </c>
    </row>
    <row r="1802" spans="1:5" hidden="1" x14ac:dyDescent="0.3">
      <c r="A1802" s="1">
        <v>43411</v>
      </c>
      <c r="B1802">
        <v>35301.879999999997</v>
      </c>
      <c r="C1802">
        <v>35302.25</v>
      </c>
      <c r="D1802">
        <v>35183.17</v>
      </c>
      <c r="E1802">
        <v>35237.68</v>
      </c>
    </row>
    <row r="1803" spans="1:5" hidden="1" x14ac:dyDescent="0.3">
      <c r="A1803" s="1">
        <v>43413</v>
      </c>
      <c r="B1803">
        <v>35258.129999999997</v>
      </c>
      <c r="C1803">
        <v>35287.29</v>
      </c>
      <c r="D1803">
        <v>35011.230000000003</v>
      </c>
      <c r="E1803">
        <v>35158.550000000003</v>
      </c>
    </row>
    <row r="1804" spans="1:5" hidden="1" x14ac:dyDescent="0.3">
      <c r="A1804" s="1">
        <v>43416</v>
      </c>
      <c r="B1804">
        <v>35287.49</v>
      </c>
      <c r="C1804">
        <v>35333.22</v>
      </c>
      <c r="D1804">
        <v>34756.800000000003</v>
      </c>
      <c r="E1804">
        <v>34812.99</v>
      </c>
    </row>
    <row r="1805" spans="1:5" hidden="1" x14ac:dyDescent="0.3">
      <c r="A1805" s="1">
        <v>43417</v>
      </c>
      <c r="B1805">
        <v>34846.19</v>
      </c>
      <c r="C1805">
        <v>35187.75</v>
      </c>
      <c r="D1805">
        <v>34672.199999999997</v>
      </c>
      <c r="E1805">
        <v>35144.49</v>
      </c>
    </row>
    <row r="1806" spans="1:5" hidden="1" x14ac:dyDescent="0.3">
      <c r="A1806" s="1">
        <v>43418</v>
      </c>
      <c r="B1806">
        <v>35330.14</v>
      </c>
      <c r="C1806">
        <v>35351.879999999997</v>
      </c>
      <c r="D1806">
        <v>34986.86</v>
      </c>
      <c r="E1806">
        <v>35141.99</v>
      </c>
    </row>
    <row r="1807" spans="1:5" hidden="1" x14ac:dyDescent="0.3">
      <c r="A1807" s="1">
        <v>43419</v>
      </c>
      <c r="B1807">
        <v>35145.75</v>
      </c>
      <c r="C1807">
        <v>35402</v>
      </c>
      <c r="D1807">
        <v>35118.42</v>
      </c>
      <c r="E1807">
        <v>35260.54</v>
      </c>
    </row>
    <row r="1808" spans="1:5" hidden="1" x14ac:dyDescent="0.3">
      <c r="A1808" s="1">
        <v>43420</v>
      </c>
      <c r="B1808">
        <v>35398.699999999997</v>
      </c>
      <c r="C1808">
        <v>35545.85</v>
      </c>
      <c r="D1808">
        <v>35324.370000000003</v>
      </c>
      <c r="E1808">
        <v>35457.160000000003</v>
      </c>
    </row>
    <row r="1809" spans="1:5" hidden="1" x14ac:dyDescent="0.3">
      <c r="A1809" s="1">
        <v>43423</v>
      </c>
      <c r="B1809">
        <v>35647.620000000003</v>
      </c>
      <c r="C1809">
        <v>35818.83</v>
      </c>
      <c r="D1809">
        <v>35511.1</v>
      </c>
      <c r="E1809">
        <v>35774.879999999997</v>
      </c>
    </row>
    <row r="1810" spans="1:5" hidden="1" x14ac:dyDescent="0.3">
      <c r="A1810" s="1">
        <v>43424</v>
      </c>
      <c r="B1810">
        <v>35730.769999999997</v>
      </c>
      <c r="C1810">
        <v>35731.67</v>
      </c>
      <c r="D1810">
        <v>35416.18</v>
      </c>
      <c r="E1810">
        <v>35474.51</v>
      </c>
    </row>
    <row r="1811" spans="1:5" hidden="1" x14ac:dyDescent="0.3">
      <c r="A1811" s="1">
        <v>43425</v>
      </c>
      <c r="B1811">
        <v>35492.620000000003</v>
      </c>
      <c r="C1811">
        <v>35494.25</v>
      </c>
      <c r="D1811">
        <v>35112.49</v>
      </c>
      <c r="E1811">
        <v>35199.800000000003</v>
      </c>
    </row>
    <row r="1812" spans="1:5" hidden="1" x14ac:dyDescent="0.3">
      <c r="A1812" s="1">
        <v>43426</v>
      </c>
      <c r="B1812">
        <v>35282.33</v>
      </c>
      <c r="C1812">
        <v>35364.5</v>
      </c>
      <c r="D1812">
        <v>34937.980000000003</v>
      </c>
      <c r="E1812">
        <v>34981.019999999997</v>
      </c>
    </row>
    <row r="1813" spans="1:5" hidden="1" x14ac:dyDescent="0.3">
      <c r="A1813" s="1">
        <v>43430</v>
      </c>
      <c r="B1813">
        <v>35118.089999999997</v>
      </c>
      <c r="C1813">
        <v>35397.24</v>
      </c>
      <c r="D1813">
        <v>34896.07</v>
      </c>
      <c r="E1813">
        <v>35354.080000000002</v>
      </c>
    </row>
    <row r="1814" spans="1:5" hidden="1" x14ac:dyDescent="0.3">
      <c r="A1814" s="1">
        <v>43431</v>
      </c>
      <c r="B1814">
        <v>35394.769999999997</v>
      </c>
      <c r="C1814">
        <v>35555.160000000003</v>
      </c>
      <c r="D1814">
        <v>35262.97</v>
      </c>
      <c r="E1814">
        <v>35513.14</v>
      </c>
    </row>
    <row r="1815" spans="1:5" hidden="1" x14ac:dyDescent="0.3">
      <c r="A1815" s="1">
        <v>43432</v>
      </c>
      <c r="B1815">
        <v>35635.519999999997</v>
      </c>
      <c r="C1815">
        <v>35822.160000000003</v>
      </c>
      <c r="D1815">
        <v>35605.339999999997</v>
      </c>
      <c r="E1815">
        <v>35716.949999999997</v>
      </c>
    </row>
    <row r="1816" spans="1:5" hidden="1" x14ac:dyDescent="0.3">
      <c r="A1816" s="1">
        <v>43433</v>
      </c>
      <c r="B1816">
        <v>35997.29</v>
      </c>
      <c r="C1816">
        <v>36253.85</v>
      </c>
      <c r="D1816">
        <v>35946.239999999998</v>
      </c>
      <c r="E1816">
        <v>36170.410000000003</v>
      </c>
    </row>
    <row r="1817" spans="1:5" hidden="1" x14ac:dyDescent="0.3">
      <c r="A1817" s="1">
        <v>43434</v>
      </c>
      <c r="B1817">
        <v>36304.43</v>
      </c>
      <c r="C1817">
        <v>36389.22</v>
      </c>
      <c r="D1817">
        <v>36082.97</v>
      </c>
      <c r="E1817">
        <v>36194.300000000003</v>
      </c>
    </row>
    <row r="1818" spans="1:5" hidden="1" x14ac:dyDescent="0.3">
      <c r="A1818" s="1">
        <v>43437</v>
      </c>
      <c r="B1818">
        <v>36396.69</v>
      </c>
      <c r="C1818">
        <v>36446.160000000003</v>
      </c>
      <c r="D1818">
        <v>36099.68</v>
      </c>
      <c r="E1818">
        <v>36241</v>
      </c>
    </row>
    <row r="1819" spans="1:5" hidden="1" x14ac:dyDescent="0.3">
      <c r="A1819" s="1">
        <v>43438</v>
      </c>
      <c r="B1819">
        <v>36290.480000000003</v>
      </c>
      <c r="C1819">
        <v>36295.839999999997</v>
      </c>
      <c r="D1819">
        <v>36036.39</v>
      </c>
      <c r="E1819">
        <v>36134.31</v>
      </c>
    </row>
    <row r="1820" spans="1:5" hidden="1" x14ac:dyDescent="0.3">
      <c r="A1820" s="1">
        <v>43439</v>
      </c>
      <c r="B1820">
        <v>36035.65</v>
      </c>
      <c r="C1820">
        <v>36048.65</v>
      </c>
      <c r="D1820">
        <v>35777.81</v>
      </c>
      <c r="E1820">
        <v>35884.410000000003</v>
      </c>
    </row>
    <row r="1821" spans="1:5" hidden="1" x14ac:dyDescent="0.3">
      <c r="A1821" s="1">
        <v>43440</v>
      </c>
      <c r="B1821">
        <v>35694.25</v>
      </c>
      <c r="C1821">
        <v>35707.230000000003</v>
      </c>
      <c r="D1821">
        <v>35266.76</v>
      </c>
      <c r="E1821">
        <v>35312.129999999997</v>
      </c>
    </row>
    <row r="1822" spans="1:5" hidden="1" x14ac:dyDescent="0.3">
      <c r="A1822" s="1">
        <v>43441</v>
      </c>
      <c r="B1822">
        <v>35494.86</v>
      </c>
      <c r="C1822">
        <v>35730.050000000003</v>
      </c>
      <c r="D1822">
        <v>35378.269999999997</v>
      </c>
      <c r="E1822">
        <v>35673.25</v>
      </c>
    </row>
    <row r="1823" spans="1:5" hidden="1" x14ac:dyDescent="0.3">
      <c r="A1823" s="1">
        <v>43444</v>
      </c>
      <c r="B1823">
        <v>35204.660000000003</v>
      </c>
      <c r="C1823">
        <v>35246.97</v>
      </c>
      <c r="D1823">
        <v>34915.769999999997</v>
      </c>
      <c r="E1823">
        <v>34959.72</v>
      </c>
    </row>
    <row r="1824" spans="1:5" hidden="1" x14ac:dyDescent="0.3">
      <c r="A1824" s="1">
        <v>43445</v>
      </c>
      <c r="B1824">
        <v>34584.129999999997</v>
      </c>
      <c r="C1824">
        <v>35207.33</v>
      </c>
      <c r="D1824">
        <v>34426.29</v>
      </c>
      <c r="E1824">
        <v>35150.01</v>
      </c>
    </row>
    <row r="1825" spans="1:5" hidden="1" x14ac:dyDescent="0.3">
      <c r="A1825" s="1">
        <v>43446</v>
      </c>
      <c r="B1825">
        <v>35277.839999999997</v>
      </c>
      <c r="C1825">
        <v>35826.58</v>
      </c>
      <c r="D1825">
        <v>35167.47</v>
      </c>
      <c r="E1825">
        <v>35779.07</v>
      </c>
    </row>
    <row r="1826" spans="1:5" hidden="1" x14ac:dyDescent="0.3">
      <c r="A1826" s="1">
        <v>43447</v>
      </c>
      <c r="B1826">
        <v>36024.879999999997</v>
      </c>
      <c r="C1826">
        <v>36095.56</v>
      </c>
      <c r="D1826">
        <v>35794.51</v>
      </c>
      <c r="E1826">
        <v>35929.64</v>
      </c>
    </row>
    <row r="1827" spans="1:5" hidden="1" x14ac:dyDescent="0.3">
      <c r="A1827" s="1">
        <v>43448</v>
      </c>
      <c r="B1827">
        <v>35960.19</v>
      </c>
      <c r="C1827">
        <v>36019.019999999997</v>
      </c>
      <c r="D1827">
        <v>35813.85</v>
      </c>
      <c r="E1827">
        <v>35962.93</v>
      </c>
    </row>
    <row r="1828" spans="1:5" hidden="1" x14ac:dyDescent="0.3">
      <c r="A1828" s="1">
        <v>43451</v>
      </c>
      <c r="B1828">
        <v>36129.129999999997</v>
      </c>
      <c r="C1828">
        <v>36312.31</v>
      </c>
      <c r="D1828">
        <v>36123.620000000003</v>
      </c>
      <c r="E1828">
        <v>36270.07</v>
      </c>
    </row>
    <row r="1829" spans="1:5" hidden="1" x14ac:dyDescent="0.3">
      <c r="A1829" s="1">
        <v>43452</v>
      </c>
      <c r="B1829">
        <v>36226.379999999997</v>
      </c>
      <c r="C1829">
        <v>36375.379999999997</v>
      </c>
      <c r="D1829">
        <v>36046.519999999997</v>
      </c>
      <c r="E1829">
        <v>36347.08</v>
      </c>
    </row>
    <row r="1830" spans="1:5" hidden="1" x14ac:dyDescent="0.3">
      <c r="A1830" s="1">
        <v>43453</v>
      </c>
      <c r="B1830">
        <v>36441.46</v>
      </c>
      <c r="C1830">
        <v>36554.99</v>
      </c>
      <c r="D1830">
        <v>36381.870000000003</v>
      </c>
      <c r="E1830">
        <v>36484.33</v>
      </c>
    </row>
    <row r="1831" spans="1:5" hidden="1" x14ac:dyDescent="0.3">
      <c r="A1831" s="1">
        <v>43454</v>
      </c>
      <c r="B1831">
        <v>36321.18</v>
      </c>
      <c r="C1831">
        <v>36475.519999999997</v>
      </c>
      <c r="D1831">
        <v>36202.9</v>
      </c>
      <c r="E1831">
        <v>36431.67</v>
      </c>
    </row>
    <row r="1832" spans="1:5" hidden="1" x14ac:dyDescent="0.3">
      <c r="A1832" s="1">
        <v>43455</v>
      </c>
      <c r="B1832">
        <v>36449.269999999997</v>
      </c>
      <c r="C1832">
        <v>36483.49</v>
      </c>
      <c r="D1832">
        <v>35694.74</v>
      </c>
      <c r="E1832">
        <v>35742.07</v>
      </c>
    </row>
    <row r="1833" spans="1:5" hidden="1" x14ac:dyDescent="0.3">
      <c r="A1833" s="1">
        <v>43458</v>
      </c>
      <c r="B1833">
        <v>35859.660000000003</v>
      </c>
      <c r="C1833">
        <v>35910.67</v>
      </c>
      <c r="D1833">
        <v>35423.24</v>
      </c>
      <c r="E1833">
        <v>35470.15</v>
      </c>
    </row>
    <row r="1834" spans="1:5" hidden="1" x14ac:dyDescent="0.3">
      <c r="A1834" s="1">
        <v>43460</v>
      </c>
      <c r="B1834">
        <v>35443.160000000003</v>
      </c>
      <c r="C1834">
        <v>35711.26</v>
      </c>
      <c r="D1834">
        <v>35010.82</v>
      </c>
      <c r="E1834">
        <v>35649.94</v>
      </c>
    </row>
    <row r="1835" spans="1:5" hidden="1" x14ac:dyDescent="0.3">
      <c r="A1835" s="1">
        <v>43461</v>
      </c>
      <c r="B1835">
        <v>36002.11</v>
      </c>
      <c r="C1835">
        <v>36041.24</v>
      </c>
      <c r="D1835">
        <v>35781.949999999997</v>
      </c>
      <c r="E1835">
        <v>35807.279999999999</v>
      </c>
    </row>
    <row r="1836" spans="1:5" hidden="1" x14ac:dyDescent="0.3">
      <c r="A1836" s="1">
        <v>43462</v>
      </c>
      <c r="B1836">
        <v>35911.99</v>
      </c>
      <c r="C1836">
        <v>36194.78</v>
      </c>
      <c r="D1836">
        <v>35911.99</v>
      </c>
      <c r="E1836">
        <v>36076.720000000001</v>
      </c>
    </row>
    <row r="1837" spans="1:5" hidden="1" x14ac:dyDescent="0.3">
      <c r="A1837" s="1">
        <v>43465</v>
      </c>
      <c r="B1837">
        <v>36239.19</v>
      </c>
      <c r="C1837">
        <v>36285.46</v>
      </c>
      <c r="D1837">
        <v>36033.949999999997</v>
      </c>
      <c r="E1837">
        <v>36068.33</v>
      </c>
    </row>
    <row r="1838" spans="1:5" hidden="1" x14ac:dyDescent="0.3">
      <c r="A1838" s="1">
        <v>43466</v>
      </c>
      <c r="B1838">
        <v>36161.800000000003</v>
      </c>
      <c r="C1838">
        <v>36284.04</v>
      </c>
      <c r="D1838">
        <v>35888.620000000003</v>
      </c>
      <c r="E1838">
        <v>36254.57</v>
      </c>
    </row>
    <row r="1839" spans="1:5" hidden="1" x14ac:dyDescent="0.3">
      <c r="A1839" s="1">
        <v>43467</v>
      </c>
      <c r="B1839">
        <v>36198.129999999997</v>
      </c>
      <c r="C1839">
        <v>36236.699999999997</v>
      </c>
      <c r="D1839">
        <v>35734.01</v>
      </c>
      <c r="E1839">
        <v>35891.519999999997</v>
      </c>
    </row>
    <row r="1840" spans="1:5" hidden="1" x14ac:dyDescent="0.3">
      <c r="A1840" s="1">
        <v>43468</v>
      </c>
      <c r="B1840">
        <v>35934.5</v>
      </c>
      <c r="C1840">
        <v>35999.660000000003</v>
      </c>
      <c r="D1840">
        <v>35475.57</v>
      </c>
      <c r="E1840">
        <v>35513.71</v>
      </c>
    </row>
    <row r="1841" spans="1:5" hidden="1" x14ac:dyDescent="0.3">
      <c r="A1841" s="1">
        <v>43469</v>
      </c>
      <c r="B1841">
        <v>35590.79</v>
      </c>
      <c r="C1841">
        <v>35744.199999999997</v>
      </c>
      <c r="D1841">
        <v>35382.080000000002</v>
      </c>
      <c r="E1841">
        <v>35695.1</v>
      </c>
    </row>
    <row r="1842" spans="1:5" hidden="1" x14ac:dyDescent="0.3">
      <c r="A1842" s="1">
        <v>43472</v>
      </c>
      <c r="B1842">
        <v>35971.18</v>
      </c>
      <c r="C1842">
        <v>36076.949999999997</v>
      </c>
      <c r="D1842">
        <v>35809.230000000003</v>
      </c>
      <c r="E1842">
        <v>35850.160000000003</v>
      </c>
    </row>
    <row r="1843" spans="1:5" hidden="1" x14ac:dyDescent="0.3">
      <c r="A1843" s="1">
        <v>43473</v>
      </c>
      <c r="B1843">
        <v>35964.620000000003</v>
      </c>
      <c r="C1843">
        <v>36037.35</v>
      </c>
      <c r="D1843">
        <v>35753.949999999997</v>
      </c>
      <c r="E1843">
        <v>35980.93</v>
      </c>
    </row>
    <row r="1844" spans="1:5" hidden="1" x14ac:dyDescent="0.3">
      <c r="A1844" s="1">
        <v>43474</v>
      </c>
      <c r="B1844">
        <v>36181.370000000003</v>
      </c>
      <c r="C1844">
        <v>36250.54</v>
      </c>
      <c r="D1844">
        <v>35863.29</v>
      </c>
      <c r="E1844">
        <v>36212.910000000003</v>
      </c>
    </row>
    <row r="1845" spans="1:5" hidden="1" x14ac:dyDescent="0.3">
      <c r="A1845" s="1">
        <v>43475</v>
      </c>
      <c r="B1845">
        <v>36258</v>
      </c>
      <c r="C1845">
        <v>36269.31</v>
      </c>
      <c r="D1845">
        <v>36070.76</v>
      </c>
      <c r="E1845">
        <v>36106.5</v>
      </c>
    </row>
    <row r="1846" spans="1:5" hidden="1" x14ac:dyDescent="0.3">
      <c r="A1846" s="1">
        <v>43476</v>
      </c>
      <c r="B1846">
        <v>36191.870000000003</v>
      </c>
      <c r="C1846">
        <v>36214.26</v>
      </c>
      <c r="D1846">
        <v>35840.6</v>
      </c>
      <c r="E1846">
        <v>36009.839999999997</v>
      </c>
    </row>
    <row r="1847" spans="1:5" hidden="1" x14ac:dyDescent="0.3">
      <c r="A1847" s="1">
        <v>43479</v>
      </c>
      <c r="B1847">
        <v>36113.269999999997</v>
      </c>
      <c r="C1847">
        <v>36124.94</v>
      </c>
      <c r="D1847">
        <v>35691.75</v>
      </c>
      <c r="E1847">
        <v>35853.56</v>
      </c>
    </row>
    <row r="1848" spans="1:5" hidden="1" x14ac:dyDescent="0.3">
      <c r="A1848" s="1">
        <v>43480</v>
      </c>
      <c r="B1848">
        <v>35950.080000000002</v>
      </c>
      <c r="C1848">
        <v>36349.31</v>
      </c>
      <c r="D1848">
        <v>35950.080000000002</v>
      </c>
      <c r="E1848">
        <v>36318.33</v>
      </c>
    </row>
    <row r="1849" spans="1:5" hidden="1" x14ac:dyDescent="0.3">
      <c r="A1849" s="1">
        <v>43481</v>
      </c>
      <c r="B1849">
        <v>36370.74</v>
      </c>
      <c r="C1849">
        <v>36462.03</v>
      </c>
      <c r="D1849">
        <v>36278.61</v>
      </c>
      <c r="E1849">
        <v>36321.29</v>
      </c>
    </row>
    <row r="1850" spans="1:5" hidden="1" x14ac:dyDescent="0.3">
      <c r="A1850" s="1">
        <v>43482</v>
      </c>
      <c r="B1850">
        <v>36413.599999999999</v>
      </c>
      <c r="C1850">
        <v>36468.42</v>
      </c>
      <c r="D1850">
        <v>36170.800000000003</v>
      </c>
      <c r="E1850">
        <v>36374.080000000002</v>
      </c>
    </row>
    <row r="1851" spans="1:5" hidden="1" x14ac:dyDescent="0.3">
      <c r="A1851" s="1">
        <v>43483</v>
      </c>
      <c r="B1851">
        <v>36417.58</v>
      </c>
      <c r="C1851">
        <v>36469.980000000003</v>
      </c>
      <c r="D1851">
        <v>36218.33</v>
      </c>
      <c r="E1851">
        <v>36386.61</v>
      </c>
    </row>
    <row r="1852" spans="1:5" hidden="1" x14ac:dyDescent="0.3">
      <c r="A1852" s="1">
        <v>43486</v>
      </c>
      <c r="B1852">
        <v>36467.120000000003</v>
      </c>
      <c r="C1852">
        <v>36701.03</v>
      </c>
      <c r="D1852">
        <v>36351.769999999997</v>
      </c>
      <c r="E1852">
        <v>36578.959999999999</v>
      </c>
    </row>
    <row r="1853" spans="1:5" hidden="1" x14ac:dyDescent="0.3">
      <c r="A1853" s="1">
        <v>43487</v>
      </c>
      <c r="B1853">
        <v>36649.919999999998</v>
      </c>
      <c r="C1853">
        <v>36650.47</v>
      </c>
      <c r="D1853">
        <v>36282.93</v>
      </c>
      <c r="E1853">
        <v>36444.639999999999</v>
      </c>
    </row>
    <row r="1854" spans="1:5" hidden="1" x14ac:dyDescent="0.3">
      <c r="A1854" s="1">
        <v>43488</v>
      </c>
      <c r="B1854">
        <v>36494.120000000003</v>
      </c>
      <c r="C1854">
        <v>36521.47</v>
      </c>
      <c r="D1854">
        <v>36037.9</v>
      </c>
      <c r="E1854">
        <v>36108.47</v>
      </c>
    </row>
    <row r="1855" spans="1:5" hidden="1" x14ac:dyDescent="0.3">
      <c r="A1855" s="1">
        <v>43489</v>
      </c>
      <c r="B1855">
        <v>36146.550000000003</v>
      </c>
      <c r="C1855">
        <v>36258.28</v>
      </c>
      <c r="D1855">
        <v>35996.68</v>
      </c>
      <c r="E1855">
        <v>36195.1</v>
      </c>
    </row>
    <row r="1856" spans="1:5" hidden="1" x14ac:dyDescent="0.3">
      <c r="A1856" s="1">
        <v>43490</v>
      </c>
      <c r="B1856">
        <v>36245.769999999997</v>
      </c>
      <c r="C1856">
        <v>36474.480000000003</v>
      </c>
      <c r="D1856">
        <v>35953.15</v>
      </c>
      <c r="E1856">
        <v>36025.54</v>
      </c>
    </row>
    <row r="1857" spans="1:5" hidden="1" x14ac:dyDescent="0.3">
      <c r="A1857" s="1">
        <v>43493</v>
      </c>
      <c r="B1857">
        <v>36099.620000000003</v>
      </c>
      <c r="C1857">
        <v>36124.26</v>
      </c>
      <c r="D1857">
        <v>35565.15</v>
      </c>
      <c r="E1857">
        <v>35656.699999999997</v>
      </c>
    </row>
    <row r="1858" spans="1:5" hidden="1" x14ac:dyDescent="0.3">
      <c r="A1858" s="1">
        <v>43494</v>
      </c>
      <c r="B1858">
        <v>35716.720000000001</v>
      </c>
      <c r="C1858">
        <v>35734.14</v>
      </c>
      <c r="D1858">
        <v>35375.51</v>
      </c>
      <c r="E1858">
        <v>35592.5</v>
      </c>
    </row>
    <row r="1859" spans="1:5" hidden="1" x14ac:dyDescent="0.3">
      <c r="A1859" s="1">
        <v>43495</v>
      </c>
      <c r="B1859">
        <v>35819.67</v>
      </c>
      <c r="C1859">
        <v>35850.410000000003</v>
      </c>
      <c r="D1859">
        <v>35490.97</v>
      </c>
      <c r="E1859">
        <v>35591.25</v>
      </c>
    </row>
    <row r="1860" spans="1:5" hidden="1" x14ac:dyDescent="0.3">
      <c r="A1860" s="1">
        <v>43496</v>
      </c>
      <c r="B1860">
        <v>35805.51</v>
      </c>
      <c r="C1860">
        <v>36278.129999999997</v>
      </c>
      <c r="D1860">
        <v>35740.07</v>
      </c>
      <c r="E1860">
        <v>36256.69</v>
      </c>
    </row>
    <row r="1861" spans="1:5" hidden="1" x14ac:dyDescent="0.3">
      <c r="A1861" s="1">
        <v>43497</v>
      </c>
      <c r="B1861">
        <v>36311.74</v>
      </c>
      <c r="C1861">
        <v>36778.14</v>
      </c>
      <c r="D1861">
        <v>36221.32</v>
      </c>
      <c r="E1861">
        <v>36469.43</v>
      </c>
    </row>
    <row r="1862" spans="1:5" hidden="1" x14ac:dyDescent="0.3">
      <c r="A1862" s="1">
        <v>43500</v>
      </c>
      <c r="B1862">
        <v>36456.22</v>
      </c>
      <c r="C1862">
        <v>36622.769999999997</v>
      </c>
      <c r="D1862">
        <v>36225.480000000003</v>
      </c>
      <c r="E1862">
        <v>36582.74</v>
      </c>
    </row>
    <row r="1863" spans="1:5" hidden="1" x14ac:dyDescent="0.3">
      <c r="A1863" s="1">
        <v>43501</v>
      </c>
      <c r="B1863">
        <v>36573.040000000001</v>
      </c>
      <c r="C1863">
        <v>36727.83</v>
      </c>
      <c r="D1863">
        <v>36495.83</v>
      </c>
      <c r="E1863">
        <v>36616.81</v>
      </c>
    </row>
    <row r="1864" spans="1:5" hidden="1" x14ac:dyDescent="0.3">
      <c r="A1864" s="1">
        <v>43502</v>
      </c>
      <c r="B1864">
        <v>36714.54</v>
      </c>
      <c r="C1864">
        <v>37005.25</v>
      </c>
      <c r="D1864">
        <v>36680.879999999997</v>
      </c>
      <c r="E1864">
        <v>36975.230000000003</v>
      </c>
    </row>
    <row r="1865" spans="1:5" hidden="1" x14ac:dyDescent="0.3">
      <c r="A1865" s="1">
        <v>43503</v>
      </c>
      <c r="B1865">
        <v>37026.559999999998</v>
      </c>
      <c r="C1865">
        <v>37172.18</v>
      </c>
      <c r="D1865">
        <v>36898.800000000003</v>
      </c>
      <c r="E1865">
        <v>36971.089999999997</v>
      </c>
    </row>
    <row r="1866" spans="1:5" hidden="1" x14ac:dyDescent="0.3">
      <c r="A1866" s="1">
        <v>43504</v>
      </c>
      <c r="B1866">
        <v>36873.589999999997</v>
      </c>
      <c r="C1866">
        <v>36885.58</v>
      </c>
      <c r="D1866">
        <v>36480.620000000003</v>
      </c>
      <c r="E1866">
        <v>36546.480000000003</v>
      </c>
    </row>
    <row r="1867" spans="1:5" hidden="1" x14ac:dyDescent="0.3">
      <c r="A1867" s="1">
        <v>43507</v>
      </c>
      <c r="B1867">
        <v>36585.5</v>
      </c>
      <c r="C1867">
        <v>36588.410000000003</v>
      </c>
      <c r="D1867">
        <v>36300.480000000003</v>
      </c>
      <c r="E1867">
        <v>36395.03</v>
      </c>
    </row>
    <row r="1868" spans="1:5" hidden="1" x14ac:dyDescent="0.3">
      <c r="A1868" s="1">
        <v>43508</v>
      </c>
      <c r="B1868">
        <v>36405.72</v>
      </c>
      <c r="C1868">
        <v>36465.4</v>
      </c>
      <c r="D1868">
        <v>36113.910000000003</v>
      </c>
      <c r="E1868">
        <v>36153.620000000003</v>
      </c>
    </row>
    <row r="1869" spans="1:5" hidden="1" x14ac:dyDescent="0.3">
      <c r="A1869" s="1">
        <v>43509</v>
      </c>
      <c r="B1869">
        <v>36279.629999999997</v>
      </c>
      <c r="C1869">
        <v>36375.800000000003</v>
      </c>
      <c r="D1869">
        <v>35962.68</v>
      </c>
      <c r="E1869">
        <v>36034.11</v>
      </c>
    </row>
    <row r="1870" spans="1:5" hidden="1" x14ac:dyDescent="0.3">
      <c r="A1870" s="1">
        <v>43510</v>
      </c>
      <c r="B1870">
        <v>36065.08</v>
      </c>
      <c r="C1870">
        <v>36109.1</v>
      </c>
      <c r="D1870">
        <v>35799.42</v>
      </c>
      <c r="E1870">
        <v>35876.22</v>
      </c>
    </row>
    <row r="1871" spans="1:5" hidden="1" x14ac:dyDescent="0.3">
      <c r="A1871" s="1">
        <v>43511</v>
      </c>
      <c r="B1871">
        <v>35985.68</v>
      </c>
      <c r="C1871">
        <v>36022.57</v>
      </c>
      <c r="D1871">
        <v>35510.97</v>
      </c>
      <c r="E1871">
        <v>35808.949999999997</v>
      </c>
    </row>
    <row r="1872" spans="1:5" hidden="1" x14ac:dyDescent="0.3">
      <c r="A1872" s="1">
        <v>43514</v>
      </c>
      <c r="B1872">
        <v>35831.18</v>
      </c>
      <c r="C1872">
        <v>35912.44</v>
      </c>
      <c r="D1872">
        <v>35470.76</v>
      </c>
      <c r="E1872">
        <v>35498.44</v>
      </c>
    </row>
    <row r="1873" spans="1:5" hidden="1" x14ac:dyDescent="0.3">
      <c r="A1873" s="1">
        <v>43515</v>
      </c>
      <c r="B1873">
        <v>35543.24</v>
      </c>
      <c r="C1873">
        <v>35776.04</v>
      </c>
      <c r="D1873">
        <v>35287.160000000003</v>
      </c>
      <c r="E1873">
        <v>35352.61</v>
      </c>
    </row>
    <row r="1874" spans="1:5" hidden="1" x14ac:dyDescent="0.3">
      <c r="A1874" s="1">
        <v>43516</v>
      </c>
      <c r="B1874">
        <v>35564.93</v>
      </c>
      <c r="C1874">
        <v>35797.11</v>
      </c>
      <c r="D1874">
        <v>35469.49</v>
      </c>
      <c r="E1874">
        <v>35756.26</v>
      </c>
    </row>
    <row r="1875" spans="1:5" hidden="1" x14ac:dyDescent="0.3">
      <c r="A1875" s="1">
        <v>43517</v>
      </c>
      <c r="B1875">
        <v>35837</v>
      </c>
      <c r="C1875">
        <v>35983.07</v>
      </c>
      <c r="D1875">
        <v>35707.29</v>
      </c>
      <c r="E1875">
        <v>35898.35</v>
      </c>
    </row>
    <row r="1876" spans="1:5" hidden="1" x14ac:dyDescent="0.3">
      <c r="A1876" s="1">
        <v>43518</v>
      </c>
      <c r="B1876">
        <v>35906.01</v>
      </c>
      <c r="C1876">
        <v>35941.69</v>
      </c>
      <c r="D1876">
        <v>35795.79</v>
      </c>
      <c r="E1876">
        <v>35871.480000000003</v>
      </c>
    </row>
    <row r="1877" spans="1:5" hidden="1" x14ac:dyDescent="0.3">
      <c r="A1877" s="1">
        <v>43521</v>
      </c>
      <c r="B1877">
        <v>35983.800000000003</v>
      </c>
      <c r="C1877">
        <v>36242.18</v>
      </c>
      <c r="D1877">
        <v>35901.06</v>
      </c>
      <c r="E1877">
        <v>36213.379999999997</v>
      </c>
    </row>
    <row r="1878" spans="1:5" hidden="1" x14ac:dyDescent="0.3">
      <c r="A1878" s="1">
        <v>43522</v>
      </c>
      <c r="B1878">
        <v>35975.75</v>
      </c>
      <c r="C1878">
        <v>36172.519999999997</v>
      </c>
      <c r="D1878">
        <v>35714.160000000003</v>
      </c>
      <c r="E1878">
        <v>35973.71</v>
      </c>
    </row>
    <row r="1879" spans="1:5" hidden="1" x14ac:dyDescent="0.3">
      <c r="A1879" s="1">
        <v>43523</v>
      </c>
      <c r="B1879">
        <v>36138.83</v>
      </c>
      <c r="C1879">
        <v>36371.11</v>
      </c>
      <c r="D1879">
        <v>35735.33</v>
      </c>
      <c r="E1879">
        <v>35905.43</v>
      </c>
    </row>
    <row r="1880" spans="1:5" hidden="1" x14ac:dyDescent="0.3">
      <c r="A1880" s="1">
        <v>43524</v>
      </c>
      <c r="B1880">
        <v>36025.72</v>
      </c>
      <c r="C1880">
        <v>36085.85</v>
      </c>
      <c r="D1880">
        <v>35829.15</v>
      </c>
      <c r="E1880">
        <v>35867.440000000002</v>
      </c>
    </row>
    <row r="1881" spans="1:5" hidden="1" x14ac:dyDescent="0.3">
      <c r="A1881" s="1">
        <v>43525</v>
      </c>
      <c r="B1881">
        <v>36018.49</v>
      </c>
      <c r="C1881">
        <v>36140.67</v>
      </c>
      <c r="D1881">
        <v>35952.410000000003</v>
      </c>
      <c r="E1881">
        <v>36063.81</v>
      </c>
    </row>
    <row r="1882" spans="1:5" hidden="1" x14ac:dyDescent="0.3">
      <c r="A1882" s="1">
        <v>43529</v>
      </c>
      <c r="B1882">
        <v>36141.07</v>
      </c>
      <c r="C1882">
        <v>36457.440000000002</v>
      </c>
      <c r="D1882">
        <v>35926.94</v>
      </c>
      <c r="E1882">
        <v>36442.54</v>
      </c>
    </row>
    <row r="1883" spans="1:5" hidden="1" x14ac:dyDescent="0.3">
      <c r="A1883" s="1">
        <v>43530</v>
      </c>
      <c r="B1883">
        <v>36544.86</v>
      </c>
      <c r="C1883">
        <v>36666.47</v>
      </c>
      <c r="D1883">
        <v>36456.82</v>
      </c>
      <c r="E1883">
        <v>36636.1</v>
      </c>
    </row>
    <row r="1884" spans="1:5" hidden="1" x14ac:dyDescent="0.3">
      <c r="A1884" s="1">
        <v>43531</v>
      </c>
      <c r="B1884">
        <v>36744.019999999997</v>
      </c>
      <c r="C1884">
        <v>36830.25</v>
      </c>
      <c r="D1884">
        <v>36590.879999999997</v>
      </c>
      <c r="E1884">
        <v>36725.42</v>
      </c>
    </row>
    <row r="1885" spans="1:5" hidden="1" x14ac:dyDescent="0.3">
      <c r="A1885" s="1">
        <v>43532</v>
      </c>
      <c r="B1885">
        <v>36753.589999999997</v>
      </c>
      <c r="C1885">
        <v>36753.589999999997</v>
      </c>
      <c r="D1885">
        <v>36592.93</v>
      </c>
      <c r="E1885">
        <v>36671.43</v>
      </c>
    </row>
    <row r="1886" spans="1:5" hidden="1" x14ac:dyDescent="0.3">
      <c r="A1886" s="1">
        <v>43535</v>
      </c>
      <c r="B1886">
        <v>36741.57</v>
      </c>
      <c r="C1886">
        <v>37106.19</v>
      </c>
      <c r="D1886">
        <v>36726.39</v>
      </c>
      <c r="E1886">
        <v>37054.1</v>
      </c>
    </row>
    <row r="1887" spans="1:5" hidden="1" x14ac:dyDescent="0.3">
      <c r="A1887" s="1">
        <v>43536</v>
      </c>
      <c r="B1887">
        <v>37249.65</v>
      </c>
      <c r="C1887">
        <v>37586.629999999997</v>
      </c>
      <c r="D1887">
        <v>37230.85</v>
      </c>
      <c r="E1887">
        <v>37535.660000000003</v>
      </c>
    </row>
    <row r="1888" spans="1:5" hidden="1" x14ac:dyDescent="0.3">
      <c r="A1888" s="1">
        <v>43537</v>
      </c>
      <c r="B1888">
        <v>37608.29</v>
      </c>
      <c r="C1888">
        <v>37797.29</v>
      </c>
      <c r="D1888">
        <v>37478.870000000003</v>
      </c>
      <c r="E1888">
        <v>37752.17</v>
      </c>
    </row>
    <row r="1889" spans="1:5" hidden="1" x14ac:dyDescent="0.3">
      <c r="A1889" s="1">
        <v>43538</v>
      </c>
      <c r="B1889">
        <v>37840.639999999999</v>
      </c>
      <c r="C1889">
        <v>37907.78</v>
      </c>
      <c r="D1889">
        <v>37693.69</v>
      </c>
      <c r="E1889">
        <v>37754.89</v>
      </c>
    </row>
    <row r="1890" spans="1:5" hidden="1" x14ac:dyDescent="0.3">
      <c r="A1890" s="1">
        <v>43539</v>
      </c>
      <c r="B1890">
        <v>37760.230000000003</v>
      </c>
      <c r="C1890">
        <v>38254.769999999997</v>
      </c>
      <c r="D1890">
        <v>37760.230000000003</v>
      </c>
      <c r="E1890">
        <v>38024.32</v>
      </c>
    </row>
    <row r="1891" spans="1:5" hidden="1" x14ac:dyDescent="0.3">
      <c r="A1891" s="1">
        <v>43542</v>
      </c>
      <c r="B1891">
        <v>38132.959999999999</v>
      </c>
      <c r="C1891">
        <v>38369.589999999997</v>
      </c>
      <c r="D1891">
        <v>37952.1</v>
      </c>
      <c r="E1891">
        <v>38095.07</v>
      </c>
    </row>
    <row r="1892" spans="1:5" hidden="1" x14ac:dyDescent="0.3">
      <c r="A1892" s="1">
        <v>43543</v>
      </c>
      <c r="B1892">
        <v>38218.589999999997</v>
      </c>
      <c r="C1892">
        <v>38396.06</v>
      </c>
      <c r="D1892">
        <v>38078.230000000003</v>
      </c>
      <c r="E1892">
        <v>38363.47</v>
      </c>
    </row>
    <row r="1893" spans="1:5" hidden="1" x14ac:dyDescent="0.3">
      <c r="A1893" s="1">
        <v>43544</v>
      </c>
      <c r="B1893">
        <v>38433.86</v>
      </c>
      <c r="C1893">
        <v>38489.81</v>
      </c>
      <c r="D1893">
        <v>38316.21</v>
      </c>
      <c r="E1893">
        <v>38386.75</v>
      </c>
    </row>
    <row r="1894" spans="1:5" hidden="1" x14ac:dyDescent="0.3">
      <c r="A1894" s="1">
        <v>43546</v>
      </c>
      <c r="B1894">
        <v>38452.47</v>
      </c>
      <c r="C1894">
        <v>38564.71</v>
      </c>
      <c r="D1894">
        <v>38089.360000000001</v>
      </c>
      <c r="E1894">
        <v>38164.61</v>
      </c>
    </row>
    <row r="1895" spans="1:5" hidden="1" x14ac:dyDescent="0.3">
      <c r="A1895" s="1">
        <v>43549</v>
      </c>
      <c r="B1895">
        <v>38016.76</v>
      </c>
      <c r="C1895">
        <v>38016.76</v>
      </c>
      <c r="D1895">
        <v>37667.4</v>
      </c>
      <c r="E1895">
        <v>37808.910000000003</v>
      </c>
    </row>
    <row r="1896" spans="1:5" hidden="1" x14ac:dyDescent="0.3">
      <c r="A1896" s="1">
        <v>43550</v>
      </c>
      <c r="B1896">
        <v>37886.29</v>
      </c>
      <c r="C1896">
        <v>38297.699999999997</v>
      </c>
      <c r="D1896">
        <v>37800.080000000002</v>
      </c>
      <c r="E1896">
        <v>38233.410000000003</v>
      </c>
    </row>
    <row r="1897" spans="1:5" hidden="1" x14ac:dyDescent="0.3">
      <c r="A1897" s="1">
        <v>43551</v>
      </c>
      <c r="B1897">
        <v>38372.03</v>
      </c>
      <c r="C1897">
        <v>38475.93</v>
      </c>
      <c r="D1897">
        <v>38001.339999999997</v>
      </c>
      <c r="E1897">
        <v>38132.879999999997</v>
      </c>
    </row>
    <row r="1898" spans="1:5" hidden="1" x14ac:dyDescent="0.3">
      <c r="A1898" s="1">
        <v>43552</v>
      </c>
      <c r="B1898">
        <v>38208.300000000003</v>
      </c>
      <c r="C1898">
        <v>38593.65</v>
      </c>
      <c r="D1898">
        <v>38148.44</v>
      </c>
      <c r="E1898">
        <v>38545.72</v>
      </c>
    </row>
    <row r="1899" spans="1:5" hidden="1" x14ac:dyDescent="0.3">
      <c r="A1899" s="1">
        <v>43553</v>
      </c>
      <c r="B1899">
        <v>38675</v>
      </c>
      <c r="C1899">
        <v>38748.54</v>
      </c>
      <c r="D1899">
        <v>38546.68</v>
      </c>
      <c r="E1899">
        <v>38672.910000000003</v>
      </c>
    </row>
    <row r="1900" spans="1:5" hidden="1" x14ac:dyDescent="0.3">
      <c r="A1900" s="1">
        <v>43556</v>
      </c>
      <c r="B1900">
        <v>38858.879999999997</v>
      </c>
      <c r="C1900">
        <v>39115.57</v>
      </c>
      <c r="D1900">
        <v>38808.74</v>
      </c>
      <c r="E1900">
        <v>38871.870000000003</v>
      </c>
    </row>
    <row r="1901" spans="1:5" hidden="1" x14ac:dyDescent="0.3">
      <c r="A1901" s="1">
        <v>43557</v>
      </c>
      <c r="B1901">
        <v>38988.57</v>
      </c>
      <c r="C1901">
        <v>39121.69</v>
      </c>
      <c r="D1901">
        <v>38846.959999999999</v>
      </c>
      <c r="E1901">
        <v>39056.65</v>
      </c>
    </row>
    <row r="1902" spans="1:5" hidden="1" x14ac:dyDescent="0.3">
      <c r="A1902" s="1">
        <v>43558</v>
      </c>
      <c r="B1902">
        <v>39167.050000000003</v>
      </c>
      <c r="C1902">
        <v>39270.14</v>
      </c>
      <c r="D1902">
        <v>38826.559999999998</v>
      </c>
      <c r="E1902">
        <v>38877.120000000003</v>
      </c>
    </row>
    <row r="1903" spans="1:5" hidden="1" x14ac:dyDescent="0.3">
      <c r="A1903" s="1">
        <v>43559</v>
      </c>
      <c r="B1903">
        <v>38935.75</v>
      </c>
      <c r="C1903">
        <v>38939.35</v>
      </c>
      <c r="D1903">
        <v>38581.040000000001</v>
      </c>
      <c r="E1903">
        <v>38684.720000000001</v>
      </c>
    </row>
    <row r="1904" spans="1:5" hidden="1" x14ac:dyDescent="0.3">
      <c r="A1904" s="1">
        <v>43560</v>
      </c>
      <c r="B1904">
        <v>38839.519999999997</v>
      </c>
      <c r="C1904">
        <v>38958.6</v>
      </c>
      <c r="D1904">
        <v>38701.040000000001</v>
      </c>
      <c r="E1904">
        <v>38862.230000000003</v>
      </c>
    </row>
    <row r="1905" spans="1:5" hidden="1" x14ac:dyDescent="0.3">
      <c r="A1905" s="1">
        <v>43563</v>
      </c>
      <c r="B1905">
        <v>38993.599999999999</v>
      </c>
      <c r="C1905">
        <v>39041.25</v>
      </c>
      <c r="D1905">
        <v>38520.959999999999</v>
      </c>
      <c r="E1905">
        <v>38700.53</v>
      </c>
    </row>
    <row r="1906" spans="1:5" hidden="1" x14ac:dyDescent="0.3">
      <c r="A1906" s="1">
        <v>43564</v>
      </c>
      <c r="B1906">
        <v>38730.93</v>
      </c>
      <c r="C1906">
        <v>38978.99</v>
      </c>
      <c r="D1906">
        <v>38598.720000000001</v>
      </c>
      <c r="E1906">
        <v>38939.22</v>
      </c>
    </row>
    <row r="1907" spans="1:5" hidden="1" x14ac:dyDescent="0.3">
      <c r="A1907" s="1">
        <v>43565</v>
      </c>
      <c r="B1907">
        <v>38898.6</v>
      </c>
      <c r="C1907">
        <v>38950.449999999997</v>
      </c>
      <c r="D1907">
        <v>38542.28</v>
      </c>
      <c r="E1907">
        <v>38585.35</v>
      </c>
    </row>
    <row r="1908" spans="1:5" hidden="1" x14ac:dyDescent="0.3">
      <c r="A1908" s="1">
        <v>43566</v>
      </c>
      <c r="B1908">
        <v>38621.58</v>
      </c>
      <c r="C1908">
        <v>38649.980000000003</v>
      </c>
      <c r="D1908">
        <v>38460.25</v>
      </c>
      <c r="E1908">
        <v>38607.01</v>
      </c>
    </row>
    <row r="1909" spans="1:5" hidden="1" x14ac:dyDescent="0.3">
      <c r="A1909" s="1">
        <v>43567</v>
      </c>
      <c r="B1909">
        <v>38692.06</v>
      </c>
      <c r="C1909">
        <v>38818.870000000003</v>
      </c>
      <c r="D1909">
        <v>38554.79</v>
      </c>
      <c r="E1909">
        <v>38767.11</v>
      </c>
    </row>
    <row r="1910" spans="1:5" hidden="1" x14ac:dyDescent="0.3">
      <c r="A1910" s="1">
        <v>43570</v>
      </c>
      <c r="B1910">
        <v>38805.54</v>
      </c>
      <c r="C1910">
        <v>38976.58</v>
      </c>
      <c r="D1910">
        <v>38780.080000000002</v>
      </c>
      <c r="E1910">
        <v>38905.839999999997</v>
      </c>
    </row>
    <row r="1911" spans="1:5" hidden="1" x14ac:dyDescent="0.3">
      <c r="A1911" s="1">
        <v>43571</v>
      </c>
      <c r="B1911">
        <v>39040.300000000003</v>
      </c>
      <c r="C1911">
        <v>39364.339999999997</v>
      </c>
      <c r="D1911">
        <v>39038.81</v>
      </c>
      <c r="E1911">
        <v>39275.64</v>
      </c>
    </row>
    <row r="1912" spans="1:5" hidden="1" x14ac:dyDescent="0.3">
      <c r="A1912" s="1">
        <v>43573</v>
      </c>
      <c r="B1912">
        <v>39420.04</v>
      </c>
      <c r="C1912">
        <v>39487.449999999997</v>
      </c>
      <c r="D1912">
        <v>39083.160000000003</v>
      </c>
      <c r="E1912">
        <v>39140.28</v>
      </c>
    </row>
    <row r="1913" spans="1:5" hidden="1" x14ac:dyDescent="0.3">
      <c r="A1913" s="1">
        <v>43577</v>
      </c>
      <c r="B1913">
        <v>39158.22</v>
      </c>
      <c r="C1913">
        <v>39158.22</v>
      </c>
      <c r="D1913">
        <v>38585.65</v>
      </c>
      <c r="E1913">
        <v>38645.18</v>
      </c>
    </row>
    <row r="1914" spans="1:5" hidden="1" x14ac:dyDescent="0.3">
      <c r="A1914" s="1">
        <v>43578</v>
      </c>
      <c r="B1914">
        <v>38771.269999999997</v>
      </c>
      <c r="C1914">
        <v>38832.61</v>
      </c>
      <c r="D1914">
        <v>38518.26</v>
      </c>
      <c r="E1914">
        <v>38564.879999999997</v>
      </c>
    </row>
    <row r="1915" spans="1:5" hidden="1" x14ac:dyDescent="0.3">
      <c r="A1915" s="1">
        <v>43579</v>
      </c>
      <c r="B1915">
        <v>38672.629999999997</v>
      </c>
      <c r="C1915">
        <v>39095.35</v>
      </c>
      <c r="D1915">
        <v>38571</v>
      </c>
      <c r="E1915">
        <v>39054.68</v>
      </c>
    </row>
    <row r="1916" spans="1:5" hidden="1" x14ac:dyDescent="0.3">
      <c r="A1916" s="1">
        <v>43580</v>
      </c>
      <c r="B1916">
        <v>39101.78</v>
      </c>
      <c r="C1916">
        <v>39262.22</v>
      </c>
      <c r="D1916">
        <v>38663.980000000003</v>
      </c>
      <c r="E1916">
        <v>38730.86</v>
      </c>
    </row>
    <row r="1917" spans="1:5" hidden="1" x14ac:dyDescent="0.3">
      <c r="A1917" s="1">
        <v>43581</v>
      </c>
      <c r="B1917">
        <v>38865.83</v>
      </c>
      <c r="C1917">
        <v>39103.160000000003</v>
      </c>
      <c r="D1917">
        <v>38765.33</v>
      </c>
      <c r="E1917">
        <v>39067.33</v>
      </c>
    </row>
    <row r="1918" spans="1:5" hidden="1" x14ac:dyDescent="0.3">
      <c r="A1918" s="1">
        <v>43585</v>
      </c>
      <c r="B1918">
        <v>39056.92</v>
      </c>
      <c r="C1918">
        <v>39105.879999999997</v>
      </c>
      <c r="D1918">
        <v>38753.46</v>
      </c>
      <c r="E1918">
        <v>39031.550000000003</v>
      </c>
    </row>
    <row r="1919" spans="1:5" hidden="1" x14ac:dyDescent="0.3">
      <c r="A1919" s="1">
        <v>43587</v>
      </c>
      <c r="B1919">
        <v>39036.51</v>
      </c>
      <c r="C1919">
        <v>39189.949999999997</v>
      </c>
      <c r="D1919">
        <v>38882.99</v>
      </c>
      <c r="E1919">
        <v>38981.43</v>
      </c>
    </row>
    <row r="1920" spans="1:5" hidden="1" x14ac:dyDescent="0.3">
      <c r="A1920" s="1">
        <v>43588</v>
      </c>
      <c r="B1920">
        <v>39009.550000000003</v>
      </c>
      <c r="C1920">
        <v>39172.76</v>
      </c>
      <c r="D1920">
        <v>38920.17</v>
      </c>
      <c r="E1920">
        <v>38963.26</v>
      </c>
    </row>
    <row r="1921" spans="1:5" hidden="1" x14ac:dyDescent="0.3">
      <c r="A1921" s="1">
        <v>43591</v>
      </c>
      <c r="B1921">
        <v>38719.33</v>
      </c>
      <c r="C1921">
        <v>38719.33</v>
      </c>
      <c r="D1921">
        <v>38509.79</v>
      </c>
      <c r="E1921">
        <v>38600.339999999997</v>
      </c>
    </row>
    <row r="1922" spans="1:5" hidden="1" x14ac:dyDescent="0.3">
      <c r="A1922" s="1">
        <v>43592</v>
      </c>
      <c r="B1922">
        <v>38815.46</v>
      </c>
      <c r="C1922">
        <v>38835.54</v>
      </c>
      <c r="D1922">
        <v>38236.18</v>
      </c>
      <c r="E1922">
        <v>38276.629999999997</v>
      </c>
    </row>
    <row r="1923" spans="1:5" hidden="1" x14ac:dyDescent="0.3">
      <c r="A1923" s="1">
        <v>43593</v>
      </c>
      <c r="B1923">
        <v>38244.18</v>
      </c>
      <c r="C1923">
        <v>38248.57</v>
      </c>
      <c r="D1923">
        <v>37743.07</v>
      </c>
      <c r="E1923">
        <v>37789.129999999997</v>
      </c>
    </row>
    <row r="1924" spans="1:5" hidden="1" x14ac:dyDescent="0.3">
      <c r="A1924" s="1">
        <v>43594</v>
      </c>
      <c r="B1924">
        <v>37747.910000000003</v>
      </c>
      <c r="C1924">
        <v>37780.46</v>
      </c>
      <c r="D1924">
        <v>37405.4</v>
      </c>
      <c r="E1924">
        <v>37558.910000000003</v>
      </c>
    </row>
    <row r="1925" spans="1:5" hidden="1" x14ac:dyDescent="0.3">
      <c r="A1925" s="1">
        <v>43595</v>
      </c>
      <c r="B1925">
        <v>37632.36</v>
      </c>
      <c r="C1925">
        <v>37721.980000000003</v>
      </c>
      <c r="D1925">
        <v>37370.39</v>
      </c>
      <c r="E1925">
        <v>37462.99</v>
      </c>
    </row>
    <row r="1926" spans="1:5" hidden="1" x14ac:dyDescent="0.3">
      <c r="A1926" s="1">
        <v>43598</v>
      </c>
      <c r="B1926">
        <v>37491.300000000003</v>
      </c>
      <c r="C1926">
        <v>37583.57</v>
      </c>
      <c r="D1926">
        <v>36999.839999999997</v>
      </c>
      <c r="E1926">
        <v>37090.82</v>
      </c>
    </row>
    <row r="1927" spans="1:5" hidden="1" x14ac:dyDescent="0.3">
      <c r="A1927" s="1">
        <v>43599</v>
      </c>
      <c r="B1927">
        <v>37146.58</v>
      </c>
      <c r="C1927">
        <v>37572.699999999997</v>
      </c>
      <c r="D1927">
        <v>36956.1</v>
      </c>
      <c r="E1927">
        <v>37318.53</v>
      </c>
    </row>
    <row r="1928" spans="1:5" hidden="1" x14ac:dyDescent="0.3">
      <c r="A1928" s="1">
        <v>43600</v>
      </c>
      <c r="B1928">
        <v>37539.050000000003</v>
      </c>
      <c r="C1928">
        <v>37559.67</v>
      </c>
      <c r="D1928">
        <v>37047.870000000003</v>
      </c>
      <c r="E1928">
        <v>37114.879999999997</v>
      </c>
    </row>
    <row r="1929" spans="1:5" hidden="1" x14ac:dyDescent="0.3">
      <c r="A1929" s="1">
        <v>43601</v>
      </c>
      <c r="B1929">
        <v>37179.129999999997</v>
      </c>
      <c r="C1929">
        <v>37518.94</v>
      </c>
      <c r="D1929">
        <v>37052.300000000003</v>
      </c>
      <c r="E1929">
        <v>37393.480000000003</v>
      </c>
    </row>
    <row r="1930" spans="1:5" hidden="1" x14ac:dyDescent="0.3">
      <c r="A1930" s="1">
        <v>43602</v>
      </c>
      <c r="B1930">
        <v>37494.42</v>
      </c>
      <c r="C1930">
        <v>38001.129999999997</v>
      </c>
      <c r="D1930">
        <v>37415.360000000001</v>
      </c>
      <c r="E1930">
        <v>37930.769999999997</v>
      </c>
    </row>
    <row r="1931" spans="1:5" hidden="1" x14ac:dyDescent="0.3">
      <c r="A1931" s="1">
        <v>43605</v>
      </c>
      <c r="B1931">
        <v>38701.18</v>
      </c>
      <c r="C1931">
        <v>39412.559999999998</v>
      </c>
      <c r="D1931">
        <v>38570.04</v>
      </c>
      <c r="E1931">
        <v>39352.67</v>
      </c>
    </row>
    <row r="1932" spans="1:5" hidden="1" x14ac:dyDescent="0.3">
      <c r="A1932" s="1">
        <v>43606</v>
      </c>
      <c r="B1932">
        <v>39449.449999999997</v>
      </c>
      <c r="C1932">
        <v>39571.730000000003</v>
      </c>
      <c r="D1932">
        <v>38884.85</v>
      </c>
      <c r="E1932">
        <v>38969.800000000003</v>
      </c>
    </row>
    <row r="1933" spans="1:5" hidden="1" x14ac:dyDescent="0.3">
      <c r="A1933" s="1">
        <v>43607</v>
      </c>
      <c r="B1933">
        <v>39086.21</v>
      </c>
      <c r="C1933">
        <v>39249.08</v>
      </c>
      <c r="D1933">
        <v>38903.870000000003</v>
      </c>
      <c r="E1933">
        <v>39110.21</v>
      </c>
    </row>
    <row r="1934" spans="1:5" hidden="1" x14ac:dyDescent="0.3">
      <c r="A1934" s="1">
        <v>43608</v>
      </c>
      <c r="B1934">
        <v>39591.769999999997</v>
      </c>
      <c r="C1934">
        <v>40124.959999999999</v>
      </c>
      <c r="D1934">
        <v>38651.61</v>
      </c>
      <c r="E1934">
        <v>38811.39</v>
      </c>
    </row>
    <row r="1935" spans="1:5" hidden="1" x14ac:dyDescent="0.3">
      <c r="A1935" s="1">
        <v>43609</v>
      </c>
      <c r="B1935">
        <v>39076.28</v>
      </c>
      <c r="C1935">
        <v>39476.97</v>
      </c>
      <c r="D1935">
        <v>38824.26</v>
      </c>
      <c r="E1935">
        <v>39434.720000000001</v>
      </c>
    </row>
    <row r="1936" spans="1:5" hidden="1" x14ac:dyDescent="0.3">
      <c r="A1936" s="1">
        <v>43612</v>
      </c>
      <c r="B1936">
        <v>39536.230000000003</v>
      </c>
      <c r="C1936">
        <v>39821.94</v>
      </c>
      <c r="D1936">
        <v>39353.160000000003</v>
      </c>
      <c r="E1936">
        <v>39683.29</v>
      </c>
    </row>
    <row r="1937" spans="1:5" hidden="1" x14ac:dyDescent="0.3">
      <c r="A1937" s="1">
        <v>43613</v>
      </c>
      <c r="B1937">
        <v>39765.64</v>
      </c>
      <c r="C1937">
        <v>39828.65</v>
      </c>
      <c r="D1937">
        <v>39498.65</v>
      </c>
      <c r="E1937">
        <v>39749.730000000003</v>
      </c>
    </row>
    <row r="1938" spans="1:5" hidden="1" x14ac:dyDescent="0.3">
      <c r="A1938" s="1">
        <v>43614</v>
      </c>
      <c r="B1938">
        <v>39714.269999999997</v>
      </c>
      <c r="C1938">
        <v>39767.93</v>
      </c>
      <c r="D1938">
        <v>39420.5</v>
      </c>
      <c r="E1938">
        <v>39502.050000000003</v>
      </c>
    </row>
    <row r="1939" spans="1:5" hidden="1" x14ac:dyDescent="0.3">
      <c r="A1939" s="1">
        <v>43615</v>
      </c>
      <c r="B1939">
        <v>39580.28</v>
      </c>
      <c r="C1939">
        <v>39911.919999999998</v>
      </c>
      <c r="D1939">
        <v>39500.559999999998</v>
      </c>
      <c r="E1939">
        <v>39831.97</v>
      </c>
    </row>
    <row r="1940" spans="1:5" hidden="1" x14ac:dyDescent="0.3">
      <c r="A1940" s="1">
        <v>43616</v>
      </c>
      <c r="B1940">
        <v>39998.910000000003</v>
      </c>
      <c r="C1940">
        <v>40122.339999999997</v>
      </c>
      <c r="D1940">
        <v>39374.239999999998</v>
      </c>
      <c r="E1940">
        <v>39714.199999999997</v>
      </c>
    </row>
    <row r="1941" spans="1:5" hidden="1" x14ac:dyDescent="0.3">
      <c r="A1941" s="1">
        <v>43619</v>
      </c>
      <c r="B1941">
        <v>39806.86</v>
      </c>
      <c r="C1941">
        <v>40308.9</v>
      </c>
      <c r="D1941">
        <v>39711.019999999997</v>
      </c>
      <c r="E1941">
        <v>40267.620000000003</v>
      </c>
    </row>
    <row r="1942" spans="1:5" hidden="1" x14ac:dyDescent="0.3">
      <c r="A1942" s="1">
        <v>43620</v>
      </c>
      <c r="B1942">
        <v>40196</v>
      </c>
      <c r="C1942">
        <v>40312.07</v>
      </c>
      <c r="D1942">
        <v>40031.050000000003</v>
      </c>
      <c r="E1942">
        <v>40083.54</v>
      </c>
    </row>
    <row r="1943" spans="1:5" hidden="1" x14ac:dyDescent="0.3">
      <c r="A1943" s="1">
        <v>43622</v>
      </c>
      <c r="B1943">
        <v>40136.43</v>
      </c>
      <c r="C1943">
        <v>40159.26</v>
      </c>
      <c r="D1943">
        <v>39481.15</v>
      </c>
      <c r="E1943">
        <v>39529.72</v>
      </c>
    </row>
    <row r="1944" spans="1:5" hidden="1" x14ac:dyDescent="0.3">
      <c r="A1944" s="1">
        <v>43623</v>
      </c>
      <c r="B1944">
        <v>39581.769999999997</v>
      </c>
      <c r="C1944">
        <v>39703.1</v>
      </c>
      <c r="D1944">
        <v>39279.47</v>
      </c>
      <c r="E1944">
        <v>39615.9</v>
      </c>
    </row>
    <row r="1945" spans="1:5" hidden="1" x14ac:dyDescent="0.3">
      <c r="A1945" s="1">
        <v>43626</v>
      </c>
      <c r="B1945">
        <v>39787.33</v>
      </c>
      <c r="C1945">
        <v>39979.480000000003</v>
      </c>
      <c r="D1945">
        <v>39619.97</v>
      </c>
      <c r="E1945">
        <v>39784.519999999997</v>
      </c>
    </row>
    <row r="1946" spans="1:5" hidden="1" x14ac:dyDescent="0.3">
      <c r="A1946" s="1">
        <v>43627</v>
      </c>
      <c r="B1946">
        <v>39900.449999999997</v>
      </c>
      <c r="C1946">
        <v>40066.31</v>
      </c>
      <c r="D1946">
        <v>39760.019999999997</v>
      </c>
      <c r="E1946">
        <v>39950.46</v>
      </c>
    </row>
    <row r="1947" spans="1:5" hidden="1" x14ac:dyDescent="0.3">
      <c r="A1947" s="1">
        <v>43628</v>
      </c>
      <c r="B1947">
        <v>39974.18</v>
      </c>
      <c r="C1947">
        <v>39982.1</v>
      </c>
      <c r="D1947">
        <v>39623.53</v>
      </c>
      <c r="E1947">
        <v>39756.81</v>
      </c>
    </row>
    <row r="1948" spans="1:5" hidden="1" x14ac:dyDescent="0.3">
      <c r="A1948" s="1">
        <v>43629</v>
      </c>
      <c r="B1948">
        <v>39679.35</v>
      </c>
      <c r="C1948">
        <v>39800.81</v>
      </c>
      <c r="D1948">
        <v>39461.269999999997</v>
      </c>
      <c r="E1948">
        <v>39741.360000000001</v>
      </c>
    </row>
    <row r="1949" spans="1:5" hidden="1" x14ac:dyDescent="0.3">
      <c r="A1949" s="1">
        <v>43630</v>
      </c>
      <c r="B1949">
        <v>39797</v>
      </c>
      <c r="C1949">
        <v>39799.9</v>
      </c>
      <c r="D1949">
        <v>39363.449999999997</v>
      </c>
      <c r="E1949">
        <v>39452.07</v>
      </c>
    </row>
    <row r="1950" spans="1:5" hidden="1" x14ac:dyDescent="0.3">
      <c r="A1950" s="1">
        <v>43633</v>
      </c>
      <c r="B1950">
        <v>39514.36</v>
      </c>
      <c r="C1950">
        <v>39540.42</v>
      </c>
      <c r="D1950">
        <v>38911.49</v>
      </c>
      <c r="E1950">
        <v>38960.79</v>
      </c>
    </row>
    <row r="1951" spans="1:5" hidden="1" x14ac:dyDescent="0.3">
      <c r="A1951" s="1">
        <v>43634</v>
      </c>
      <c r="B1951">
        <v>39056.980000000003</v>
      </c>
      <c r="C1951">
        <v>39167.83</v>
      </c>
      <c r="D1951">
        <v>38870.959999999999</v>
      </c>
      <c r="E1951">
        <v>39046.339999999997</v>
      </c>
    </row>
    <row r="1952" spans="1:5" hidden="1" x14ac:dyDescent="0.3">
      <c r="A1952" s="1">
        <v>43635</v>
      </c>
      <c r="B1952">
        <v>39176.559999999998</v>
      </c>
      <c r="C1952">
        <v>39435.800000000003</v>
      </c>
      <c r="D1952">
        <v>38881.050000000003</v>
      </c>
      <c r="E1952">
        <v>39112.74</v>
      </c>
    </row>
    <row r="1953" spans="1:5" hidden="1" x14ac:dyDescent="0.3">
      <c r="A1953" s="1">
        <v>43636</v>
      </c>
      <c r="B1953">
        <v>39042.959999999999</v>
      </c>
      <c r="C1953">
        <v>39638.639999999999</v>
      </c>
      <c r="D1953">
        <v>38933.78</v>
      </c>
      <c r="E1953">
        <v>39601.629999999997</v>
      </c>
    </row>
    <row r="1954" spans="1:5" hidden="1" x14ac:dyDescent="0.3">
      <c r="A1954" s="1">
        <v>43637</v>
      </c>
      <c r="B1954">
        <v>39608.25</v>
      </c>
      <c r="C1954">
        <v>39617.949999999997</v>
      </c>
      <c r="D1954">
        <v>39121.300000000003</v>
      </c>
      <c r="E1954">
        <v>39194.49</v>
      </c>
    </row>
    <row r="1955" spans="1:5" hidden="1" x14ac:dyDescent="0.3">
      <c r="A1955" s="1">
        <v>43640</v>
      </c>
      <c r="B1955">
        <v>39160.230000000003</v>
      </c>
      <c r="C1955">
        <v>39300.019999999997</v>
      </c>
      <c r="D1955">
        <v>39021.699999999997</v>
      </c>
      <c r="E1955">
        <v>39122.959999999999</v>
      </c>
    </row>
    <row r="1956" spans="1:5" hidden="1" x14ac:dyDescent="0.3">
      <c r="A1956" s="1">
        <v>43641</v>
      </c>
      <c r="B1956">
        <v>39131.94</v>
      </c>
      <c r="C1956">
        <v>39490.639999999999</v>
      </c>
      <c r="D1956">
        <v>38946.04</v>
      </c>
      <c r="E1956">
        <v>39434.94</v>
      </c>
    </row>
    <row r="1957" spans="1:5" hidden="1" x14ac:dyDescent="0.3">
      <c r="A1957" s="1">
        <v>43642</v>
      </c>
      <c r="B1957">
        <v>39379.129999999997</v>
      </c>
      <c r="C1957">
        <v>39674.22</v>
      </c>
      <c r="D1957">
        <v>39319.64</v>
      </c>
      <c r="E1957">
        <v>39592.080000000002</v>
      </c>
    </row>
    <row r="1958" spans="1:5" hidden="1" x14ac:dyDescent="0.3">
      <c r="A1958" s="1">
        <v>43643</v>
      </c>
      <c r="B1958">
        <v>39633.97</v>
      </c>
      <c r="C1958">
        <v>39817.22</v>
      </c>
      <c r="D1958">
        <v>39510.44</v>
      </c>
      <c r="E1958">
        <v>39586.410000000003</v>
      </c>
    </row>
    <row r="1959" spans="1:5" hidden="1" x14ac:dyDescent="0.3">
      <c r="A1959" s="1">
        <v>43644</v>
      </c>
      <c r="B1959">
        <v>39630.519999999997</v>
      </c>
      <c r="C1959">
        <v>39675.25</v>
      </c>
      <c r="D1959">
        <v>39361.919999999998</v>
      </c>
      <c r="E1959">
        <v>39394.639999999999</v>
      </c>
    </row>
    <row r="1960" spans="1:5" hidden="1" x14ac:dyDescent="0.3">
      <c r="A1960" s="1">
        <v>43647</v>
      </c>
      <c r="B1960">
        <v>39543.730000000003</v>
      </c>
      <c r="C1960">
        <v>39764.82</v>
      </c>
      <c r="D1960">
        <v>39541.089999999997</v>
      </c>
      <c r="E1960">
        <v>39686.5</v>
      </c>
    </row>
    <row r="1961" spans="1:5" hidden="1" x14ac:dyDescent="0.3">
      <c r="A1961" s="1">
        <v>43648</v>
      </c>
      <c r="B1961">
        <v>39811.68</v>
      </c>
      <c r="C1961">
        <v>39838.49</v>
      </c>
      <c r="D1961">
        <v>39499.19</v>
      </c>
      <c r="E1961">
        <v>39816.480000000003</v>
      </c>
    </row>
    <row r="1962" spans="1:5" hidden="1" x14ac:dyDescent="0.3">
      <c r="A1962" s="1">
        <v>43649</v>
      </c>
      <c r="B1962">
        <v>39907.57</v>
      </c>
      <c r="C1962">
        <v>39934.99</v>
      </c>
      <c r="D1962">
        <v>39732.379999999997</v>
      </c>
      <c r="E1962">
        <v>39839.25</v>
      </c>
    </row>
    <row r="1963" spans="1:5" hidden="1" x14ac:dyDescent="0.3">
      <c r="A1963" s="1">
        <v>43650</v>
      </c>
      <c r="B1963">
        <v>39917.65</v>
      </c>
      <c r="C1963">
        <v>39979.1</v>
      </c>
      <c r="D1963">
        <v>39858.33</v>
      </c>
      <c r="E1963">
        <v>39908.06</v>
      </c>
    </row>
    <row r="1964" spans="1:5" hidden="1" x14ac:dyDescent="0.3">
      <c r="A1964" s="1">
        <v>43651</v>
      </c>
      <c r="B1964">
        <v>39990.400000000001</v>
      </c>
      <c r="C1964">
        <v>40032.410000000003</v>
      </c>
      <c r="D1964">
        <v>39441.379999999997</v>
      </c>
      <c r="E1964">
        <v>39513.39</v>
      </c>
    </row>
    <row r="1965" spans="1:5" hidden="1" x14ac:dyDescent="0.3">
      <c r="A1965" s="1">
        <v>43654</v>
      </c>
      <c r="B1965">
        <v>39476.379999999997</v>
      </c>
      <c r="C1965">
        <v>39476.379999999997</v>
      </c>
      <c r="D1965">
        <v>38605.480000000003</v>
      </c>
      <c r="E1965">
        <v>38720.57</v>
      </c>
    </row>
    <row r="1966" spans="1:5" hidden="1" x14ac:dyDescent="0.3">
      <c r="A1966" s="1">
        <v>43655</v>
      </c>
      <c r="B1966">
        <v>38754.47</v>
      </c>
      <c r="C1966">
        <v>38814.230000000003</v>
      </c>
      <c r="D1966">
        <v>38435.870000000003</v>
      </c>
      <c r="E1966">
        <v>38730.82</v>
      </c>
    </row>
    <row r="1967" spans="1:5" hidden="1" x14ac:dyDescent="0.3">
      <c r="A1967" s="1">
        <v>43656</v>
      </c>
      <c r="B1967">
        <v>38701.99</v>
      </c>
      <c r="C1967">
        <v>38854.85</v>
      </c>
      <c r="D1967">
        <v>38474.660000000003</v>
      </c>
      <c r="E1967">
        <v>38557.040000000001</v>
      </c>
    </row>
    <row r="1968" spans="1:5" hidden="1" x14ac:dyDescent="0.3">
      <c r="A1968" s="1">
        <v>43657</v>
      </c>
      <c r="B1968">
        <v>38751.620000000003</v>
      </c>
      <c r="C1968">
        <v>38892.5</v>
      </c>
      <c r="D1968">
        <v>38631.31</v>
      </c>
      <c r="E1968">
        <v>38823.11</v>
      </c>
    </row>
    <row r="1969" spans="1:5" hidden="1" x14ac:dyDescent="0.3">
      <c r="A1969" s="1">
        <v>43658</v>
      </c>
      <c r="B1969">
        <v>38941.1</v>
      </c>
      <c r="C1969">
        <v>39021.839999999997</v>
      </c>
      <c r="D1969">
        <v>38684.85</v>
      </c>
      <c r="E1969">
        <v>38736.230000000003</v>
      </c>
    </row>
    <row r="1970" spans="1:5" hidden="1" x14ac:dyDescent="0.3">
      <c r="A1970" s="1">
        <v>43661</v>
      </c>
      <c r="B1970">
        <v>39009.949999999997</v>
      </c>
      <c r="C1970">
        <v>39023.97</v>
      </c>
      <c r="D1970">
        <v>38696.6</v>
      </c>
      <c r="E1970">
        <v>38896.71</v>
      </c>
    </row>
    <row r="1971" spans="1:5" hidden="1" x14ac:dyDescent="0.3">
      <c r="A1971" s="1">
        <v>43662</v>
      </c>
      <c r="B1971">
        <v>38961.86</v>
      </c>
      <c r="C1971">
        <v>39173.89</v>
      </c>
      <c r="D1971">
        <v>38845.269999999997</v>
      </c>
      <c r="E1971">
        <v>39131.040000000001</v>
      </c>
    </row>
    <row r="1972" spans="1:5" hidden="1" x14ac:dyDescent="0.3">
      <c r="A1972" s="1">
        <v>43663</v>
      </c>
      <c r="B1972">
        <v>39171.1</v>
      </c>
      <c r="C1972">
        <v>39284.730000000003</v>
      </c>
      <c r="D1972">
        <v>39081.14</v>
      </c>
      <c r="E1972">
        <v>39215.64</v>
      </c>
    </row>
    <row r="1973" spans="1:5" hidden="1" x14ac:dyDescent="0.3">
      <c r="A1973" s="1">
        <v>43664</v>
      </c>
      <c r="B1973">
        <v>39204.47</v>
      </c>
      <c r="C1973">
        <v>39204.47</v>
      </c>
      <c r="D1973">
        <v>38861.25</v>
      </c>
      <c r="E1973">
        <v>38897.46</v>
      </c>
    </row>
    <row r="1974" spans="1:5" hidden="1" x14ac:dyDescent="0.3">
      <c r="A1974" s="1">
        <v>43665</v>
      </c>
      <c r="B1974">
        <v>39058.730000000003</v>
      </c>
      <c r="C1974">
        <v>39058.730000000003</v>
      </c>
      <c r="D1974">
        <v>38271.35</v>
      </c>
      <c r="E1974">
        <v>38337.01</v>
      </c>
    </row>
    <row r="1975" spans="1:5" hidden="1" x14ac:dyDescent="0.3">
      <c r="A1975" s="1">
        <v>43668</v>
      </c>
      <c r="B1975">
        <v>38333.519999999997</v>
      </c>
      <c r="C1975">
        <v>38333.519999999997</v>
      </c>
      <c r="D1975">
        <v>37890.32</v>
      </c>
      <c r="E1975">
        <v>38031.129999999997</v>
      </c>
    </row>
    <row r="1976" spans="1:5" hidden="1" x14ac:dyDescent="0.3">
      <c r="A1976" s="1">
        <v>43669</v>
      </c>
      <c r="B1976">
        <v>38138.559999999998</v>
      </c>
      <c r="C1976">
        <v>38217.81</v>
      </c>
      <c r="D1976">
        <v>37898.9</v>
      </c>
      <c r="E1976">
        <v>37982.74</v>
      </c>
    </row>
    <row r="1977" spans="1:5" hidden="1" x14ac:dyDescent="0.3">
      <c r="A1977" s="1">
        <v>43670</v>
      </c>
      <c r="B1977">
        <v>37990.230000000003</v>
      </c>
      <c r="C1977">
        <v>38102.839999999997</v>
      </c>
      <c r="D1977">
        <v>37708.410000000003</v>
      </c>
      <c r="E1977">
        <v>37847.65</v>
      </c>
    </row>
    <row r="1978" spans="1:5" hidden="1" x14ac:dyDescent="0.3">
      <c r="A1978" s="1">
        <v>43671</v>
      </c>
      <c r="B1978">
        <v>37935.019999999997</v>
      </c>
      <c r="C1978">
        <v>38169.870000000003</v>
      </c>
      <c r="D1978">
        <v>37775.51</v>
      </c>
      <c r="E1978">
        <v>37830.980000000003</v>
      </c>
    </row>
    <row r="1979" spans="1:5" hidden="1" x14ac:dyDescent="0.3">
      <c r="A1979" s="1">
        <v>43672</v>
      </c>
      <c r="B1979">
        <v>37831.18</v>
      </c>
      <c r="C1979">
        <v>37978.07</v>
      </c>
      <c r="D1979">
        <v>37690.47</v>
      </c>
      <c r="E1979">
        <v>37882.79</v>
      </c>
    </row>
    <row r="1980" spans="1:5" hidden="1" x14ac:dyDescent="0.3">
      <c r="A1980" s="1">
        <v>43675</v>
      </c>
      <c r="B1980">
        <v>38043.22</v>
      </c>
      <c r="C1980">
        <v>38043.22</v>
      </c>
      <c r="D1980">
        <v>37519.160000000003</v>
      </c>
      <c r="E1980">
        <v>37686.370000000003</v>
      </c>
    </row>
    <row r="1981" spans="1:5" hidden="1" x14ac:dyDescent="0.3">
      <c r="A1981" s="1">
        <v>43676</v>
      </c>
      <c r="B1981">
        <v>37735.54</v>
      </c>
      <c r="C1981">
        <v>37950.21</v>
      </c>
      <c r="D1981">
        <v>37359.03</v>
      </c>
      <c r="E1981">
        <v>37397.24</v>
      </c>
    </row>
    <row r="1982" spans="1:5" hidden="1" x14ac:dyDescent="0.3">
      <c r="A1982" s="1">
        <v>43677</v>
      </c>
      <c r="B1982">
        <v>37257.550000000003</v>
      </c>
      <c r="C1982">
        <v>37576.370000000003</v>
      </c>
      <c r="D1982">
        <v>37128.26</v>
      </c>
      <c r="E1982">
        <v>37481.120000000003</v>
      </c>
    </row>
    <row r="1983" spans="1:5" hidden="1" x14ac:dyDescent="0.3">
      <c r="A1983" s="1">
        <v>43678</v>
      </c>
      <c r="B1983">
        <v>37387.18</v>
      </c>
      <c r="C1983">
        <v>37387.18</v>
      </c>
      <c r="D1983">
        <v>36694.18</v>
      </c>
      <c r="E1983">
        <v>37018.32</v>
      </c>
    </row>
    <row r="1984" spans="1:5" hidden="1" x14ac:dyDescent="0.3">
      <c r="A1984" s="1">
        <v>43679</v>
      </c>
      <c r="B1984">
        <v>36920.11</v>
      </c>
      <c r="C1984">
        <v>37375.160000000003</v>
      </c>
      <c r="D1984">
        <v>36607.410000000003</v>
      </c>
      <c r="E1984">
        <v>37118.22</v>
      </c>
    </row>
    <row r="1985" spans="1:5" hidden="1" x14ac:dyDescent="0.3">
      <c r="A1985" s="1">
        <v>43682</v>
      </c>
      <c r="B1985">
        <v>36842.17</v>
      </c>
      <c r="C1985">
        <v>36844.050000000003</v>
      </c>
      <c r="D1985">
        <v>36416.79</v>
      </c>
      <c r="E1985">
        <v>36699.839999999997</v>
      </c>
    </row>
    <row r="1986" spans="1:5" hidden="1" x14ac:dyDescent="0.3">
      <c r="A1986" s="1">
        <v>43683</v>
      </c>
      <c r="B1986">
        <v>36568.03</v>
      </c>
      <c r="C1986">
        <v>37241.769999999997</v>
      </c>
      <c r="D1986">
        <v>36536.589999999997</v>
      </c>
      <c r="E1986">
        <v>36976.85</v>
      </c>
    </row>
    <row r="1987" spans="1:5" hidden="1" x14ac:dyDescent="0.3">
      <c r="A1987" s="1">
        <v>43684</v>
      </c>
      <c r="B1987">
        <v>37025.269999999997</v>
      </c>
      <c r="C1987">
        <v>37104.79</v>
      </c>
      <c r="D1987">
        <v>36610.57</v>
      </c>
      <c r="E1987">
        <v>36690.5</v>
      </c>
    </row>
    <row r="1988" spans="1:5" hidden="1" x14ac:dyDescent="0.3">
      <c r="A1988" s="1">
        <v>43685</v>
      </c>
      <c r="B1988">
        <v>36808.01</v>
      </c>
      <c r="C1988">
        <v>37405.480000000003</v>
      </c>
      <c r="D1988">
        <v>36655.410000000003</v>
      </c>
      <c r="E1988">
        <v>37327.360000000001</v>
      </c>
    </row>
    <row r="1989" spans="1:5" hidden="1" x14ac:dyDescent="0.3">
      <c r="A1989" s="1">
        <v>43686</v>
      </c>
      <c r="B1989">
        <v>37521.300000000003</v>
      </c>
      <c r="C1989">
        <v>37807.550000000003</v>
      </c>
      <c r="D1989">
        <v>37406.26</v>
      </c>
      <c r="E1989">
        <v>37581.910000000003</v>
      </c>
    </row>
    <row r="1990" spans="1:5" hidden="1" x14ac:dyDescent="0.3">
      <c r="A1990" s="1">
        <v>43690</v>
      </c>
      <c r="B1990">
        <v>37755.160000000003</v>
      </c>
      <c r="C1990">
        <v>37755.160000000003</v>
      </c>
      <c r="D1990">
        <v>36888.49</v>
      </c>
      <c r="E1990">
        <v>36958.160000000003</v>
      </c>
    </row>
    <row r="1991" spans="1:5" hidden="1" x14ac:dyDescent="0.3">
      <c r="A1991" s="1">
        <v>43691</v>
      </c>
      <c r="B1991">
        <v>37233.5</v>
      </c>
      <c r="C1991">
        <v>37473.61</v>
      </c>
      <c r="D1991">
        <v>37000.769999999997</v>
      </c>
      <c r="E1991">
        <v>37311.53</v>
      </c>
    </row>
    <row r="1992" spans="1:5" hidden="1" x14ac:dyDescent="0.3">
      <c r="A1992" s="1">
        <v>43693</v>
      </c>
      <c r="B1992">
        <v>37383</v>
      </c>
      <c r="C1992">
        <v>37444.449999999997</v>
      </c>
      <c r="D1992">
        <v>36974.410000000003</v>
      </c>
      <c r="E1992">
        <v>37350.33</v>
      </c>
    </row>
    <row r="1993" spans="1:5" hidden="1" x14ac:dyDescent="0.3">
      <c r="A1993" s="1">
        <v>43696</v>
      </c>
      <c r="B1993">
        <v>37485.919999999998</v>
      </c>
      <c r="C1993">
        <v>37718.879999999997</v>
      </c>
      <c r="D1993">
        <v>37358.49</v>
      </c>
      <c r="E1993">
        <v>37402.49</v>
      </c>
    </row>
    <row r="1994" spans="1:5" hidden="1" x14ac:dyDescent="0.3">
      <c r="A1994" s="1">
        <v>43697</v>
      </c>
      <c r="B1994">
        <v>37441.75</v>
      </c>
      <c r="C1994">
        <v>37511.550000000003</v>
      </c>
      <c r="D1994">
        <v>37219.9</v>
      </c>
      <c r="E1994">
        <v>37328.01</v>
      </c>
    </row>
    <row r="1995" spans="1:5" hidden="1" x14ac:dyDescent="0.3">
      <c r="A1995" s="1">
        <v>43698</v>
      </c>
      <c r="B1995">
        <v>37298.730000000003</v>
      </c>
      <c r="C1995">
        <v>37406.550000000003</v>
      </c>
      <c r="D1995">
        <v>37022.519999999997</v>
      </c>
      <c r="E1995">
        <v>37060.370000000003</v>
      </c>
    </row>
    <row r="1996" spans="1:5" hidden="1" x14ac:dyDescent="0.3">
      <c r="A1996" s="1">
        <v>43699</v>
      </c>
      <c r="B1996">
        <v>37087.58</v>
      </c>
      <c r="C1996">
        <v>37087.58</v>
      </c>
      <c r="D1996">
        <v>36391.35</v>
      </c>
      <c r="E1996">
        <v>36472.93</v>
      </c>
    </row>
    <row r="1997" spans="1:5" hidden="1" x14ac:dyDescent="0.3">
      <c r="A1997" s="1">
        <v>43700</v>
      </c>
      <c r="B1997">
        <v>36387.68</v>
      </c>
      <c r="C1997">
        <v>36807.339999999997</v>
      </c>
      <c r="D1997">
        <v>36102.35</v>
      </c>
      <c r="E1997">
        <v>36701.160000000003</v>
      </c>
    </row>
    <row r="1998" spans="1:5" hidden="1" x14ac:dyDescent="0.3">
      <c r="A1998" s="1">
        <v>43703</v>
      </c>
      <c r="B1998">
        <v>37363.949999999997</v>
      </c>
      <c r="C1998">
        <v>37544.480000000003</v>
      </c>
      <c r="D1998">
        <v>36492.65</v>
      </c>
      <c r="E1998">
        <v>37494.120000000003</v>
      </c>
    </row>
    <row r="1999" spans="1:5" hidden="1" x14ac:dyDescent="0.3">
      <c r="A1999" s="1">
        <v>43704</v>
      </c>
      <c r="B1999">
        <v>37658.480000000003</v>
      </c>
      <c r="C1999">
        <v>37731.51</v>
      </c>
      <c r="D1999">
        <v>37449.69</v>
      </c>
      <c r="E1999">
        <v>37641.269999999997</v>
      </c>
    </row>
    <row r="2000" spans="1:5" hidden="1" x14ac:dyDescent="0.3">
      <c r="A2000" s="1">
        <v>43705</v>
      </c>
      <c r="B2000">
        <v>37655.769999999997</v>
      </c>
      <c r="C2000">
        <v>37687.82</v>
      </c>
      <c r="D2000">
        <v>37249.19</v>
      </c>
      <c r="E2000">
        <v>37451.839999999997</v>
      </c>
    </row>
    <row r="2001" spans="1:5" hidden="1" x14ac:dyDescent="0.3">
      <c r="A2001" s="1">
        <v>43706</v>
      </c>
      <c r="B2001">
        <v>37381.800000000003</v>
      </c>
      <c r="C2001">
        <v>37381.800000000003</v>
      </c>
      <c r="D2001">
        <v>36987.35</v>
      </c>
      <c r="E2001">
        <v>37068.93</v>
      </c>
    </row>
    <row r="2002" spans="1:5" hidden="1" x14ac:dyDescent="0.3">
      <c r="A2002" s="1">
        <v>43707</v>
      </c>
      <c r="B2002">
        <v>37222.26</v>
      </c>
      <c r="C2002">
        <v>37397.97</v>
      </c>
      <c r="D2002">
        <v>36829.81</v>
      </c>
      <c r="E2002">
        <v>37332.79</v>
      </c>
    </row>
    <row r="2003" spans="1:5" hidden="1" x14ac:dyDescent="0.3">
      <c r="A2003" s="1">
        <v>43711</v>
      </c>
      <c r="B2003">
        <v>37181.760000000002</v>
      </c>
      <c r="C2003">
        <v>37188.379999999997</v>
      </c>
      <c r="D2003">
        <v>36466.01</v>
      </c>
      <c r="E2003">
        <v>36562.910000000003</v>
      </c>
    </row>
    <row r="2004" spans="1:5" hidden="1" x14ac:dyDescent="0.3">
      <c r="A2004" s="1">
        <v>43712</v>
      </c>
      <c r="B2004">
        <v>36575.24</v>
      </c>
      <c r="C2004">
        <v>36776.31</v>
      </c>
      <c r="D2004">
        <v>36409.54</v>
      </c>
      <c r="E2004">
        <v>36724.74</v>
      </c>
    </row>
    <row r="2005" spans="1:5" hidden="1" x14ac:dyDescent="0.3">
      <c r="A2005" s="1">
        <v>43713</v>
      </c>
      <c r="B2005">
        <v>36821.71</v>
      </c>
      <c r="C2005">
        <v>36898.99</v>
      </c>
      <c r="D2005">
        <v>36541.879999999997</v>
      </c>
      <c r="E2005">
        <v>36644.42</v>
      </c>
    </row>
    <row r="2006" spans="1:5" hidden="1" x14ac:dyDescent="0.3">
      <c r="A2006" s="1">
        <v>43714</v>
      </c>
      <c r="B2006">
        <v>36785.589999999997</v>
      </c>
      <c r="C2006">
        <v>37012.980000000003</v>
      </c>
      <c r="D2006">
        <v>36727.660000000003</v>
      </c>
      <c r="E2006">
        <v>36981.769999999997</v>
      </c>
    </row>
    <row r="2007" spans="1:5" hidden="1" x14ac:dyDescent="0.3">
      <c r="A2007" s="1">
        <v>43717</v>
      </c>
      <c r="B2007">
        <v>36969.480000000003</v>
      </c>
      <c r="C2007">
        <v>37244.080000000002</v>
      </c>
      <c r="D2007">
        <v>36784.47</v>
      </c>
      <c r="E2007">
        <v>37145.449999999997</v>
      </c>
    </row>
    <row r="2008" spans="1:5" hidden="1" x14ac:dyDescent="0.3">
      <c r="A2008" s="1">
        <v>43719</v>
      </c>
      <c r="B2008">
        <v>37251.03</v>
      </c>
      <c r="C2008">
        <v>37343.46</v>
      </c>
      <c r="D2008">
        <v>37193.57</v>
      </c>
      <c r="E2008">
        <v>37270.82</v>
      </c>
    </row>
    <row r="2009" spans="1:5" hidden="1" x14ac:dyDescent="0.3">
      <c r="A2009" s="1">
        <v>43720</v>
      </c>
      <c r="B2009">
        <v>37330.47</v>
      </c>
      <c r="C2009">
        <v>37435.15</v>
      </c>
      <c r="D2009">
        <v>37048.67</v>
      </c>
      <c r="E2009">
        <v>37104.28</v>
      </c>
    </row>
    <row r="2010" spans="1:5" hidden="1" x14ac:dyDescent="0.3">
      <c r="A2010" s="1">
        <v>43721</v>
      </c>
      <c r="B2010">
        <v>37175.86</v>
      </c>
      <c r="C2010">
        <v>37413.5</v>
      </c>
      <c r="D2010">
        <v>37000.089999999997</v>
      </c>
      <c r="E2010">
        <v>37384.99</v>
      </c>
    </row>
    <row r="2011" spans="1:5" hidden="1" x14ac:dyDescent="0.3">
      <c r="A2011" s="1">
        <v>43724</v>
      </c>
      <c r="B2011">
        <v>37204.559999999998</v>
      </c>
      <c r="C2011">
        <v>37302.06</v>
      </c>
      <c r="D2011">
        <v>37028.94</v>
      </c>
      <c r="E2011">
        <v>37123.31</v>
      </c>
    </row>
    <row r="2012" spans="1:5" hidden="1" x14ac:dyDescent="0.3">
      <c r="A2012" s="1">
        <v>43725</v>
      </c>
      <c r="B2012">
        <v>37169.46</v>
      </c>
      <c r="C2012">
        <v>37169.56</v>
      </c>
      <c r="D2012">
        <v>36419.089999999997</v>
      </c>
      <c r="E2012">
        <v>36481.089999999997</v>
      </c>
    </row>
    <row r="2013" spans="1:5" hidden="1" x14ac:dyDescent="0.3">
      <c r="A2013" s="1">
        <v>43726</v>
      </c>
      <c r="B2013">
        <v>36621.379999999997</v>
      </c>
      <c r="C2013">
        <v>36712.99</v>
      </c>
      <c r="D2013">
        <v>36465.919999999998</v>
      </c>
      <c r="E2013">
        <v>36563.879999999997</v>
      </c>
    </row>
    <row r="2014" spans="1:5" hidden="1" x14ac:dyDescent="0.3">
      <c r="A2014" s="1">
        <v>43727</v>
      </c>
      <c r="B2014">
        <v>36613.93</v>
      </c>
      <c r="C2014">
        <v>36613.93</v>
      </c>
      <c r="D2014">
        <v>35987.800000000003</v>
      </c>
      <c r="E2014">
        <v>36093.47</v>
      </c>
    </row>
    <row r="2015" spans="1:5" hidden="1" x14ac:dyDescent="0.3">
      <c r="A2015" s="1">
        <v>43728</v>
      </c>
      <c r="B2015">
        <v>36214.92</v>
      </c>
      <c r="C2015">
        <v>38378.019999999997</v>
      </c>
      <c r="D2015">
        <v>36085.74</v>
      </c>
      <c r="E2015">
        <v>38014.620000000003</v>
      </c>
    </row>
    <row r="2016" spans="1:5" hidden="1" x14ac:dyDescent="0.3">
      <c r="A2016" s="1">
        <v>43731</v>
      </c>
      <c r="B2016">
        <v>38844</v>
      </c>
      <c r="C2016">
        <v>39441.120000000003</v>
      </c>
      <c r="D2016">
        <v>38674.04</v>
      </c>
      <c r="E2016">
        <v>39090.03</v>
      </c>
    </row>
    <row r="2017" spans="1:5" hidden="1" x14ac:dyDescent="0.3">
      <c r="A2017" s="1">
        <v>43732</v>
      </c>
      <c r="B2017">
        <v>39135.279999999999</v>
      </c>
      <c r="C2017">
        <v>39306.370000000003</v>
      </c>
      <c r="D2017">
        <v>38913.06</v>
      </c>
      <c r="E2017">
        <v>39097.14</v>
      </c>
    </row>
    <row r="2018" spans="1:5" hidden="1" x14ac:dyDescent="0.3">
      <c r="A2018" s="1">
        <v>43733</v>
      </c>
      <c r="B2018">
        <v>39087.199999999997</v>
      </c>
      <c r="C2018">
        <v>39087.199999999997</v>
      </c>
      <c r="D2018">
        <v>38510.97</v>
      </c>
      <c r="E2018">
        <v>38593.519999999997</v>
      </c>
    </row>
    <row r="2019" spans="1:5" hidden="1" x14ac:dyDescent="0.3">
      <c r="A2019" s="1">
        <v>43734</v>
      </c>
      <c r="B2019">
        <v>38700.480000000003</v>
      </c>
      <c r="C2019">
        <v>39158.07</v>
      </c>
      <c r="D2019">
        <v>38676.11</v>
      </c>
      <c r="E2019">
        <v>38989.74</v>
      </c>
    </row>
    <row r="2020" spans="1:5" hidden="1" x14ac:dyDescent="0.3">
      <c r="A2020" s="1">
        <v>43735</v>
      </c>
      <c r="B2020">
        <v>39003.129999999997</v>
      </c>
      <c r="C2020">
        <v>39107.370000000003</v>
      </c>
      <c r="D2020">
        <v>38782.6</v>
      </c>
      <c r="E2020">
        <v>38822.57</v>
      </c>
    </row>
    <row r="2021" spans="1:5" hidden="1" x14ac:dyDescent="0.3">
      <c r="A2021" s="1">
        <v>43738</v>
      </c>
      <c r="B2021">
        <v>38873.120000000003</v>
      </c>
      <c r="C2021">
        <v>38873.120000000003</v>
      </c>
      <c r="D2021">
        <v>38401.089999999997</v>
      </c>
      <c r="E2021">
        <v>38667.33</v>
      </c>
    </row>
    <row r="2022" spans="1:5" hidden="1" x14ac:dyDescent="0.3">
      <c r="A2022" s="1">
        <v>43739</v>
      </c>
      <c r="B2022">
        <v>38813.480000000003</v>
      </c>
      <c r="C2022">
        <v>38923.78</v>
      </c>
      <c r="D2022">
        <v>37929.89</v>
      </c>
      <c r="E2022">
        <v>38305.410000000003</v>
      </c>
    </row>
    <row r="2023" spans="1:5" hidden="1" x14ac:dyDescent="0.3">
      <c r="A2023" s="1">
        <v>43741</v>
      </c>
      <c r="B2023">
        <v>38137.870000000003</v>
      </c>
      <c r="C2023">
        <v>38310.93</v>
      </c>
      <c r="D2023">
        <v>37957.56</v>
      </c>
      <c r="E2023">
        <v>38106.870000000003</v>
      </c>
    </row>
    <row r="2024" spans="1:5" hidden="1" x14ac:dyDescent="0.3">
      <c r="A2024" s="1">
        <v>43742</v>
      </c>
      <c r="B2024">
        <v>38401.49</v>
      </c>
      <c r="C2024">
        <v>38403.54</v>
      </c>
      <c r="D2024">
        <v>37633.360000000001</v>
      </c>
      <c r="E2024">
        <v>37673.31</v>
      </c>
    </row>
    <row r="2025" spans="1:5" hidden="1" x14ac:dyDescent="0.3">
      <c r="A2025" s="1">
        <v>43745</v>
      </c>
      <c r="B2025">
        <v>37853.800000000003</v>
      </c>
      <c r="C2025">
        <v>37919.47</v>
      </c>
      <c r="D2025">
        <v>37480.53</v>
      </c>
      <c r="E2025">
        <v>37531.980000000003</v>
      </c>
    </row>
    <row r="2026" spans="1:5" hidden="1" x14ac:dyDescent="0.3">
      <c r="A2026" s="1">
        <v>43747</v>
      </c>
      <c r="B2026">
        <v>37628.050000000003</v>
      </c>
      <c r="C2026">
        <v>38209.839999999997</v>
      </c>
      <c r="D2026">
        <v>37415.83</v>
      </c>
      <c r="E2026">
        <v>38177.949999999997</v>
      </c>
    </row>
    <row r="2027" spans="1:5" hidden="1" x14ac:dyDescent="0.3">
      <c r="A2027" s="1">
        <v>43748</v>
      </c>
      <c r="B2027">
        <v>38130.230000000003</v>
      </c>
      <c r="C2027">
        <v>38130.230000000003</v>
      </c>
      <c r="D2027">
        <v>37802.93</v>
      </c>
      <c r="E2027">
        <v>37880.400000000001</v>
      </c>
    </row>
    <row r="2028" spans="1:5" hidden="1" x14ac:dyDescent="0.3">
      <c r="A2028" s="1">
        <v>43749</v>
      </c>
      <c r="B2028">
        <v>37994.480000000003</v>
      </c>
      <c r="C2028">
        <v>38345.410000000003</v>
      </c>
      <c r="D2028">
        <v>37737.85</v>
      </c>
      <c r="E2028">
        <v>38127.08</v>
      </c>
    </row>
    <row r="2029" spans="1:5" hidden="1" x14ac:dyDescent="0.3">
      <c r="A2029" s="1">
        <v>43752</v>
      </c>
      <c r="B2029">
        <v>38208.239999999998</v>
      </c>
      <c r="C2029">
        <v>38513.69</v>
      </c>
      <c r="D2029">
        <v>38066.129999999997</v>
      </c>
      <c r="E2029">
        <v>38214.47</v>
      </c>
    </row>
    <row r="2030" spans="1:5" hidden="1" x14ac:dyDescent="0.3">
      <c r="A2030" s="1">
        <v>43753</v>
      </c>
      <c r="B2030">
        <v>38316.49</v>
      </c>
      <c r="C2030">
        <v>38635.19</v>
      </c>
      <c r="D2030">
        <v>38238.269999999997</v>
      </c>
      <c r="E2030">
        <v>38506.089999999997</v>
      </c>
    </row>
    <row r="2031" spans="1:5" hidden="1" x14ac:dyDescent="0.3">
      <c r="A2031" s="1">
        <v>43754</v>
      </c>
      <c r="B2031">
        <v>38637.050000000003</v>
      </c>
      <c r="C2031">
        <v>38666.379999999997</v>
      </c>
      <c r="D2031">
        <v>38416.67</v>
      </c>
      <c r="E2031">
        <v>38598.99</v>
      </c>
    </row>
    <row r="2032" spans="1:5" hidden="1" x14ac:dyDescent="0.3">
      <c r="A2032" s="1">
        <v>43755</v>
      </c>
      <c r="B2032">
        <v>38647.440000000002</v>
      </c>
      <c r="C2032">
        <v>39104.69</v>
      </c>
      <c r="D2032">
        <v>38557.43</v>
      </c>
      <c r="E2032">
        <v>39052.06</v>
      </c>
    </row>
    <row r="2033" spans="1:5" hidden="1" x14ac:dyDescent="0.3">
      <c r="A2033" s="1">
        <v>43756</v>
      </c>
      <c r="B2033">
        <v>39087.83</v>
      </c>
      <c r="C2033">
        <v>39361.06</v>
      </c>
      <c r="D2033">
        <v>38963.599999999999</v>
      </c>
      <c r="E2033">
        <v>39298.379999999997</v>
      </c>
    </row>
    <row r="2034" spans="1:5" hidden="1" x14ac:dyDescent="0.3">
      <c r="A2034" s="1">
        <v>43760</v>
      </c>
      <c r="B2034">
        <v>39233.4</v>
      </c>
      <c r="C2034">
        <v>39426.47</v>
      </c>
      <c r="D2034">
        <v>38924.85</v>
      </c>
      <c r="E2034">
        <v>38963.839999999997</v>
      </c>
    </row>
    <row r="2035" spans="1:5" hidden="1" x14ac:dyDescent="0.3">
      <c r="A2035" s="1">
        <v>43761</v>
      </c>
      <c r="B2035">
        <v>39063.839999999997</v>
      </c>
      <c r="C2035">
        <v>39196.67</v>
      </c>
      <c r="D2035">
        <v>38866.080000000002</v>
      </c>
      <c r="E2035">
        <v>39058.83</v>
      </c>
    </row>
    <row r="2036" spans="1:5" hidden="1" x14ac:dyDescent="0.3">
      <c r="A2036" s="1">
        <v>43762</v>
      </c>
      <c r="B2036">
        <v>39223.01</v>
      </c>
      <c r="C2036">
        <v>39327.15</v>
      </c>
      <c r="D2036">
        <v>38840.76</v>
      </c>
      <c r="E2036">
        <v>39020.39</v>
      </c>
    </row>
    <row r="2037" spans="1:5" hidden="1" x14ac:dyDescent="0.3">
      <c r="A2037" s="1">
        <v>43763</v>
      </c>
      <c r="B2037">
        <v>39201.67</v>
      </c>
      <c r="C2037">
        <v>39241.61</v>
      </c>
      <c r="D2037">
        <v>38718.269999999997</v>
      </c>
      <c r="E2037">
        <v>39058.06</v>
      </c>
    </row>
    <row r="2038" spans="1:5" hidden="1" x14ac:dyDescent="0.3">
      <c r="A2038" s="1">
        <v>43765</v>
      </c>
      <c r="B2038">
        <v>39397.370000000003</v>
      </c>
      <c r="C2038">
        <v>39402.230000000003</v>
      </c>
      <c r="D2038">
        <v>39180.39</v>
      </c>
      <c r="E2038">
        <v>39250.199999999997</v>
      </c>
    </row>
    <row r="2039" spans="1:5" hidden="1" x14ac:dyDescent="0.3">
      <c r="A2039" s="1">
        <v>43767</v>
      </c>
      <c r="B2039">
        <v>39293.49</v>
      </c>
      <c r="C2039">
        <v>39917.01</v>
      </c>
      <c r="D2039">
        <v>39254.120000000003</v>
      </c>
      <c r="E2039">
        <v>39831.839999999997</v>
      </c>
    </row>
    <row r="2040" spans="1:5" hidden="1" x14ac:dyDescent="0.3">
      <c r="A2040" s="1">
        <v>43768</v>
      </c>
      <c r="B2040">
        <v>40055.629999999997</v>
      </c>
      <c r="C2040">
        <v>40178.120000000003</v>
      </c>
      <c r="D2040">
        <v>39805.11</v>
      </c>
      <c r="E2040">
        <v>40051.870000000003</v>
      </c>
    </row>
    <row r="2041" spans="1:5" hidden="1" x14ac:dyDescent="0.3">
      <c r="A2041" s="1">
        <v>43769</v>
      </c>
      <c r="B2041">
        <v>40211.99</v>
      </c>
      <c r="C2041">
        <v>40392.22</v>
      </c>
      <c r="D2041">
        <v>40054.89</v>
      </c>
      <c r="E2041">
        <v>40129.050000000003</v>
      </c>
    </row>
    <row r="2042" spans="1:5" hidden="1" x14ac:dyDescent="0.3">
      <c r="A2042" s="1">
        <v>43770</v>
      </c>
      <c r="B2042">
        <v>40196.07</v>
      </c>
      <c r="C2042">
        <v>40283.300000000003</v>
      </c>
      <c r="D2042">
        <v>40014.230000000003</v>
      </c>
      <c r="E2042">
        <v>40165.03</v>
      </c>
    </row>
    <row r="2043" spans="1:5" hidden="1" x14ac:dyDescent="0.3">
      <c r="A2043" s="1">
        <v>43773</v>
      </c>
      <c r="B2043">
        <v>40293.85</v>
      </c>
      <c r="C2043">
        <v>40483.21</v>
      </c>
      <c r="D2043">
        <v>40186.29</v>
      </c>
      <c r="E2043">
        <v>40301.96</v>
      </c>
    </row>
    <row r="2044" spans="1:5" hidden="1" x14ac:dyDescent="0.3">
      <c r="A2044" s="1">
        <v>43774</v>
      </c>
      <c r="B2044">
        <v>40445.67</v>
      </c>
      <c r="C2044">
        <v>40466.550000000003</v>
      </c>
      <c r="D2044">
        <v>40053.550000000003</v>
      </c>
      <c r="E2044">
        <v>40248.230000000003</v>
      </c>
    </row>
    <row r="2045" spans="1:5" hidden="1" x14ac:dyDescent="0.3">
      <c r="A2045" s="1">
        <v>43775</v>
      </c>
      <c r="B2045">
        <v>40311.85</v>
      </c>
      <c r="C2045">
        <v>40606.910000000003</v>
      </c>
      <c r="D2045">
        <v>40037.53</v>
      </c>
      <c r="E2045">
        <v>40469.78</v>
      </c>
    </row>
    <row r="2046" spans="1:5" hidden="1" x14ac:dyDescent="0.3">
      <c r="A2046" s="1">
        <v>43776</v>
      </c>
      <c r="B2046">
        <v>40625.64</v>
      </c>
      <c r="C2046">
        <v>40688.269999999997</v>
      </c>
      <c r="D2046">
        <v>40421.07</v>
      </c>
      <c r="E2046">
        <v>40653.74</v>
      </c>
    </row>
    <row r="2047" spans="1:5" hidden="1" x14ac:dyDescent="0.3">
      <c r="A2047" s="1">
        <v>43777</v>
      </c>
      <c r="B2047">
        <v>40630.559999999998</v>
      </c>
      <c r="C2047">
        <v>40749.33</v>
      </c>
      <c r="D2047">
        <v>40263.94</v>
      </c>
      <c r="E2047">
        <v>40323.61</v>
      </c>
    </row>
    <row r="2048" spans="1:5" hidden="1" x14ac:dyDescent="0.3">
      <c r="A2048" s="1">
        <v>43780</v>
      </c>
      <c r="B2048">
        <v>40316.5</v>
      </c>
      <c r="C2048">
        <v>40417.440000000002</v>
      </c>
      <c r="D2048">
        <v>40150.97</v>
      </c>
      <c r="E2048">
        <v>40345.08</v>
      </c>
    </row>
    <row r="2049" spans="1:5" hidden="1" x14ac:dyDescent="0.3">
      <c r="A2049" s="1">
        <v>43782</v>
      </c>
      <c r="B2049">
        <v>40346.43</v>
      </c>
      <c r="C2049">
        <v>40447.17</v>
      </c>
      <c r="D2049">
        <v>40061.230000000003</v>
      </c>
      <c r="E2049">
        <v>40116.06</v>
      </c>
    </row>
    <row r="2050" spans="1:5" hidden="1" x14ac:dyDescent="0.3">
      <c r="A2050" s="1">
        <v>43783</v>
      </c>
      <c r="B2050">
        <v>40178.93</v>
      </c>
      <c r="C2050">
        <v>40348.61</v>
      </c>
      <c r="D2050">
        <v>40026.99</v>
      </c>
      <c r="E2050">
        <v>40286.480000000003</v>
      </c>
    </row>
    <row r="2051" spans="1:5" hidden="1" x14ac:dyDescent="0.3">
      <c r="A2051" s="1">
        <v>43784</v>
      </c>
      <c r="B2051">
        <v>40408.199999999997</v>
      </c>
      <c r="C2051">
        <v>40650.06</v>
      </c>
      <c r="D2051">
        <v>40308.089999999997</v>
      </c>
      <c r="E2051">
        <v>40356.69</v>
      </c>
    </row>
    <row r="2052" spans="1:5" hidden="1" x14ac:dyDescent="0.3">
      <c r="A2052" s="1">
        <v>43787</v>
      </c>
      <c r="B2052">
        <v>40431.08</v>
      </c>
      <c r="C2052">
        <v>40542.400000000001</v>
      </c>
      <c r="D2052">
        <v>40221.97</v>
      </c>
      <c r="E2052">
        <v>40284.19</v>
      </c>
    </row>
    <row r="2053" spans="1:5" hidden="1" x14ac:dyDescent="0.3">
      <c r="A2053" s="1">
        <v>43788</v>
      </c>
      <c r="B2053">
        <v>40455.360000000001</v>
      </c>
      <c r="C2053">
        <v>40544.129999999997</v>
      </c>
      <c r="D2053">
        <v>40290.21</v>
      </c>
      <c r="E2053">
        <v>40469.699999999997</v>
      </c>
    </row>
    <row r="2054" spans="1:5" hidden="1" x14ac:dyDescent="0.3">
      <c r="A2054" s="1">
        <v>43789</v>
      </c>
      <c r="B2054">
        <v>40729.800000000003</v>
      </c>
      <c r="C2054">
        <v>40816.379999999997</v>
      </c>
      <c r="D2054">
        <v>40575.96</v>
      </c>
      <c r="E2054">
        <v>40651.64</v>
      </c>
    </row>
    <row r="2055" spans="1:5" hidden="1" x14ac:dyDescent="0.3">
      <c r="A2055" s="1">
        <v>43790</v>
      </c>
      <c r="B2055">
        <v>40737.31</v>
      </c>
      <c r="C2055">
        <v>40744.85</v>
      </c>
      <c r="D2055">
        <v>40534.120000000003</v>
      </c>
      <c r="E2055">
        <v>40575.17</v>
      </c>
    </row>
    <row r="2056" spans="1:5" hidden="1" x14ac:dyDescent="0.3">
      <c r="A2056" s="1">
        <v>43791</v>
      </c>
      <c r="B2056">
        <v>40653.17</v>
      </c>
      <c r="C2056">
        <v>40653.17</v>
      </c>
      <c r="D2056">
        <v>40276.83</v>
      </c>
      <c r="E2056">
        <v>40359.410000000003</v>
      </c>
    </row>
    <row r="2057" spans="1:5" hidden="1" x14ac:dyDescent="0.3">
      <c r="A2057" s="1">
        <v>43794</v>
      </c>
      <c r="B2057">
        <v>40439.660000000003</v>
      </c>
      <c r="C2057">
        <v>40931.71</v>
      </c>
      <c r="D2057">
        <v>40393.9</v>
      </c>
      <c r="E2057">
        <v>40889.230000000003</v>
      </c>
    </row>
    <row r="2058" spans="1:5" hidden="1" x14ac:dyDescent="0.3">
      <c r="A2058" s="1">
        <v>43795</v>
      </c>
      <c r="B2058">
        <v>41022.85</v>
      </c>
      <c r="C2058">
        <v>41120.28</v>
      </c>
      <c r="D2058">
        <v>40710.199999999997</v>
      </c>
      <c r="E2058">
        <v>40821.300000000003</v>
      </c>
    </row>
    <row r="2059" spans="1:5" hidden="1" x14ac:dyDescent="0.3">
      <c r="A2059" s="1">
        <v>43796</v>
      </c>
      <c r="B2059">
        <v>40979.39</v>
      </c>
      <c r="C2059">
        <v>41075.760000000002</v>
      </c>
      <c r="D2059">
        <v>40848.699999999997</v>
      </c>
      <c r="E2059">
        <v>41020.61</v>
      </c>
    </row>
    <row r="2060" spans="1:5" hidden="1" x14ac:dyDescent="0.3">
      <c r="A2060" s="1">
        <v>43797</v>
      </c>
      <c r="B2060">
        <v>41161.54</v>
      </c>
      <c r="C2060">
        <v>41163.79</v>
      </c>
      <c r="D2060">
        <v>40996.080000000002</v>
      </c>
      <c r="E2060">
        <v>41130.17</v>
      </c>
    </row>
    <row r="2061" spans="1:5" hidden="1" x14ac:dyDescent="0.3">
      <c r="A2061" s="1">
        <v>43798</v>
      </c>
      <c r="B2061">
        <v>41138.26</v>
      </c>
      <c r="C2061">
        <v>41143.22</v>
      </c>
      <c r="D2061">
        <v>40664.18</v>
      </c>
      <c r="E2061">
        <v>40793.81</v>
      </c>
    </row>
    <row r="2062" spans="1:5" hidden="1" x14ac:dyDescent="0.3">
      <c r="A2062" s="1">
        <v>43801</v>
      </c>
      <c r="B2062">
        <v>41072.94</v>
      </c>
      <c r="C2062">
        <v>41093.99</v>
      </c>
      <c r="D2062">
        <v>40707.629999999997</v>
      </c>
      <c r="E2062">
        <v>40802.17</v>
      </c>
    </row>
    <row r="2063" spans="1:5" hidden="1" x14ac:dyDescent="0.3">
      <c r="A2063" s="1">
        <v>43802</v>
      </c>
      <c r="B2063">
        <v>40852.61</v>
      </c>
      <c r="C2063">
        <v>40885.03</v>
      </c>
      <c r="D2063">
        <v>40554.04</v>
      </c>
      <c r="E2063">
        <v>40675.449999999997</v>
      </c>
    </row>
    <row r="2064" spans="1:5" hidden="1" x14ac:dyDescent="0.3">
      <c r="A2064" s="1">
        <v>43803</v>
      </c>
      <c r="B2064">
        <v>40606.01</v>
      </c>
      <c r="C2064">
        <v>40886.870000000003</v>
      </c>
      <c r="D2064">
        <v>40475.83</v>
      </c>
      <c r="E2064">
        <v>40850.29</v>
      </c>
    </row>
    <row r="2065" spans="1:5" hidden="1" x14ac:dyDescent="0.3">
      <c r="A2065" s="1">
        <v>43804</v>
      </c>
      <c r="B2065">
        <v>40988.14</v>
      </c>
      <c r="C2065">
        <v>41002.410000000003</v>
      </c>
      <c r="D2065">
        <v>40720.17</v>
      </c>
      <c r="E2065">
        <v>40779.589999999997</v>
      </c>
    </row>
    <row r="2066" spans="1:5" hidden="1" x14ac:dyDescent="0.3">
      <c r="A2066" s="1">
        <v>43805</v>
      </c>
      <c r="B2066">
        <v>40952.129999999997</v>
      </c>
      <c r="C2066">
        <v>40952.129999999997</v>
      </c>
      <c r="D2066">
        <v>40337.53</v>
      </c>
      <c r="E2066">
        <v>40445.15</v>
      </c>
    </row>
    <row r="2067" spans="1:5" hidden="1" x14ac:dyDescent="0.3">
      <c r="A2067" s="1">
        <v>43808</v>
      </c>
      <c r="B2067">
        <v>40527.24</v>
      </c>
      <c r="C2067">
        <v>40645.629999999997</v>
      </c>
      <c r="D2067">
        <v>40336.559999999998</v>
      </c>
      <c r="E2067">
        <v>40487.43</v>
      </c>
    </row>
    <row r="2068" spans="1:5" hidden="1" x14ac:dyDescent="0.3">
      <c r="A2068" s="1">
        <v>43809</v>
      </c>
      <c r="B2068">
        <v>40588.81</v>
      </c>
      <c r="C2068">
        <v>40588.81</v>
      </c>
      <c r="D2068">
        <v>40208.699999999997</v>
      </c>
      <c r="E2068">
        <v>40239.879999999997</v>
      </c>
    </row>
    <row r="2069" spans="1:5" hidden="1" x14ac:dyDescent="0.3">
      <c r="A2069" s="1">
        <v>43810</v>
      </c>
      <c r="B2069">
        <v>40285.199999999997</v>
      </c>
      <c r="C2069">
        <v>40466.129999999997</v>
      </c>
      <c r="D2069">
        <v>40135.370000000003</v>
      </c>
      <c r="E2069">
        <v>40412.57</v>
      </c>
    </row>
    <row r="2070" spans="1:5" hidden="1" x14ac:dyDescent="0.3">
      <c r="A2070" s="1">
        <v>43811</v>
      </c>
      <c r="B2070">
        <v>40561.339999999997</v>
      </c>
      <c r="C2070">
        <v>40712.65</v>
      </c>
      <c r="D2070">
        <v>40490.69</v>
      </c>
      <c r="E2070">
        <v>40581.71</v>
      </c>
    </row>
    <row r="2071" spans="1:5" hidden="1" x14ac:dyDescent="0.3">
      <c r="A2071" s="1">
        <v>43812</v>
      </c>
      <c r="B2071">
        <v>40754.82</v>
      </c>
      <c r="C2071">
        <v>41055.800000000003</v>
      </c>
      <c r="D2071">
        <v>40736.699999999997</v>
      </c>
      <c r="E2071">
        <v>41009.71</v>
      </c>
    </row>
    <row r="2072" spans="1:5" hidden="1" x14ac:dyDescent="0.3">
      <c r="A2072" s="1">
        <v>43815</v>
      </c>
      <c r="B2072">
        <v>41168.85</v>
      </c>
      <c r="C2072">
        <v>41185.03</v>
      </c>
      <c r="D2072">
        <v>40917.93</v>
      </c>
      <c r="E2072">
        <v>40938.720000000001</v>
      </c>
    </row>
    <row r="2073" spans="1:5" hidden="1" x14ac:dyDescent="0.3">
      <c r="A2073" s="1">
        <v>43816</v>
      </c>
      <c r="B2073">
        <v>41052.36</v>
      </c>
      <c r="C2073">
        <v>41401.65</v>
      </c>
      <c r="D2073">
        <v>41005.18</v>
      </c>
      <c r="E2073">
        <v>41352.17</v>
      </c>
    </row>
    <row r="2074" spans="1:5" hidden="1" x14ac:dyDescent="0.3">
      <c r="A2074" s="1">
        <v>43817</v>
      </c>
      <c r="B2074">
        <v>41442.75</v>
      </c>
      <c r="C2074">
        <v>41614.769999999997</v>
      </c>
      <c r="D2074">
        <v>41358.47</v>
      </c>
      <c r="E2074">
        <v>41558.57</v>
      </c>
    </row>
    <row r="2075" spans="1:5" hidden="1" x14ac:dyDescent="0.3">
      <c r="A2075" s="1">
        <v>43818</v>
      </c>
      <c r="B2075">
        <v>41571.82</v>
      </c>
      <c r="C2075">
        <v>41719.29</v>
      </c>
      <c r="D2075">
        <v>41456.400000000001</v>
      </c>
      <c r="E2075">
        <v>41673.919999999998</v>
      </c>
    </row>
    <row r="2076" spans="1:5" hidden="1" x14ac:dyDescent="0.3">
      <c r="A2076" s="1">
        <v>43819</v>
      </c>
      <c r="B2076">
        <v>41746.199999999997</v>
      </c>
      <c r="C2076">
        <v>41809.96</v>
      </c>
      <c r="D2076">
        <v>41636.11</v>
      </c>
      <c r="E2076">
        <v>41681.54</v>
      </c>
    </row>
    <row r="2077" spans="1:5" hidden="1" x14ac:dyDescent="0.3">
      <c r="A2077" s="1">
        <v>43822</v>
      </c>
      <c r="B2077">
        <v>41548.26</v>
      </c>
      <c r="C2077">
        <v>41701.620000000003</v>
      </c>
      <c r="D2077">
        <v>41474.61</v>
      </c>
      <c r="E2077">
        <v>41642.660000000003</v>
      </c>
    </row>
    <row r="2078" spans="1:5" hidden="1" x14ac:dyDescent="0.3">
      <c r="A2078" s="1">
        <v>43823</v>
      </c>
      <c r="B2078">
        <v>41684.51</v>
      </c>
      <c r="C2078">
        <v>41702.980000000003</v>
      </c>
      <c r="D2078">
        <v>41423.07</v>
      </c>
      <c r="E2078">
        <v>41461.26</v>
      </c>
    </row>
    <row r="2079" spans="1:5" hidden="1" x14ac:dyDescent="0.3">
      <c r="A2079" s="1">
        <v>43825</v>
      </c>
      <c r="B2079">
        <v>41543.800000000003</v>
      </c>
      <c r="C2079">
        <v>41543.800000000003</v>
      </c>
      <c r="D2079">
        <v>41132.89</v>
      </c>
      <c r="E2079">
        <v>41163.760000000002</v>
      </c>
    </row>
    <row r="2080" spans="1:5" hidden="1" x14ac:dyDescent="0.3">
      <c r="A2080" s="1">
        <v>43826</v>
      </c>
      <c r="B2080">
        <v>41297.08</v>
      </c>
      <c r="C2080">
        <v>41611.269999999997</v>
      </c>
      <c r="D2080">
        <v>41264.92</v>
      </c>
      <c r="E2080">
        <v>41575.14</v>
      </c>
    </row>
    <row r="2081" spans="1:5" hidden="1" x14ac:dyDescent="0.3">
      <c r="A2081" s="1">
        <v>43829</v>
      </c>
      <c r="B2081">
        <v>41686.269999999997</v>
      </c>
      <c r="C2081">
        <v>41714.730000000003</v>
      </c>
      <c r="D2081">
        <v>41453.379999999997</v>
      </c>
      <c r="E2081">
        <v>41558</v>
      </c>
    </row>
    <row r="2082" spans="1:5" hidden="1" x14ac:dyDescent="0.3">
      <c r="A2082" s="1">
        <v>43830</v>
      </c>
      <c r="B2082">
        <v>41607.49</v>
      </c>
      <c r="C2082">
        <v>41607.49</v>
      </c>
      <c r="D2082">
        <v>41184.730000000003</v>
      </c>
      <c r="E2082">
        <v>41253.74</v>
      </c>
    </row>
    <row r="2083" spans="1:5" hidden="1" x14ac:dyDescent="0.3">
      <c r="A2083" s="1">
        <v>43831</v>
      </c>
      <c r="B2083">
        <v>41349.360000000001</v>
      </c>
      <c r="C2083">
        <v>41443.519999999997</v>
      </c>
      <c r="D2083">
        <v>41251.18</v>
      </c>
      <c r="E2083">
        <v>41306.019999999997</v>
      </c>
    </row>
    <row r="2084" spans="1:5" hidden="1" x14ac:dyDescent="0.3">
      <c r="A2084" s="1">
        <v>43832</v>
      </c>
      <c r="B2084">
        <v>41340.269999999997</v>
      </c>
      <c r="C2084">
        <v>41649.29</v>
      </c>
      <c r="D2084">
        <v>41328.449999999997</v>
      </c>
      <c r="E2084">
        <v>41626.639999999999</v>
      </c>
    </row>
    <row r="2085" spans="1:5" hidden="1" x14ac:dyDescent="0.3">
      <c r="A2085" s="1">
        <v>43833</v>
      </c>
      <c r="B2085">
        <v>41634.51</v>
      </c>
      <c r="C2085">
        <v>41636.18</v>
      </c>
      <c r="D2085">
        <v>41348.68</v>
      </c>
      <c r="E2085">
        <v>41464.61</v>
      </c>
    </row>
    <row r="2086" spans="1:5" hidden="1" x14ac:dyDescent="0.3">
      <c r="A2086" s="1">
        <v>43836</v>
      </c>
      <c r="B2086">
        <v>41378.339999999997</v>
      </c>
      <c r="C2086">
        <v>41378.339999999997</v>
      </c>
      <c r="D2086">
        <v>40613.96</v>
      </c>
      <c r="E2086">
        <v>40676.629999999997</v>
      </c>
    </row>
    <row r="2087" spans="1:5" hidden="1" x14ac:dyDescent="0.3">
      <c r="A2087" s="1">
        <v>43837</v>
      </c>
      <c r="B2087">
        <v>40983.040000000001</v>
      </c>
      <c r="C2087">
        <v>41230.14</v>
      </c>
      <c r="D2087">
        <v>40727.370000000003</v>
      </c>
      <c r="E2087">
        <v>40869.47</v>
      </c>
    </row>
    <row r="2088" spans="1:5" hidden="1" x14ac:dyDescent="0.3">
      <c r="A2088" s="1">
        <v>43838</v>
      </c>
      <c r="B2088">
        <v>40574.83</v>
      </c>
      <c r="C2088">
        <v>40866.36</v>
      </c>
      <c r="D2088">
        <v>40476.550000000003</v>
      </c>
      <c r="E2088">
        <v>40817.74</v>
      </c>
    </row>
    <row r="2089" spans="1:5" hidden="1" x14ac:dyDescent="0.3">
      <c r="A2089" s="1">
        <v>43839</v>
      </c>
      <c r="B2089">
        <v>41216.67</v>
      </c>
      <c r="C2089">
        <v>41482.120000000003</v>
      </c>
      <c r="D2089">
        <v>41175.72</v>
      </c>
      <c r="E2089">
        <v>41452.35</v>
      </c>
    </row>
    <row r="2090" spans="1:5" hidden="1" x14ac:dyDescent="0.3">
      <c r="A2090" s="1">
        <v>43840</v>
      </c>
      <c r="B2090">
        <v>41568.199999999997</v>
      </c>
      <c r="C2090">
        <v>41775.11</v>
      </c>
      <c r="D2090">
        <v>41447.800000000003</v>
      </c>
      <c r="E2090">
        <v>41599.72</v>
      </c>
    </row>
    <row r="2091" spans="1:5" hidden="1" x14ac:dyDescent="0.3">
      <c r="A2091" s="1">
        <v>43843</v>
      </c>
      <c r="B2091">
        <v>41788.21</v>
      </c>
      <c r="C2091">
        <v>41899.629999999997</v>
      </c>
      <c r="D2091">
        <v>41720.76</v>
      </c>
      <c r="E2091">
        <v>41859.69</v>
      </c>
    </row>
    <row r="2092" spans="1:5" hidden="1" x14ac:dyDescent="0.3">
      <c r="A2092" s="1">
        <v>43844</v>
      </c>
      <c r="B2092">
        <v>41883.089999999997</v>
      </c>
      <c r="C2092">
        <v>41994.26</v>
      </c>
      <c r="D2092">
        <v>41770.9</v>
      </c>
      <c r="E2092">
        <v>41952.63</v>
      </c>
    </row>
    <row r="2093" spans="1:5" hidden="1" x14ac:dyDescent="0.3">
      <c r="A2093" s="1">
        <v>43845</v>
      </c>
      <c r="B2093">
        <v>41969.86</v>
      </c>
      <c r="C2093">
        <v>41969.86</v>
      </c>
      <c r="D2093">
        <v>41648.11</v>
      </c>
      <c r="E2093">
        <v>41872.730000000003</v>
      </c>
    </row>
    <row r="2094" spans="1:5" hidden="1" x14ac:dyDescent="0.3">
      <c r="A2094" s="1">
        <v>43846</v>
      </c>
      <c r="B2094">
        <v>41924.74</v>
      </c>
      <c r="C2094">
        <v>42059.45</v>
      </c>
      <c r="D2094">
        <v>41812.28</v>
      </c>
      <c r="E2094">
        <v>41932.559999999998</v>
      </c>
    </row>
    <row r="2095" spans="1:5" hidden="1" x14ac:dyDescent="0.3">
      <c r="A2095" s="1">
        <v>43847</v>
      </c>
      <c r="B2095">
        <v>41929.019999999997</v>
      </c>
      <c r="C2095">
        <v>42063.93</v>
      </c>
      <c r="D2095">
        <v>41850.29</v>
      </c>
      <c r="E2095">
        <v>41945.37</v>
      </c>
    </row>
    <row r="2096" spans="1:5" hidden="1" x14ac:dyDescent="0.3">
      <c r="A2096" s="1">
        <v>43850</v>
      </c>
      <c r="B2096">
        <v>42263</v>
      </c>
      <c r="C2096">
        <v>42273.87</v>
      </c>
      <c r="D2096">
        <v>41503.370000000003</v>
      </c>
      <c r="E2096">
        <v>41528.910000000003</v>
      </c>
    </row>
    <row r="2097" spans="1:5" hidden="1" x14ac:dyDescent="0.3">
      <c r="A2097" s="1">
        <v>43851</v>
      </c>
      <c r="B2097">
        <v>41487.57</v>
      </c>
      <c r="C2097">
        <v>41532.589999999997</v>
      </c>
      <c r="D2097">
        <v>41294.300000000003</v>
      </c>
      <c r="E2097">
        <v>41323.81</v>
      </c>
    </row>
    <row r="2098" spans="1:5" hidden="1" x14ac:dyDescent="0.3">
      <c r="A2098" s="1">
        <v>43852</v>
      </c>
      <c r="B2098">
        <v>41467.129999999997</v>
      </c>
      <c r="C2098">
        <v>41532.29</v>
      </c>
      <c r="D2098">
        <v>41059.040000000001</v>
      </c>
      <c r="E2098">
        <v>41115.379999999997</v>
      </c>
    </row>
    <row r="2099" spans="1:5" hidden="1" x14ac:dyDescent="0.3">
      <c r="A2099" s="1">
        <v>43853</v>
      </c>
      <c r="B2099">
        <v>41191.5</v>
      </c>
      <c r="C2099">
        <v>41413.96</v>
      </c>
      <c r="D2099">
        <v>41098.910000000003</v>
      </c>
      <c r="E2099">
        <v>41386.400000000001</v>
      </c>
    </row>
    <row r="2100" spans="1:5" hidden="1" x14ac:dyDescent="0.3">
      <c r="A2100" s="1">
        <v>43854</v>
      </c>
      <c r="B2100">
        <v>41377.040000000001</v>
      </c>
      <c r="C2100">
        <v>41697.03</v>
      </c>
      <c r="D2100">
        <v>41275.599999999999</v>
      </c>
      <c r="E2100">
        <v>41613.19</v>
      </c>
    </row>
    <row r="2101" spans="1:5" hidden="1" x14ac:dyDescent="0.3">
      <c r="A2101" s="1">
        <v>43857</v>
      </c>
      <c r="B2101">
        <v>41510.68</v>
      </c>
      <c r="C2101">
        <v>41516.269999999997</v>
      </c>
      <c r="D2101">
        <v>41122.480000000003</v>
      </c>
      <c r="E2101">
        <v>41155.120000000003</v>
      </c>
    </row>
    <row r="2102" spans="1:5" hidden="1" x14ac:dyDescent="0.3">
      <c r="A2102" s="1">
        <v>43858</v>
      </c>
      <c r="B2102">
        <v>41299.68</v>
      </c>
      <c r="C2102">
        <v>41333.25</v>
      </c>
      <c r="D2102">
        <v>40869.75</v>
      </c>
      <c r="E2102">
        <v>40966.86</v>
      </c>
    </row>
    <row r="2103" spans="1:5" hidden="1" x14ac:dyDescent="0.3">
      <c r="A2103" s="1">
        <v>43859</v>
      </c>
      <c r="B2103">
        <v>41131.57</v>
      </c>
      <c r="C2103">
        <v>41334.86</v>
      </c>
      <c r="D2103">
        <v>41108.19</v>
      </c>
      <c r="E2103">
        <v>41198.660000000003</v>
      </c>
    </row>
    <row r="2104" spans="1:5" hidden="1" x14ac:dyDescent="0.3">
      <c r="A2104" s="1">
        <v>43860</v>
      </c>
      <c r="B2104">
        <v>41380.14</v>
      </c>
      <c r="C2104">
        <v>41380.14</v>
      </c>
      <c r="D2104">
        <v>40829.910000000003</v>
      </c>
      <c r="E2104">
        <v>40913.82</v>
      </c>
    </row>
    <row r="2105" spans="1:5" hidden="1" x14ac:dyDescent="0.3">
      <c r="A2105" s="1">
        <v>43861</v>
      </c>
      <c r="B2105">
        <v>41146.559999999998</v>
      </c>
      <c r="C2105">
        <v>41154.49</v>
      </c>
      <c r="D2105">
        <v>40671.01</v>
      </c>
      <c r="E2105">
        <v>40723.49</v>
      </c>
    </row>
    <row r="2106" spans="1:5" hidden="1" x14ac:dyDescent="0.3">
      <c r="A2106" s="1">
        <v>43862</v>
      </c>
      <c r="B2106">
        <v>40753.18</v>
      </c>
      <c r="C2106">
        <v>40905.78</v>
      </c>
      <c r="D2106">
        <v>39631.24</v>
      </c>
      <c r="E2106">
        <v>39735.53</v>
      </c>
    </row>
    <row r="2107" spans="1:5" hidden="1" x14ac:dyDescent="0.3">
      <c r="A2107" s="1">
        <v>43864</v>
      </c>
      <c r="B2107">
        <v>39701.019999999997</v>
      </c>
      <c r="C2107">
        <v>40014.9</v>
      </c>
      <c r="D2107">
        <v>39563.07</v>
      </c>
      <c r="E2107">
        <v>39872.31</v>
      </c>
    </row>
    <row r="2108" spans="1:5" hidden="1" x14ac:dyDescent="0.3">
      <c r="A2108" s="1">
        <v>43865</v>
      </c>
      <c r="B2108">
        <v>40178.74</v>
      </c>
      <c r="C2108">
        <v>40818.94</v>
      </c>
      <c r="D2108">
        <v>40117.46</v>
      </c>
      <c r="E2108">
        <v>40789.379999999997</v>
      </c>
    </row>
    <row r="2109" spans="1:5" hidden="1" x14ac:dyDescent="0.3">
      <c r="A2109" s="1">
        <v>43866</v>
      </c>
      <c r="B2109">
        <v>40921.71</v>
      </c>
      <c r="C2109">
        <v>41177</v>
      </c>
      <c r="D2109">
        <v>40703.32</v>
      </c>
      <c r="E2109">
        <v>41142.660000000003</v>
      </c>
    </row>
    <row r="2110" spans="1:5" hidden="1" x14ac:dyDescent="0.3">
      <c r="A2110" s="1">
        <v>43867</v>
      </c>
      <c r="B2110">
        <v>41209.129999999997</v>
      </c>
      <c r="C2110">
        <v>41405.43</v>
      </c>
      <c r="D2110">
        <v>41113.11</v>
      </c>
      <c r="E2110">
        <v>41306.03</v>
      </c>
    </row>
    <row r="2111" spans="1:5" hidden="1" x14ac:dyDescent="0.3">
      <c r="A2111" s="1">
        <v>43868</v>
      </c>
      <c r="B2111">
        <v>41394.410000000003</v>
      </c>
      <c r="C2111">
        <v>41394.410000000003</v>
      </c>
      <c r="D2111">
        <v>41073.360000000001</v>
      </c>
      <c r="E2111">
        <v>41141.85</v>
      </c>
    </row>
    <row r="2112" spans="1:5" hidden="1" x14ac:dyDescent="0.3">
      <c r="A2112" s="1">
        <v>43871</v>
      </c>
      <c r="B2112">
        <v>41166.720000000001</v>
      </c>
      <c r="C2112">
        <v>41172.06</v>
      </c>
      <c r="D2112">
        <v>40798.980000000003</v>
      </c>
      <c r="E2112">
        <v>40979.620000000003</v>
      </c>
    </row>
    <row r="2113" spans="1:5" hidden="1" x14ac:dyDescent="0.3">
      <c r="A2113" s="1">
        <v>43872</v>
      </c>
      <c r="B2113">
        <v>41183.39</v>
      </c>
      <c r="C2113">
        <v>41444.339999999997</v>
      </c>
      <c r="D2113">
        <v>41179.14</v>
      </c>
      <c r="E2113">
        <v>41216.14</v>
      </c>
    </row>
    <row r="2114" spans="1:5" hidden="1" x14ac:dyDescent="0.3">
      <c r="A2114" s="1">
        <v>43873</v>
      </c>
      <c r="B2114">
        <v>41330.85</v>
      </c>
      <c r="C2114">
        <v>41671.86</v>
      </c>
      <c r="D2114">
        <v>41330.85</v>
      </c>
      <c r="E2114">
        <v>41565.9</v>
      </c>
    </row>
    <row r="2115" spans="1:5" hidden="1" x14ac:dyDescent="0.3">
      <c r="A2115" s="1">
        <v>43874</v>
      </c>
      <c r="B2115">
        <v>41707.21</v>
      </c>
      <c r="C2115">
        <v>41709.300000000003</v>
      </c>
      <c r="D2115">
        <v>41338.31</v>
      </c>
      <c r="E2115">
        <v>41459.79</v>
      </c>
    </row>
    <row r="2116" spans="1:5" hidden="1" x14ac:dyDescent="0.3">
      <c r="A2116" s="1">
        <v>43875</v>
      </c>
      <c r="B2116">
        <v>41510.19</v>
      </c>
      <c r="C2116">
        <v>41702.36</v>
      </c>
      <c r="D2116">
        <v>41183.129999999997</v>
      </c>
      <c r="E2116">
        <v>41257.74</v>
      </c>
    </row>
    <row r="2117" spans="1:5" hidden="1" x14ac:dyDescent="0.3">
      <c r="A2117" s="1">
        <v>43878</v>
      </c>
      <c r="B2117">
        <v>41324.04</v>
      </c>
      <c r="C2117">
        <v>41420.339999999997</v>
      </c>
      <c r="D2117">
        <v>41030.58</v>
      </c>
      <c r="E2117">
        <v>41055.69</v>
      </c>
    </row>
    <row r="2118" spans="1:5" hidden="1" x14ac:dyDescent="0.3">
      <c r="A2118" s="1">
        <v>43879</v>
      </c>
      <c r="B2118">
        <v>41042.46</v>
      </c>
      <c r="C2118">
        <v>41042.46</v>
      </c>
      <c r="D2118">
        <v>40610.949999999997</v>
      </c>
      <c r="E2118">
        <v>40894.379999999997</v>
      </c>
    </row>
    <row r="2119" spans="1:5" hidden="1" x14ac:dyDescent="0.3">
      <c r="A2119" s="1">
        <v>43880</v>
      </c>
      <c r="B2119">
        <v>41121.51</v>
      </c>
      <c r="C2119">
        <v>41357.160000000003</v>
      </c>
      <c r="D2119">
        <v>41048.93</v>
      </c>
      <c r="E2119">
        <v>41323</v>
      </c>
    </row>
    <row r="2120" spans="1:5" hidden="1" x14ac:dyDescent="0.3">
      <c r="A2120" s="1">
        <v>43881</v>
      </c>
      <c r="B2120">
        <v>41334.959999999999</v>
      </c>
      <c r="C2120">
        <v>41399.93</v>
      </c>
      <c r="D2120">
        <v>41134.31</v>
      </c>
      <c r="E2120">
        <v>41170.120000000003</v>
      </c>
    </row>
    <row r="2121" spans="1:5" hidden="1" x14ac:dyDescent="0.3">
      <c r="A2121" s="1">
        <v>43885</v>
      </c>
      <c r="B2121">
        <v>41037.01</v>
      </c>
      <c r="C2121">
        <v>41037.01</v>
      </c>
      <c r="D2121">
        <v>40306.36</v>
      </c>
      <c r="E2121">
        <v>40363.230000000003</v>
      </c>
    </row>
    <row r="2122" spans="1:5" hidden="1" x14ac:dyDescent="0.3">
      <c r="A2122" s="1">
        <v>43886</v>
      </c>
      <c r="B2122">
        <v>40497.72</v>
      </c>
      <c r="C2122">
        <v>40536</v>
      </c>
      <c r="D2122">
        <v>40220.589999999997</v>
      </c>
      <c r="E2122">
        <v>40281.199999999997</v>
      </c>
    </row>
    <row r="2123" spans="1:5" hidden="1" x14ac:dyDescent="0.3">
      <c r="A2123" s="1">
        <v>43887</v>
      </c>
      <c r="B2123">
        <v>40194.89</v>
      </c>
      <c r="C2123">
        <v>40255.39</v>
      </c>
      <c r="D2123">
        <v>39760.39</v>
      </c>
      <c r="E2123">
        <v>39888.959999999999</v>
      </c>
    </row>
    <row r="2124" spans="1:5" hidden="1" x14ac:dyDescent="0.3">
      <c r="A2124" s="1">
        <v>43888</v>
      </c>
      <c r="B2124">
        <v>39947.800000000003</v>
      </c>
      <c r="C2124">
        <v>39947.800000000003</v>
      </c>
      <c r="D2124">
        <v>39423.269999999997</v>
      </c>
      <c r="E2124">
        <v>39745.660000000003</v>
      </c>
    </row>
    <row r="2125" spans="1:5" hidden="1" x14ac:dyDescent="0.3">
      <c r="A2125" s="1">
        <v>43889</v>
      </c>
      <c r="B2125">
        <v>39087.47</v>
      </c>
      <c r="C2125">
        <v>39087.47</v>
      </c>
      <c r="D2125">
        <v>38219.97</v>
      </c>
      <c r="E2125">
        <v>38297.29</v>
      </c>
    </row>
    <row r="2126" spans="1:5" hidden="1" x14ac:dyDescent="0.3">
      <c r="A2126" s="1">
        <v>43892</v>
      </c>
      <c r="B2126">
        <v>38910.949999999997</v>
      </c>
      <c r="C2126">
        <v>39083.17</v>
      </c>
      <c r="D2126">
        <v>37785.99</v>
      </c>
      <c r="E2126">
        <v>38144.019999999997</v>
      </c>
    </row>
    <row r="2127" spans="1:5" hidden="1" x14ac:dyDescent="0.3">
      <c r="A2127" s="1">
        <v>43893</v>
      </c>
      <c r="B2127">
        <v>38480.89</v>
      </c>
      <c r="C2127">
        <v>38754.239999999998</v>
      </c>
      <c r="D2127">
        <v>38142.300000000003</v>
      </c>
      <c r="E2127">
        <v>38623.699999999997</v>
      </c>
    </row>
    <row r="2128" spans="1:5" hidden="1" x14ac:dyDescent="0.3">
      <c r="A2128" s="1">
        <v>43894</v>
      </c>
      <c r="B2128">
        <v>38715.72</v>
      </c>
      <c r="C2128">
        <v>38791.699999999997</v>
      </c>
      <c r="D2128">
        <v>37846.1</v>
      </c>
      <c r="E2128">
        <v>38409.480000000003</v>
      </c>
    </row>
    <row r="2129" spans="1:5" hidden="1" x14ac:dyDescent="0.3">
      <c r="A2129" s="1">
        <v>43895</v>
      </c>
      <c r="B2129">
        <v>38604.25</v>
      </c>
      <c r="C2129">
        <v>38887.800000000003</v>
      </c>
      <c r="D2129">
        <v>38386.68</v>
      </c>
      <c r="E2129">
        <v>38470.61</v>
      </c>
    </row>
    <row r="2130" spans="1:5" hidden="1" x14ac:dyDescent="0.3">
      <c r="A2130" s="1">
        <v>43896</v>
      </c>
      <c r="B2130">
        <v>37613.96</v>
      </c>
      <c r="C2130">
        <v>37747.07</v>
      </c>
      <c r="D2130">
        <v>37011.089999999997</v>
      </c>
      <c r="E2130">
        <v>37576.620000000003</v>
      </c>
    </row>
    <row r="2131" spans="1:5" hidden="1" x14ac:dyDescent="0.3">
      <c r="A2131" s="1">
        <v>43899</v>
      </c>
      <c r="B2131">
        <v>36950.199999999997</v>
      </c>
      <c r="C2131">
        <v>36950.199999999997</v>
      </c>
      <c r="D2131">
        <v>35109.18</v>
      </c>
      <c r="E2131">
        <v>35634.949999999997</v>
      </c>
    </row>
    <row r="2132" spans="1:5" hidden="1" x14ac:dyDescent="0.3">
      <c r="A2132" s="1">
        <v>43901</v>
      </c>
      <c r="B2132">
        <v>35468.9</v>
      </c>
      <c r="C2132">
        <v>36021.51</v>
      </c>
      <c r="D2132">
        <v>35261.919999999998</v>
      </c>
      <c r="E2132">
        <v>35697.4</v>
      </c>
    </row>
    <row r="2133" spans="1:5" hidden="1" x14ac:dyDescent="0.3">
      <c r="A2133" s="1">
        <v>43902</v>
      </c>
      <c r="B2133">
        <v>34472.5</v>
      </c>
      <c r="C2133">
        <v>34472.5</v>
      </c>
      <c r="D2133">
        <v>32493.1</v>
      </c>
      <c r="E2133">
        <v>32778.14</v>
      </c>
    </row>
    <row r="2134" spans="1:5" hidden="1" x14ac:dyDescent="0.3">
      <c r="A2134" s="1">
        <v>43903</v>
      </c>
      <c r="B2134">
        <v>31214.13</v>
      </c>
      <c r="C2134">
        <v>34769.480000000003</v>
      </c>
      <c r="D2134">
        <v>29388.97</v>
      </c>
      <c r="E2134">
        <v>34103.480000000003</v>
      </c>
    </row>
    <row r="2135" spans="1:5" hidden="1" x14ac:dyDescent="0.3">
      <c r="A2135" s="1">
        <v>43906</v>
      </c>
      <c r="B2135">
        <v>33103.24</v>
      </c>
      <c r="C2135">
        <v>33103.24</v>
      </c>
      <c r="D2135">
        <v>31276.3</v>
      </c>
      <c r="E2135">
        <v>31390.07</v>
      </c>
    </row>
    <row r="2136" spans="1:5" hidden="1" x14ac:dyDescent="0.3">
      <c r="A2136" s="1">
        <v>43907</v>
      </c>
      <c r="B2136">
        <v>31611.57</v>
      </c>
      <c r="C2136">
        <v>32047.98</v>
      </c>
      <c r="D2136">
        <v>30394.94</v>
      </c>
      <c r="E2136">
        <v>30579.09</v>
      </c>
    </row>
    <row r="2137" spans="1:5" hidden="1" x14ac:dyDescent="0.3">
      <c r="A2137" s="1">
        <v>43908</v>
      </c>
      <c r="B2137">
        <v>30968.84</v>
      </c>
      <c r="C2137">
        <v>31101.77</v>
      </c>
      <c r="D2137">
        <v>28613.05</v>
      </c>
      <c r="E2137">
        <v>28869.51</v>
      </c>
    </row>
    <row r="2138" spans="1:5" hidden="1" x14ac:dyDescent="0.3">
      <c r="A2138" s="1">
        <v>43909</v>
      </c>
      <c r="B2138">
        <v>27773.360000000001</v>
      </c>
      <c r="C2138">
        <v>29370.53</v>
      </c>
      <c r="D2138">
        <v>26714.46</v>
      </c>
      <c r="E2138">
        <v>28288.23</v>
      </c>
    </row>
    <row r="2139" spans="1:5" hidden="1" x14ac:dyDescent="0.3">
      <c r="A2139" s="1">
        <v>43910</v>
      </c>
      <c r="B2139">
        <v>28460.82</v>
      </c>
      <c r="C2139">
        <v>30418.2</v>
      </c>
      <c r="D2139">
        <v>27932.67</v>
      </c>
      <c r="E2139">
        <v>29915.96</v>
      </c>
    </row>
    <row r="2140" spans="1:5" hidden="1" x14ac:dyDescent="0.3">
      <c r="A2140" s="1">
        <v>43913</v>
      </c>
      <c r="B2140">
        <v>27608.799999999999</v>
      </c>
      <c r="C2140">
        <v>27900.83</v>
      </c>
      <c r="D2140">
        <v>25880.83</v>
      </c>
      <c r="E2140">
        <v>25981.24</v>
      </c>
    </row>
    <row r="2141" spans="1:5" hidden="1" x14ac:dyDescent="0.3">
      <c r="A2141" s="1">
        <v>43914</v>
      </c>
      <c r="B2141">
        <v>27056.23</v>
      </c>
      <c r="C2141">
        <v>27462.87</v>
      </c>
      <c r="D2141">
        <v>25638.9</v>
      </c>
      <c r="E2141">
        <v>26674.03</v>
      </c>
    </row>
    <row r="2142" spans="1:5" hidden="1" x14ac:dyDescent="0.3">
      <c r="A2142" s="1">
        <v>43915</v>
      </c>
      <c r="B2142">
        <v>26499.81</v>
      </c>
      <c r="C2142">
        <v>28790.19</v>
      </c>
      <c r="D2142">
        <v>26359.91</v>
      </c>
      <c r="E2142">
        <v>28535.78</v>
      </c>
    </row>
    <row r="2143" spans="1:5" hidden="1" x14ac:dyDescent="0.3">
      <c r="A2143" s="1">
        <v>43916</v>
      </c>
      <c r="B2143">
        <v>29073.71</v>
      </c>
      <c r="C2143">
        <v>30099.91</v>
      </c>
      <c r="D2143">
        <v>28566.34</v>
      </c>
      <c r="E2143">
        <v>29946.77</v>
      </c>
    </row>
    <row r="2144" spans="1:5" hidden="1" x14ac:dyDescent="0.3">
      <c r="A2144" s="1">
        <v>43917</v>
      </c>
      <c r="B2144">
        <v>30747.81</v>
      </c>
      <c r="C2144">
        <v>31126.03</v>
      </c>
      <c r="D2144">
        <v>29346.99</v>
      </c>
      <c r="E2144">
        <v>29815.59</v>
      </c>
    </row>
    <row r="2145" spans="1:5" hidden="1" x14ac:dyDescent="0.3">
      <c r="A2145" s="1">
        <v>43920</v>
      </c>
      <c r="B2145">
        <v>29226.55</v>
      </c>
      <c r="C2145">
        <v>29497.57</v>
      </c>
      <c r="D2145">
        <v>28290.99</v>
      </c>
      <c r="E2145">
        <v>28440.32</v>
      </c>
    </row>
    <row r="2146" spans="1:5" hidden="1" x14ac:dyDescent="0.3">
      <c r="A2146" s="1">
        <v>43921</v>
      </c>
      <c r="B2146">
        <v>29294.94</v>
      </c>
      <c r="C2146">
        <v>29770.880000000001</v>
      </c>
      <c r="D2146">
        <v>28667.360000000001</v>
      </c>
      <c r="E2146">
        <v>29468.49</v>
      </c>
    </row>
    <row r="2147" spans="1:5" hidden="1" x14ac:dyDescent="0.3">
      <c r="A2147" s="1">
        <v>43922</v>
      </c>
      <c r="B2147">
        <v>29505.33</v>
      </c>
      <c r="C2147">
        <v>29505.98</v>
      </c>
      <c r="D2147">
        <v>28073.43</v>
      </c>
      <c r="E2147">
        <v>28265.31</v>
      </c>
    </row>
    <row r="2148" spans="1:5" hidden="1" x14ac:dyDescent="0.3">
      <c r="A2148" s="1">
        <v>43924</v>
      </c>
      <c r="B2148">
        <v>28623.53</v>
      </c>
      <c r="C2148">
        <v>28639.119999999999</v>
      </c>
      <c r="D2148">
        <v>27500.79</v>
      </c>
      <c r="E2148">
        <v>27590.95</v>
      </c>
    </row>
    <row r="2149" spans="1:5" hidden="1" x14ac:dyDescent="0.3">
      <c r="A2149" s="1">
        <v>43928</v>
      </c>
      <c r="B2149">
        <v>28898.36</v>
      </c>
      <c r="C2149">
        <v>30157.65</v>
      </c>
      <c r="D2149">
        <v>28602.31</v>
      </c>
      <c r="E2149">
        <v>30067.21</v>
      </c>
    </row>
    <row r="2150" spans="1:5" hidden="1" x14ac:dyDescent="0.3">
      <c r="A2150" s="1">
        <v>43929</v>
      </c>
      <c r="B2150">
        <v>29701.919999999998</v>
      </c>
      <c r="C2150">
        <v>31227.97</v>
      </c>
      <c r="D2150">
        <v>29602.94</v>
      </c>
      <c r="E2150">
        <v>29893.96</v>
      </c>
    </row>
    <row r="2151" spans="1:5" hidden="1" x14ac:dyDescent="0.3">
      <c r="A2151" s="1">
        <v>43930</v>
      </c>
      <c r="B2151">
        <v>30571.19</v>
      </c>
      <c r="C2151">
        <v>31225.200000000001</v>
      </c>
      <c r="D2151">
        <v>30420.22</v>
      </c>
      <c r="E2151">
        <v>31159.62</v>
      </c>
    </row>
    <row r="2152" spans="1:5" hidden="1" x14ac:dyDescent="0.3">
      <c r="A2152" s="1">
        <v>43934</v>
      </c>
      <c r="B2152">
        <v>31195.72</v>
      </c>
      <c r="C2152">
        <v>31195.72</v>
      </c>
      <c r="D2152">
        <v>30474.15</v>
      </c>
      <c r="E2152">
        <v>30690.02</v>
      </c>
    </row>
    <row r="2153" spans="1:5" hidden="1" x14ac:dyDescent="0.3">
      <c r="A2153" s="1">
        <v>43936</v>
      </c>
      <c r="B2153">
        <v>31277.11</v>
      </c>
      <c r="C2153">
        <v>31568.36</v>
      </c>
      <c r="D2153">
        <v>30222.07</v>
      </c>
      <c r="E2153">
        <v>30379.81</v>
      </c>
    </row>
    <row r="2154" spans="1:5" hidden="1" x14ac:dyDescent="0.3">
      <c r="A2154" s="1">
        <v>43937</v>
      </c>
      <c r="B2154">
        <v>30095.51</v>
      </c>
      <c r="C2154">
        <v>30800.2</v>
      </c>
      <c r="D2154">
        <v>30016.17</v>
      </c>
      <c r="E2154">
        <v>30602.61</v>
      </c>
    </row>
    <row r="2155" spans="1:5" hidden="1" x14ac:dyDescent="0.3">
      <c r="A2155" s="1">
        <v>43938</v>
      </c>
      <c r="B2155">
        <v>31656.68</v>
      </c>
      <c r="C2155">
        <v>31718.73</v>
      </c>
      <c r="D2155">
        <v>30960.94</v>
      </c>
      <c r="E2155">
        <v>31588.720000000001</v>
      </c>
    </row>
    <row r="2156" spans="1:5" hidden="1" x14ac:dyDescent="0.3">
      <c r="A2156" s="1">
        <v>43941</v>
      </c>
      <c r="B2156">
        <v>32056.19</v>
      </c>
      <c r="C2156">
        <v>32056.47</v>
      </c>
      <c r="D2156">
        <v>31490.26</v>
      </c>
      <c r="E2156">
        <v>31648</v>
      </c>
    </row>
    <row r="2157" spans="1:5" hidden="1" x14ac:dyDescent="0.3">
      <c r="A2157" s="1">
        <v>43942</v>
      </c>
      <c r="B2157">
        <v>30836.19</v>
      </c>
      <c r="C2157">
        <v>30900.12</v>
      </c>
      <c r="D2157">
        <v>30378.26</v>
      </c>
      <c r="E2157">
        <v>30636.71</v>
      </c>
    </row>
    <row r="2158" spans="1:5" hidden="1" x14ac:dyDescent="0.3">
      <c r="A2158" s="1">
        <v>43943</v>
      </c>
      <c r="B2158">
        <v>30856.14</v>
      </c>
      <c r="C2158">
        <v>31471.14</v>
      </c>
      <c r="D2158">
        <v>30578.55</v>
      </c>
      <c r="E2158">
        <v>31379.55</v>
      </c>
    </row>
    <row r="2159" spans="1:5" hidden="1" x14ac:dyDescent="0.3">
      <c r="A2159" s="1">
        <v>43944</v>
      </c>
      <c r="B2159">
        <v>31646.45</v>
      </c>
      <c r="C2159">
        <v>31959.02</v>
      </c>
      <c r="D2159">
        <v>31292.92</v>
      </c>
      <c r="E2159">
        <v>31863.08</v>
      </c>
    </row>
    <row r="2160" spans="1:5" hidden="1" x14ac:dyDescent="0.3">
      <c r="A2160" s="1">
        <v>43945</v>
      </c>
      <c r="B2160">
        <v>31426.62</v>
      </c>
      <c r="C2160">
        <v>31842.240000000002</v>
      </c>
      <c r="D2160">
        <v>31278.27</v>
      </c>
      <c r="E2160">
        <v>31327.22</v>
      </c>
    </row>
    <row r="2161" spans="1:5" hidden="1" x14ac:dyDescent="0.3">
      <c r="A2161" s="1">
        <v>43948</v>
      </c>
      <c r="B2161">
        <v>31659.040000000001</v>
      </c>
      <c r="C2161">
        <v>32103.7</v>
      </c>
      <c r="D2161">
        <v>31651.58</v>
      </c>
      <c r="E2161">
        <v>31743.08</v>
      </c>
    </row>
    <row r="2162" spans="1:5" hidden="1" x14ac:dyDescent="0.3">
      <c r="A2162" s="1">
        <v>43949</v>
      </c>
      <c r="B2162">
        <v>32101.91</v>
      </c>
      <c r="C2162">
        <v>32199.91</v>
      </c>
      <c r="D2162">
        <v>31661.34</v>
      </c>
      <c r="E2162">
        <v>32114.52</v>
      </c>
    </row>
    <row r="2163" spans="1:5" hidden="1" x14ac:dyDescent="0.3">
      <c r="A2163" s="1">
        <v>43950</v>
      </c>
      <c r="B2163">
        <v>32311.040000000001</v>
      </c>
      <c r="C2163">
        <v>32897.589999999997</v>
      </c>
      <c r="D2163">
        <v>32171.65</v>
      </c>
      <c r="E2163">
        <v>32720.16</v>
      </c>
    </row>
    <row r="2164" spans="1:5" hidden="1" x14ac:dyDescent="0.3">
      <c r="A2164" s="1">
        <v>43951</v>
      </c>
      <c r="B2164">
        <v>33381.19</v>
      </c>
      <c r="C2164">
        <v>33887.25</v>
      </c>
      <c r="D2164">
        <v>33354.93</v>
      </c>
      <c r="E2164">
        <v>33717.620000000003</v>
      </c>
    </row>
    <row r="2165" spans="1:5" hidden="1" x14ac:dyDescent="0.3">
      <c r="A2165" s="1">
        <v>43955</v>
      </c>
      <c r="B2165">
        <v>32748.14</v>
      </c>
      <c r="C2165">
        <v>32748.14</v>
      </c>
      <c r="D2165">
        <v>31632.02</v>
      </c>
      <c r="E2165">
        <v>31715.35</v>
      </c>
    </row>
    <row r="2166" spans="1:5" hidden="1" x14ac:dyDescent="0.3">
      <c r="A2166" s="1">
        <v>43956</v>
      </c>
      <c r="B2166">
        <v>32182.9</v>
      </c>
      <c r="C2166">
        <v>32264</v>
      </c>
      <c r="D2166">
        <v>31403.57</v>
      </c>
      <c r="E2166">
        <v>31453.51</v>
      </c>
    </row>
    <row r="2167" spans="1:5" hidden="1" x14ac:dyDescent="0.3">
      <c r="A2167" s="1">
        <v>43957</v>
      </c>
      <c r="B2167">
        <v>31577.63</v>
      </c>
      <c r="C2167">
        <v>31970.84</v>
      </c>
      <c r="D2167">
        <v>31158.75</v>
      </c>
      <c r="E2167">
        <v>31685.75</v>
      </c>
    </row>
    <row r="2168" spans="1:5" hidden="1" x14ac:dyDescent="0.3">
      <c r="A2168" s="1">
        <v>43958</v>
      </c>
      <c r="B2168">
        <v>31677.69</v>
      </c>
      <c r="C2168">
        <v>31705.25</v>
      </c>
      <c r="D2168">
        <v>31362.87</v>
      </c>
      <c r="E2168">
        <v>31443.38</v>
      </c>
    </row>
    <row r="2169" spans="1:5" hidden="1" x14ac:dyDescent="0.3">
      <c r="A2169" s="1">
        <v>43959</v>
      </c>
      <c r="B2169">
        <v>32083.32</v>
      </c>
      <c r="C2169">
        <v>32088.51</v>
      </c>
      <c r="D2169">
        <v>31598</v>
      </c>
      <c r="E2169">
        <v>31642.7</v>
      </c>
    </row>
    <row r="2170" spans="1:5" hidden="1" x14ac:dyDescent="0.3">
      <c r="A2170" s="1">
        <v>43962</v>
      </c>
      <c r="B2170">
        <v>32030.34</v>
      </c>
      <c r="C2170">
        <v>32301.58</v>
      </c>
      <c r="D2170">
        <v>31500.87</v>
      </c>
      <c r="E2170">
        <v>31561.22</v>
      </c>
    </row>
    <row r="2171" spans="1:5" hidden="1" x14ac:dyDescent="0.3">
      <c r="A2171" s="1">
        <v>43963</v>
      </c>
      <c r="B2171">
        <v>31342.93</v>
      </c>
      <c r="C2171">
        <v>31536.89</v>
      </c>
      <c r="D2171">
        <v>30844.66</v>
      </c>
      <c r="E2171">
        <v>31371.119999999999</v>
      </c>
    </row>
    <row r="2172" spans="1:5" hidden="1" x14ac:dyDescent="0.3">
      <c r="A2172" s="1">
        <v>43964</v>
      </c>
      <c r="B2172">
        <v>32841.870000000003</v>
      </c>
      <c r="C2172">
        <v>32845.480000000003</v>
      </c>
      <c r="D2172">
        <v>31901.919999999998</v>
      </c>
      <c r="E2172">
        <v>32008.61</v>
      </c>
    </row>
    <row r="2173" spans="1:5" hidden="1" x14ac:dyDescent="0.3">
      <c r="A2173" s="1">
        <v>43965</v>
      </c>
      <c r="B2173">
        <v>31466.33</v>
      </c>
      <c r="C2173">
        <v>31630.94</v>
      </c>
      <c r="D2173">
        <v>31052.65</v>
      </c>
      <c r="E2173">
        <v>31122.89</v>
      </c>
    </row>
    <row r="2174" spans="1:5" hidden="1" x14ac:dyDescent="0.3">
      <c r="A2174" s="1">
        <v>43966</v>
      </c>
      <c r="B2174">
        <v>31296.28</v>
      </c>
      <c r="C2174">
        <v>31296.28</v>
      </c>
      <c r="D2174">
        <v>30770.48</v>
      </c>
      <c r="E2174">
        <v>31097.73</v>
      </c>
    </row>
    <row r="2175" spans="1:5" hidden="1" x14ac:dyDescent="0.3">
      <c r="A2175" s="1">
        <v>43969</v>
      </c>
      <c r="B2175">
        <v>31248.26</v>
      </c>
      <c r="C2175">
        <v>31248.26</v>
      </c>
      <c r="D2175">
        <v>29968.45</v>
      </c>
      <c r="E2175">
        <v>30028.98</v>
      </c>
    </row>
    <row r="2176" spans="1:5" hidden="1" x14ac:dyDescent="0.3">
      <c r="A2176" s="1">
        <v>43970</v>
      </c>
      <c r="B2176">
        <v>30450.74</v>
      </c>
      <c r="C2176">
        <v>30739.96</v>
      </c>
      <c r="D2176">
        <v>30116.82</v>
      </c>
      <c r="E2176">
        <v>30196.17</v>
      </c>
    </row>
    <row r="2177" spans="1:5" hidden="1" x14ac:dyDescent="0.3">
      <c r="A2177" s="1">
        <v>43971</v>
      </c>
      <c r="B2177">
        <v>30159.59</v>
      </c>
      <c r="C2177">
        <v>30878.31</v>
      </c>
      <c r="D2177">
        <v>30157.75</v>
      </c>
      <c r="E2177">
        <v>30818.61</v>
      </c>
    </row>
    <row r="2178" spans="1:5" hidden="1" x14ac:dyDescent="0.3">
      <c r="A2178" s="1">
        <v>43972</v>
      </c>
      <c r="B2178">
        <v>30904.29</v>
      </c>
      <c r="C2178">
        <v>31188.79</v>
      </c>
      <c r="D2178">
        <v>30765.32</v>
      </c>
      <c r="E2178">
        <v>30932.9</v>
      </c>
    </row>
    <row r="2179" spans="1:5" hidden="1" x14ac:dyDescent="0.3">
      <c r="A2179" s="1">
        <v>43973</v>
      </c>
      <c r="B2179">
        <v>30822.78</v>
      </c>
      <c r="C2179">
        <v>31107.91</v>
      </c>
      <c r="D2179">
        <v>30474.880000000001</v>
      </c>
      <c r="E2179">
        <v>30672.59</v>
      </c>
    </row>
    <row r="2180" spans="1:5" hidden="1" x14ac:dyDescent="0.3">
      <c r="A2180" s="1">
        <v>43977</v>
      </c>
      <c r="B2180">
        <v>30864.27</v>
      </c>
      <c r="C2180">
        <v>31086.7</v>
      </c>
      <c r="D2180">
        <v>30512.14</v>
      </c>
      <c r="E2180">
        <v>30609.3</v>
      </c>
    </row>
    <row r="2181" spans="1:5" hidden="1" x14ac:dyDescent="0.3">
      <c r="A2181" s="1">
        <v>43978</v>
      </c>
      <c r="B2181">
        <v>30793.11</v>
      </c>
      <c r="C2181">
        <v>31660.6</v>
      </c>
      <c r="D2181">
        <v>30525.68</v>
      </c>
      <c r="E2181">
        <v>31605.22</v>
      </c>
    </row>
    <row r="2182" spans="1:5" hidden="1" x14ac:dyDescent="0.3">
      <c r="A2182" s="1">
        <v>43979</v>
      </c>
      <c r="B2182">
        <v>31827.8</v>
      </c>
      <c r="C2182">
        <v>32267.23</v>
      </c>
      <c r="D2182">
        <v>31641.77</v>
      </c>
      <c r="E2182">
        <v>32200.59</v>
      </c>
    </row>
    <row r="2183" spans="1:5" hidden="1" x14ac:dyDescent="0.3">
      <c r="A2183" s="1">
        <v>43980</v>
      </c>
      <c r="B2183">
        <v>32041.29</v>
      </c>
      <c r="C2183">
        <v>32480.52</v>
      </c>
      <c r="D2183">
        <v>31823.8</v>
      </c>
      <c r="E2183">
        <v>32424.1</v>
      </c>
    </row>
    <row r="2184" spans="1:5" hidden="1" x14ac:dyDescent="0.3">
      <c r="A2184" s="1">
        <v>43983</v>
      </c>
      <c r="B2184">
        <v>32906.050000000003</v>
      </c>
      <c r="C2184">
        <v>33673.83</v>
      </c>
      <c r="D2184">
        <v>32876.550000000003</v>
      </c>
      <c r="E2184">
        <v>33303.519999999997</v>
      </c>
    </row>
    <row r="2185" spans="1:5" hidden="1" x14ac:dyDescent="0.3">
      <c r="A2185" s="1">
        <v>43984</v>
      </c>
      <c r="B2185">
        <v>33450.19</v>
      </c>
      <c r="C2185">
        <v>33866.629999999997</v>
      </c>
      <c r="D2185">
        <v>33301.29</v>
      </c>
      <c r="E2185">
        <v>33825.53</v>
      </c>
    </row>
    <row r="2186" spans="1:5" hidden="1" x14ac:dyDescent="0.3">
      <c r="A2186" s="1">
        <v>43985</v>
      </c>
      <c r="B2186">
        <v>34185.410000000003</v>
      </c>
      <c r="C2186">
        <v>34488.69</v>
      </c>
      <c r="D2186">
        <v>34027.5</v>
      </c>
      <c r="E2186">
        <v>34109.54</v>
      </c>
    </row>
    <row r="2187" spans="1:5" hidden="1" x14ac:dyDescent="0.3">
      <c r="A2187" s="1">
        <v>43986</v>
      </c>
      <c r="B2187">
        <v>34072.5</v>
      </c>
      <c r="C2187">
        <v>34310.14</v>
      </c>
      <c r="D2187">
        <v>33711.24</v>
      </c>
      <c r="E2187">
        <v>33980.699999999997</v>
      </c>
    </row>
    <row r="2188" spans="1:5" hidden="1" x14ac:dyDescent="0.3">
      <c r="A2188" s="1">
        <v>43987</v>
      </c>
      <c r="B2188">
        <v>34198.550000000003</v>
      </c>
      <c r="C2188">
        <v>34405.43</v>
      </c>
      <c r="D2188">
        <v>33958.019999999997</v>
      </c>
      <c r="E2188">
        <v>34287.24</v>
      </c>
    </row>
    <row r="2189" spans="1:5" hidden="1" x14ac:dyDescent="0.3">
      <c r="A2189" s="1">
        <v>43990</v>
      </c>
      <c r="B2189">
        <v>34841.17</v>
      </c>
      <c r="C2189">
        <v>34927.800000000003</v>
      </c>
      <c r="D2189">
        <v>34211.83</v>
      </c>
      <c r="E2189">
        <v>34370.58</v>
      </c>
    </row>
    <row r="2190" spans="1:5" hidden="1" x14ac:dyDescent="0.3">
      <c r="A2190" s="1">
        <v>43991</v>
      </c>
      <c r="B2190">
        <v>34520.79</v>
      </c>
      <c r="C2190">
        <v>34811.29</v>
      </c>
      <c r="D2190">
        <v>33881.19</v>
      </c>
      <c r="E2190">
        <v>33956.69</v>
      </c>
    </row>
    <row r="2191" spans="1:5" hidden="1" x14ac:dyDescent="0.3">
      <c r="A2191" s="1">
        <v>43992</v>
      </c>
      <c r="B2191">
        <v>34029.14</v>
      </c>
      <c r="C2191">
        <v>34350.17</v>
      </c>
      <c r="D2191">
        <v>33949.46</v>
      </c>
      <c r="E2191">
        <v>34247.050000000003</v>
      </c>
    </row>
    <row r="2192" spans="1:5" hidden="1" x14ac:dyDescent="0.3">
      <c r="A2192" s="1">
        <v>43993</v>
      </c>
      <c r="B2192">
        <v>34214.69</v>
      </c>
      <c r="C2192">
        <v>34219.39</v>
      </c>
      <c r="D2192">
        <v>33480.42</v>
      </c>
      <c r="E2192">
        <v>33538.370000000003</v>
      </c>
    </row>
    <row r="2193" spans="1:5" hidden="1" x14ac:dyDescent="0.3">
      <c r="A2193" s="1">
        <v>43994</v>
      </c>
      <c r="B2193">
        <v>32436.69</v>
      </c>
      <c r="C2193">
        <v>33856.269999999997</v>
      </c>
      <c r="D2193">
        <v>32348.1</v>
      </c>
      <c r="E2193">
        <v>33780.89</v>
      </c>
    </row>
    <row r="2194" spans="1:5" hidden="1" x14ac:dyDescent="0.3">
      <c r="A2194" s="1">
        <v>43997</v>
      </c>
      <c r="B2194">
        <v>33670.550000000003</v>
      </c>
      <c r="C2194">
        <v>33670.550000000003</v>
      </c>
      <c r="D2194">
        <v>32923.74</v>
      </c>
      <c r="E2194">
        <v>33228.800000000003</v>
      </c>
    </row>
    <row r="2195" spans="1:5" hidden="1" x14ac:dyDescent="0.3">
      <c r="A2195" s="1">
        <v>43998</v>
      </c>
      <c r="B2195">
        <v>33853.72</v>
      </c>
      <c r="C2195">
        <v>34022.01</v>
      </c>
      <c r="D2195">
        <v>32953.300000000003</v>
      </c>
      <c r="E2195">
        <v>33605.22</v>
      </c>
    </row>
    <row r="2196" spans="1:5" hidden="1" x14ac:dyDescent="0.3">
      <c r="A2196" s="1">
        <v>43999</v>
      </c>
      <c r="B2196">
        <v>33438.31</v>
      </c>
      <c r="C2196">
        <v>33933.660000000003</v>
      </c>
      <c r="D2196">
        <v>33332.959999999999</v>
      </c>
      <c r="E2196">
        <v>33507.919999999998</v>
      </c>
    </row>
    <row r="2197" spans="1:5" hidden="1" x14ac:dyDescent="0.3">
      <c r="A2197" s="1">
        <v>44000</v>
      </c>
      <c r="B2197">
        <v>33371.519999999997</v>
      </c>
      <c r="C2197">
        <v>34276.01</v>
      </c>
      <c r="D2197">
        <v>33371.519999999997</v>
      </c>
      <c r="E2197">
        <v>34208.050000000003</v>
      </c>
    </row>
    <row r="2198" spans="1:5" hidden="1" x14ac:dyDescent="0.3">
      <c r="A2198" s="1">
        <v>44001</v>
      </c>
      <c r="B2198">
        <v>34335.379999999997</v>
      </c>
      <c r="C2198">
        <v>34848.370000000003</v>
      </c>
      <c r="D2198">
        <v>34136.39</v>
      </c>
      <c r="E2198">
        <v>34731.730000000003</v>
      </c>
    </row>
    <row r="2199" spans="1:5" hidden="1" x14ac:dyDescent="0.3">
      <c r="A2199" s="1">
        <v>44004</v>
      </c>
      <c r="B2199">
        <v>34892.03</v>
      </c>
      <c r="C2199">
        <v>35213.519999999997</v>
      </c>
      <c r="D2199">
        <v>34794.400000000001</v>
      </c>
      <c r="E2199">
        <v>34911.32</v>
      </c>
    </row>
    <row r="2200" spans="1:5" hidden="1" x14ac:dyDescent="0.3">
      <c r="A2200" s="1">
        <v>44005</v>
      </c>
      <c r="B2200">
        <v>35015.730000000003</v>
      </c>
      <c r="C2200">
        <v>35482.160000000003</v>
      </c>
      <c r="D2200">
        <v>34843.69</v>
      </c>
      <c r="E2200">
        <v>35430.43</v>
      </c>
    </row>
    <row r="2201" spans="1:5" hidden="1" x14ac:dyDescent="0.3">
      <c r="A2201" s="1">
        <v>44006</v>
      </c>
      <c r="B2201">
        <v>35679.74</v>
      </c>
      <c r="C2201">
        <v>35706.550000000003</v>
      </c>
      <c r="D2201">
        <v>34794.93</v>
      </c>
      <c r="E2201">
        <v>34868.980000000003</v>
      </c>
    </row>
    <row r="2202" spans="1:5" hidden="1" x14ac:dyDescent="0.3">
      <c r="A2202" s="1">
        <v>44007</v>
      </c>
      <c r="B2202">
        <v>34525.39</v>
      </c>
      <c r="C2202">
        <v>35081.61</v>
      </c>
      <c r="D2202">
        <v>34499.78</v>
      </c>
      <c r="E2202">
        <v>34842.1</v>
      </c>
    </row>
    <row r="2203" spans="1:5" hidden="1" x14ac:dyDescent="0.3">
      <c r="A2203" s="1">
        <v>44008</v>
      </c>
      <c r="B2203">
        <v>35144.78</v>
      </c>
      <c r="C2203">
        <v>35254.879999999997</v>
      </c>
      <c r="D2203">
        <v>34910.339999999997</v>
      </c>
      <c r="E2203">
        <v>35171.269999999997</v>
      </c>
    </row>
    <row r="2204" spans="1:5" hidden="1" x14ac:dyDescent="0.3">
      <c r="A2204" s="1">
        <v>44011</v>
      </c>
      <c r="B2204">
        <v>34926.949999999997</v>
      </c>
      <c r="C2204">
        <v>35032.36</v>
      </c>
      <c r="D2204">
        <v>34662.06</v>
      </c>
      <c r="E2204">
        <v>34961.519999999997</v>
      </c>
    </row>
    <row r="2205" spans="1:5" hidden="1" x14ac:dyDescent="0.3">
      <c r="A2205" s="1">
        <v>44012</v>
      </c>
      <c r="B2205">
        <v>35168.300000000003</v>
      </c>
      <c r="C2205">
        <v>35233.910000000003</v>
      </c>
      <c r="D2205">
        <v>34812.800000000003</v>
      </c>
      <c r="E2205">
        <v>34915.800000000003</v>
      </c>
    </row>
    <row r="2206" spans="1:5" hidden="1" x14ac:dyDescent="0.3">
      <c r="A2206" s="1">
        <v>44013</v>
      </c>
      <c r="B2206">
        <v>35009.589999999997</v>
      </c>
      <c r="C2206">
        <v>35467.230000000003</v>
      </c>
      <c r="D2206">
        <v>34927.199999999997</v>
      </c>
      <c r="E2206">
        <v>35414.449999999997</v>
      </c>
    </row>
    <row r="2207" spans="1:5" hidden="1" x14ac:dyDescent="0.3">
      <c r="A2207" s="1">
        <v>44014</v>
      </c>
      <c r="B2207">
        <v>35604</v>
      </c>
      <c r="C2207">
        <v>36014.92</v>
      </c>
      <c r="D2207">
        <v>35595.360000000001</v>
      </c>
      <c r="E2207">
        <v>35843.699999999997</v>
      </c>
    </row>
    <row r="2208" spans="1:5" hidden="1" x14ac:dyDescent="0.3">
      <c r="A2208" s="1">
        <v>44015</v>
      </c>
      <c r="B2208">
        <v>36025.379999999997</v>
      </c>
      <c r="C2208">
        <v>36110.21</v>
      </c>
      <c r="D2208">
        <v>35872.379999999997</v>
      </c>
      <c r="E2208">
        <v>36021.42</v>
      </c>
    </row>
    <row r="2209" spans="1:5" hidden="1" x14ac:dyDescent="0.3">
      <c r="A2209" s="1">
        <v>44018</v>
      </c>
      <c r="B2209">
        <v>36313.46</v>
      </c>
      <c r="C2209">
        <v>36661.660000000003</v>
      </c>
      <c r="D2209">
        <v>36254.019999999997</v>
      </c>
      <c r="E2209">
        <v>36487.279999999999</v>
      </c>
    </row>
    <row r="2210" spans="1:5" hidden="1" x14ac:dyDescent="0.3">
      <c r="A2210" s="1">
        <v>44019</v>
      </c>
      <c r="B2210">
        <v>36660.35</v>
      </c>
      <c r="C2210">
        <v>36723.269999999997</v>
      </c>
      <c r="D2210">
        <v>36271.089999999997</v>
      </c>
      <c r="E2210">
        <v>36674.519999999997</v>
      </c>
    </row>
    <row r="2211" spans="1:5" hidden="1" x14ac:dyDescent="0.3">
      <c r="A2211" s="1">
        <v>44020</v>
      </c>
      <c r="B2211">
        <v>36738.379999999997</v>
      </c>
      <c r="C2211">
        <v>36828.43</v>
      </c>
      <c r="D2211">
        <v>36234.17</v>
      </c>
      <c r="E2211">
        <v>36329.01</v>
      </c>
    </row>
    <row r="2212" spans="1:5" hidden="1" x14ac:dyDescent="0.3">
      <c r="A2212" s="1">
        <v>44021</v>
      </c>
      <c r="B2212">
        <v>36450.69</v>
      </c>
      <c r="C2212">
        <v>36806.300000000003</v>
      </c>
      <c r="D2212">
        <v>36422.300000000003</v>
      </c>
      <c r="E2212">
        <v>36737.69</v>
      </c>
    </row>
    <row r="2213" spans="1:5" hidden="1" x14ac:dyDescent="0.3">
      <c r="A2213" s="1">
        <v>44022</v>
      </c>
      <c r="B2213">
        <v>36555.129999999997</v>
      </c>
      <c r="C2213">
        <v>36748.89</v>
      </c>
      <c r="D2213">
        <v>36401.11</v>
      </c>
      <c r="E2213">
        <v>36594.33</v>
      </c>
    </row>
    <row r="2214" spans="1:5" hidden="1" x14ac:dyDescent="0.3">
      <c r="A2214" s="1">
        <v>44025</v>
      </c>
      <c r="B2214">
        <v>36880.660000000003</v>
      </c>
      <c r="C2214">
        <v>37024.199999999997</v>
      </c>
      <c r="D2214">
        <v>36533.96</v>
      </c>
      <c r="E2214">
        <v>36693.69</v>
      </c>
    </row>
    <row r="2215" spans="1:5" hidden="1" x14ac:dyDescent="0.3">
      <c r="A2215" s="1">
        <v>44026</v>
      </c>
      <c r="B2215">
        <v>36517.279999999999</v>
      </c>
      <c r="C2215">
        <v>36538.1</v>
      </c>
      <c r="D2215">
        <v>35877.42</v>
      </c>
      <c r="E2215">
        <v>36033.06</v>
      </c>
    </row>
    <row r="2216" spans="1:5" hidden="1" x14ac:dyDescent="0.3">
      <c r="A2216" s="1">
        <v>44027</v>
      </c>
      <c r="B2216">
        <v>36314.76</v>
      </c>
      <c r="C2216">
        <v>36810.25</v>
      </c>
      <c r="D2216">
        <v>35894.959999999999</v>
      </c>
      <c r="E2216">
        <v>36051.81</v>
      </c>
    </row>
    <row r="2217" spans="1:5" hidden="1" x14ac:dyDescent="0.3">
      <c r="A2217" s="1">
        <v>44028</v>
      </c>
      <c r="B2217">
        <v>36401.199999999997</v>
      </c>
      <c r="C2217">
        <v>36524.620000000003</v>
      </c>
      <c r="D2217">
        <v>36038.410000000003</v>
      </c>
      <c r="E2217">
        <v>36471.68</v>
      </c>
    </row>
    <row r="2218" spans="1:5" hidden="1" x14ac:dyDescent="0.3">
      <c r="A2218" s="1">
        <v>44029</v>
      </c>
      <c r="B2218">
        <v>36547.75</v>
      </c>
      <c r="C2218">
        <v>37125.980000000003</v>
      </c>
      <c r="D2218">
        <v>36512.92</v>
      </c>
      <c r="E2218">
        <v>37020.14</v>
      </c>
    </row>
    <row r="2219" spans="1:5" hidden="1" x14ac:dyDescent="0.3">
      <c r="A2219" s="1">
        <v>44032</v>
      </c>
      <c r="B2219">
        <v>37409.03</v>
      </c>
      <c r="C2219">
        <v>37478.870000000003</v>
      </c>
      <c r="D2219">
        <v>37185.78</v>
      </c>
      <c r="E2219">
        <v>37418.99</v>
      </c>
    </row>
    <row r="2220" spans="1:5" hidden="1" x14ac:dyDescent="0.3">
      <c r="A2220" s="1">
        <v>44033</v>
      </c>
      <c r="B2220">
        <v>37823.61</v>
      </c>
      <c r="C2220">
        <v>37990.550000000003</v>
      </c>
      <c r="D2220">
        <v>37742.050000000003</v>
      </c>
      <c r="E2220">
        <v>37930.33</v>
      </c>
    </row>
    <row r="2221" spans="1:5" hidden="1" x14ac:dyDescent="0.3">
      <c r="A2221" s="1">
        <v>44034</v>
      </c>
      <c r="B2221">
        <v>38178.07</v>
      </c>
      <c r="C2221">
        <v>38199.269999999997</v>
      </c>
      <c r="D2221">
        <v>37601.620000000003</v>
      </c>
      <c r="E2221">
        <v>37871.519999999997</v>
      </c>
    </row>
    <row r="2222" spans="1:5" hidden="1" x14ac:dyDescent="0.3">
      <c r="A2222" s="1">
        <v>44035</v>
      </c>
      <c r="B2222">
        <v>37814.92</v>
      </c>
      <c r="C2222">
        <v>38225.03</v>
      </c>
      <c r="D2222">
        <v>37738.589999999997</v>
      </c>
      <c r="E2222">
        <v>38140.47</v>
      </c>
    </row>
    <row r="2223" spans="1:5" hidden="1" x14ac:dyDescent="0.3">
      <c r="A2223" s="1">
        <v>44036</v>
      </c>
      <c r="B2223">
        <v>37949.589999999997</v>
      </c>
      <c r="C2223">
        <v>38235.730000000003</v>
      </c>
      <c r="D2223">
        <v>37748.410000000003</v>
      </c>
      <c r="E2223">
        <v>38128.9</v>
      </c>
    </row>
    <row r="2224" spans="1:5" hidden="1" x14ac:dyDescent="0.3">
      <c r="A2224" s="1">
        <v>44039</v>
      </c>
      <c r="B2224">
        <v>38275.339999999997</v>
      </c>
      <c r="C2224">
        <v>38275.339999999997</v>
      </c>
      <c r="D2224">
        <v>37769.440000000002</v>
      </c>
      <c r="E2224">
        <v>37934.730000000003</v>
      </c>
    </row>
    <row r="2225" spans="1:5" hidden="1" x14ac:dyDescent="0.3">
      <c r="A2225" s="1">
        <v>44040</v>
      </c>
      <c r="B2225">
        <v>38052.18</v>
      </c>
      <c r="C2225">
        <v>38554.720000000001</v>
      </c>
      <c r="D2225">
        <v>37998.129999999997</v>
      </c>
      <c r="E2225">
        <v>38492.949999999997</v>
      </c>
    </row>
    <row r="2226" spans="1:5" hidden="1" x14ac:dyDescent="0.3">
      <c r="A2226" s="1">
        <v>44041</v>
      </c>
      <c r="B2226">
        <v>38427.15</v>
      </c>
      <c r="C2226">
        <v>38617.03</v>
      </c>
      <c r="D2226">
        <v>37884.410000000003</v>
      </c>
      <c r="E2226">
        <v>38071.129999999997</v>
      </c>
    </row>
    <row r="2227" spans="1:5" hidden="1" x14ac:dyDescent="0.3">
      <c r="A2227" s="1">
        <v>44042</v>
      </c>
      <c r="B2227">
        <v>38262.83</v>
      </c>
      <c r="C2227">
        <v>38413.81</v>
      </c>
      <c r="D2227">
        <v>37678.42</v>
      </c>
      <c r="E2227">
        <v>37736.07</v>
      </c>
    </row>
    <row r="2228" spans="1:5" hidden="1" x14ac:dyDescent="0.3">
      <c r="A2228" s="1">
        <v>44043</v>
      </c>
      <c r="B2228">
        <v>37847.879999999997</v>
      </c>
      <c r="C2228">
        <v>37897.78</v>
      </c>
      <c r="D2228">
        <v>37431.68</v>
      </c>
      <c r="E2228">
        <v>37606.89</v>
      </c>
    </row>
    <row r="2229" spans="1:5" hidden="1" x14ac:dyDescent="0.3">
      <c r="A2229" s="1">
        <v>44046</v>
      </c>
      <c r="B2229">
        <v>37595.730000000003</v>
      </c>
      <c r="C2229">
        <v>37596.019999999997</v>
      </c>
      <c r="D2229">
        <v>36911.230000000003</v>
      </c>
      <c r="E2229">
        <v>36939.599999999999</v>
      </c>
    </row>
    <row r="2230" spans="1:5" hidden="1" x14ac:dyDescent="0.3">
      <c r="A2230" s="1">
        <v>44047</v>
      </c>
      <c r="B2230">
        <v>37092.86</v>
      </c>
      <c r="C2230">
        <v>37745.599999999999</v>
      </c>
      <c r="D2230">
        <v>36987.730000000003</v>
      </c>
      <c r="E2230">
        <v>37687.910000000003</v>
      </c>
    </row>
    <row r="2231" spans="1:5" hidden="1" x14ac:dyDescent="0.3">
      <c r="A2231" s="1">
        <v>44048</v>
      </c>
      <c r="B2231">
        <v>37892.36</v>
      </c>
      <c r="C2231">
        <v>38139.96</v>
      </c>
      <c r="D2231">
        <v>37550.6</v>
      </c>
      <c r="E2231">
        <v>37663.33</v>
      </c>
    </row>
    <row r="2232" spans="1:5" hidden="1" x14ac:dyDescent="0.3">
      <c r="A2232" s="1">
        <v>44049</v>
      </c>
      <c r="B2232">
        <v>37946.800000000003</v>
      </c>
      <c r="C2232">
        <v>38221.4</v>
      </c>
      <c r="D2232">
        <v>37755.1</v>
      </c>
      <c r="E2232">
        <v>38025.449999999997</v>
      </c>
    </row>
    <row r="2233" spans="1:5" hidden="1" x14ac:dyDescent="0.3">
      <c r="A2233" s="1">
        <v>44050</v>
      </c>
      <c r="B2233">
        <v>37951.07</v>
      </c>
      <c r="C2233">
        <v>38109.68</v>
      </c>
      <c r="D2233">
        <v>37787.379999999997</v>
      </c>
      <c r="E2233">
        <v>38040.57</v>
      </c>
    </row>
    <row r="2234" spans="1:5" hidden="1" x14ac:dyDescent="0.3">
      <c r="A2234" s="1">
        <v>44053</v>
      </c>
      <c r="B2234">
        <v>38168.42</v>
      </c>
      <c r="C2234">
        <v>38430.69</v>
      </c>
      <c r="D2234">
        <v>38073.29</v>
      </c>
      <c r="E2234">
        <v>38182.080000000002</v>
      </c>
    </row>
    <row r="2235" spans="1:5" hidden="1" x14ac:dyDescent="0.3">
      <c r="A2235" s="1">
        <v>44054</v>
      </c>
      <c r="B2235">
        <v>38371.339999999997</v>
      </c>
      <c r="C2235">
        <v>38556.269999999997</v>
      </c>
      <c r="D2235">
        <v>38313.06</v>
      </c>
      <c r="E2235">
        <v>38407.01</v>
      </c>
    </row>
    <row r="2236" spans="1:5" hidden="1" x14ac:dyDescent="0.3">
      <c r="A2236" s="1">
        <v>44055</v>
      </c>
      <c r="B2236">
        <v>38321.129999999997</v>
      </c>
      <c r="C2236">
        <v>38414.370000000003</v>
      </c>
      <c r="D2236">
        <v>38125.81</v>
      </c>
      <c r="E2236">
        <v>38369.629999999997</v>
      </c>
    </row>
    <row r="2237" spans="1:5" hidden="1" x14ac:dyDescent="0.3">
      <c r="A2237" s="1">
        <v>44056</v>
      </c>
      <c r="B2237">
        <v>38456.639999999999</v>
      </c>
      <c r="C2237">
        <v>38516.85</v>
      </c>
      <c r="D2237">
        <v>38215.050000000003</v>
      </c>
      <c r="E2237">
        <v>38310.49</v>
      </c>
    </row>
    <row r="2238" spans="1:5" hidden="1" x14ac:dyDescent="0.3">
      <c r="A2238" s="1">
        <v>44057</v>
      </c>
      <c r="B2238">
        <v>38432.94</v>
      </c>
      <c r="C2238">
        <v>38540.57</v>
      </c>
      <c r="D2238">
        <v>37654.92</v>
      </c>
      <c r="E2238">
        <v>37877.339999999997</v>
      </c>
    </row>
    <row r="2239" spans="1:5" hidden="1" x14ac:dyDescent="0.3">
      <c r="A2239" s="1">
        <v>44060</v>
      </c>
      <c r="B2239">
        <v>38062.07</v>
      </c>
      <c r="C2239">
        <v>38119.379999999997</v>
      </c>
      <c r="D2239">
        <v>37734.14</v>
      </c>
      <c r="E2239">
        <v>38050.78</v>
      </c>
    </row>
    <row r="2240" spans="1:5" hidden="1" x14ac:dyDescent="0.3">
      <c r="A2240" s="1">
        <v>44061</v>
      </c>
      <c r="B2240">
        <v>38084.699999999997</v>
      </c>
      <c r="C2240">
        <v>38571.230000000003</v>
      </c>
      <c r="D2240">
        <v>38062.01</v>
      </c>
      <c r="E2240">
        <v>38528.32</v>
      </c>
    </row>
    <row r="2241" spans="1:5" hidden="1" x14ac:dyDescent="0.3">
      <c r="A2241" s="1">
        <v>44062</v>
      </c>
      <c r="B2241">
        <v>38727.89</v>
      </c>
      <c r="C2241">
        <v>38788.51</v>
      </c>
      <c r="D2241">
        <v>38550.65</v>
      </c>
      <c r="E2241">
        <v>38614.79</v>
      </c>
    </row>
    <row r="2242" spans="1:5" hidden="1" x14ac:dyDescent="0.3">
      <c r="A2242" s="1">
        <v>44063</v>
      </c>
      <c r="B2242">
        <v>38283.9</v>
      </c>
      <c r="C2242">
        <v>38402.449999999997</v>
      </c>
      <c r="D2242">
        <v>38155.78</v>
      </c>
      <c r="E2242">
        <v>38220.39</v>
      </c>
    </row>
    <row r="2243" spans="1:5" hidden="1" x14ac:dyDescent="0.3">
      <c r="A2243" s="1">
        <v>44064</v>
      </c>
      <c r="B2243">
        <v>38471.93</v>
      </c>
      <c r="C2243">
        <v>38579.83</v>
      </c>
      <c r="D2243">
        <v>38411.370000000003</v>
      </c>
      <c r="E2243">
        <v>38434.720000000001</v>
      </c>
    </row>
    <row r="2244" spans="1:5" hidden="1" x14ac:dyDescent="0.3">
      <c r="A2244" s="1">
        <v>44067</v>
      </c>
      <c r="B2244">
        <v>38566.959999999999</v>
      </c>
      <c r="C2244">
        <v>38894.94</v>
      </c>
      <c r="D2244">
        <v>38545.760000000002</v>
      </c>
      <c r="E2244">
        <v>38799.08</v>
      </c>
    </row>
    <row r="2245" spans="1:5" hidden="1" x14ac:dyDescent="0.3">
      <c r="A2245" s="1">
        <v>44068</v>
      </c>
      <c r="B2245">
        <v>38948.46</v>
      </c>
      <c r="C2245">
        <v>39008.89</v>
      </c>
      <c r="D2245">
        <v>38679.67</v>
      </c>
      <c r="E2245">
        <v>38843.879999999997</v>
      </c>
    </row>
    <row r="2246" spans="1:5" hidden="1" x14ac:dyDescent="0.3">
      <c r="A2246" s="1">
        <v>44069</v>
      </c>
      <c r="B2246">
        <v>38930.18</v>
      </c>
      <c r="C2246">
        <v>39111.550000000003</v>
      </c>
      <c r="D2246">
        <v>38765.089999999997</v>
      </c>
      <c r="E2246">
        <v>39073.919999999998</v>
      </c>
    </row>
    <row r="2247" spans="1:5" hidden="1" x14ac:dyDescent="0.3">
      <c r="A2247" s="1">
        <v>44070</v>
      </c>
      <c r="B2247">
        <v>39293.53</v>
      </c>
      <c r="C2247">
        <v>39326.980000000003</v>
      </c>
      <c r="D2247">
        <v>39046.94</v>
      </c>
      <c r="E2247">
        <v>39113.47</v>
      </c>
    </row>
    <row r="2248" spans="1:5" hidden="1" x14ac:dyDescent="0.3">
      <c r="A2248" s="1">
        <v>44071</v>
      </c>
      <c r="B2248">
        <v>39264.480000000003</v>
      </c>
      <c r="C2248">
        <v>39579.58</v>
      </c>
      <c r="D2248">
        <v>39235.03</v>
      </c>
      <c r="E2248">
        <v>39467.31</v>
      </c>
    </row>
    <row r="2249" spans="1:5" hidden="1" x14ac:dyDescent="0.3">
      <c r="A2249" s="1">
        <v>44074</v>
      </c>
      <c r="B2249">
        <v>39888.15</v>
      </c>
      <c r="C2249">
        <v>40010.17</v>
      </c>
      <c r="D2249">
        <v>38395.89</v>
      </c>
      <c r="E2249">
        <v>38628.29</v>
      </c>
    </row>
    <row r="2250" spans="1:5" hidden="1" x14ac:dyDescent="0.3">
      <c r="A2250" s="1">
        <v>44075</v>
      </c>
      <c r="B2250">
        <v>38754</v>
      </c>
      <c r="C2250">
        <v>39226.82</v>
      </c>
      <c r="D2250">
        <v>38542.11</v>
      </c>
      <c r="E2250">
        <v>38900.800000000003</v>
      </c>
    </row>
    <row r="2251" spans="1:5" hidden="1" x14ac:dyDescent="0.3">
      <c r="A2251" s="1">
        <v>44076</v>
      </c>
      <c r="B2251">
        <v>38892.639999999999</v>
      </c>
      <c r="C2251">
        <v>39141.839999999997</v>
      </c>
      <c r="D2251">
        <v>38736.22</v>
      </c>
      <c r="E2251">
        <v>39086.03</v>
      </c>
    </row>
    <row r="2252" spans="1:5" hidden="1" x14ac:dyDescent="0.3">
      <c r="A2252" s="1">
        <v>44077</v>
      </c>
      <c r="B2252">
        <v>39165.800000000003</v>
      </c>
      <c r="C2252">
        <v>39236.36</v>
      </c>
      <c r="D2252">
        <v>38943.43</v>
      </c>
      <c r="E2252">
        <v>38990.94</v>
      </c>
    </row>
    <row r="2253" spans="1:5" hidden="1" x14ac:dyDescent="0.3">
      <c r="A2253" s="1">
        <v>44078</v>
      </c>
      <c r="B2253">
        <v>38325</v>
      </c>
      <c r="C2253">
        <v>38729.660000000003</v>
      </c>
      <c r="D2253">
        <v>38249.769999999997</v>
      </c>
      <c r="E2253">
        <v>38357.18</v>
      </c>
    </row>
    <row r="2254" spans="1:5" hidden="1" x14ac:dyDescent="0.3">
      <c r="A2254" s="1">
        <v>44081</v>
      </c>
      <c r="B2254">
        <v>38284.78</v>
      </c>
      <c r="C2254">
        <v>38519.919999999998</v>
      </c>
      <c r="D2254">
        <v>38060.74</v>
      </c>
      <c r="E2254">
        <v>38417.230000000003</v>
      </c>
    </row>
    <row r="2255" spans="1:5" hidden="1" x14ac:dyDescent="0.3">
      <c r="A2255" s="1">
        <v>44082</v>
      </c>
      <c r="B2255">
        <v>38498.07</v>
      </c>
      <c r="C2255">
        <v>38746.480000000003</v>
      </c>
      <c r="D2255">
        <v>38275.449999999997</v>
      </c>
      <c r="E2255">
        <v>38365.35</v>
      </c>
    </row>
    <row r="2256" spans="1:5" hidden="1" x14ac:dyDescent="0.3">
      <c r="A2256" s="1">
        <v>44083</v>
      </c>
      <c r="B2256">
        <v>37988.559999999998</v>
      </c>
      <c r="C2256">
        <v>38252.67</v>
      </c>
      <c r="D2256">
        <v>37935.26</v>
      </c>
      <c r="E2256">
        <v>38193.919999999998</v>
      </c>
    </row>
    <row r="2257" spans="1:5" hidden="1" x14ac:dyDescent="0.3">
      <c r="A2257" s="1">
        <v>44084</v>
      </c>
      <c r="B2257">
        <v>38516.879999999997</v>
      </c>
      <c r="C2257">
        <v>38878.25</v>
      </c>
      <c r="D2257">
        <v>38367.07</v>
      </c>
      <c r="E2257">
        <v>38840.32</v>
      </c>
    </row>
    <row r="2258" spans="1:5" hidden="1" x14ac:dyDescent="0.3">
      <c r="A2258" s="1">
        <v>44085</v>
      </c>
      <c r="B2258">
        <v>38865.17</v>
      </c>
      <c r="C2258">
        <v>38978.519999999997</v>
      </c>
      <c r="D2258">
        <v>38711.800000000003</v>
      </c>
      <c r="E2258">
        <v>38854.550000000003</v>
      </c>
    </row>
    <row r="2259" spans="1:5" hidden="1" x14ac:dyDescent="0.3">
      <c r="A2259" s="1">
        <v>44088</v>
      </c>
      <c r="B2259">
        <v>39073.51</v>
      </c>
      <c r="C2259">
        <v>39230.160000000003</v>
      </c>
      <c r="D2259">
        <v>38573.17</v>
      </c>
      <c r="E2259">
        <v>38756.629999999997</v>
      </c>
    </row>
    <row r="2260" spans="1:5" hidden="1" x14ac:dyDescent="0.3">
      <c r="A2260" s="1">
        <v>44089</v>
      </c>
      <c r="B2260">
        <v>38904.67</v>
      </c>
      <c r="C2260">
        <v>39102.25</v>
      </c>
      <c r="D2260">
        <v>38753.68</v>
      </c>
      <c r="E2260">
        <v>39044.35</v>
      </c>
    </row>
    <row r="2261" spans="1:5" hidden="1" x14ac:dyDescent="0.3">
      <c r="A2261" s="1">
        <v>44090</v>
      </c>
      <c r="B2261">
        <v>39161.01</v>
      </c>
      <c r="C2261">
        <v>39359.51</v>
      </c>
      <c r="D2261">
        <v>39037.96</v>
      </c>
      <c r="E2261">
        <v>39302.85</v>
      </c>
    </row>
    <row r="2262" spans="1:5" hidden="1" x14ac:dyDescent="0.3">
      <c r="A2262" s="1">
        <v>44091</v>
      </c>
      <c r="B2262">
        <v>39120.639999999999</v>
      </c>
      <c r="C2262">
        <v>39234.81</v>
      </c>
      <c r="D2262">
        <v>38926.339999999997</v>
      </c>
      <c r="E2262">
        <v>38979.85</v>
      </c>
    </row>
    <row r="2263" spans="1:5" hidden="1" x14ac:dyDescent="0.3">
      <c r="A2263" s="1">
        <v>44092</v>
      </c>
      <c r="B2263">
        <v>39200.42</v>
      </c>
      <c r="C2263">
        <v>39200.42</v>
      </c>
      <c r="D2263">
        <v>38635.730000000003</v>
      </c>
      <c r="E2263">
        <v>38845.82</v>
      </c>
    </row>
    <row r="2264" spans="1:5" hidden="1" x14ac:dyDescent="0.3">
      <c r="A2264" s="1">
        <v>44095</v>
      </c>
      <c r="B2264">
        <v>38812.69</v>
      </c>
      <c r="C2264">
        <v>38990.76</v>
      </c>
      <c r="D2264">
        <v>37938.53</v>
      </c>
      <c r="E2264">
        <v>38034.14</v>
      </c>
    </row>
    <row r="2265" spans="1:5" hidden="1" x14ac:dyDescent="0.3">
      <c r="A2265" s="1">
        <v>44096</v>
      </c>
      <c r="B2265">
        <v>38200.71</v>
      </c>
      <c r="C2265">
        <v>38209.97</v>
      </c>
      <c r="D2265">
        <v>37531.14</v>
      </c>
      <c r="E2265">
        <v>37734.080000000002</v>
      </c>
    </row>
    <row r="2266" spans="1:5" hidden="1" x14ac:dyDescent="0.3">
      <c r="A2266" s="1">
        <v>44097</v>
      </c>
      <c r="B2266">
        <v>38124.94</v>
      </c>
      <c r="C2266">
        <v>38140.07</v>
      </c>
      <c r="D2266">
        <v>37313.089999999997</v>
      </c>
      <c r="E2266">
        <v>37668.42</v>
      </c>
    </row>
    <row r="2267" spans="1:5" hidden="1" x14ac:dyDescent="0.3">
      <c r="A2267" s="1">
        <v>44098</v>
      </c>
      <c r="B2267">
        <v>37282.18</v>
      </c>
      <c r="C2267">
        <v>37304.26</v>
      </c>
      <c r="D2267">
        <v>36495.980000000003</v>
      </c>
      <c r="E2267">
        <v>36553.599999999999</v>
      </c>
    </row>
    <row r="2268" spans="1:5" hidden="1" x14ac:dyDescent="0.3">
      <c r="A2268" s="1">
        <v>44099</v>
      </c>
      <c r="B2268">
        <v>36991.89</v>
      </c>
      <c r="C2268">
        <v>37471.17</v>
      </c>
      <c r="D2268">
        <v>36730.519999999997</v>
      </c>
      <c r="E2268">
        <v>37388.660000000003</v>
      </c>
    </row>
    <row r="2269" spans="1:5" hidden="1" x14ac:dyDescent="0.3">
      <c r="A2269" s="1">
        <v>44102</v>
      </c>
      <c r="B2269">
        <v>37756.25</v>
      </c>
      <c r="C2269">
        <v>38035.870000000003</v>
      </c>
      <c r="D2269">
        <v>37544.050000000003</v>
      </c>
      <c r="E2269">
        <v>37981.629999999997</v>
      </c>
    </row>
    <row r="2270" spans="1:5" hidden="1" x14ac:dyDescent="0.3">
      <c r="A2270" s="1">
        <v>44103</v>
      </c>
      <c r="B2270">
        <v>38176.86</v>
      </c>
      <c r="C2270">
        <v>38235.94</v>
      </c>
      <c r="D2270">
        <v>37831.35</v>
      </c>
      <c r="E2270">
        <v>37973.22</v>
      </c>
    </row>
    <row r="2271" spans="1:5" hidden="1" x14ac:dyDescent="0.3">
      <c r="A2271" s="1">
        <v>44104</v>
      </c>
      <c r="B2271">
        <v>38068.89</v>
      </c>
      <c r="C2271">
        <v>38236.339999999997</v>
      </c>
      <c r="D2271">
        <v>37828.11</v>
      </c>
      <c r="E2271">
        <v>38067.93</v>
      </c>
    </row>
    <row r="2272" spans="1:5" hidden="1" x14ac:dyDescent="0.3">
      <c r="A2272" s="1">
        <v>44105</v>
      </c>
      <c r="B2272">
        <v>38410.199999999997</v>
      </c>
      <c r="C2272">
        <v>38738.89</v>
      </c>
      <c r="D2272">
        <v>38410.199999999997</v>
      </c>
      <c r="E2272">
        <v>38697.050000000003</v>
      </c>
    </row>
    <row r="2273" spans="1:5" hidden="1" x14ac:dyDescent="0.3">
      <c r="A2273" s="1">
        <v>44109</v>
      </c>
      <c r="B2273">
        <v>38956.78</v>
      </c>
      <c r="C2273">
        <v>39263.85</v>
      </c>
      <c r="D2273">
        <v>38819.89</v>
      </c>
      <c r="E2273">
        <v>38973.699999999997</v>
      </c>
    </row>
    <row r="2274" spans="1:5" hidden="1" x14ac:dyDescent="0.3">
      <c r="A2274" s="1">
        <v>44110</v>
      </c>
      <c r="B2274">
        <v>39336.339999999997</v>
      </c>
      <c r="C2274">
        <v>39623.760000000002</v>
      </c>
      <c r="D2274">
        <v>39191.1</v>
      </c>
      <c r="E2274">
        <v>39574.57</v>
      </c>
    </row>
    <row r="2275" spans="1:5" hidden="1" x14ac:dyDescent="0.3">
      <c r="A2275" s="1">
        <v>44111</v>
      </c>
      <c r="B2275">
        <v>39633.19</v>
      </c>
      <c r="C2275">
        <v>39968.04</v>
      </c>
      <c r="D2275">
        <v>39450.82</v>
      </c>
      <c r="E2275">
        <v>39878.949999999997</v>
      </c>
    </row>
    <row r="2276" spans="1:5" hidden="1" x14ac:dyDescent="0.3">
      <c r="A2276" s="1">
        <v>44112</v>
      </c>
      <c r="B2276">
        <v>40204.32</v>
      </c>
      <c r="C2276">
        <v>40468.879999999997</v>
      </c>
      <c r="D2276">
        <v>40062.230000000003</v>
      </c>
      <c r="E2276">
        <v>40182.67</v>
      </c>
    </row>
    <row r="2277" spans="1:5" hidden="1" x14ac:dyDescent="0.3">
      <c r="A2277" s="1">
        <v>44113</v>
      </c>
      <c r="B2277">
        <v>40226.25</v>
      </c>
      <c r="C2277">
        <v>40585.360000000001</v>
      </c>
      <c r="D2277">
        <v>40066.54</v>
      </c>
      <c r="E2277">
        <v>40509.49</v>
      </c>
    </row>
    <row r="2278" spans="1:5" hidden="1" x14ac:dyDescent="0.3">
      <c r="A2278" s="1">
        <v>44116</v>
      </c>
      <c r="B2278">
        <v>40716.949999999997</v>
      </c>
      <c r="C2278">
        <v>40905.49</v>
      </c>
      <c r="D2278">
        <v>40387.4</v>
      </c>
      <c r="E2278">
        <v>40593.800000000003</v>
      </c>
    </row>
    <row r="2279" spans="1:5" hidden="1" x14ac:dyDescent="0.3">
      <c r="A2279" s="1">
        <v>44117</v>
      </c>
      <c r="B2279">
        <v>40592.54</v>
      </c>
      <c r="C2279">
        <v>40786.82</v>
      </c>
      <c r="D2279">
        <v>40461.97</v>
      </c>
      <c r="E2279">
        <v>40625.51</v>
      </c>
    </row>
    <row r="2280" spans="1:5" hidden="1" x14ac:dyDescent="0.3">
      <c r="A2280" s="1">
        <v>44118</v>
      </c>
      <c r="B2280">
        <v>40623.19</v>
      </c>
      <c r="C2280">
        <v>40880.25</v>
      </c>
      <c r="D2280">
        <v>40279.550000000003</v>
      </c>
      <c r="E2280">
        <v>40794.74</v>
      </c>
    </row>
    <row r="2281" spans="1:5" hidden="1" x14ac:dyDescent="0.3">
      <c r="A2281" s="1">
        <v>44119</v>
      </c>
      <c r="B2281">
        <v>41048.050000000003</v>
      </c>
      <c r="C2281">
        <v>41048.050000000003</v>
      </c>
      <c r="D2281">
        <v>39667.47</v>
      </c>
      <c r="E2281">
        <v>39728.410000000003</v>
      </c>
    </row>
    <row r="2282" spans="1:5" hidden="1" x14ac:dyDescent="0.3">
      <c r="A2282" s="1">
        <v>44120</v>
      </c>
      <c r="B2282">
        <v>39936.61</v>
      </c>
      <c r="C2282">
        <v>40125.71</v>
      </c>
      <c r="D2282">
        <v>39699.42</v>
      </c>
      <c r="E2282">
        <v>39982.980000000003</v>
      </c>
    </row>
    <row r="2283" spans="1:5" hidden="1" x14ac:dyDescent="0.3">
      <c r="A2283" s="1">
        <v>44123</v>
      </c>
      <c r="B2283">
        <v>40318.57</v>
      </c>
      <c r="C2283">
        <v>40519.480000000003</v>
      </c>
      <c r="D2283">
        <v>40211.22</v>
      </c>
      <c r="E2283">
        <v>40431.599999999999</v>
      </c>
    </row>
    <row r="2284" spans="1:5" hidden="1" x14ac:dyDescent="0.3">
      <c r="A2284" s="1">
        <v>44124</v>
      </c>
      <c r="B2284">
        <v>40420.29</v>
      </c>
      <c r="C2284">
        <v>40732.01</v>
      </c>
      <c r="D2284">
        <v>40305.589999999997</v>
      </c>
      <c r="E2284">
        <v>40544.370000000003</v>
      </c>
    </row>
    <row r="2285" spans="1:5" hidden="1" x14ac:dyDescent="0.3">
      <c r="A2285" s="1">
        <v>44125</v>
      </c>
      <c r="B2285">
        <v>40767.14</v>
      </c>
      <c r="C2285">
        <v>40976.019999999997</v>
      </c>
      <c r="D2285">
        <v>40150.480000000003</v>
      </c>
      <c r="E2285">
        <v>40707.31</v>
      </c>
    </row>
    <row r="2286" spans="1:5" hidden="1" x14ac:dyDescent="0.3">
      <c r="A2286" s="1">
        <v>44126</v>
      </c>
      <c r="B2286">
        <v>40531.31</v>
      </c>
      <c r="C2286">
        <v>40721.57</v>
      </c>
      <c r="D2286">
        <v>40309.050000000003</v>
      </c>
      <c r="E2286">
        <v>40558.49</v>
      </c>
    </row>
    <row r="2287" spans="1:5" hidden="1" x14ac:dyDescent="0.3">
      <c r="A2287" s="1">
        <v>44127</v>
      </c>
      <c r="B2287">
        <v>40728.39</v>
      </c>
      <c r="C2287">
        <v>40811.120000000003</v>
      </c>
      <c r="D2287">
        <v>40590.9</v>
      </c>
      <c r="E2287">
        <v>40685.5</v>
      </c>
    </row>
    <row r="2288" spans="1:5" hidden="1" x14ac:dyDescent="0.3">
      <c r="A2288" s="1">
        <v>44130</v>
      </c>
      <c r="B2288">
        <v>40649.760000000002</v>
      </c>
      <c r="C2288">
        <v>40724.400000000001</v>
      </c>
      <c r="D2288">
        <v>39948.29</v>
      </c>
      <c r="E2288">
        <v>40145.5</v>
      </c>
    </row>
    <row r="2289" spans="1:5" hidden="1" x14ac:dyDescent="0.3">
      <c r="A2289" s="1">
        <v>44131</v>
      </c>
      <c r="B2289">
        <v>40199.08</v>
      </c>
      <c r="C2289">
        <v>40555.599999999999</v>
      </c>
      <c r="D2289">
        <v>39978.39</v>
      </c>
      <c r="E2289">
        <v>40522.1</v>
      </c>
    </row>
    <row r="2290" spans="1:5" hidden="1" x14ac:dyDescent="0.3">
      <c r="A2290" s="1">
        <v>44132</v>
      </c>
      <c r="B2290">
        <v>40664.35</v>
      </c>
      <c r="C2290">
        <v>40664.35</v>
      </c>
      <c r="D2290">
        <v>39774.6</v>
      </c>
      <c r="E2290">
        <v>39922.46</v>
      </c>
    </row>
    <row r="2291" spans="1:5" hidden="1" x14ac:dyDescent="0.3">
      <c r="A2291" s="1">
        <v>44133</v>
      </c>
      <c r="B2291">
        <v>39537.17</v>
      </c>
      <c r="C2291">
        <v>40010.83</v>
      </c>
      <c r="D2291">
        <v>39524.25</v>
      </c>
      <c r="E2291">
        <v>39749.85</v>
      </c>
    </row>
    <row r="2292" spans="1:5" hidden="1" x14ac:dyDescent="0.3">
      <c r="A2292" s="1">
        <v>44134</v>
      </c>
      <c r="B2292">
        <v>39779.82</v>
      </c>
      <c r="C2292">
        <v>39988.25</v>
      </c>
      <c r="D2292">
        <v>39241.870000000003</v>
      </c>
      <c r="E2292">
        <v>39614.07</v>
      </c>
    </row>
    <row r="2293" spans="1:5" hidden="1" x14ac:dyDescent="0.3">
      <c r="A2293" s="1">
        <v>44137</v>
      </c>
      <c r="B2293">
        <v>39880.379999999997</v>
      </c>
      <c r="C2293">
        <v>39968.03</v>
      </c>
      <c r="D2293">
        <v>39334.92</v>
      </c>
      <c r="E2293">
        <v>39757.58</v>
      </c>
    </row>
    <row r="2294" spans="1:5" hidden="1" x14ac:dyDescent="0.3">
      <c r="A2294" s="1">
        <v>44138</v>
      </c>
      <c r="B2294">
        <v>39990.75</v>
      </c>
      <c r="C2294">
        <v>40354.730000000003</v>
      </c>
      <c r="D2294">
        <v>39952.79</v>
      </c>
      <c r="E2294">
        <v>40261.129999999997</v>
      </c>
    </row>
    <row r="2295" spans="1:5" hidden="1" x14ac:dyDescent="0.3">
      <c r="A2295" s="1">
        <v>44139</v>
      </c>
      <c r="B2295">
        <v>40171.71</v>
      </c>
      <c r="C2295">
        <v>40693.51</v>
      </c>
      <c r="D2295">
        <v>40076.47</v>
      </c>
      <c r="E2295">
        <v>40616.14</v>
      </c>
    </row>
    <row r="2296" spans="1:5" hidden="1" x14ac:dyDescent="0.3">
      <c r="A2296" s="1">
        <v>44140</v>
      </c>
      <c r="B2296">
        <v>41112.120000000003</v>
      </c>
      <c r="C2296">
        <v>41370.910000000003</v>
      </c>
      <c r="D2296">
        <v>41030.17</v>
      </c>
      <c r="E2296">
        <v>41340.160000000003</v>
      </c>
    </row>
    <row r="2297" spans="1:5" hidden="1" x14ac:dyDescent="0.3">
      <c r="A2297" s="1">
        <v>44141</v>
      </c>
      <c r="B2297">
        <v>41438.76</v>
      </c>
      <c r="C2297">
        <v>41954.93</v>
      </c>
      <c r="D2297">
        <v>41383.29</v>
      </c>
      <c r="E2297">
        <v>41893.06</v>
      </c>
    </row>
    <row r="2298" spans="1:5" hidden="1" x14ac:dyDescent="0.3">
      <c r="A2298" s="1">
        <v>44144</v>
      </c>
      <c r="B2298">
        <v>42273.97</v>
      </c>
      <c r="C2298">
        <v>42645.33</v>
      </c>
      <c r="D2298">
        <v>42263.64</v>
      </c>
      <c r="E2298">
        <v>42597.43</v>
      </c>
    </row>
    <row r="2299" spans="1:5" hidden="1" x14ac:dyDescent="0.3">
      <c r="A2299" s="1">
        <v>44145</v>
      </c>
      <c r="B2299">
        <v>42959.25</v>
      </c>
      <c r="C2299">
        <v>43316.44</v>
      </c>
      <c r="D2299">
        <v>42660.09</v>
      </c>
      <c r="E2299">
        <v>43277.65</v>
      </c>
    </row>
    <row r="2300" spans="1:5" hidden="1" x14ac:dyDescent="0.3">
      <c r="A2300" s="1">
        <v>44146</v>
      </c>
      <c r="B2300">
        <v>43444.06</v>
      </c>
      <c r="C2300">
        <v>43708.47</v>
      </c>
      <c r="D2300">
        <v>42970.21</v>
      </c>
      <c r="E2300">
        <v>43593.67</v>
      </c>
    </row>
    <row r="2301" spans="1:5" hidden="1" x14ac:dyDescent="0.3">
      <c r="A2301" s="1">
        <v>44147</v>
      </c>
      <c r="B2301">
        <v>43291.89</v>
      </c>
      <c r="C2301">
        <v>43543.96</v>
      </c>
      <c r="D2301">
        <v>43127.55</v>
      </c>
      <c r="E2301">
        <v>43357.19</v>
      </c>
    </row>
    <row r="2302" spans="1:5" hidden="1" x14ac:dyDescent="0.3">
      <c r="A2302" s="1">
        <v>44148</v>
      </c>
      <c r="B2302">
        <v>43298.92</v>
      </c>
      <c r="C2302">
        <v>43522.25</v>
      </c>
      <c r="D2302">
        <v>43053.37</v>
      </c>
      <c r="E2302">
        <v>43443</v>
      </c>
    </row>
    <row r="2303" spans="1:5" hidden="1" x14ac:dyDescent="0.3">
      <c r="A2303" s="1">
        <v>44149</v>
      </c>
      <c r="B2303">
        <v>43815.45</v>
      </c>
      <c r="C2303">
        <v>43830.93</v>
      </c>
      <c r="D2303">
        <v>43535.77</v>
      </c>
      <c r="E2303">
        <v>43637.98</v>
      </c>
    </row>
    <row r="2304" spans="1:5" hidden="1" x14ac:dyDescent="0.3">
      <c r="A2304" s="1">
        <v>44152</v>
      </c>
      <c r="B2304">
        <v>44095.85</v>
      </c>
      <c r="C2304">
        <v>44161.16</v>
      </c>
      <c r="D2304">
        <v>43699.22</v>
      </c>
      <c r="E2304">
        <v>43952.71</v>
      </c>
    </row>
    <row r="2305" spans="1:5" hidden="1" x14ac:dyDescent="0.3">
      <c r="A2305" s="1">
        <v>44153</v>
      </c>
      <c r="B2305">
        <v>43978.58</v>
      </c>
      <c r="C2305">
        <v>44215.49</v>
      </c>
      <c r="D2305">
        <v>43785.78</v>
      </c>
      <c r="E2305">
        <v>44180.05</v>
      </c>
    </row>
    <row r="2306" spans="1:5" hidden="1" x14ac:dyDescent="0.3">
      <c r="A2306" s="1">
        <v>44154</v>
      </c>
      <c r="B2306">
        <v>43902.239999999998</v>
      </c>
      <c r="C2306">
        <v>44230</v>
      </c>
      <c r="D2306">
        <v>43518.11</v>
      </c>
      <c r="E2306">
        <v>43599.96</v>
      </c>
    </row>
    <row r="2307" spans="1:5" hidden="1" x14ac:dyDescent="0.3">
      <c r="A2307" s="1">
        <v>44155</v>
      </c>
      <c r="B2307">
        <v>43732.14</v>
      </c>
      <c r="C2307">
        <v>44013.02</v>
      </c>
      <c r="D2307">
        <v>43453.75</v>
      </c>
      <c r="E2307">
        <v>43882.25</v>
      </c>
    </row>
    <row r="2308" spans="1:5" hidden="1" x14ac:dyDescent="0.3">
      <c r="A2308" s="1">
        <v>44158</v>
      </c>
      <c r="B2308">
        <v>44164.17</v>
      </c>
      <c r="C2308">
        <v>44271.15</v>
      </c>
      <c r="D2308">
        <v>43747.22</v>
      </c>
      <c r="E2308">
        <v>44077.15</v>
      </c>
    </row>
    <row r="2309" spans="1:5" hidden="1" x14ac:dyDescent="0.3">
      <c r="A2309" s="1">
        <v>44159</v>
      </c>
      <c r="B2309">
        <v>44341.19</v>
      </c>
      <c r="C2309">
        <v>44601.63</v>
      </c>
      <c r="D2309">
        <v>44247.12</v>
      </c>
      <c r="E2309">
        <v>44523.02</v>
      </c>
    </row>
    <row r="2310" spans="1:5" hidden="1" x14ac:dyDescent="0.3">
      <c r="A2310" s="1">
        <v>44160</v>
      </c>
      <c r="B2310">
        <v>44749.73</v>
      </c>
      <c r="C2310">
        <v>44825.37</v>
      </c>
      <c r="D2310">
        <v>43757.97</v>
      </c>
      <c r="E2310">
        <v>43828.1</v>
      </c>
    </row>
    <row r="2311" spans="1:5" hidden="1" x14ac:dyDescent="0.3">
      <c r="A2311" s="1">
        <v>44161</v>
      </c>
      <c r="B2311">
        <v>43967.59</v>
      </c>
      <c r="C2311">
        <v>44361.78</v>
      </c>
      <c r="D2311">
        <v>43582.400000000001</v>
      </c>
      <c r="E2311">
        <v>44259.74</v>
      </c>
    </row>
    <row r="2312" spans="1:5" hidden="1" x14ac:dyDescent="0.3">
      <c r="A2312" s="1">
        <v>44162</v>
      </c>
      <c r="B2312">
        <v>44325.03</v>
      </c>
      <c r="C2312">
        <v>44407.28</v>
      </c>
      <c r="D2312">
        <v>43995.41</v>
      </c>
      <c r="E2312">
        <v>44149.72</v>
      </c>
    </row>
    <row r="2313" spans="1:5" hidden="1" x14ac:dyDescent="0.3">
      <c r="A2313" s="1">
        <v>44166</v>
      </c>
      <c r="B2313">
        <v>44435.83</v>
      </c>
      <c r="C2313">
        <v>44730.79</v>
      </c>
      <c r="D2313">
        <v>44118.1</v>
      </c>
      <c r="E2313">
        <v>44655.44</v>
      </c>
    </row>
    <row r="2314" spans="1:5" hidden="1" x14ac:dyDescent="0.3">
      <c r="A2314" s="1">
        <v>44167</v>
      </c>
      <c r="B2314">
        <v>44729.52</v>
      </c>
      <c r="C2314">
        <v>44729.64</v>
      </c>
      <c r="D2314">
        <v>44169.97</v>
      </c>
      <c r="E2314">
        <v>44618.04</v>
      </c>
    </row>
    <row r="2315" spans="1:5" hidden="1" x14ac:dyDescent="0.3">
      <c r="A2315" s="1">
        <v>44168</v>
      </c>
      <c r="B2315">
        <v>44902.02</v>
      </c>
      <c r="C2315">
        <v>44953.01</v>
      </c>
      <c r="D2315">
        <v>44551.42</v>
      </c>
      <c r="E2315">
        <v>44632.65</v>
      </c>
    </row>
    <row r="2316" spans="1:5" hidden="1" x14ac:dyDescent="0.3">
      <c r="A2316" s="1">
        <v>44169</v>
      </c>
      <c r="B2316">
        <v>44665.91</v>
      </c>
      <c r="C2316">
        <v>45148.28</v>
      </c>
      <c r="D2316">
        <v>44665.91</v>
      </c>
      <c r="E2316">
        <v>45079.55</v>
      </c>
    </row>
    <row r="2317" spans="1:5" hidden="1" x14ac:dyDescent="0.3">
      <c r="A2317" s="1">
        <v>44172</v>
      </c>
      <c r="B2317">
        <v>45099.92</v>
      </c>
      <c r="C2317">
        <v>45458.92</v>
      </c>
      <c r="D2317">
        <v>45024.47</v>
      </c>
      <c r="E2317">
        <v>45426.97</v>
      </c>
    </row>
    <row r="2318" spans="1:5" hidden="1" x14ac:dyDescent="0.3">
      <c r="A2318" s="1">
        <v>44173</v>
      </c>
      <c r="B2318">
        <v>45568.800000000003</v>
      </c>
      <c r="C2318">
        <v>45742.23</v>
      </c>
      <c r="D2318">
        <v>45335.17</v>
      </c>
      <c r="E2318">
        <v>45608.51</v>
      </c>
    </row>
    <row r="2319" spans="1:5" hidden="1" x14ac:dyDescent="0.3">
      <c r="A2319" s="1">
        <v>44174</v>
      </c>
      <c r="B2319">
        <v>45891.040000000001</v>
      </c>
      <c r="C2319">
        <v>46164.1</v>
      </c>
      <c r="D2319">
        <v>45792.01</v>
      </c>
      <c r="E2319">
        <v>46103.5</v>
      </c>
    </row>
    <row r="2320" spans="1:5" hidden="1" x14ac:dyDescent="0.3">
      <c r="A2320" s="1">
        <v>44175</v>
      </c>
      <c r="B2320">
        <v>45999.42</v>
      </c>
      <c r="C2320">
        <v>46043.97</v>
      </c>
      <c r="D2320">
        <v>45685.87</v>
      </c>
      <c r="E2320">
        <v>45959.88</v>
      </c>
    </row>
    <row r="2321" spans="1:5" hidden="1" x14ac:dyDescent="0.3">
      <c r="A2321" s="1">
        <v>44176</v>
      </c>
      <c r="B2321">
        <v>46060.32</v>
      </c>
      <c r="C2321">
        <v>46309.63</v>
      </c>
      <c r="D2321">
        <v>45706.22</v>
      </c>
      <c r="E2321">
        <v>46099.01</v>
      </c>
    </row>
    <row r="2322" spans="1:5" hidden="1" x14ac:dyDescent="0.3">
      <c r="A2322" s="1">
        <v>44179</v>
      </c>
      <c r="B2322">
        <v>46284.7</v>
      </c>
      <c r="C2322">
        <v>46373.34</v>
      </c>
      <c r="D2322">
        <v>45951.53</v>
      </c>
      <c r="E2322">
        <v>46253.46</v>
      </c>
    </row>
    <row r="2323" spans="1:5" hidden="1" x14ac:dyDescent="0.3">
      <c r="A2323" s="1">
        <v>44180</v>
      </c>
      <c r="B2323">
        <v>46287.39</v>
      </c>
      <c r="C2323">
        <v>46350.3</v>
      </c>
      <c r="D2323">
        <v>45841.67</v>
      </c>
      <c r="E2323">
        <v>46263.17</v>
      </c>
    </row>
    <row r="2324" spans="1:5" hidden="1" x14ac:dyDescent="0.3">
      <c r="A2324" s="1">
        <v>44181</v>
      </c>
      <c r="B2324">
        <v>46573.31</v>
      </c>
      <c r="C2324">
        <v>46704.97</v>
      </c>
      <c r="D2324">
        <v>46402.2</v>
      </c>
      <c r="E2324">
        <v>46666.46</v>
      </c>
    </row>
    <row r="2325" spans="1:5" hidden="1" x14ac:dyDescent="0.3">
      <c r="A2325" s="1">
        <v>44182</v>
      </c>
      <c r="B2325">
        <v>46774.32</v>
      </c>
      <c r="C2325">
        <v>46992.57</v>
      </c>
      <c r="D2325">
        <v>46627.6</v>
      </c>
      <c r="E2325">
        <v>46890.34</v>
      </c>
    </row>
    <row r="2326" spans="1:5" hidden="1" x14ac:dyDescent="0.3">
      <c r="A2326" s="1">
        <v>44183</v>
      </c>
      <c r="B2326">
        <v>47026.02</v>
      </c>
      <c r="C2326">
        <v>47026.02</v>
      </c>
      <c r="D2326">
        <v>46630.31</v>
      </c>
      <c r="E2326">
        <v>46960.69</v>
      </c>
    </row>
    <row r="2327" spans="1:5" hidden="1" x14ac:dyDescent="0.3">
      <c r="A2327" s="1">
        <v>44186</v>
      </c>
      <c r="B2327">
        <v>46932.18</v>
      </c>
      <c r="C2327">
        <v>47055.69</v>
      </c>
      <c r="D2327">
        <v>44923.08</v>
      </c>
      <c r="E2327">
        <v>45553.96</v>
      </c>
    </row>
    <row r="2328" spans="1:5" hidden="1" x14ac:dyDescent="0.3">
      <c r="A2328" s="1">
        <v>44187</v>
      </c>
      <c r="B2328">
        <v>45529.61</v>
      </c>
      <c r="C2328">
        <v>46080.18</v>
      </c>
      <c r="D2328">
        <v>45112.19</v>
      </c>
      <c r="E2328">
        <v>46006.69</v>
      </c>
    </row>
    <row r="2329" spans="1:5" hidden="1" x14ac:dyDescent="0.3">
      <c r="A2329" s="1">
        <v>44188</v>
      </c>
      <c r="B2329">
        <v>46072.3</v>
      </c>
      <c r="C2329">
        <v>46513.32</v>
      </c>
      <c r="D2329">
        <v>45899.1</v>
      </c>
      <c r="E2329">
        <v>46444.18</v>
      </c>
    </row>
    <row r="2330" spans="1:5" hidden="1" x14ac:dyDescent="0.3">
      <c r="A2330" s="1">
        <v>44189</v>
      </c>
      <c r="B2330">
        <v>46743.49</v>
      </c>
      <c r="C2330">
        <v>47053.4</v>
      </c>
      <c r="D2330">
        <v>46539.02</v>
      </c>
      <c r="E2330">
        <v>46973.54</v>
      </c>
    </row>
    <row r="2331" spans="1:5" hidden="1" x14ac:dyDescent="0.3">
      <c r="A2331" s="1">
        <v>44193</v>
      </c>
      <c r="B2331">
        <v>47153.59</v>
      </c>
      <c r="C2331">
        <v>47406.720000000001</v>
      </c>
      <c r="D2331">
        <v>47148.24</v>
      </c>
      <c r="E2331">
        <v>47353.75</v>
      </c>
    </row>
    <row r="2332" spans="1:5" hidden="1" x14ac:dyDescent="0.3">
      <c r="A2332" s="1">
        <v>44194</v>
      </c>
      <c r="B2332">
        <v>47466.62</v>
      </c>
      <c r="C2332">
        <v>47714.55</v>
      </c>
      <c r="D2332">
        <v>47361.9</v>
      </c>
      <c r="E2332">
        <v>47613.08</v>
      </c>
    </row>
    <row r="2333" spans="1:5" hidden="1" x14ac:dyDescent="0.3">
      <c r="A2333" s="1">
        <v>44195</v>
      </c>
      <c r="B2333">
        <v>47789.03</v>
      </c>
      <c r="C2333">
        <v>47807.85</v>
      </c>
      <c r="D2333">
        <v>47358.36</v>
      </c>
      <c r="E2333">
        <v>47746.22</v>
      </c>
    </row>
    <row r="2334" spans="1:5" hidden="1" x14ac:dyDescent="0.3">
      <c r="A2334" s="1">
        <v>44196</v>
      </c>
      <c r="B2334">
        <v>47753.11</v>
      </c>
      <c r="C2334">
        <v>47896.97</v>
      </c>
      <c r="D2334">
        <v>47602.12</v>
      </c>
      <c r="E2334">
        <v>47751.33</v>
      </c>
    </row>
    <row r="2335" spans="1:5" x14ac:dyDescent="0.3">
      <c r="A2335" s="1">
        <v>44197</v>
      </c>
      <c r="B2335">
        <v>47785.279999999999</v>
      </c>
      <c r="C2335">
        <v>47980.36</v>
      </c>
      <c r="D2335">
        <v>47771.15</v>
      </c>
      <c r="E2335">
        <v>47868.98</v>
      </c>
    </row>
    <row r="2336" spans="1:5" x14ac:dyDescent="0.3">
      <c r="A2336" s="1">
        <v>44200</v>
      </c>
      <c r="B2336">
        <v>48109.17</v>
      </c>
      <c r="C2336">
        <v>48220.47</v>
      </c>
      <c r="D2336">
        <v>47594.47</v>
      </c>
      <c r="E2336">
        <v>48176.800000000003</v>
      </c>
    </row>
    <row r="2337" spans="1:5" x14ac:dyDescent="0.3">
      <c r="A2337" s="1">
        <v>44201</v>
      </c>
      <c r="B2337">
        <v>48037.63</v>
      </c>
      <c r="C2337">
        <v>48486.239999999998</v>
      </c>
      <c r="D2337">
        <v>47903.38</v>
      </c>
      <c r="E2337">
        <v>48437.78</v>
      </c>
    </row>
    <row r="2338" spans="1:5" x14ac:dyDescent="0.3">
      <c r="A2338" s="1">
        <v>44202</v>
      </c>
      <c r="B2338">
        <v>48616.66</v>
      </c>
      <c r="C2338">
        <v>48616.66</v>
      </c>
      <c r="D2338">
        <v>47864.14</v>
      </c>
      <c r="E2338">
        <v>48174.06</v>
      </c>
    </row>
    <row r="2339" spans="1:5" x14ac:dyDescent="0.3">
      <c r="A2339" s="1">
        <v>44203</v>
      </c>
      <c r="B2339">
        <v>48524.36</v>
      </c>
      <c r="C2339">
        <v>48558.34</v>
      </c>
      <c r="D2339">
        <v>48037.87</v>
      </c>
      <c r="E2339">
        <v>48093.32</v>
      </c>
    </row>
    <row r="2340" spans="1:5" x14ac:dyDescent="0.3">
      <c r="A2340" s="1">
        <v>44204</v>
      </c>
      <c r="B2340">
        <v>48464.91</v>
      </c>
      <c r="C2340">
        <v>48854.34</v>
      </c>
      <c r="D2340">
        <v>48365.58</v>
      </c>
      <c r="E2340">
        <v>48782.51</v>
      </c>
    </row>
    <row r="2341" spans="1:5" x14ac:dyDescent="0.3">
      <c r="A2341" s="1">
        <v>44207</v>
      </c>
      <c r="B2341">
        <v>49252.31</v>
      </c>
      <c r="C2341">
        <v>49303.79</v>
      </c>
      <c r="D2341">
        <v>48956.38</v>
      </c>
      <c r="E2341">
        <v>49269.32</v>
      </c>
    </row>
    <row r="2342" spans="1:5" x14ac:dyDescent="0.3">
      <c r="A2342" s="1">
        <v>44208</v>
      </c>
      <c r="B2342">
        <v>49228.26</v>
      </c>
      <c r="C2342">
        <v>49569.14</v>
      </c>
      <c r="D2342">
        <v>49079.57</v>
      </c>
      <c r="E2342">
        <v>49517.11</v>
      </c>
    </row>
    <row r="2343" spans="1:5" x14ac:dyDescent="0.3">
      <c r="A2343" s="1">
        <v>44209</v>
      </c>
      <c r="B2343">
        <v>49763.93</v>
      </c>
      <c r="C2343">
        <v>49795.19</v>
      </c>
      <c r="D2343">
        <v>49073.85</v>
      </c>
      <c r="E2343">
        <v>49492.32</v>
      </c>
    </row>
    <row r="2344" spans="1:5" x14ac:dyDescent="0.3">
      <c r="A2344" s="1">
        <v>44210</v>
      </c>
      <c r="B2344">
        <v>49432.83</v>
      </c>
      <c r="C2344">
        <v>49663.58</v>
      </c>
      <c r="D2344">
        <v>49182.37</v>
      </c>
      <c r="E2344">
        <v>49584.160000000003</v>
      </c>
    </row>
    <row r="2345" spans="1:5" x14ac:dyDescent="0.3">
      <c r="A2345" s="1">
        <v>44211</v>
      </c>
      <c r="B2345">
        <v>49656.71</v>
      </c>
      <c r="C2345">
        <v>49656.71</v>
      </c>
      <c r="D2345">
        <v>48795.79</v>
      </c>
      <c r="E2345">
        <v>49034.67</v>
      </c>
    </row>
    <row r="2346" spans="1:5" x14ac:dyDescent="0.3">
      <c r="A2346" s="1">
        <v>44214</v>
      </c>
      <c r="B2346">
        <v>49061.22</v>
      </c>
      <c r="C2346">
        <v>49122.23</v>
      </c>
      <c r="D2346">
        <v>48403.97</v>
      </c>
      <c r="E2346">
        <v>48564.27</v>
      </c>
    </row>
    <row r="2347" spans="1:5" x14ac:dyDescent="0.3">
      <c r="A2347" s="1">
        <v>44215</v>
      </c>
      <c r="B2347">
        <v>48900.31</v>
      </c>
      <c r="C2347">
        <v>49499.86</v>
      </c>
      <c r="D2347">
        <v>48805.54</v>
      </c>
      <c r="E2347">
        <v>49398.29</v>
      </c>
    </row>
    <row r="2348" spans="1:5" x14ac:dyDescent="0.3">
      <c r="A2348" s="1">
        <v>44216</v>
      </c>
      <c r="B2348">
        <v>49508.79</v>
      </c>
      <c r="C2348">
        <v>49874.42</v>
      </c>
      <c r="D2348">
        <v>49373.68</v>
      </c>
      <c r="E2348">
        <v>49792.12</v>
      </c>
    </row>
    <row r="2349" spans="1:5" x14ac:dyDescent="0.3">
      <c r="A2349" s="1">
        <v>44217</v>
      </c>
      <c r="B2349">
        <v>50096.57</v>
      </c>
      <c r="C2349">
        <v>50184.01</v>
      </c>
      <c r="D2349">
        <v>49398.86</v>
      </c>
      <c r="E2349">
        <v>49624.76</v>
      </c>
    </row>
    <row r="2350" spans="1:5" x14ac:dyDescent="0.3">
      <c r="A2350" s="1">
        <v>44218</v>
      </c>
      <c r="B2350">
        <v>49594.95</v>
      </c>
      <c r="C2350">
        <v>49676.88</v>
      </c>
      <c r="D2350">
        <v>48832.08</v>
      </c>
      <c r="E2350">
        <v>48878.54</v>
      </c>
    </row>
    <row r="2351" spans="1:5" x14ac:dyDescent="0.3">
      <c r="A2351" s="1">
        <v>44221</v>
      </c>
      <c r="B2351">
        <v>49253.68</v>
      </c>
      <c r="C2351">
        <v>49263.15</v>
      </c>
      <c r="D2351">
        <v>48274.92</v>
      </c>
      <c r="E2351">
        <v>48347.59</v>
      </c>
    </row>
    <row r="2352" spans="1:5" x14ac:dyDescent="0.3">
      <c r="A2352" s="1">
        <v>44223</v>
      </c>
      <c r="B2352">
        <v>48385.279999999999</v>
      </c>
      <c r="C2352">
        <v>48387.25</v>
      </c>
      <c r="D2352">
        <v>47269.599999999999</v>
      </c>
      <c r="E2352">
        <v>47409.93</v>
      </c>
    </row>
    <row r="2353" spans="1:5" x14ac:dyDescent="0.3">
      <c r="A2353" s="1">
        <v>44224</v>
      </c>
      <c r="B2353">
        <v>46834.57</v>
      </c>
      <c r="C2353">
        <v>47172.02</v>
      </c>
      <c r="D2353">
        <v>46518.48</v>
      </c>
      <c r="E2353">
        <v>46874.36</v>
      </c>
    </row>
    <row r="2354" spans="1:5" x14ac:dyDescent="0.3">
      <c r="A2354" s="1">
        <v>44225</v>
      </c>
      <c r="B2354">
        <v>47423.47</v>
      </c>
      <c r="C2354">
        <v>47423.66</v>
      </c>
      <c r="D2354">
        <v>46160.46</v>
      </c>
      <c r="E2354">
        <v>46285.77</v>
      </c>
    </row>
    <row r="2355" spans="1:5" x14ac:dyDescent="0.3">
      <c r="A2355" s="1">
        <v>44228</v>
      </c>
      <c r="B2355">
        <v>46617.95</v>
      </c>
      <c r="C2355">
        <v>48764.4</v>
      </c>
      <c r="D2355">
        <v>46433.65</v>
      </c>
      <c r="E2355">
        <v>48600.61</v>
      </c>
    </row>
    <row r="2356" spans="1:5" x14ac:dyDescent="0.3">
      <c r="A2356" s="1">
        <v>44229</v>
      </c>
      <c r="B2356">
        <v>49193.26</v>
      </c>
      <c r="C2356">
        <v>50154.48</v>
      </c>
      <c r="D2356">
        <v>49193.26</v>
      </c>
      <c r="E2356">
        <v>49797.72</v>
      </c>
    </row>
    <row r="2357" spans="1:5" x14ac:dyDescent="0.3">
      <c r="A2357" s="1">
        <v>44230</v>
      </c>
      <c r="B2357">
        <v>50231.06</v>
      </c>
      <c r="C2357">
        <v>50526.39</v>
      </c>
      <c r="D2357">
        <v>49515.88</v>
      </c>
      <c r="E2357">
        <v>50255.75</v>
      </c>
    </row>
    <row r="2358" spans="1:5" x14ac:dyDescent="0.3">
      <c r="A2358" s="1">
        <v>44231</v>
      </c>
      <c r="B2358">
        <v>50212.25</v>
      </c>
      <c r="C2358">
        <v>50687.51</v>
      </c>
      <c r="D2358">
        <v>49926.45</v>
      </c>
      <c r="E2358">
        <v>50614.29</v>
      </c>
    </row>
    <row r="2359" spans="1:5" x14ac:dyDescent="0.3">
      <c r="A2359" s="1">
        <v>44232</v>
      </c>
      <c r="B2359">
        <v>51031.39</v>
      </c>
      <c r="C2359">
        <v>51073.27</v>
      </c>
      <c r="D2359">
        <v>50565.29</v>
      </c>
      <c r="E2359">
        <v>50731.63</v>
      </c>
    </row>
    <row r="2360" spans="1:5" x14ac:dyDescent="0.3">
      <c r="A2360" s="1">
        <v>44235</v>
      </c>
      <c r="B2360">
        <v>51146.67</v>
      </c>
      <c r="C2360">
        <v>51523.38</v>
      </c>
      <c r="D2360">
        <v>51146.67</v>
      </c>
      <c r="E2360">
        <v>51348.77</v>
      </c>
    </row>
    <row r="2361" spans="1:5" x14ac:dyDescent="0.3">
      <c r="A2361" s="1">
        <v>44236</v>
      </c>
      <c r="B2361">
        <v>51484.23</v>
      </c>
      <c r="C2361">
        <v>51835.86</v>
      </c>
      <c r="D2361">
        <v>51193.93</v>
      </c>
      <c r="E2361">
        <v>51329.08</v>
      </c>
    </row>
    <row r="2362" spans="1:5" x14ac:dyDescent="0.3">
      <c r="A2362" s="1">
        <v>44237</v>
      </c>
      <c r="B2362">
        <v>51355.89</v>
      </c>
      <c r="C2362">
        <v>51512.86</v>
      </c>
      <c r="D2362">
        <v>50846.22</v>
      </c>
      <c r="E2362">
        <v>51309.39</v>
      </c>
    </row>
    <row r="2363" spans="1:5" x14ac:dyDescent="0.3">
      <c r="A2363" s="1">
        <v>44238</v>
      </c>
      <c r="B2363">
        <v>51165.84</v>
      </c>
      <c r="C2363">
        <v>51592.45</v>
      </c>
      <c r="D2363">
        <v>51157.31</v>
      </c>
      <c r="E2363">
        <v>51531.519999999997</v>
      </c>
    </row>
    <row r="2364" spans="1:5" x14ac:dyDescent="0.3">
      <c r="A2364" s="1">
        <v>44239</v>
      </c>
      <c r="B2364">
        <v>51614.77</v>
      </c>
      <c r="C2364">
        <v>51804.58</v>
      </c>
      <c r="D2364">
        <v>51260.62</v>
      </c>
      <c r="E2364">
        <v>51544.3</v>
      </c>
    </row>
    <row r="2365" spans="1:5" x14ac:dyDescent="0.3">
      <c r="A2365" s="1">
        <v>44242</v>
      </c>
      <c r="B2365">
        <v>51907.75</v>
      </c>
      <c r="C2365">
        <v>52235.97</v>
      </c>
      <c r="D2365">
        <v>51886.46</v>
      </c>
      <c r="E2365">
        <v>52154.13</v>
      </c>
    </row>
    <row r="2366" spans="1:5" x14ac:dyDescent="0.3">
      <c r="A2366" s="1">
        <v>44243</v>
      </c>
      <c r="B2366">
        <v>52400.03</v>
      </c>
      <c r="C2366">
        <v>52516.76</v>
      </c>
      <c r="D2366">
        <v>51863.61</v>
      </c>
      <c r="E2366">
        <v>52104.17</v>
      </c>
    </row>
    <row r="2367" spans="1:5" x14ac:dyDescent="0.3">
      <c r="A2367" s="1">
        <v>44244</v>
      </c>
      <c r="B2367">
        <v>51996.94</v>
      </c>
      <c r="C2367">
        <v>52078.15</v>
      </c>
      <c r="D2367">
        <v>51586.34</v>
      </c>
      <c r="E2367">
        <v>51703.83</v>
      </c>
    </row>
    <row r="2368" spans="1:5" x14ac:dyDescent="0.3">
      <c r="A2368" s="1">
        <v>44245</v>
      </c>
      <c r="B2368">
        <v>51903.96</v>
      </c>
      <c r="C2368">
        <v>51903.96</v>
      </c>
      <c r="D2368">
        <v>51186.68</v>
      </c>
      <c r="E2368">
        <v>51324.69</v>
      </c>
    </row>
    <row r="2369" spans="1:5" x14ac:dyDescent="0.3">
      <c r="A2369" s="1">
        <v>44246</v>
      </c>
      <c r="B2369">
        <v>51238.02</v>
      </c>
      <c r="C2369">
        <v>51432.99</v>
      </c>
      <c r="D2369">
        <v>50624.33</v>
      </c>
      <c r="E2369">
        <v>50889.760000000002</v>
      </c>
    </row>
    <row r="2370" spans="1:5" x14ac:dyDescent="0.3">
      <c r="A2370" s="1">
        <v>44249</v>
      </c>
      <c r="B2370">
        <v>50910.51</v>
      </c>
      <c r="C2370">
        <v>50986.03</v>
      </c>
      <c r="D2370">
        <v>49617.37</v>
      </c>
      <c r="E2370">
        <v>49744.32</v>
      </c>
    </row>
    <row r="2371" spans="1:5" x14ac:dyDescent="0.3">
      <c r="A2371" s="1">
        <v>44250</v>
      </c>
      <c r="B2371">
        <v>49994.85</v>
      </c>
      <c r="C2371">
        <v>50327.31</v>
      </c>
      <c r="D2371">
        <v>49659.85</v>
      </c>
      <c r="E2371">
        <v>49751.41</v>
      </c>
    </row>
    <row r="2372" spans="1:5" x14ac:dyDescent="0.3">
      <c r="A2372" s="1">
        <v>44251</v>
      </c>
      <c r="B2372">
        <v>49763.94</v>
      </c>
      <c r="C2372">
        <v>50881.17</v>
      </c>
      <c r="D2372">
        <v>49648.78</v>
      </c>
      <c r="E2372">
        <v>50781.69</v>
      </c>
    </row>
    <row r="2373" spans="1:5" x14ac:dyDescent="0.3">
      <c r="A2373" s="1">
        <v>44252</v>
      </c>
      <c r="B2373">
        <v>51207.61</v>
      </c>
      <c r="C2373">
        <v>51386.12</v>
      </c>
      <c r="D2373">
        <v>50991.76</v>
      </c>
      <c r="E2373">
        <v>51039.31</v>
      </c>
    </row>
    <row r="2374" spans="1:5" x14ac:dyDescent="0.3">
      <c r="A2374" s="1">
        <v>44253</v>
      </c>
      <c r="B2374">
        <v>50256.71</v>
      </c>
      <c r="C2374">
        <v>50400.31</v>
      </c>
      <c r="D2374">
        <v>48890.48</v>
      </c>
      <c r="E2374">
        <v>49099.99</v>
      </c>
    </row>
    <row r="2375" spans="1:5" x14ac:dyDescent="0.3">
      <c r="A2375" s="1">
        <v>44256</v>
      </c>
      <c r="B2375">
        <v>49747.71</v>
      </c>
      <c r="C2375">
        <v>50058.42</v>
      </c>
      <c r="D2375">
        <v>49440.46</v>
      </c>
      <c r="E2375">
        <v>49849.84</v>
      </c>
    </row>
    <row r="2376" spans="1:5" x14ac:dyDescent="0.3">
      <c r="A2376" s="1">
        <v>44257</v>
      </c>
      <c r="B2376">
        <v>50258.09</v>
      </c>
      <c r="C2376">
        <v>50439.82</v>
      </c>
      <c r="D2376">
        <v>49807.12</v>
      </c>
      <c r="E2376">
        <v>50296.89</v>
      </c>
    </row>
    <row r="2377" spans="1:5" x14ac:dyDescent="0.3">
      <c r="A2377" s="1">
        <v>44258</v>
      </c>
      <c r="B2377">
        <v>50738.21</v>
      </c>
      <c r="C2377">
        <v>51539.89</v>
      </c>
      <c r="D2377">
        <v>50512.84</v>
      </c>
      <c r="E2377">
        <v>51444.65</v>
      </c>
    </row>
    <row r="2378" spans="1:5" x14ac:dyDescent="0.3">
      <c r="A2378" s="1">
        <v>44259</v>
      </c>
      <c r="B2378">
        <v>50812.14</v>
      </c>
      <c r="C2378">
        <v>51256.55</v>
      </c>
      <c r="D2378">
        <v>50539.92</v>
      </c>
      <c r="E2378">
        <v>50846.080000000002</v>
      </c>
    </row>
    <row r="2379" spans="1:5" x14ac:dyDescent="0.3">
      <c r="A2379" s="1">
        <v>44260</v>
      </c>
      <c r="B2379">
        <v>50517.36</v>
      </c>
      <c r="C2379">
        <v>50886.19</v>
      </c>
      <c r="D2379">
        <v>50160.54</v>
      </c>
      <c r="E2379">
        <v>50405.32</v>
      </c>
    </row>
    <row r="2380" spans="1:5" x14ac:dyDescent="0.3">
      <c r="A2380" s="1">
        <v>44263</v>
      </c>
      <c r="B2380">
        <v>50654.02</v>
      </c>
      <c r="C2380">
        <v>50985.77</v>
      </c>
      <c r="D2380">
        <v>50318.26</v>
      </c>
      <c r="E2380">
        <v>50441.07</v>
      </c>
    </row>
    <row r="2381" spans="1:5" x14ac:dyDescent="0.3">
      <c r="A2381" s="1">
        <v>44264</v>
      </c>
      <c r="B2381">
        <v>50714.16</v>
      </c>
      <c r="C2381">
        <v>51111.94</v>
      </c>
      <c r="D2381">
        <v>50396.1</v>
      </c>
      <c r="E2381">
        <v>51025.48</v>
      </c>
    </row>
    <row r="2382" spans="1:5" x14ac:dyDescent="0.3">
      <c r="A2382" s="1">
        <v>44265</v>
      </c>
      <c r="B2382">
        <v>51404.68</v>
      </c>
      <c r="C2382">
        <v>51430.43</v>
      </c>
      <c r="D2382">
        <v>51048.93</v>
      </c>
      <c r="E2382">
        <v>51279.51</v>
      </c>
    </row>
    <row r="2383" spans="1:5" x14ac:dyDescent="0.3">
      <c r="A2383" s="1">
        <v>44267</v>
      </c>
      <c r="B2383">
        <v>51660.98</v>
      </c>
      <c r="C2383">
        <v>51821.84</v>
      </c>
      <c r="D2383">
        <v>50538.43</v>
      </c>
      <c r="E2383">
        <v>50792.08</v>
      </c>
    </row>
    <row r="2384" spans="1:5" x14ac:dyDescent="0.3">
      <c r="A2384" s="1">
        <v>44270</v>
      </c>
      <c r="B2384">
        <v>50773.47</v>
      </c>
      <c r="C2384">
        <v>50834.78</v>
      </c>
      <c r="D2384">
        <v>49799.07</v>
      </c>
      <c r="E2384">
        <v>50395.08</v>
      </c>
    </row>
    <row r="2385" spans="1:5" x14ac:dyDescent="0.3">
      <c r="A2385" s="1">
        <v>44271</v>
      </c>
      <c r="B2385">
        <v>50608.42</v>
      </c>
      <c r="C2385">
        <v>50857.98</v>
      </c>
      <c r="D2385">
        <v>50289.440000000002</v>
      </c>
      <c r="E2385">
        <v>50363.96</v>
      </c>
    </row>
    <row r="2386" spans="1:5" x14ac:dyDescent="0.3">
      <c r="A2386" s="1">
        <v>44272</v>
      </c>
      <c r="B2386">
        <v>50436.02</v>
      </c>
      <c r="C2386">
        <v>50561.120000000003</v>
      </c>
      <c r="D2386">
        <v>49718.65</v>
      </c>
      <c r="E2386">
        <v>49801.62</v>
      </c>
    </row>
    <row r="2387" spans="1:5" x14ac:dyDescent="0.3">
      <c r="A2387" s="1">
        <v>44273</v>
      </c>
      <c r="B2387">
        <v>50161.25</v>
      </c>
      <c r="C2387">
        <v>50296.35</v>
      </c>
      <c r="D2387">
        <v>48962.36</v>
      </c>
      <c r="E2387">
        <v>49216.52</v>
      </c>
    </row>
    <row r="2388" spans="1:5" x14ac:dyDescent="0.3">
      <c r="A2388" s="1">
        <v>44274</v>
      </c>
      <c r="B2388">
        <v>48881.19</v>
      </c>
      <c r="C2388">
        <v>50003.58</v>
      </c>
      <c r="D2388">
        <v>48586.93</v>
      </c>
      <c r="E2388">
        <v>49858.239999999998</v>
      </c>
    </row>
    <row r="2389" spans="1:5" x14ac:dyDescent="0.3">
      <c r="A2389" s="1">
        <v>44277</v>
      </c>
      <c r="B2389">
        <v>49878.77</v>
      </c>
      <c r="C2389">
        <v>49878.77</v>
      </c>
      <c r="D2389">
        <v>49281.02</v>
      </c>
      <c r="E2389">
        <v>49771.29</v>
      </c>
    </row>
    <row r="2390" spans="1:5" x14ac:dyDescent="0.3">
      <c r="A2390" s="1">
        <v>44278</v>
      </c>
      <c r="B2390">
        <v>49876.21</v>
      </c>
      <c r="C2390">
        <v>50264.65</v>
      </c>
      <c r="D2390">
        <v>49661.919999999998</v>
      </c>
      <c r="E2390">
        <v>50051.44</v>
      </c>
    </row>
    <row r="2391" spans="1:5" x14ac:dyDescent="0.3">
      <c r="A2391" s="1">
        <v>44279</v>
      </c>
      <c r="B2391">
        <v>49786.47</v>
      </c>
      <c r="C2391">
        <v>49854.58</v>
      </c>
      <c r="D2391">
        <v>49120.34</v>
      </c>
      <c r="E2391">
        <v>49180.31</v>
      </c>
    </row>
    <row r="2392" spans="1:5" x14ac:dyDescent="0.3">
      <c r="A2392" s="1">
        <v>44280</v>
      </c>
      <c r="B2392">
        <v>49201.98</v>
      </c>
      <c r="C2392">
        <v>49247.95</v>
      </c>
      <c r="D2392">
        <v>48236.35</v>
      </c>
      <c r="E2392">
        <v>48440.12</v>
      </c>
    </row>
    <row r="2393" spans="1:5" x14ac:dyDescent="0.3">
      <c r="A2393" s="1">
        <v>44281</v>
      </c>
      <c r="B2393">
        <v>48969.25</v>
      </c>
      <c r="C2393">
        <v>49234.66</v>
      </c>
      <c r="D2393">
        <v>48699.91</v>
      </c>
      <c r="E2393">
        <v>49008.5</v>
      </c>
    </row>
    <row r="2394" spans="1:5" x14ac:dyDescent="0.3">
      <c r="A2394" s="1">
        <v>44285</v>
      </c>
      <c r="B2394">
        <v>49331.68</v>
      </c>
      <c r="C2394">
        <v>50268.45</v>
      </c>
      <c r="D2394">
        <v>49331.68</v>
      </c>
      <c r="E2394">
        <v>50136.58</v>
      </c>
    </row>
    <row r="2395" spans="1:5" x14ac:dyDescent="0.3">
      <c r="A2395" s="1">
        <v>44286</v>
      </c>
      <c r="B2395">
        <v>50049.120000000003</v>
      </c>
      <c r="C2395">
        <v>50050.32</v>
      </c>
      <c r="D2395">
        <v>49442.5</v>
      </c>
      <c r="E2395">
        <v>49509.15</v>
      </c>
    </row>
    <row r="2396" spans="1:5" x14ac:dyDescent="0.3">
      <c r="A2396" s="1">
        <v>44287</v>
      </c>
      <c r="B2396">
        <v>49868.53</v>
      </c>
      <c r="C2396">
        <v>50092.480000000003</v>
      </c>
      <c r="D2396">
        <v>49478.53</v>
      </c>
      <c r="E2396">
        <v>50029.83</v>
      </c>
    </row>
    <row r="2397" spans="1:5" x14ac:dyDescent="0.3">
      <c r="A2397" s="1">
        <v>44291</v>
      </c>
      <c r="B2397">
        <v>50020.91</v>
      </c>
      <c r="C2397">
        <v>50028.67</v>
      </c>
      <c r="D2397">
        <v>48580.800000000003</v>
      </c>
      <c r="E2397">
        <v>49159.32</v>
      </c>
    </row>
    <row r="2398" spans="1:5" x14ac:dyDescent="0.3">
      <c r="A2398" s="1">
        <v>44292</v>
      </c>
      <c r="B2398">
        <v>49441.13</v>
      </c>
      <c r="C2398">
        <v>49582.26</v>
      </c>
      <c r="D2398">
        <v>48936.35</v>
      </c>
      <c r="E2398">
        <v>49201.39</v>
      </c>
    </row>
    <row r="2399" spans="1:5" x14ac:dyDescent="0.3">
      <c r="A2399" s="1">
        <v>44293</v>
      </c>
      <c r="B2399">
        <v>49277.09</v>
      </c>
      <c r="C2399">
        <v>49900.13</v>
      </c>
      <c r="D2399">
        <v>49093.9</v>
      </c>
      <c r="E2399">
        <v>49661.760000000002</v>
      </c>
    </row>
    <row r="2400" spans="1:5" x14ac:dyDescent="0.3">
      <c r="A2400" s="1">
        <v>44294</v>
      </c>
      <c r="B2400">
        <v>49885.26</v>
      </c>
      <c r="C2400">
        <v>50118.080000000002</v>
      </c>
      <c r="D2400">
        <v>49581.61</v>
      </c>
      <c r="E2400">
        <v>49746.21</v>
      </c>
    </row>
    <row r="2401" spans="1:5" x14ac:dyDescent="0.3">
      <c r="A2401" s="1">
        <v>44295</v>
      </c>
      <c r="B2401">
        <v>49743.39</v>
      </c>
      <c r="C2401">
        <v>49906.91</v>
      </c>
      <c r="D2401">
        <v>49461.01</v>
      </c>
      <c r="E2401">
        <v>49591.32</v>
      </c>
    </row>
    <row r="2402" spans="1:5" x14ac:dyDescent="0.3">
      <c r="A2402" s="1">
        <v>44298</v>
      </c>
      <c r="B2402">
        <v>48956.65</v>
      </c>
      <c r="C2402">
        <v>48956.65</v>
      </c>
      <c r="D2402">
        <v>47693.440000000002</v>
      </c>
      <c r="E2402">
        <v>47883.38</v>
      </c>
    </row>
    <row r="2403" spans="1:5" x14ac:dyDescent="0.3">
      <c r="A2403" s="1">
        <v>44299</v>
      </c>
      <c r="B2403">
        <v>47991.53</v>
      </c>
      <c r="C2403">
        <v>48627.43</v>
      </c>
      <c r="D2403">
        <v>47775.32</v>
      </c>
      <c r="E2403">
        <v>48544.06</v>
      </c>
    </row>
    <row r="2404" spans="1:5" x14ac:dyDescent="0.3">
      <c r="A2404" s="1">
        <v>44301</v>
      </c>
      <c r="B2404">
        <v>48512.77</v>
      </c>
      <c r="C2404">
        <v>48887.85</v>
      </c>
      <c r="D2404">
        <v>48010.55</v>
      </c>
      <c r="E2404">
        <v>48803.68</v>
      </c>
    </row>
    <row r="2405" spans="1:5" x14ac:dyDescent="0.3">
      <c r="A2405" s="1">
        <v>44302</v>
      </c>
      <c r="B2405">
        <v>48935.74</v>
      </c>
      <c r="C2405">
        <v>49089.55</v>
      </c>
      <c r="D2405">
        <v>48694.49</v>
      </c>
      <c r="E2405">
        <v>48832.03</v>
      </c>
    </row>
    <row r="2406" spans="1:5" x14ac:dyDescent="0.3">
      <c r="A2406" s="1">
        <v>44305</v>
      </c>
      <c r="B2406">
        <v>47940.81</v>
      </c>
      <c r="C2406">
        <v>48020.79</v>
      </c>
      <c r="D2406">
        <v>47362.71</v>
      </c>
      <c r="E2406">
        <v>47949.42</v>
      </c>
    </row>
    <row r="2407" spans="1:5" x14ac:dyDescent="0.3">
      <c r="A2407" s="1">
        <v>44306</v>
      </c>
      <c r="B2407">
        <v>48473.04</v>
      </c>
      <c r="C2407">
        <v>48478.34</v>
      </c>
      <c r="D2407">
        <v>47438.5</v>
      </c>
      <c r="E2407">
        <v>47705.8</v>
      </c>
    </row>
    <row r="2408" spans="1:5" x14ac:dyDescent="0.3">
      <c r="A2408" s="1">
        <v>44308</v>
      </c>
      <c r="B2408">
        <v>47501.71</v>
      </c>
      <c r="C2408">
        <v>48143.16</v>
      </c>
      <c r="D2408">
        <v>47204.5</v>
      </c>
      <c r="E2408">
        <v>48080.67</v>
      </c>
    </row>
    <row r="2409" spans="1:5" x14ac:dyDescent="0.3">
      <c r="A2409" s="1">
        <v>44309</v>
      </c>
      <c r="B2409">
        <v>47863.81</v>
      </c>
      <c r="C2409">
        <v>48265.39</v>
      </c>
      <c r="D2409">
        <v>47669.55</v>
      </c>
      <c r="E2409">
        <v>47878.45</v>
      </c>
    </row>
    <row r="2410" spans="1:5" x14ac:dyDescent="0.3">
      <c r="A2410" s="1">
        <v>44312</v>
      </c>
      <c r="B2410">
        <v>48197.37</v>
      </c>
      <c r="C2410">
        <v>48667.98</v>
      </c>
      <c r="D2410">
        <v>48152.24</v>
      </c>
      <c r="E2410">
        <v>48386.51</v>
      </c>
    </row>
    <row r="2411" spans="1:5" x14ac:dyDescent="0.3">
      <c r="A2411" s="1">
        <v>44313</v>
      </c>
      <c r="B2411">
        <v>48424.08</v>
      </c>
      <c r="C2411">
        <v>49009.26</v>
      </c>
      <c r="D2411">
        <v>48399.53</v>
      </c>
      <c r="E2411">
        <v>48944.14</v>
      </c>
    </row>
    <row r="2412" spans="1:5" x14ac:dyDescent="0.3">
      <c r="A2412" s="1">
        <v>44314</v>
      </c>
      <c r="B2412">
        <v>49066.64</v>
      </c>
      <c r="C2412">
        <v>49801.48</v>
      </c>
      <c r="D2412">
        <v>49066.64</v>
      </c>
      <c r="E2412">
        <v>49733.84</v>
      </c>
    </row>
    <row r="2413" spans="1:5" x14ac:dyDescent="0.3">
      <c r="A2413" s="1">
        <v>44315</v>
      </c>
      <c r="B2413">
        <v>50093.86</v>
      </c>
      <c r="C2413">
        <v>50375.77</v>
      </c>
      <c r="D2413">
        <v>49535.98</v>
      </c>
      <c r="E2413">
        <v>49765.94</v>
      </c>
    </row>
    <row r="2414" spans="1:5" x14ac:dyDescent="0.3">
      <c r="A2414" s="1">
        <v>44316</v>
      </c>
      <c r="B2414">
        <v>49360.89</v>
      </c>
      <c r="C2414">
        <v>49569.42</v>
      </c>
      <c r="D2414">
        <v>48698.080000000002</v>
      </c>
      <c r="E2414">
        <v>48782.36</v>
      </c>
    </row>
    <row r="2415" spans="1:5" x14ac:dyDescent="0.3">
      <c r="A2415" s="1">
        <v>44319</v>
      </c>
      <c r="B2415">
        <v>48356.01</v>
      </c>
      <c r="C2415">
        <v>48863.23</v>
      </c>
      <c r="D2415">
        <v>48028.07</v>
      </c>
      <c r="E2415">
        <v>48718.52</v>
      </c>
    </row>
    <row r="2416" spans="1:5" x14ac:dyDescent="0.3">
      <c r="A2416" s="1">
        <v>44320</v>
      </c>
      <c r="B2416">
        <v>48881.63</v>
      </c>
      <c r="C2416">
        <v>48996.53</v>
      </c>
      <c r="D2416">
        <v>48149.45</v>
      </c>
      <c r="E2416">
        <v>48253.51</v>
      </c>
    </row>
    <row r="2417" spans="1:5" x14ac:dyDescent="0.3">
      <c r="A2417" s="1">
        <v>44321</v>
      </c>
      <c r="B2417">
        <v>48569.120000000003</v>
      </c>
      <c r="C2417">
        <v>48742.720000000001</v>
      </c>
      <c r="D2417">
        <v>48254.32</v>
      </c>
      <c r="E2417">
        <v>48677.55</v>
      </c>
    </row>
    <row r="2418" spans="1:5" x14ac:dyDescent="0.3">
      <c r="A2418" s="1">
        <v>44322</v>
      </c>
      <c r="B2418">
        <v>48877.78</v>
      </c>
      <c r="C2418">
        <v>49011.31</v>
      </c>
      <c r="D2418">
        <v>48614.11</v>
      </c>
      <c r="E2418">
        <v>48949.760000000002</v>
      </c>
    </row>
    <row r="2419" spans="1:5" x14ac:dyDescent="0.3">
      <c r="A2419" s="1">
        <v>44323</v>
      </c>
      <c r="B2419">
        <v>49169.14</v>
      </c>
      <c r="C2419">
        <v>49417.64</v>
      </c>
      <c r="D2419">
        <v>49036.38</v>
      </c>
      <c r="E2419">
        <v>49206.47</v>
      </c>
    </row>
    <row r="2420" spans="1:5" x14ac:dyDescent="0.3">
      <c r="A2420" s="1">
        <v>44326</v>
      </c>
      <c r="B2420">
        <v>49496.05</v>
      </c>
      <c r="C2420">
        <v>49617.47</v>
      </c>
      <c r="D2420">
        <v>49412.05</v>
      </c>
      <c r="E2420">
        <v>49502.41</v>
      </c>
    </row>
    <row r="2421" spans="1:5" x14ac:dyDescent="0.3">
      <c r="A2421" s="1">
        <v>44327</v>
      </c>
      <c r="B2421">
        <v>49066.45</v>
      </c>
      <c r="C2421">
        <v>49304.47</v>
      </c>
      <c r="D2421">
        <v>48988.18</v>
      </c>
      <c r="E2421">
        <v>49161.81</v>
      </c>
    </row>
    <row r="2422" spans="1:5" x14ac:dyDescent="0.3">
      <c r="A2422" s="1">
        <v>44328</v>
      </c>
      <c r="B2422">
        <v>49171.28</v>
      </c>
      <c r="C2422">
        <v>49171.28</v>
      </c>
      <c r="D2422">
        <v>48550.720000000001</v>
      </c>
      <c r="E2422">
        <v>48690.8</v>
      </c>
    </row>
    <row r="2423" spans="1:5" x14ac:dyDescent="0.3">
      <c r="A2423" s="1">
        <v>44330</v>
      </c>
      <c r="B2423">
        <v>48898.93</v>
      </c>
      <c r="C2423">
        <v>48898.93</v>
      </c>
      <c r="D2423">
        <v>48473.43</v>
      </c>
      <c r="E2423">
        <v>48732.55</v>
      </c>
    </row>
    <row r="2424" spans="1:5" x14ac:dyDescent="0.3">
      <c r="A2424" s="1">
        <v>44333</v>
      </c>
      <c r="B2424">
        <v>48990.7</v>
      </c>
      <c r="C2424">
        <v>49628.42</v>
      </c>
      <c r="D2424">
        <v>48923.13</v>
      </c>
      <c r="E2424">
        <v>49580.73</v>
      </c>
    </row>
    <row r="2425" spans="1:5" x14ac:dyDescent="0.3">
      <c r="A2425" s="1">
        <v>44334</v>
      </c>
      <c r="B2425">
        <v>49986.68</v>
      </c>
      <c r="C2425">
        <v>50313.25</v>
      </c>
      <c r="D2425">
        <v>49959.199999999997</v>
      </c>
      <c r="E2425">
        <v>50193.33</v>
      </c>
    </row>
    <row r="2426" spans="1:5" x14ac:dyDescent="0.3">
      <c r="A2426" s="1">
        <v>44335</v>
      </c>
      <c r="B2426">
        <v>50088.81</v>
      </c>
      <c r="C2426">
        <v>50279.01</v>
      </c>
      <c r="D2426">
        <v>49831.4</v>
      </c>
      <c r="E2426">
        <v>49902.64</v>
      </c>
    </row>
    <row r="2427" spans="1:5" x14ac:dyDescent="0.3">
      <c r="A2427" s="1">
        <v>44336</v>
      </c>
      <c r="B2427">
        <v>49971.519999999997</v>
      </c>
      <c r="C2427">
        <v>50099.17</v>
      </c>
      <c r="D2427">
        <v>49496.78</v>
      </c>
      <c r="E2427">
        <v>49564.86</v>
      </c>
    </row>
    <row r="2428" spans="1:5" x14ac:dyDescent="0.3">
      <c r="A2428" s="1">
        <v>44337</v>
      </c>
      <c r="B2428">
        <v>49833.98</v>
      </c>
      <c r="C2428">
        <v>50591.12</v>
      </c>
      <c r="D2428">
        <v>49832.72</v>
      </c>
      <c r="E2428">
        <v>50540.480000000003</v>
      </c>
    </row>
    <row r="2429" spans="1:5" x14ac:dyDescent="0.3">
      <c r="A2429" s="1">
        <v>44340</v>
      </c>
      <c r="B2429">
        <v>50727.28</v>
      </c>
      <c r="C2429">
        <v>50857.59</v>
      </c>
      <c r="D2429">
        <v>50465.9</v>
      </c>
      <c r="E2429">
        <v>50651.9</v>
      </c>
    </row>
    <row r="2430" spans="1:5" x14ac:dyDescent="0.3">
      <c r="A2430" s="1">
        <v>44341</v>
      </c>
      <c r="B2430">
        <v>50922.32</v>
      </c>
      <c r="C2430">
        <v>50961.35</v>
      </c>
      <c r="D2430">
        <v>50474.34</v>
      </c>
      <c r="E2430">
        <v>50637.53</v>
      </c>
    </row>
    <row r="2431" spans="1:5" x14ac:dyDescent="0.3">
      <c r="A2431" s="1">
        <v>44342</v>
      </c>
      <c r="B2431">
        <v>50899.58</v>
      </c>
      <c r="C2431">
        <v>51072.61</v>
      </c>
      <c r="D2431">
        <v>50620.45</v>
      </c>
      <c r="E2431">
        <v>51017.52</v>
      </c>
    </row>
    <row r="2432" spans="1:5" x14ac:dyDescent="0.3">
      <c r="A2432" s="1">
        <v>44343</v>
      </c>
      <c r="B2432">
        <v>51128.800000000003</v>
      </c>
      <c r="C2432">
        <v>51282.9</v>
      </c>
      <c r="D2432">
        <v>50891.66</v>
      </c>
      <c r="E2432">
        <v>51115.22</v>
      </c>
    </row>
    <row r="2433" spans="1:5" x14ac:dyDescent="0.3">
      <c r="A2433" s="1">
        <v>44344</v>
      </c>
      <c r="B2433">
        <v>51381.27</v>
      </c>
      <c r="C2433">
        <v>51529.32</v>
      </c>
      <c r="D2433">
        <v>51258.69</v>
      </c>
      <c r="E2433">
        <v>51422.879999999997</v>
      </c>
    </row>
    <row r="2434" spans="1:5" x14ac:dyDescent="0.3">
      <c r="A2434" s="1">
        <v>44347</v>
      </c>
      <c r="B2434">
        <v>51476.22</v>
      </c>
      <c r="C2434">
        <v>52013.22</v>
      </c>
      <c r="D2434">
        <v>51179.94</v>
      </c>
      <c r="E2434">
        <v>51937.440000000002</v>
      </c>
    </row>
    <row r="2435" spans="1:5" x14ac:dyDescent="0.3">
      <c r="A2435" s="1">
        <v>44348</v>
      </c>
      <c r="B2435">
        <v>52067.51</v>
      </c>
      <c r="C2435">
        <v>52228.65</v>
      </c>
      <c r="D2435">
        <v>51808.88</v>
      </c>
      <c r="E2435">
        <v>51934.879999999997</v>
      </c>
    </row>
    <row r="2436" spans="1:5" x14ac:dyDescent="0.3">
      <c r="A2436" s="1">
        <v>44349</v>
      </c>
      <c r="B2436">
        <v>51749.1</v>
      </c>
      <c r="C2436">
        <v>51913.919999999998</v>
      </c>
      <c r="D2436">
        <v>51450.58</v>
      </c>
      <c r="E2436">
        <v>51849.48</v>
      </c>
    </row>
    <row r="2437" spans="1:5" x14ac:dyDescent="0.3">
      <c r="A2437" s="1">
        <v>44350</v>
      </c>
      <c r="B2437">
        <v>52121.58</v>
      </c>
      <c r="C2437">
        <v>52273.23</v>
      </c>
      <c r="D2437">
        <v>51942.2</v>
      </c>
      <c r="E2437">
        <v>52232.43</v>
      </c>
    </row>
    <row r="2438" spans="1:5" x14ac:dyDescent="0.3">
      <c r="A2438" s="1">
        <v>44351</v>
      </c>
      <c r="B2438">
        <v>52367.519999999997</v>
      </c>
      <c r="C2438">
        <v>52389.02</v>
      </c>
      <c r="D2438">
        <v>51952.7</v>
      </c>
      <c r="E2438">
        <v>52100.05</v>
      </c>
    </row>
    <row r="2439" spans="1:5" x14ac:dyDescent="0.3">
      <c r="A2439" s="1">
        <v>44354</v>
      </c>
      <c r="B2439">
        <v>52231.38</v>
      </c>
      <c r="C2439">
        <v>52378.69</v>
      </c>
      <c r="D2439">
        <v>52054.76</v>
      </c>
      <c r="E2439">
        <v>52328.51</v>
      </c>
    </row>
    <row r="2440" spans="1:5" x14ac:dyDescent="0.3">
      <c r="A2440" s="1">
        <v>44355</v>
      </c>
      <c r="B2440">
        <v>52428.72</v>
      </c>
      <c r="C2440">
        <v>52432.43</v>
      </c>
      <c r="D2440">
        <v>52135.040000000001</v>
      </c>
      <c r="E2440">
        <v>52275.57</v>
      </c>
    </row>
    <row r="2441" spans="1:5" x14ac:dyDescent="0.3">
      <c r="A2441" s="1">
        <v>44356</v>
      </c>
      <c r="B2441">
        <v>52401.41</v>
      </c>
      <c r="C2441">
        <v>52446.92</v>
      </c>
      <c r="D2441">
        <v>51717.07</v>
      </c>
      <c r="E2441">
        <v>51941.64</v>
      </c>
    </row>
    <row r="2442" spans="1:5" x14ac:dyDescent="0.3">
      <c r="A2442" s="1">
        <v>44357</v>
      </c>
      <c r="B2442">
        <v>52143.9</v>
      </c>
      <c r="C2442">
        <v>52346.35</v>
      </c>
      <c r="D2442">
        <v>51957.919999999998</v>
      </c>
      <c r="E2442">
        <v>52300.47</v>
      </c>
    </row>
    <row r="2443" spans="1:5" x14ac:dyDescent="0.3">
      <c r="A2443" s="1">
        <v>44358</v>
      </c>
      <c r="B2443">
        <v>52477.19</v>
      </c>
      <c r="C2443">
        <v>52641.53</v>
      </c>
      <c r="D2443">
        <v>52388.95</v>
      </c>
      <c r="E2443">
        <v>52474.76</v>
      </c>
    </row>
    <row r="2444" spans="1:5" x14ac:dyDescent="0.3">
      <c r="A2444" s="1">
        <v>44361</v>
      </c>
      <c r="B2444">
        <v>52492.34</v>
      </c>
      <c r="C2444">
        <v>52590.92</v>
      </c>
      <c r="D2444">
        <v>51936.31</v>
      </c>
      <c r="E2444">
        <v>52551.53</v>
      </c>
    </row>
    <row r="2445" spans="1:5" x14ac:dyDescent="0.3">
      <c r="A2445" s="1">
        <v>44362</v>
      </c>
      <c r="B2445">
        <v>52751.83</v>
      </c>
      <c r="C2445">
        <v>52869.51</v>
      </c>
      <c r="D2445">
        <v>52671.29</v>
      </c>
      <c r="E2445">
        <v>52773.05</v>
      </c>
    </row>
    <row r="2446" spans="1:5" x14ac:dyDescent="0.3">
      <c r="A2446" s="1">
        <v>44363</v>
      </c>
      <c r="B2446">
        <v>52782.21</v>
      </c>
      <c r="C2446">
        <v>52816.31</v>
      </c>
      <c r="D2446">
        <v>52425.57</v>
      </c>
      <c r="E2446">
        <v>52501.98</v>
      </c>
    </row>
    <row r="2447" spans="1:5" x14ac:dyDescent="0.3">
      <c r="A2447" s="1">
        <v>44364</v>
      </c>
      <c r="B2447">
        <v>52122.25</v>
      </c>
      <c r="C2447">
        <v>52523.88</v>
      </c>
      <c r="D2447">
        <v>52040.51</v>
      </c>
      <c r="E2447">
        <v>52323.33</v>
      </c>
    </row>
    <row r="2448" spans="1:5" x14ac:dyDescent="0.3">
      <c r="A2448" s="1">
        <v>44365</v>
      </c>
      <c r="B2448">
        <v>52568.07</v>
      </c>
      <c r="C2448">
        <v>52586.41</v>
      </c>
      <c r="D2448">
        <v>51601.11</v>
      </c>
      <c r="E2448">
        <v>52344.45</v>
      </c>
    </row>
    <row r="2449" spans="1:5" x14ac:dyDescent="0.3">
      <c r="A2449" s="1">
        <v>44368</v>
      </c>
      <c r="B2449">
        <v>51887.55</v>
      </c>
      <c r="C2449">
        <v>52629.18</v>
      </c>
      <c r="D2449">
        <v>51740.19</v>
      </c>
      <c r="E2449">
        <v>52574.46</v>
      </c>
    </row>
    <row r="2450" spans="1:5" x14ac:dyDescent="0.3">
      <c r="A2450" s="1">
        <v>44369</v>
      </c>
      <c r="B2450">
        <v>52885.04</v>
      </c>
      <c r="C2450">
        <v>53057.11</v>
      </c>
      <c r="D2450">
        <v>52520.55</v>
      </c>
      <c r="E2450">
        <v>52588.71</v>
      </c>
    </row>
    <row r="2451" spans="1:5" x14ac:dyDescent="0.3">
      <c r="A2451" s="1">
        <v>44370</v>
      </c>
      <c r="B2451">
        <v>52912.35</v>
      </c>
      <c r="C2451">
        <v>52912.35</v>
      </c>
      <c r="D2451">
        <v>52264.12</v>
      </c>
      <c r="E2451">
        <v>52306.080000000002</v>
      </c>
    </row>
    <row r="2452" spans="1:5" x14ac:dyDescent="0.3">
      <c r="A2452" s="1">
        <v>44371</v>
      </c>
      <c r="B2452">
        <v>52514.57</v>
      </c>
      <c r="C2452">
        <v>52830.68</v>
      </c>
      <c r="D2452">
        <v>52385.05</v>
      </c>
      <c r="E2452">
        <v>52699</v>
      </c>
    </row>
    <row r="2453" spans="1:5" x14ac:dyDescent="0.3">
      <c r="A2453" s="1">
        <v>44372</v>
      </c>
      <c r="B2453">
        <v>52877.16</v>
      </c>
      <c r="C2453">
        <v>52973.07</v>
      </c>
      <c r="D2453">
        <v>52614.49</v>
      </c>
      <c r="E2453">
        <v>52925.04</v>
      </c>
    </row>
    <row r="2454" spans="1:5" x14ac:dyDescent="0.3">
      <c r="A2454" s="1">
        <v>44375</v>
      </c>
      <c r="B2454">
        <v>53126.73</v>
      </c>
      <c r="C2454">
        <v>53126.73</v>
      </c>
      <c r="D2454">
        <v>52673.5</v>
      </c>
      <c r="E2454">
        <v>52735.59</v>
      </c>
    </row>
    <row r="2455" spans="1:5" x14ac:dyDescent="0.3">
      <c r="A2455" s="1">
        <v>44376</v>
      </c>
      <c r="B2455">
        <v>52795.76</v>
      </c>
      <c r="C2455">
        <v>52816.42</v>
      </c>
      <c r="D2455">
        <v>52477.77</v>
      </c>
      <c r="E2455">
        <v>52549.66</v>
      </c>
    </row>
    <row r="2456" spans="1:5" x14ac:dyDescent="0.3">
      <c r="A2456" s="1">
        <v>44377</v>
      </c>
      <c r="B2456">
        <v>52651.09</v>
      </c>
      <c r="C2456">
        <v>52875.92</v>
      </c>
      <c r="D2456">
        <v>52448.639999999999</v>
      </c>
      <c r="E2456">
        <v>52482.71</v>
      </c>
    </row>
    <row r="2457" spans="1:5" x14ac:dyDescent="0.3">
      <c r="A2457" s="1">
        <v>44378</v>
      </c>
      <c r="B2457">
        <v>52638.5</v>
      </c>
      <c r="C2457">
        <v>52638.5</v>
      </c>
      <c r="D2457">
        <v>52281.01</v>
      </c>
      <c r="E2457">
        <v>52318.6</v>
      </c>
    </row>
    <row r="2458" spans="1:5" x14ac:dyDescent="0.3">
      <c r="A2458" s="1">
        <v>44379</v>
      </c>
      <c r="B2458">
        <v>52434.55</v>
      </c>
      <c r="C2458">
        <v>52527.9</v>
      </c>
      <c r="D2458">
        <v>52177.68</v>
      </c>
      <c r="E2458">
        <v>52484.67</v>
      </c>
    </row>
    <row r="2459" spans="1:5" x14ac:dyDescent="0.3">
      <c r="A2459" s="1">
        <v>44382</v>
      </c>
      <c r="B2459">
        <v>52682.89</v>
      </c>
      <c r="C2459">
        <v>52919.17</v>
      </c>
      <c r="D2459">
        <v>52604.35</v>
      </c>
      <c r="E2459">
        <v>52880</v>
      </c>
    </row>
    <row r="2460" spans="1:5" x14ac:dyDescent="0.3">
      <c r="A2460" s="1">
        <v>44383</v>
      </c>
      <c r="B2460">
        <v>52874.85</v>
      </c>
      <c r="C2460">
        <v>53129.37</v>
      </c>
      <c r="D2460">
        <v>52804.18</v>
      </c>
      <c r="E2460">
        <v>52861.18</v>
      </c>
    </row>
    <row r="2461" spans="1:5" x14ac:dyDescent="0.3">
      <c r="A2461" s="1">
        <v>44384</v>
      </c>
      <c r="B2461">
        <v>52919.71</v>
      </c>
      <c r="C2461">
        <v>53105.41</v>
      </c>
      <c r="D2461">
        <v>52751.76</v>
      </c>
      <c r="E2461">
        <v>53054.76</v>
      </c>
    </row>
    <row r="2462" spans="1:5" x14ac:dyDescent="0.3">
      <c r="A2462" s="1">
        <v>44385</v>
      </c>
      <c r="B2462">
        <v>53065.69</v>
      </c>
      <c r="C2462">
        <v>53103.03</v>
      </c>
      <c r="D2462">
        <v>52428.84</v>
      </c>
      <c r="E2462">
        <v>52568.94</v>
      </c>
    </row>
    <row r="2463" spans="1:5" x14ac:dyDescent="0.3">
      <c r="A2463" s="1">
        <v>44386</v>
      </c>
      <c r="B2463">
        <v>52508.24</v>
      </c>
      <c r="C2463">
        <v>52555.73</v>
      </c>
      <c r="D2463">
        <v>52228.01</v>
      </c>
      <c r="E2463">
        <v>52386.19</v>
      </c>
    </row>
    <row r="2464" spans="1:5" x14ac:dyDescent="0.3">
      <c r="A2464" s="1">
        <v>44389</v>
      </c>
      <c r="B2464">
        <v>52634.33</v>
      </c>
      <c r="C2464">
        <v>52700.51</v>
      </c>
      <c r="D2464">
        <v>52208.959999999999</v>
      </c>
      <c r="E2464">
        <v>52372.69</v>
      </c>
    </row>
    <row r="2465" spans="1:5" x14ac:dyDescent="0.3">
      <c r="A2465" s="1">
        <v>44390</v>
      </c>
      <c r="B2465">
        <v>52694.89</v>
      </c>
      <c r="C2465">
        <v>52806.86</v>
      </c>
      <c r="D2465">
        <v>52545.68</v>
      </c>
      <c r="E2465">
        <v>52769.73</v>
      </c>
    </row>
    <row r="2466" spans="1:5" x14ac:dyDescent="0.3">
      <c r="A2466" s="1">
        <v>44391</v>
      </c>
      <c r="B2466">
        <v>52801.440000000002</v>
      </c>
      <c r="C2466">
        <v>52978.58</v>
      </c>
      <c r="D2466">
        <v>52611.97</v>
      </c>
      <c r="E2466">
        <v>52904.05</v>
      </c>
    </row>
    <row r="2467" spans="1:5" x14ac:dyDescent="0.3">
      <c r="A2467" s="1">
        <v>44392</v>
      </c>
      <c r="B2467">
        <v>52968.89</v>
      </c>
      <c r="C2467">
        <v>53266.12</v>
      </c>
      <c r="D2467">
        <v>52948.43</v>
      </c>
      <c r="E2467">
        <v>53158.85</v>
      </c>
    </row>
    <row r="2468" spans="1:5" x14ac:dyDescent="0.3">
      <c r="A2468" s="1">
        <v>44393</v>
      </c>
      <c r="B2468">
        <v>53244.4</v>
      </c>
      <c r="C2468">
        <v>53290.81</v>
      </c>
      <c r="D2468">
        <v>52997.09</v>
      </c>
      <c r="E2468">
        <v>53140.06</v>
      </c>
    </row>
    <row r="2469" spans="1:5" x14ac:dyDescent="0.3">
      <c r="A2469" s="1">
        <v>44396</v>
      </c>
      <c r="B2469">
        <v>52606.99</v>
      </c>
      <c r="C2469">
        <v>52821.17</v>
      </c>
      <c r="D2469">
        <v>52405.89</v>
      </c>
      <c r="E2469">
        <v>52553.4</v>
      </c>
    </row>
    <row r="2470" spans="1:5" x14ac:dyDescent="0.3">
      <c r="A2470" s="1">
        <v>44397</v>
      </c>
      <c r="B2470">
        <v>52432.88</v>
      </c>
      <c r="C2470">
        <v>52465.03</v>
      </c>
      <c r="D2470">
        <v>52013.51</v>
      </c>
      <c r="E2470">
        <v>52198.51</v>
      </c>
    </row>
    <row r="2471" spans="1:5" x14ac:dyDescent="0.3">
      <c r="A2471" s="1">
        <v>44399</v>
      </c>
      <c r="B2471">
        <v>52494.559999999998</v>
      </c>
      <c r="C2471">
        <v>52867.26</v>
      </c>
      <c r="D2471">
        <v>52471.23</v>
      </c>
      <c r="E2471">
        <v>52837.21</v>
      </c>
    </row>
    <row r="2472" spans="1:5" x14ac:dyDescent="0.3">
      <c r="A2472" s="1">
        <v>44400</v>
      </c>
      <c r="B2472">
        <v>52967.87</v>
      </c>
      <c r="C2472">
        <v>53114.7</v>
      </c>
      <c r="D2472">
        <v>52653.77</v>
      </c>
      <c r="E2472">
        <v>52975.8</v>
      </c>
    </row>
    <row r="2473" spans="1:5" x14ac:dyDescent="0.3">
      <c r="A2473" s="1">
        <v>44403</v>
      </c>
      <c r="B2473">
        <v>52985.26</v>
      </c>
      <c r="C2473">
        <v>53103.42</v>
      </c>
      <c r="D2473">
        <v>52783.63</v>
      </c>
      <c r="E2473">
        <v>52852.27</v>
      </c>
    </row>
    <row r="2474" spans="1:5" x14ac:dyDescent="0.3">
      <c r="A2474" s="1">
        <v>44404</v>
      </c>
      <c r="B2474">
        <v>52995.72</v>
      </c>
      <c r="C2474">
        <v>53024.7</v>
      </c>
      <c r="D2474">
        <v>52433.18</v>
      </c>
      <c r="E2474">
        <v>52578.76</v>
      </c>
    </row>
    <row r="2475" spans="1:5" x14ac:dyDescent="0.3">
      <c r="A2475" s="1">
        <v>44405</v>
      </c>
      <c r="B2475">
        <v>52673.69</v>
      </c>
      <c r="C2475">
        <v>52673.69</v>
      </c>
      <c r="D2475">
        <v>51802.73</v>
      </c>
      <c r="E2475">
        <v>52443.71</v>
      </c>
    </row>
    <row r="2476" spans="1:5" x14ac:dyDescent="0.3">
      <c r="A2476" s="1">
        <v>44406</v>
      </c>
      <c r="B2476">
        <v>52693.53</v>
      </c>
      <c r="C2476">
        <v>52777.18</v>
      </c>
      <c r="D2476">
        <v>52561.39</v>
      </c>
      <c r="E2476">
        <v>52653.07</v>
      </c>
    </row>
    <row r="2477" spans="1:5" x14ac:dyDescent="0.3">
      <c r="A2477" s="1">
        <v>44407</v>
      </c>
      <c r="B2477">
        <v>52792.36</v>
      </c>
      <c r="C2477">
        <v>52910.23</v>
      </c>
      <c r="D2477">
        <v>52533.91</v>
      </c>
      <c r="E2477">
        <v>52586.84</v>
      </c>
    </row>
  </sheetData>
  <autoFilter ref="A1:E2477" xr:uid="{00000000-0009-0000-0000-000000000000}">
    <filterColumn colId="0">
      <filters>
        <dateGroupItem year="2021" dateTimeGrouping="yea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U396"/>
  <sheetViews>
    <sheetView topLeftCell="AC16" workbookViewId="0">
      <selection activeCell="AJ28" sqref="AJ28:AT37"/>
    </sheetView>
  </sheetViews>
  <sheetFormatPr defaultRowHeight="14.4" x14ac:dyDescent="0.3"/>
  <cols>
    <col min="1" max="1" width="9.88671875" bestFit="1" customWidth="1"/>
    <col min="3" max="3" width="12.109375" customWidth="1"/>
    <col min="4" max="4" width="12.33203125" customWidth="1"/>
    <col min="5" max="5" width="10.44140625" customWidth="1"/>
    <col min="6" max="6" width="24.6640625" customWidth="1"/>
    <col min="7" max="7" width="14.44140625" bestFit="1" customWidth="1"/>
    <col min="8" max="8" width="19.33203125" bestFit="1" customWidth="1"/>
    <col min="9" max="10" width="16.6640625" bestFit="1" customWidth="1"/>
    <col min="11" max="11" width="18.6640625" bestFit="1" customWidth="1"/>
    <col min="12" max="12" width="16.44140625" bestFit="1" customWidth="1"/>
    <col min="13" max="13" width="19" bestFit="1" customWidth="1"/>
    <col min="14" max="14" width="16.44140625" bestFit="1" customWidth="1"/>
    <col min="15" max="15" width="19" bestFit="1" customWidth="1"/>
    <col min="17" max="17" width="14.5546875" bestFit="1" customWidth="1"/>
    <col min="18" max="18" width="11.6640625" bestFit="1" customWidth="1"/>
    <col min="19" max="19" width="11.88671875" bestFit="1" customWidth="1"/>
    <col min="20" max="20" width="14.109375" bestFit="1" customWidth="1"/>
    <col min="21" max="21" width="11.6640625" bestFit="1" customWidth="1"/>
    <col min="22" max="22" width="14.33203125" bestFit="1" customWidth="1"/>
    <col min="23" max="23" width="11.6640625" bestFit="1" customWidth="1"/>
    <col min="24" max="24" width="14.33203125" bestFit="1" customWidth="1"/>
    <col min="25" max="25" width="12.109375" bestFit="1" customWidth="1"/>
    <col min="27" max="28" width="14.33203125" bestFit="1" customWidth="1"/>
    <col min="29" max="29" width="16.44140625" bestFit="1" customWidth="1"/>
    <col min="30" max="30" width="14.109375" bestFit="1" customWidth="1"/>
    <col min="31" max="31" width="16.6640625" bestFit="1" customWidth="1"/>
    <col min="32" max="32" width="14.109375" bestFit="1" customWidth="1"/>
    <col min="33" max="33" width="16.6640625" bestFit="1" customWidth="1"/>
  </cols>
  <sheetData>
    <row r="1" spans="1:47" x14ac:dyDescent="0.3">
      <c r="A1" s="2" t="s">
        <v>0</v>
      </c>
      <c r="B1" s="2" t="s">
        <v>4</v>
      </c>
      <c r="C1" s="2" t="s">
        <v>9</v>
      </c>
      <c r="D1" s="2" t="s">
        <v>8</v>
      </c>
      <c r="E1" s="2" t="s">
        <v>6</v>
      </c>
      <c r="F1" s="2" t="s">
        <v>7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29</v>
      </c>
      <c r="Q1" s="2" t="s">
        <v>28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37</v>
      </c>
      <c r="Z1" s="2" t="s">
        <v>38</v>
      </c>
      <c r="AA1" s="2" t="s">
        <v>39</v>
      </c>
      <c r="AB1" s="2" t="s">
        <v>40</v>
      </c>
      <c r="AC1" s="2" t="s">
        <v>41</v>
      </c>
      <c r="AD1" s="2" t="s">
        <v>42</v>
      </c>
      <c r="AE1" s="2" t="s">
        <v>43</v>
      </c>
      <c r="AF1" s="2" t="s">
        <v>44</v>
      </c>
      <c r="AG1" s="2" t="s">
        <v>45</v>
      </c>
    </row>
    <row r="2" spans="1:47" x14ac:dyDescent="0.3">
      <c r="A2" s="1">
        <v>43831</v>
      </c>
      <c r="B2">
        <v>41306.019999999997</v>
      </c>
      <c r="C2">
        <f>Table2[[#This Row],[Close]]-0.001*Table2[[#This Row],[Close]]</f>
        <v>41264.713979999993</v>
      </c>
      <c r="D2">
        <f>Table2[[#This Row],[Close]]+0.001*Table2[[#This Row],[Close]]</f>
        <v>41347.32602</v>
      </c>
      <c r="E2" t="str">
        <f>IF(Table2[[#This Row],[Close]]&gt;D1,"up",IF(Table2[[#This Row],[Close]]&lt;C1,"down","constant"))</f>
        <v>down</v>
      </c>
      <c r="F2" s="3">
        <f>IF(Table2[[#This Row],[States]]="up",1,IF(Table2[[#This Row],[States]]="down",-1,0))</f>
        <v>-1</v>
      </c>
      <c r="AJ2" s="2"/>
      <c r="AK2" s="2"/>
      <c r="AL2" s="2">
        <v>-1</v>
      </c>
      <c r="AM2" s="2">
        <v>0</v>
      </c>
      <c r="AN2" s="2">
        <v>1</v>
      </c>
    </row>
    <row r="3" spans="1:47" x14ac:dyDescent="0.3">
      <c r="A3" s="1">
        <v>43832</v>
      </c>
      <c r="B3">
        <v>41464.639999999999</v>
      </c>
      <c r="C3">
        <f>Table2[[#This Row],[Close]]-0.001*Table2[[#This Row],[Close]]</f>
        <v>41423.175360000001</v>
      </c>
      <c r="D3">
        <f>Table2[[#This Row],[Close]]+0.001*Table2[[#This Row],[Close]]</f>
        <v>41506.104639999998</v>
      </c>
      <c r="E3" t="str">
        <f>IF(Table2[[#This Row],[Close]]&gt;D2,"up",IF(Table2[[#This Row],[Close]]&lt;C2,"down","constant"))</f>
        <v>up</v>
      </c>
      <c r="F3" s="3">
        <f>IF(Table2[[#This Row],[States]]="up",1,IF(Table2[[#This Row],[States]]="down",-1,0))</f>
        <v>1</v>
      </c>
      <c r="AJ3" s="2">
        <v>1</v>
      </c>
      <c r="AK3" s="2">
        <v>1</v>
      </c>
      <c r="AL3" s="5">
        <f>SUM(G4:G253)</f>
        <v>24</v>
      </c>
      <c r="AM3" s="6">
        <f>SUM(Y4:Y253)</f>
        <v>5</v>
      </c>
      <c r="AN3" s="7">
        <f>SUM(P4:P253)</f>
        <v>49</v>
      </c>
      <c r="AO3">
        <f>SUM(AL3:AN3)</f>
        <v>78</v>
      </c>
    </row>
    <row r="4" spans="1:47" x14ac:dyDescent="0.3">
      <c r="A4" s="1">
        <v>43833</v>
      </c>
      <c r="B4">
        <v>41464.61</v>
      </c>
      <c r="C4">
        <f>Table2[[#This Row],[Close]]-0.001*Table2[[#This Row],[Close]]</f>
        <v>41423.145389999998</v>
      </c>
      <c r="D4">
        <f>Table2[[#This Row],[Close]]+0.001*Table2[[#This Row],[Close]]</f>
        <v>41506.074610000003</v>
      </c>
      <c r="E4" t="str">
        <f>IF(Table2[[#This Row],[Close]]&gt;D3,"up",IF(Table2[[#This Row],[Close]]&lt;C3,"down","constant"))</f>
        <v>constant</v>
      </c>
      <c r="F4" s="3">
        <f>IF(Table2[[#This Row],[States]]="up",1,IF(Table2[[#This Row],[States]]="down",-1,0))</f>
        <v>0</v>
      </c>
      <c r="G4">
        <f>IF(AND(Table2[[#This Row],[STATES in numeric format]]=-1,F3=1,F2=1),1,0)</f>
        <v>0</v>
      </c>
      <c r="H4">
        <f>IF(AND(Table2[[#This Row],[STATES in numeric format]]=-1,F3=-1,F2=-1),1,0)</f>
        <v>0</v>
      </c>
      <c r="I4">
        <f>IF(AND(Table2[[#This Row],[STATES in numeric format]]=-1,F3=-1,F2=1),1,0)</f>
        <v>0</v>
      </c>
      <c r="J4">
        <f>IF(AND(Table2[[#This Row],[STATES in numeric format]]=-1,F3=1,F2=-1),1,0)</f>
        <v>0</v>
      </c>
      <c r="K4">
        <f>IF(AND(Table2[[#This Row],[STATES in numeric format]]=-1,F3=0,F2=0),1,0)</f>
        <v>0</v>
      </c>
      <c r="L4">
        <f>IF(AND(Table2[[#This Row],[STATES in numeric format]]=-1,F3=1,F2=0),1,0)</f>
        <v>0</v>
      </c>
      <c r="M4">
        <f>IF(AND(Table2[[#This Row],[STATES in numeric format]]=-1,F3=-1,F2=0),1,0)</f>
        <v>0</v>
      </c>
      <c r="N4">
        <f>IF(AND(Table2[[#This Row],[STATES in numeric format]]=-1,F3=0,F2=1),1,0)</f>
        <v>0</v>
      </c>
      <c r="O4">
        <f>IF(AND(Table2[[#This Row],[STATES in numeric format]]=-1,F3=0,F2=-1),1,0)</f>
        <v>0</v>
      </c>
      <c r="P4">
        <f>IF(AND(Table2[[#This Row],[STATES in numeric format]]=1,F3=1,F2=1),1,0)</f>
        <v>0</v>
      </c>
      <c r="Q4">
        <f>IF(AND(Table2[[#This Row],[STATES in numeric format]]=1,F3=-1,F2=-1),1,0)</f>
        <v>0</v>
      </c>
      <c r="R4">
        <f>IF(AND(Table2[[#This Row],[STATES in numeric format]]=1,F3=-1,F2=1),1,0)</f>
        <v>0</v>
      </c>
      <c r="S4">
        <f>IF(AND(Table2[[#This Row],[STATES in numeric format]]=1,F3=1,F2=-1),1,0)</f>
        <v>0</v>
      </c>
      <c r="T4">
        <f>IF(AND(Table2[[#This Row],[STATES in numeric format]]=1,F3=0,F2=0),1,0)</f>
        <v>0</v>
      </c>
      <c r="U4">
        <f>IF(AND(Table2[[#This Row],[STATES in numeric format]]=1,F3=1,F2=0),1,0)</f>
        <v>0</v>
      </c>
      <c r="V4">
        <f>IF(AND(Table2[[#This Row],[STATES in numeric format]]=1,F3=-1,F2=0),1,0)</f>
        <v>0</v>
      </c>
      <c r="W4">
        <f>IF(AND(Table2[[#This Row],[STATES in numeric format]]=1,F3=0,F2=1),1,0)</f>
        <v>0</v>
      </c>
      <c r="X4">
        <f>IF(AND(Table2[[#This Row],[STATES in numeric format]]=1,F3=0,F2=-1),1,0)</f>
        <v>0</v>
      </c>
      <c r="Y4">
        <f>IF(AND(Table2[[#This Row],[STATES in numeric format]]=0,F3=1,F2=1),1,0)</f>
        <v>0</v>
      </c>
      <c r="Z4">
        <f>IF(AND(Table2[[#This Row],[STATES in numeric format]]=0,F3=-1,F2=-1),1,0)</f>
        <v>0</v>
      </c>
      <c r="AA4">
        <f>IF(AND(Table2[[#This Row],[STATES in numeric format]]=0,F3=-1,F2=1),1,0)</f>
        <v>0</v>
      </c>
      <c r="AB4">
        <f>IF(AND(Table2[[#This Row],[STATES in numeric format]]=0,F3=1,F2=-1),1,0)</f>
        <v>1</v>
      </c>
      <c r="AC4">
        <f>IF(AND(Table2[[#This Row],[STATES in numeric format]]=0,F3=0,F2=0),1,0)</f>
        <v>0</v>
      </c>
      <c r="AD4">
        <f>IF(AND(Table2[[#This Row],[STATES in numeric format]]=0,F3=1,F2=0),1,0)</f>
        <v>0</v>
      </c>
      <c r="AE4">
        <f>IF(AND(Table2[[#This Row],[STATES in numeric format]]=0,F3=-1,F2=0),1,0)</f>
        <v>0</v>
      </c>
      <c r="AF4">
        <f>IF(AND(Table2[[#This Row],[STATES in numeric format]]=0,F3=0,F2=1),1,0)</f>
        <v>0</v>
      </c>
      <c r="AG4">
        <f>IF(AND(Table2[[#This Row],[STATES in numeric format]]=0,F3=0,F2=-1),1,0)</f>
        <v>0</v>
      </c>
      <c r="AJ4" s="2">
        <v>-1</v>
      </c>
      <c r="AK4" s="2">
        <v>-1</v>
      </c>
      <c r="AL4" s="8">
        <f>SUM(H4:H253)</f>
        <v>18</v>
      </c>
      <c r="AM4" s="9">
        <f>SUM(Z4:Z253)</f>
        <v>0</v>
      </c>
      <c r="AN4" s="10">
        <f>SUM(Q4:Q253)</f>
        <v>21</v>
      </c>
      <c r="AO4">
        <f t="shared" ref="AO4:AO11" si="0">SUM(AL4:AN4)</f>
        <v>39</v>
      </c>
    </row>
    <row r="5" spans="1:47" x14ac:dyDescent="0.3">
      <c r="A5" s="1">
        <v>43836</v>
      </c>
      <c r="B5">
        <v>40676.629999999997</v>
      </c>
      <c r="C5">
        <f>Table2[[#This Row],[Close]]-0.001*Table2[[#This Row],[Close]]</f>
        <v>40635.953369999996</v>
      </c>
      <c r="D5">
        <f>Table2[[#This Row],[Close]]+0.001*Table2[[#This Row],[Close]]</f>
        <v>40717.306629999999</v>
      </c>
      <c r="E5" t="str">
        <f>IF(Table2[[#This Row],[Close]]&gt;D4,"up",IF(Table2[[#This Row],[Close]]&lt;C4,"down","constant"))</f>
        <v>down</v>
      </c>
      <c r="F5" s="3">
        <f>IF(Table2[[#This Row],[States]]="up",1,IF(Table2[[#This Row],[States]]="down",-1,0))</f>
        <v>-1</v>
      </c>
      <c r="G5">
        <f>IF(AND(Table2[[#This Row],[STATES in numeric format]]=-1,F4=1,F3=1),1,0)</f>
        <v>0</v>
      </c>
      <c r="H5">
        <f>IF(AND(Table2[[#This Row],[STATES in numeric format]]=-1,F4=-1,F3=-1),1,0)</f>
        <v>0</v>
      </c>
      <c r="I5">
        <f>IF(AND(Table2[[#This Row],[STATES in numeric format]]=-1,F4=-1,F3=1),1,0)</f>
        <v>0</v>
      </c>
      <c r="J5">
        <f>IF(AND(Table2[[#This Row],[STATES in numeric format]]=-1,F4=1,F3=-1),1,0)</f>
        <v>0</v>
      </c>
      <c r="K5">
        <f>IF(AND(Table2[[#This Row],[STATES in numeric format]]=-1,F4=0,F3=0),1,0)</f>
        <v>0</v>
      </c>
      <c r="L5">
        <f>IF(AND(Table2[[#This Row],[STATES in numeric format]]=-1,F4=1,F3=0),1,0)</f>
        <v>0</v>
      </c>
      <c r="M5">
        <f>IF(AND(Table2[[#This Row],[STATES in numeric format]]=-1,F4=-1,F3=0),1,0)</f>
        <v>0</v>
      </c>
      <c r="N5">
        <f>IF(AND(Table2[[#This Row],[STATES in numeric format]]=-1,F4=0,F3=1),1,0)</f>
        <v>1</v>
      </c>
      <c r="O5">
        <f>IF(AND(Table2[[#This Row],[STATES in numeric format]]=-1,F4=0,F3=-1),1,0)</f>
        <v>0</v>
      </c>
      <c r="P5">
        <f>IF(AND(Table2[[#This Row],[STATES in numeric format]]=1,F4=1,F3=1),1,0)</f>
        <v>0</v>
      </c>
      <c r="Q5">
        <f>IF(AND(Table2[[#This Row],[STATES in numeric format]]=1,F4=-1,F3=-1),1,0)</f>
        <v>0</v>
      </c>
      <c r="R5">
        <f>IF(AND(Table2[[#This Row],[STATES in numeric format]]=1,F4=-1,F3=1),1,0)</f>
        <v>0</v>
      </c>
      <c r="S5">
        <f>IF(AND(Table2[[#This Row],[STATES in numeric format]]=1,F4=1,F3=-1),1,0)</f>
        <v>0</v>
      </c>
      <c r="T5">
        <f>IF(AND(Table2[[#This Row],[STATES in numeric format]]=1,F4=0,F3=0),1,0)</f>
        <v>0</v>
      </c>
      <c r="U5">
        <f>IF(AND(Table2[[#This Row],[STATES in numeric format]]=1,F4=1,F3=0),1,0)</f>
        <v>0</v>
      </c>
      <c r="V5">
        <f>IF(AND(Table2[[#This Row],[STATES in numeric format]]=1,F4=-1,F3=0),1,0)</f>
        <v>0</v>
      </c>
      <c r="W5">
        <f>IF(AND(Table2[[#This Row],[STATES in numeric format]]=1,F4=0,F3=1),1,0)</f>
        <v>0</v>
      </c>
      <c r="X5">
        <f>IF(AND(Table2[[#This Row],[STATES in numeric format]]=1,F4=0,F3=-1),1,0)</f>
        <v>0</v>
      </c>
      <c r="Y5">
        <f>IF(AND(Table2[[#This Row],[STATES in numeric format]]=0,F4=1,F3=1),1,0)</f>
        <v>0</v>
      </c>
      <c r="Z5">
        <f>IF(AND(Table2[[#This Row],[STATES in numeric format]]=0,F4=-1,F3=-1),1,0)</f>
        <v>0</v>
      </c>
      <c r="AA5">
        <f>IF(AND(Table2[[#This Row],[STATES in numeric format]]=0,F4=-1,F3=1),1,0)</f>
        <v>0</v>
      </c>
      <c r="AB5">
        <f>IF(AND(Table2[[#This Row],[STATES in numeric format]]=0,F4=1,F3=-1),1,0)</f>
        <v>0</v>
      </c>
      <c r="AC5">
        <f>IF(AND(Table2[[#This Row],[STATES in numeric format]]=0,F4=0,F3=0),1,0)</f>
        <v>0</v>
      </c>
      <c r="AD5">
        <f>IF(AND(Table2[[#This Row],[STATES in numeric format]]=0,F4=1,F3=0),1,0)</f>
        <v>0</v>
      </c>
      <c r="AE5">
        <f>IF(AND(Table2[[#This Row],[STATES in numeric format]]=0,F4=-1,F3=0),1,0)</f>
        <v>0</v>
      </c>
      <c r="AF5">
        <f>IF(AND(Table2[[#This Row],[STATES in numeric format]]=0,F4=0,F3=1),1,0)</f>
        <v>0</v>
      </c>
      <c r="AG5">
        <f>IF(AND(Table2[[#This Row],[STATES in numeric format]]=0,F4=0,F3=-1),1,0)</f>
        <v>0</v>
      </c>
      <c r="AJ5" s="2">
        <v>1</v>
      </c>
      <c r="AK5" s="2">
        <v>-1</v>
      </c>
      <c r="AL5" s="8">
        <f>SUM(I4:I253)</f>
        <v>19</v>
      </c>
      <c r="AM5" s="9">
        <f>SUM(AA4:AA253)</f>
        <v>3</v>
      </c>
      <c r="AN5" s="10">
        <f>SUM(R4:R253)</f>
        <v>28</v>
      </c>
      <c r="AO5">
        <f t="shared" si="0"/>
        <v>50</v>
      </c>
    </row>
    <row r="6" spans="1:47" x14ac:dyDescent="0.3">
      <c r="A6" s="1">
        <v>43837</v>
      </c>
      <c r="B6">
        <v>40869.47</v>
      </c>
      <c r="C6">
        <f>Table2[[#This Row],[Close]]-0.001*Table2[[#This Row],[Close]]</f>
        <v>40828.600530000003</v>
      </c>
      <c r="D6">
        <f>Table2[[#This Row],[Close]]+0.001*Table2[[#This Row],[Close]]</f>
        <v>40910.339469999999</v>
      </c>
      <c r="E6" t="str">
        <f>IF(Table2[[#This Row],[Close]]&gt;D5,"up",IF(Table2[[#This Row],[Close]]&lt;C5,"down","constant"))</f>
        <v>up</v>
      </c>
      <c r="F6" s="3">
        <f>IF(Table2[[#This Row],[States]]="up",1,IF(Table2[[#This Row],[States]]="down",-1,0))</f>
        <v>1</v>
      </c>
      <c r="G6">
        <f>IF(AND(Table2[[#This Row],[STATES in numeric format]]=-1,F5=1,F4=1),1,0)</f>
        <v>0</v>
      </c>
      <c r="H6">
        <f>IF(AND(Table2[[#This Row],[STATES in numeric format]]=-1,F5=-1,F4=-1),1,0)</f>
        <v>0</v>
      </c>
      <c r="I6">
        <f>IF(AND(Table2[[#This Row],[STATES in numeric format]]=-1,F5=-1,F4=1),1,0)</f>
        <v>0</v>
      </c>
      <c r="J6">
        <f>IF(AND(Table2[[#This Row],[STATES in numeric format]]=-1,F5=1,F4=-1),1,0)</f>
        <v>0</v>
      </c>
      <c r="K6">
        <f>IF(AND(Table2[[#This Row],[STATES in numeric format]]=-1,F5=0,F4=0),1,0)</f>
        <v>0</v>
      </c>
      <c r="L6">
        <f>IF(AND(Table2[[#This Row],[STATES in numeric format]]=-1,F5=1,F4=0),1,0)</f>
        <v>0</v>
      </c>
      <c r="M6">
        <f>IF(AND(Table2[[#This Row],[STATES in numeric format]]=-1,F5=-1,F4=0),1,0)</f>
        <v>0</v>
      </c>
      <c r="N6">
        <f>IF(AND(Table2[[#This Row],[STATES in numeric format]]=-1,F5=0,F4=1),1,0)</f>
        <v>0</v>
      </c>
      <c r="O6">
        <f>IF(AND(Table2[[#This Row],[STATES in numeric format]]=-1,F5=0,F4=-1),1,0)</f>
        <v>0</v>
      </c>
      <c r="P6">
        <f>IF(AND(Table2[[#This Row],[STATES in numeric format]]=1,F5=1,F4=1),1,0)</f>
        <v>0</v>
      </c>
      <c r="Q6">
        <f>IF(AND(Table2[[#This Row],[STATES in numeric format]]=1,F5=-1,F4=-1),1,0)</f>
        <v>0</v>
      </c>
      <c r="R6">
        <f>IF(AND(Table2[[#This Row],[STATES in numeric format]]=1,F5=-1,F4=1),1,0)</f>
        <v>0</v>
      </c>
      <c r="S6">
        <f>IF(AND(Table2[[#This Row],[STATES in numeric format]]=1,F5=1,F4=-1),1,0)</f>
        <v>0</v>
      </c>
      <c r="T6">
        <f>IF(AND(Table2[[#This Row],[STATES in numeric format]]=1,F5=0,F4=0),1,0)</f>
        <v>0</v>
      </c>
      <c r="U6">
        <f>IF(AND(Table2[[#This Row],[STATES in numeric format]]=1,F5=1,F4=0),1,0)</f>
        <v>0</v>
      </c>
      <c r="V6">
        <f>IF(AND(Table2[[#This Row],[STATES in numeric format]]=1,F5=-1,F4=0),1,0)</f>
        <v>1</v>
      </c>
      <c r="W6">
        <f>IF(AND(Table2[[#This Row],[STATES in numeric format]]=1,F5=0,F4=1),1,0)</f>
        <v>0</v>
      </c>
      <c r="X6">
        <f>IF(AND(Table2[[#This Row],[STATES in numeric format]]=1,F5=0,F4=-1),1,0)</f>
        <v>0</v>
      </c>
      <c r="Y6">
        <f>IF(AND(Table2[[#This Row],[STATES in numeric format]]=0,F5=1,F4=1),1,0)</f>
        <v>0</v>
      </c>
      <c r="Z6">
        <f>IF(AND(Table2[[#This Row],[STATES in numeric format]]=0,F5=-1,F4=-1),1,0)</f>
        <v>0</v>
      </c>
      <c r="AA6">
        <f>IF(AND(Table2[[#This Row],[STATES in numeric format]]=0,F5=-1,F4=1),1,0)</f>
        <v>0</v>
      </c>
      <c r="AB6">
        <f>IF(AND(Table2[[#This Row],[STATES in numeric format]]=0,F5=1,F4=-1),1,0)</f>
        <v>0</v>
      </c>
      <c r="AC6">
        <f>IF(AND(Table2[[#This Row],[STATES in numeric format]]=0,F5=0,F4=0),1,0)</f>
        <v>0</v>
      </c>
      <c r="AD6">
        <f>IF(AND(Table2[[#This Row],[STATES in numeric format]]=0,F5=1,F4=0),1,0)</f>
        <v>0</v>
      </c>
      <c r="AE6">
        <f>IF(AND(Table2[[#This Row],[STATES in numeric format]]=0,F5=-1,F4=0),1,0)</f>
        <v>0</v>
      </c>
      <c r="AF6">
        <f>IF(AND(Table2[[#This Row],[STATES in numeric format]]=0,F5=0,F4=1),1,0)</f>
        <v>0</v>
      </c>
      <c r="AG6">
        <f>IF(AND(Table2[[#This Row],[STATES in numeric format]]=0,F5=0,F4=-1),1,0)</f>
        <v>0</v>
      </c>
      <c r="AJ6" s="2">
        <v>-1</v>
      </c>
      <c r="AK6" s="2">
        <v>1</v>
      </c>
      <c r="AL6" s="8">
        <f>SUM(J4:J253)</f>
        <v>24</v>
      </c>
      <c r="AM6" s="9">
        <f>SUM(AB4:AB253)</f>
        <v>6</v>
      </c>
      <c r="AN6" s="10">
        <f>SUM(S4:S253)</f>
        <v>24</v>
      </c>
      <c r="AO6">
        <f t="shared" si="0"/>
        <v>54</v>
      </c>
    </row>
    <row r="7" spans="1:47" x14ac:dyDescent="0.3">
      <c r="A7" s="1">
        <v>43838</v>
      </c>
      <c r="B7">
        <v>40817.74</v>
      </c>
      <c r="C7">
        <f>Table2[[#This Row],[Close]]-0.001*Table2[[#This Row],[Close]]</f>
        <v>40776.922259999999</v>
      </c>
      <c r="D7">
        <f>Table2[[#This Row],[Close]]+0.001*Table2[[#This Row],[Close]]</f>
        <v>40858.557739999997</v>
      </c>
      <c r="E7" t="str">
        <f>IF(Table2[[#This Row],[Close]]&gt;D6,"up",IF(Table2[[#This Row],[Close]]&lt;C6,"down","constant"))</f>
        <v>down</v>
      </c>
      <c r="F7" s="3">
        <f>IF(Table2[[#This Row],[States]]="up",1,IF(Table2[[#This Row],[States]]="down",-1,0))</f>
        <v>-1</v>
      </c>
      <c r="G7">
        <f>IF(AND(Table2[[#This Row],[STATES in numeric format]]=-1,F6=1,F5=1),1,0)</f>
        <v>0</v>
      </c>
      <c r="H7">
        <f>IF(AND(Table2[[#This Row],[STATES in numeric format]]=-1,F6=-1,F5=-1),1,0)</f>
        <v>0</v>
      </c>
      <c r="I7">
        <f>IF(AND(Table2[[#This Row],[STATES in numeric format]]=-1,F6=-1,F5=1),1,0)</f>
        <v>0</v>
      </c>
      <c r="J7">
        <f>IF(AND(Table2[[#This Row],[STATES in numeric format]]=-1,F6=1,F5=-1),1,0)</f>
        <v>1</v>
      </c>
      <c r="K7">
        <f>IF(AND(Table2[[#This Row],[STATES in numeric format]]=-1,F6=0,F5=0),1,0)</f>
        <v>0</v>
      </c>
      <c r="L7">
        <f>IF(AND(Table2[[#This Row],[STATES in numeric format]]=-1,F6=1,F5=0),1,0)</f>
        <v>0</v>
      </c>
      <c r="M7">
        <f>IF(AND(Table2[[#This Row],[STATES in numeric format]]=-1,F6=-1,F5=0),1,0)</f>
        <v>0</v>
      </c>
      <c r="N7">
        <f>IF(AND(Table2[[#This Row],[STATES in numeric format]]=-1,F6=0,F5=1),1,0)</f>
        <v>0</v>
      </c>
      <c r="O7">
        <f>IF(AND(Table2[[#This Row],[STATES in numeric format]]=-1,F6=0,F5=-1),1,0)</f>
        <v>0</v>
      </c>
      <c r="P7">
        <f>IF(AND(Table2[[#This Row],[STATES in numeric format]]=1,F6=1,F5=1),1,0)</f>
        <v>0</v>
      </c>
      <c r="Q7">
        <f>IF(AND(Table2[[#This Row],[STATES in numeric format]]=1,F6=-1,F5=-1),1,0)</f>
        <v>0</v>
      </c>
      <c r="R7">
        <f>IF(AND(Table2[[#This Row],[STATES in numeric format]]=1,F6=-1,F5=1),1,0)</f>
        <v>0</v>
      </c>
      <c r="S7">
        <f>IF(AND(Table2[[#This Row],[STATES in numeric format]]=1,F6=1,F5=-1),1,0)</f>
        <v>0</v>
      </c>
      <c r="T7">
        <f>IF(AND(Table2[[#This Row],[STATES in numeric format]]=1,F6=0,F5=0),1,0)</f>
        <v>0</v>
      </c>
      <c r="U7">
        <f>IF(AND(Table2[[#This Row],[STATES in numeric format]]=1,F6=1,F5=0),1,0)</f>
        <v>0</v>
      </c>
      <c r="V7">
        <f>IF(AND(Table2[[#This Row],[STATES in numeric format]]=1,F6=-1,F5=0),1,0)</f>
        <v>0</v>
      </c>
      <c r="W7">
        <f>IF(AND(Table2[[#This Row],[STATES in numeric format]]=1,F6=0,F5=1),1,0)</f>
        <v>0</v>
      </c>
      <c r="X7">
        <f>IF(AND(Table2[[#This Row],[STATES in numeric format]]=1,F6=0,F5=-1),1,0)</f>
        <v>0</v>
      </c>
      <c r="Y7">
        <f>IF(AND(Table2[[#This Row],[STATES in numeric format]]=0,F6=1,F5=1),1,0)</f>
        <v>0</v>
      </c>
      <c r="Z7">
        <f>IF(AND(Table2[[#This Row],[STATES in numeric format]]=0,F6=-1,F5=-1),1,0)</f>
        <v>0</v>
      </c>
      <c r="AA7">
        <f>IF(AND(Table2[[#This Row],[STATES in numeric format]]=0,F6=-1,F5=1),1,0)</f>
        <v>0</v>
      </c>
      <c r="AB7">
        <f>IF(AND(Table2[[#This Row],[STATES in numeric format]]=0,F6=1,F5=-1),1,0)</f>
        <v>0</v>
      </c>
      <c r="AC7">
        <f>IF(AND(Table2[[#This Row],[STATES in numeric format]]=0,F6=0,F5=0),1,0)</f>
        <v>0</v>
      </c>
      <c r="AD7">
        <f>IF(AND(Table2[[#This Row],[STATES in numeric format]]=0,F6=1,F5=0),1,0)</f>
        <v>0</v>
      </c>
      <c r="AE7">
        <f>IF(AND(Table2[[#This Row],[STATES in numeric format]]=0,F6=-1,F5=0),1,0)</f>
        <v>0</v>
      </c>
      <c r="AF7">
        <f>IF(AND(Table2[[#This Row],[STATES in numeric format]]=0,F6=0,F5=1),1,0)</f>
        <v>0</v>
      </c>
      <c r="AG7">
        <f>IF(AND(Table2[[#This Row],[STATES in numeric format]]=0,F6=0,F5=-1),1,0)</f>
        <v>0</v>
      </c>
      <c r="AJ7" s="2">
        <v>0</v>
      </c>
      <c r="AK7" s="2">
        <v>0</v>
      </c>
      <c r="AL7" s="8">
        <f>SUM(K4:K253)</f>
        <v>0</v>
      </c>
      <c r="AM7" s="9">
        <f>SUM(AC4:AC253)</f>
        <v>0</v>
      </c>
      <c r="AN7" s="10">
        <f>SUM(T4:T253)</f>
        <v>1</v>
      </c>
      <c r="AO7">
        <f t="shared" si="0"/>
        <v>1</v>
      </c>
    </row>
    <row r="8" spans="1:47" x14ac:dyDescent="0.3">
      <c r="A8" s="1">
        <v>43839</v>
      </c>
      <c r="B8">
        <v>41452.35</v>
      </c>
      <c r="C8">
        <f>Table2[[#This Row],[Close]]-0.001*Table2[[#This Row],[Close]]</f>
        <v>41410.897649999999</v>
      </c>
      <c r="D8">
        <f>Table2[[#This Row],[Close]]+0.001*Table2[[#This Row],[Close]]</f>
        <v>41493.802349999998</v>
      </c>
      <c r="E8" t="str">
        <f>IF(Table2[[#This Row],[Close]]&gt;D7,"up",IF(Table2[[#This Row],[Close]]&lt;C7,"down","constant"))</f>
        <v>up</v>
      </c>
      <c r="F8" s="3">
        <f>IF(Table2[[#This Row],[States]]="up",1,IF(Table2[[#This Row],[States]]="down",-1,0))</f>
        <v>1</v>
      </c>
      <c r="G8">
        <f>IF(AND(Table2[[#This Row],[STATES in numeric format]]=-1,F7=1,F6=1),1,0)</f>
        <v>0</v>
      </c>
      <c r="H8">
        <f>IF(AND(Table2[[#This Row],[STATES in numeric format]]=-1,F7=-1,F6=-1),1,0)</f>
        <v>0</v>
      </c>
      <c r="I8">
        <f>IF(AND(Table2[[#This Row],[STATES in numeric format]]=-1,F7=-1,F6=1),1,0)</f>
        <v>0</v>
      </c>
      <c r="J8">
        <f>IF(AND(Table2[[#This Row],[STATES in numeric format]]=-1,F7=1,F6=-1),1,0)</f>
        <v>0</v>
      </c>
      <c r="K8">
        <f>IF(AND(Table2[[#This Row],[STATES in numeric format]]=-1,F7=0,F6=0),1,0)</f>
        <v>0</v>
      </c>
      <c r="L8">
        <f>IF(AND(Table2[[#This Row],[STATES in numeric format]]=-1,F7=1,F6=0),1,0)</f>
        <v>0</v>
      </c>
      <c r="M8">
        <f>IF(AND(Table2[[#This Row],[STATES in numeric format]]=-1,F7=-1,F6=0),1,0)</f>
        <v>0</v>
      </c>
      <c r="N8">
        <f>IF(AND(Table2[[#This Row],[STATES in numeric format]]=-1,F7=0,F6=1),1,0)</f>
        <v>0</v>
      </c>
      <c r="O8">
        <f>IF(AND(Table2[[#This Row],[STATES in numeric format]]=-1,F7=0,F6=-1),1,0)</f>
        <v>0</v>
      </c>
      <c r="P8">
        <f>IF(AND(Table2[[#This Row],[STATES in numeric format]]=1,F7=1,F6=1),1,0)</f>
        <v>0</v>
      </c>
      <c r="Q8">
        <f>IF(AND(Table2[[#This Row],[STATES in numeric format]]=1,F7=-1,F6=-1),1,0)</f>
        <v>0</v>
      </c>
      <c r="R8">
        <f>IF(AND(Table2[[#This Row],[STATES in numeric format]]=1,F7=-1,F6=1),1,0)</f>
        <v>1</v>
      </c>
      <c r="S8">
        <f>IF(AND(Table2[[#This Row],[STATES in numeric format]]=1,F7=1,F6=-1),1,0)</f>
        <v>0</v>
      </c>
      <c r="T8">
        <f>IF(AND(Table2[[#This Row],[STATES in numeric format]]=1,F7=0,F6=0),1,0)</f>
        <v>0</v>
      </c>
      <c r="U8">
        <f>IF(AND(Table2[[#This Row],[STATES in numeric format]]=1,F7=1,F6=0),1,0)</f>
        <v>0</v>
      </c>
      <c r="V8">
        <f>IF(AND(Table2[[#This Row],[STATES in numeric format]]=1,F7=-1,F6=0),1,0)</f>
        <v>0</v>
      </c>
      <c r="W8">
        <f>IF(AND(Table2[[#This Row],[STATES in numeric format]]=1,F7=0,F6=1),1,0)</f>
        <v>0</v>
      </c>
      <c r="X8">
        <f>IF(AND(Table2[[#This Row],[STATES in numeric format]]=1,F7=0,F6=-1),1,0)</f>
        <v>0</v>
      </c>
      <c r="Y8">
        <f>IF(AND(Table2[[#This Row],[STATES in numeric format]]=0,F7=1,F6=1),1,0)</f>
        <v>0</v>
      </c>
      <c r="Z8">
        <f>IF(AND(Table2[[#This Row],[STATES in numeric format]]=0,F7=-1,F6=-1),1,0)</f>
        <v>0</v>
      </c>
      <c r="AA8">
        <f>IF(AND(Table2[[#This Row],[STATES in numeric format]]=0,F7=-1,F6=1),1,0)</f>
        <v>0</v>
      </c>
      <c r="AB8">
        <f>IF(AND(Table2[[#This Row],[STATES in numeric format]]=0,F7=1,F6=-1),1,0)</f>
        <v>0</v>
      </c>
      <c r="AC8">
        <f>IF(AND(Table2[[#This Row],[STATES in numeric format]]=0,F7=0,F6=0),1,0)</f>
        <v>0</v>
      </c>
      <c r="AD8">
        <f>IF(AND(Table2[[#This Row],[STATES in numeric format]]=0,F7=1,F6=0),1,0)</f>
        <v>0</v>
      </c>
      <c r="AE8">
        <f>IF(AND(Table2[[#This Row],[STATES in numeric format]]=0,F7=-1,F6=0),1,0)</f>
        <v>0</v>
      </c>
      <c r="AF8">
        <f>IF(AND(Table2[[#This Row],[STATES in numeric format]]=0,F7=0,F6=1),1,0)</f>
        <v>0</v>
      </c>
      <c r="AG8">
        <f>IF(AND(Table2[[#This Row],[STATES in numeric format]]=0,F7=0,F6=-1),1,0)</f>
        <v>0</v>
      </c>
      <c r="AJ8" s="2">
        <v>0</v>
      </c>
      <c r="AK8" s="2">
        <v>1</v>
      </c>
      <c r="AL8" s="8">
        <f>SUM(L4:L253)</f>
        <v>2</v>
      </c>
      <c r="AM8" s="9">
        <f>SUM(AD4:AD253)</f>
        <v>1</v>
      </c>
      <c r="AN8" s="10">
        <f>SUM(U4:U253)</f>
        <v>5</v>
      </c>
      <c r="AO8">
        <f t="shared" si="0"/>
        <v>8</v>
      </c>
    </row>
    <row r="9" spans="1:47" x14ac:dyDescent="0.3">
      <c r="A9" s="1">
        <v>43840</v>
      </c>
      <c r="B9">
        <v>41599.72</v>
      </c>
      <c r="C9">
        <f>Table2[[#This Row],[Close]]-0.001*Table2[[#This Row],[Close]]</f>
        <v>41558.120280000003</v>
      </c>
      <c r="D9">
        <f>Table2[[#This Row],[Close]]+0.001*Table2[[#This Row],[Close]]</f>
        <v>41641.31972</v>
      </c>
      <c r="E9" t="str">
        <f>IF(Table2[[#This Row],[Close]]&gt;D8,"up",IF(Table2[[#This Row],[Close]]&lt;C8,"down","constant"))</f>
        <v>up</v>
      </c>
      <c r="F9" s="3">
        <f>IF(Table2[[#This Row],[States]]="up",1,IF(Table2[[#This Row],[States]]="down",-1,0))</f>
        <v>1</v>
      </c>
      <c r="G9">
        <f>IF(AND(Table2[[#This Row],[STATES in numeric format]]=-1,F8=1,F7=1),1,0)</f>
        <v>0</v>
      </c>
      <c r="H9">
        <f>IF(AND(Table2[[#This Row],[STATES in numeric format]]=-1,F8=-1,F7=-1),1,0)</f>
        <v>0</v>
      </c>
      <c r="I9">
        <f>IF(AND(Table2[[#This Row],[STATES in numeric format]]=-1,F8=-1,F7=1),1,0)</f>
        <v>0</v>
      </c>
      <c r="J9">
        <f>IF(AND(Table2[[#This Row],[STATES in numeric format]]=-1,F8=1,F7=-1),1,0)</f>
        <v>0</v>
      </c>
      <c r="K9">
        <f>IF(AND(Table2[[#This Row],[STATES in numeric format]]=-1,F8=0,F7=0),1,0)</f>
        <v>0</v>
      </c>
      <c r="L9">
        <f>IF(AND(Table2[[#This Row],[STATES in numeric format]]=-1,F8=1,F7=0),1,0)</f>
        <v>0</v>
      </c>
      <c r="M9">
        <f>IF(AND(Table2[[#This Row],[STATES in numeric format]]=-1,F8=-1,F7=0),1,0)</f>
        <v>0</v>
      </c>
      <c r="N9">
        <f>IF(AND(Table2[[#This Row],[STATES in numeric format]]=-1,F8=0,F7=1),1,0)</f>
        <v>0</v>
      </c>
      <c r="O9">
        <f>IF(AND(Table2[[#This Row],[STATES in numeric format]]=-1,F8=0,F7=-1),1,0)</f>
        <v>0</v>
      </c>
      <c r="P9">
        <f>IF(AND(Table2[[#This Row],[STATES in numeric format]]=1,F8=1,F7=1),1,0)</f>
        <v>0</v>
      </c>
      <c r="Q9">
        <f>IF(AND(Table2[[#This Row],[STATES in numeric format]]=1,F8=-1,F7=-1),1,0)</f>
        <v>0</v>
      </c>
      <c r="R9">
        <f>IF(AND(Table2[[#This Row],[STATES in numeric format]]=1,F8=-1,F7=1),1,0)</f>
        <v>0</v>
      </c>
      <c r="S9">
        <f>IF(AND(Table2[[#This Row],[STATES in numeric format]]=1,F8=1,F7=-1),1,0)</f>
        <v>1</v>
      </c>
      <c r="T9">
        <f>IF(AND(Table2[[#This Row],[STATES in numeric format]]=1,F8=0,F7=0),1,0)</f>
        <v>0</v>
      </c>
      <c r="U9">
        <f>IF(AND(Table2[[#This Row],[STATES in numeric format]]=1,F8=1,F7=0),1,0)</f>
        <v>0</v>
      </c>
      <c r="V9">
        <f>IF(AND(Table2[[#This Row],[STATES in numeric format]]=1,F8=-1,F7=0),1,0)</f>
        <v>0</v>
      </c>
      <c r="W9">
        <f>IF(AND(Table2[[#This Row],[STATES in numeric format]]=1,F8=0,F7=1),1,0)</f>
        <v>0</v>
      </c>
      <c r="X9">
        <f>IF(AND(Table2[[#This Row],[STATES in numeric format]]=1,F8=0,F7=-1),1,0)</f>
        <v>0</v>
      </c>
      <c r="Y9">
        <f>IF(AND(Table2[[#This Row],[STATES in numeric format]]=0,F8=1,F7=1),1,0)</f>
        <v>0</v>
      </c>
      <c r="Z9">
        <f>IF(AND(Table2[[#This Row],[STATES in numeric format]]=0,F8=-1,F7=-1),1,0)</f>
        <v>0</v>
      </c>
      <c r="AA9">
        <f>IF(AND(Table2[[#This Row],[STATES in numeric format]]=0,F8=-1,F7=1),1,0)</f>
        <v>0</v>
      </c>
      <c r="AB9">
        <f>IF(AND(Table2[[#This Row],[STATES in numeric format]]=0,F8=1,F7=-1),1,0)</f>
        <v>0</v>
      </c>
      <c r="AC9">
        <f>IF(AND(Table2[[#This Row],[STATES in numeric format]]=0,F8=0,F7=0),1,0)</f>
        <v>0</v>
      </c>
      <c r="AD9">
        <f>IF(AND(Table2[[#This Row],[STATES in numeric format]]=0,F8=1,F7=0),1,0)</f>
        <v>0</v>
      </c>
      <c r="AE9">
        <f>IF(AND(Table2[[#This Row],[STATES in numeric format]]=0,F8=-1,F7=0),1,0)</f>
        <v>0</v>
      </c>
      <c r="AF9">
        <f>IF(AND(Table2[[#This Row],[STATES in numeric format]]=0,F8=0,F7=1),1,0)</f>
        <v>0</v>
      </c>
      <c r="AG9">
        <f>IF(AND(Table2[[#This Row],[STATES in numeric format]]=0,F8=0,F7=-1),1,0)</f>
        <v>0</v>
      </c>
      <c r="AJ9" s="2">
        <v>0</v>
      </c>
      <c r="AK9" s="2">
        <v>-1</v>
      </c>
      <c r="AL9" s="8">
        <f>SUM(M4:M253)</f>
        <v>2</v>
      </c>
      <c r="AM9" s="9">
        <f>SUM(AE4:AE253)</f>
        <v>0</v>
      </c>
      <c r="AN9" s="10">
        <f>SUM(V4:V253)</f>
        <v>4</v>
      </c>
      <c r="AO9">
        <f t="shared" si="0"/>
        <v>6</v>
      </c>
    </row>
    <row r="10" spans="1:47" x14ac:dyDescent="0.3">
      <c r="A10" s="1">
        <v>43843</v>
      </c>
      <c r="B10">
        <v>41859.69</v>
      </c>
      <c r="C10">
        <f>Table2[[#This Row],[Close]]-0.001*Table2[[#This Row],[Close]]</f>
        <v>41817.830310000005</v>
      </c>
      <c r="D10">
        <f>Table2[[#This Row],[Close]]+0.001*Table2[[#This Row],[Close]]</f>
        <v>41901.54969</v>
      </c>
      <c r="E10" t="str">
        <f>IF(Table2[[#This Row],[Close]]&gt;D9,"up",IF(Table2[[#This Row],[Close]]&lt;C9,"down","constant"))</f>
        <v>up</v>
      </c>
      <c r="F10" s="3">
        <f>IF(Table2[[#This Row],[States]]="up",1,IF(Table2[[#This Row],[States]]="down",-1,0))</f>
        <v>1</v>
      </c>
      <c r="G10">
        <f>IF(AND(Table2[[#This Row],[STATES in numeric format]]=-1,F9=1,F8=1),1,0)</f>
        <v>0</v>
      </c>
      <c r="H10">
        <f>IF(AND(Table2[[#This Row],[STATES in numeric format]]=-1,F9=-1,F8=-1),1,0)</f>
        <v>0</v>
      </c>
      <c r="I10">
        <f>IF(AND(Table2[[#This Row],[STATES in numeric format]]=-1,F9=-1,F8=1),1,0)</f>
        <v>0</v>
      </c>
      <c r="J10">
        <f>IF(AND(Table2[[#This Row],[STATES in numeric format]]=-1,F9=1,F8=-1),1,0)</f>
        <v>0</v>
      </c>
      <c r="K10">
        <f>IF(AND(Table2[[#This Row],[STATES in numeric format]]=-1,F9=0,F8=0),1,0)</f>
        <v>0</v>
      </c>
      <c r="L10">
        <f>IF(AND(Table2[[#This Row],[STATES in numeric format]]=-1,F9=1,F8=0),1,0)</f>
        <v>0</v>
      </c>
      <c r="M10">
        <f>IF(AND(Table2[[#This Row],[STATES in numeric format]]=-1,F9=-1,F8=0),1,0)</f>
        <v>0</v>
      </c>
      <c r="N10">
        <f>IF(AND(Table2[[#This Row],[STATES in numeric format]]=-1,F9=0,F8=1),1,0)</f>
        <v>0</v>
      </c>
      <c r="O10">
        <f>IF(AND(Table2[[#This Row],[STATES in numeric format]]=-1,F9=0,F8=-1),1,0)</f>
        <v>0</v>
      </c>
      <c r="P10">
        <f>IF(AND(Table2[[#This Row],[STATES in numeric format]]=1,F9=1,F8=1),1,0)</f>
        <v>1</v>
      </c>
      <c r="Q10">
        <f>IF(AND(Table2[[#This Row],[STATES in numeric format]]=1,F9=-1,F8=-1),1,0)</f>
        <v>0</v>
      </c>
      <c r="R10">
        <f>IF(AND(Table2[[#This Row],[STATES in numeric format]]=1,F9=-1,F8=1),1,0)</f>
        <v>0</v>
      </c>
      <c r="S10">
        <f>IF(AND(Table2[[#This Row],[STATES in numeric format]]=1,F9=1,F8=-1),1,0)</f>
        <v>0</v>
      </c>
      <c r="T10">
        <f>IF(AND(Table2[[#This Row],[STATES in numeric format]]=1,F9=0,F8=0),1,0)</f>
        <v>0</v>
      </c>
      <c r="U10">
        <f>IF(AND(Table2[[#This Row],[STATES in numeric format]]=1,F9=1,F8=0),1,0)</f>
        <v>0</v>
      </c>
      <c r="V10">
        <f>IF(AND(Table2[[#This Row],[STATES in numeric format]]=1,F9=-1,F8=0),1,0)</f>
        <v>0</v>
      </c>
      <c r="W10">
        <f>IF(AND(Table2[[#This Row],[STATES in numeric format]]=1,F9=0,F8=1),1,0)</f>
        <v>0</v>
      </c>
      <c r="X10">
        <f>IF(AND(Table2[[#This Row],[STATES in numeric format]]=1,F9=0,F8=-1),1,0)</f>
        <v>0</v>
      </c>
      <c r="Y10">
        <f>IF(AND(Table2[[#This Row],[STATES in numeric format]]=0,F9=1,F8=1),1,0)</f>
        <v>0</v>
      </c>
      <c r="Z10">
        <f>IF(AND(Table2[[#This Row],[STATES in numeric format]]=0,F9=-1,F8=-1),1,0)</f>
        <v>0</v>
      </c>
      <c r="AA10">
        <f>IF(AND(Table2[[#This Row],[STATES in numeric format]]=0,F9=-1,F8=1),1,0)</f>
        <v>0</v>
      </c>
      <c r="AB10">
        <f>IF(AND(Table2[[#This Row],[STATES in numeric format]]=0,F9=1,F8=-1),1,0)</f>
        <v>0</v>
      </c>
      <c r="AC10">
        <f>IF(AND(Table2[[#This Row],[STATES in numeric format]]=0,F9=0,F8=0),1,0)</f>
        <v>0</v>
      </c>
      <c r="AD10">
        <f>IF(AND(Table2[[#This Row],[STATES in numeric format]]=0,F9=1,F8=0),1,0)</f>
        <v>0</v>
      </c>
      <c r="AE10">
        <f>IF(AND(Table2[[#This Row],[STATES in numeric format]]=0,F9=-1,F8=0),1,0)</f>
        <v>0</v>
      </c>
      <c r="AF10">
        <f>IF(AND(Table2[[#This Row],[STATES in numeric format]]=0,F9=0,F8=1),1,0)</f>
        <v>0</v>
      </c>
      <c r="AG10">
        <f>IF(AND(Table2[[#This Row],[STATES in numeric format]]=0,F9=0,F8=-1),1,0)</f>
        <v>0</v>
      </c>
      <c r="AJ10" s="2">
        <v>1</v>
      </c>
      <c r="AK10" s="2">
        <v>0</v>
      </c>
      <c r="AL10" s="8">
        <f>SUM(N4:N253)</f>
        <v>5</v>
      </c>
      <c r="AM10" s="9">
        <f>SUM(AF4:AF253)</f>
        <v>1</v>
      </c>
      <c r="AN10" s="10">
        <f>SUM(W4:W253)</f>
        <v>5</v>
      </c>
      <c r="AO10">
        <f t="shared" si="0"/>
        <v>11</v>
      </c>
    </row>
    <row r="11" spans="1:47" x14ac:dyDescent="0.3">
      <c r="A11" s="1">
        <v>43844</v>
      </c>
      <c r="B11">
        <v>41952.63</v>
      </c>
      <c r="C11">
        <f>Table2[[#This Row],[Close]]-0.001*Table2[[#This Row],[Close]]</f>
        <v>41910.677369999998</v>
      </c>
      <c r="D11">
        <f>Table2[[#This Row],[Close]]+0.001*Table2[[#This Row],[Close]]</f>
        <v>41994.582629999997</v>
      </c>
      <c r="E11" t="str">
        <f>IF(Table2[[#This Row],[Close]]&gt;D10,"up",IF(Table2[[#This Row],[Close]]&lt;C10,"down","constant"))</f>
        <v>up</v>
      </c>
      <c r="F11" s="3">
        <f>IF(Table2[[#This Row],[States]]="up",1,IF(Table2[[#This Row],[States]]="down",-1,0))</f>
        <v>1</v>
      </c>
      <c r="G11">
        <f>IF(AND(Table2[[#This Row],[STATES in numeric format]]=-1,F10=1,F9=1),1,0)</f>
        <v>0</v>
      </c>
      <c r="H11">
        <f>IF(AND(Table2[[#This Row],[STATES in numeric format]]=-1,F10=-1,F9=-1),1,0)</f>
        <v>0</v>
      </c>
      <c r="I11">
        <f>IF(AND(Table2[[#This Row],[STATES in numeric format]]=-1,F10=-1,F9=1),1,0)</f>
        <v>0</v>
      </c>
      <c r="J11">
        <f>IF(AND(Table2[[#This Row],[STATES in numeric format]]=-1,F10=1,F9=-1),1,0)</f>
        <v>0</v>
      </c>
      <c r="K11">
        <f>IF(AND(Table2[[#This Row],[STATES in numeric format]]=-1,F10=0,F9=0),1,0)</f>
        <v>0</v>
      </c>
      <c r="L11">
        <f>IF(AND(Table2[[#This Row],[STATES in numeric format]]=-1,F10=1,F9=0),1,0)</f>
        <v>0</v>
      </c>
      <c r="M11">
        <f>IF(AND(Table2[[#This Row],[STATES in numeric format]]=-1,F10=-1,F9=0),1,0)</f>
        <v>0</v>
      </c>
      <c r="N11">
        <f>IF(AND(Table2[[#This Row],[STATES in numeric format]]=-1,F10=0,F9=1),1,0)</f>
        <v>0</v>
      </c>
      <c r="O11">
        <f>IF(AND(Table2[[#This Row],[STATES in numeric format]]=-1,F10=0,F9=-1),1,0)</f>
        <v>0</v>
      </c>
      <c r="P11">
        <f>IF(AND(Table2[[#This Row],[STATES in numeric format]]=1,F10=1,F9=1),1,0)</f>
        <v>1</v>
      </c>
      <c r="Q11">
        <f>IF(AND(Table2[[#This Row],[STATES in numeric format]]=1,F10=-1,F9=-1),1,0)</f>
        <v>0</v>
      </c>
      <c r="R11">
        <f>IF(AND(Table2[[#This Row],[STATES in numeric format]]=1,F10=-1,F9=1),1,0)</f>
        <v>0</v>
      </c>
      <c r="S11">
        <f>IF(AND(Table2[[#This Row],[STATES in numeric format]]=1,F10=1,F9=-1),1,0)</f>
        <v>0</v>
      </c>
      <c r="T11">
        <f>IF(AND(Table2[[#This Row],[STATES in numeric format]]=1,F10=0,F9=0),1,0)</f>
        <v>0</v>
      </c>
      <c r="U11">
        <f>IF(AND(Table2[[#This Row],[STATES in numeric format]]=1,F10=1,F9=0),1,0)</f>
        <v>0</v>
      </c>
      <c r="V11">
        <f>IF(AND(Table2[[#This Row],[STATES in numeric format]]=1,F10=-1,F9=0),1,0)</f>
        <v>0</v>
      </c>
      <c r="W11">
        <f>IF(AND(Table2[[#This Row],[STATES in numeric format]]=1,F10=0,F9=1),1,0)</f>
        <v>0</v>
      </c>
      <c r="X11">
        <f>IF(AND(Table2[[#This Row],[STATES in numeric format]]=1,F10=0,F9=-1),1,0)</f>
        <v>0</v>
      </c>
      <c r="Y11">
        <f>IF(AND(Table2[[#This Row],[STATES in numeric format]]=0,F10=1,F9=1),1,0)</f>
        <v>0</v>
      </c>
      <c r="Z11">
        <f>IF(AND(Table2[[#This Row],[STATES in numeric format]]=0,F10=-1,F9=-1),1,0)</f>
        <v>0</v>
      </c>
      <c r="AA11">
        <f>IF(AND(Table2[[#This Row],[STATES in numeric format]]=0,F10=-1,F9=1),1,0)</f>
        <v>0</v>
      </c>
      <c r="AB11">
        <f>IF(AND(Table2[[#This Row],[STATES in numeric format]]=0,F10=1,F9=-1),1,0)</f>
        <v>0</v>
      </c>
      <c r="AC11">
        <f>IF(AND(Table2[[#This Row],[STATES in numeric format]]=0,F10=0,F9=0),1,0)</f>
        <v>0</v>
      </c>
      <c r="AD11">
        <f>IF(AND(Table2[[#This Row],[STATES in numeric format]]=0,F10=1,F9=0),1,0)</f>
        <v>0</v>
      </c>
      <c r="AE11">
        <f>IF(AND(Table2[[#This Row],[STATES in numeric format]]=0,F10=-1,F9=0),1,0)</f>
        <v>0</v>
      </c>
      <c r="AF11">
        <f>IF(AND(Table2[[#This Row],[STATES in numeric format]]=0,F10=0,F9=1),1,0)</f>
        <v>0</v>
      </c>
      <c r="AG11">
        <f>IF(AND(Table2[[#This Row],[STATES in numeric format]]=0,F10=0,F9=-1),1,0)</f>
        <v>0</v>
      </c>
      <c r="AJ11" s="2">
        <v>-1</v>
      </c>
      <c r="AK11" s="2">
        <v>0</v>
      </c>
      <c r="AL11" s="12">
        <v>1</v>
      </c>
      <c r="AM11" s="13">
        <f>SUM(AG4:AG253)</f>
        <v>0</v>
      </c>
      <c r="AN11">
        <f>SUM(X4:X253)</f>
        <v>2</v>
      </c>
      <c r="AO11">
        <f t="shared" si="0"/>
        <v>3</v>
      </c>
    </row>
    <row r="12" spans="1:47" x14ac:dyDescent="0.3">
      <c r="A12" s="1">
        <v>43845</v>
      </c>
      <c r="B12">
        <v>41872.730000000003</v>
      </c>
      <c r="C12">
        <f>Table2[[#This Row],[Close]]-0.001*Table2[[#This Row],[Close]]</f>
        <v>41830.85727</v>
      </c>
      <c r="D12">
        <f>Table2[[#This Row],[Close]]+0.001*Table2[[#This Row],[Close]]</f>
        <v>41914.602730000006</v>
      </c>
      <c r="E12" t="str">
        <f>IF(Table2[[#This Row],[Close]]&gt;D11,"up",IF(Table2[[#This Row],[Close]]&lt;C11,"down","constant"))</f>
        <v>down</v>
      </c>
      <c r="F12" s="3">
        <f>IF(Table2[[#This Row],[States]]="up",1,IF(Table2[[#This Row],[States]]="down",-1,0))</f>
        <v>-1</v>
      </c>
      <c r="G12">
        <f>IF(AND(Table2[[#This Row],[STATES in numeric format]]=-1,F11=1,F10=1),1,0)</f>
        <v>1</v>
      </c>
      <c r="H12">
        <f>IF(AND(Table2[[#This Row],[STATES in numeric format]]=-1,F11=-1,F10=-1),1,0)</f>
        <v>0</v>
      </c>
      <c r="I12">
        <f>IF(AND(Table2[[#This Row],[STATES in numeric format]]=-1,F11=-1,F10=1),1,0)</f>
        <v>0</v>
      </c>
      <c r="J12">
        <f>IF(AND(Table2[[#This Row],[STATES in numeric format]]=-1,F11=1,F10=-1),1,0)</f>
        <v>0</v>
      </c>
      <c r="K12">
        <f>IF(AND(Table2[[#This Row],[STATES in numeric format]]=-1,F11=0,F10=0),1,0)</f>
        <v>0</v>
      </c>
      <c r="L12">
        <f>IF(AND(Table2[[#This Row],[STATES in numeric format]]=-1,F11=1,F10=0),1,0)</f>
        <v>0</v>
      </c>
      <c r="M12">
        <f>IF(AND(Table2[[#This Row],[STATES in numeric format]]=-1,F11=-1,F10=0),1,0)</f>
        <v>0</v>
      </c>
      <c r="N12">
        <f>IF(AND(Table2[[#This Row],[STATES in numeric format]]=-1,F11=0,F10=1),1,0)</f>
        <v>0</v>
      </c>
      <c r="O12">
        <f>IF(AND(Table2[[#This Row],[STATES in numeric format]]=-1,F11=0,F10=-1),1,0)</f>
        <v>0</v>
      </c>
      <c r="P12">
        <f>IF(AND(Table2[[#This Row],[STATES in numeric format]]=1,F11=1,F10=1),1,0)</f>
        <v>0</v>
      </c>
      <c r="Q12">
        <f>IF(AND(Table2[[#This Row],[STATES in numeric format]]=1,F11=-1,F10=-1),1,0)</f>
        <v>0</v>
      </c>
      <c r="R12">
        <f>IF(AND(Table2[[#This Row],[STATES in numeric format]]=1,F11=-1,F10=1),1,0)</f>
        <v>0</v>
      </c>
      <c r="S12">
        <f>IF(AND(Table2[[#This Row],[STATES in numeric format]]=1,F11=1,F10=-1),1,0)</f>
        <v>0</v>
      </c>
      <c r="T12">
        <f>IF(AND(Table2[[#This Row],[STATES in numeric format]]=1,F11=0,F10=0),1,0)</f>
        <v>0</v>
      </c>
      <c r="U12">
        <f>IF(AND(Table2[[#This Row],[STATES in numeric format]]=1,F11=1,F10=0),1,0)</f>
        <v>0</v>
      </c>
      <c r="V12">
        <f>IF(AND(Table2[[#This Row],[STATES in numeric format]]=1,F11=-1,F10=0),1,0)</f>
        <v>0</v>
      </c>
      <c r="W12">
        <f>IF(AND(Table2[[#This Row],[STATES in numeric format]]=1,F11=0,F10=1),1,0)</f>
        <v>0</v>
      </c>
      <c r="X12">
        <f>IF(AND(Table2[[#This Row],[STATES in numeric format]]=1,F11=0,F10=-1),1,0)</f>
        <v>0</v>
      </c>
      <c r="Y12">
        <f>IF(AND(Table2[[#This Row],[STATES in numeric format]]=0,F11=1,F10=1),1,0)</f>
        <v>0</v>
      </c>
      <c r="Z12">
        <f>IF(AND(Table2[[#This Row],[STATES in numeric format]]=0,F11=-1,F10=-1),1,0)</f>
        <v>0</v>
      </c>
      <c r="AA12">
        <f>IF(AND(Table2[[#This Row],[STATES in numeric format]]=0,F11=-1,F10=1),1,0)</f>
        <v>0</v>
      </c>
      <c r="AB12">
        <f>IF(AND(Table2[[#This Row],[STATES in numeric format]]=0,F11=1,F10=-1),1,0)</f>
        <v>0</v>
      </c>
      <c r="AC12">
        <f>IF(AND(Table2[[#This Row],[STATES in numeric format]]=0,F11=0,F10=0),1,0)</f>
        <v>0</v>
      </c>
      <c r="AD12">
        <f>IF(AND(Table2[[#This Row],[STATES in numeric format]]=0,F11=1,F10=0),1,0)</f>
        <v>0</v>
      </c>
      <c r="AE12">
        <f>IF(AND(Table2[[#This Row],[STATES in numeric format]]=0,F11=-1,F10=0),1,0)</f>
        <v>0</v>
      </c>
      <c r="AF12">
        <f>IF(AND(Table2[[#This Row],[STATES in numeric format]]=0,F11=0,F10=1),1,0)</f>
        <v>0</v>
      </c>
      <c r="AG12">
        <f>IF(AND(Table2[[#This Row],[STATES in numeric format]]=0,F11=0,F10=-1),1,0)</f>
        <v>0</v>
      </c>
      <c r="AL12" s="14"/>
      <c r="AO12">
        <f>SUM(AO3:AO11)</f>
        <v>250</v>
      </c>
    </row>
    <row r="13" spans="1:47" x14ac:dyDescent="0.3">
      <c r="A13" s="1">
        <v>43846</v>
      </c>
      <c r="B13">
        <v>41932.559999999998</v>
      </c>
      <c r="C13">
        <f>Table2[[#This Row],[Close]]-0.001*Table2[[#This Row],[Close]]</f>
        <v>41890.627439999997</v>
      </c>
      <c r="D13">
        <f>Table2[[#This Row],[Close]]+0.001*Table2[[#This Row],[Close]]</f>
        <v>41974.492559999999</v>
      </c>
      <c r="E13" t="str">
        <f>IF(Table2[[#This Row],[Close]]&gt;D12,"up",IF(Table2[[#This Row],[Close]]&lt;C12,"down","constant"))</f>
        <v>up</v>
      </c>
      <c r="F13" s="3">
        <f>IF(Table2[[#This Row],[States]]="up",1,IF(Table2[[#This Row],[States]]="down",-1,0))</f>
        <v>1</v>
      </c>
      <c r="G13">
        <f>IF(AND(Table2[[#This Row],[STATES in numeric format]]=-1,F12=1,F11=1),1,0)</f>
        <v>0</v>
      </c>
      <c r="H13">
        <f>IF(AND(Table2[[#This Row],[STATES in numeric format]]=-1,F12=-1,F11=-1),1,0)</f>
        <v>0</v>
      </c>
      <c r="I13">
        <f>IF(AND(Table2[[#This Row],[STATES in numeric format]]=-1,F12=-1,F11=1),1,0)</f>
        <v>0</v>
      </c>
      <c r="J13">
        <f>IF(AND(Table2[[#This Row],[STATES in numeric format]]=-1,F12=1,F11=-1),1,0)</f>
        <v>0</v>
      </c>
      <c r="K13">
        <f>IF(AND(Table2[[#This Row],[STATES in numeric format]]=-1,F12=0,F11=0),1,0)</f>
        <v>0</v>
      </c>
      <c r="L13">
        <f>IF(AND(Table2[[#This Row],[STATES in numeric format]]=-1,F12=1,F11=0),1,0)</f>
        <v>0</v>
      </c>
      <c r="M13">
        <f>IF(AND(Table2[[#This Row],[STATES in numeric format]]=-1,F12=-1,F11=0),1,0)</f>
        <v>0</v>
      </c>
      <c r="N13">
        <f>IF(AND(Table2[[#This Row],[STATES in numeric format]]=-1,F12=0,F11=1),1,0)</f>
        <v>0</v>
      </c>
      <c r="O13">
        <f>IF(AND(Table2[[#This Row],[STATES in numeric format]]=-1,F12=0,F11=-1),1,0)</f>
        <v>0</v>
      </c>
      <c r="P13">
        <f>IF(AND(Table2[[#This Row],[STATES in numeric format]]=1,F12=1,F11=1),1,0)</f>
        <v>0</v>
      </c>
      <c r="Q13">
        <f>IF(AND(Table2[[#This Row],[STATES in numeric format]]=1,F12=-1,F11=-1),1,0)</f>
        <v>0</v>
      </c>
      <c r="R13">
        <f>IF(AND(Table2[[#This Row],[STATES in numeric format]]=1,F12=-1,F11=1),1,0)</f>
        <v>1</v>
      </c>
      <c r="S13">
        <f>IF(AND(Table2[[#This Row],[STATES in numeric format]]=1,F12=1,F11=-1),1,0)</f>
        <v>0</v>
      </c>
      <c r="T13">
        <f>IF(AND(Table2[[#This Row],[STATES in numeric format]]=1,F12=0,F11=0),1,0)</f>
        <v>0</v>
      </c>
      <c r="U13">
        <f>IF(AND(Table2[[#This Row],[STATES in numeric format]]=1,F12=1,F11=0),1,0)</f>
        <v>0</v>
      </c>
      <c r="V13">
        <f>IF(AND(Table2[[#This Row],[STATES in numeric format]]=1,F12=-1,F11=0),1,0)</f>
        <v>0</v>
      </c>
      <c r="W13">
        <f>IF(AND(Table2[[#This Row],[STATES in numeric format]]=1,F12=0,F11=1),1,0)</f>
        <v>0</v>
      </c>
      <c r="X13">
        <f>IF(AND(Table2[[#This Row],[STATES in numeric format]]=1,F12=0,F11=-1),1,0)</f>
        <v>0</v>
      </c>
      <c r="Y13">
        <f>IF(AND(Table2[[#This Row],[STATES in numeric format]]=0,F12=1,F11=1),1,0)</f>
        <v>0</v>
      </c>
      <c r="Z13">
        <f>IF(AND(Table2[[#This Row],[STATES in numeric format]]=0,F12=-1,F11=-1),1,0)</f>
        <v>0</v>
      </c>
      <c r="AA13">
        <f>IF(AND(Table2[[#This Row],[STATES in numeric format]]=0,F12=-1,F11=1),1,0)</f>
        <v>0</v>
      </c>
      <c r="AB13">
        <f>IF(AND(Table2[[#This Row],[STATES in numeric format]]=0,F12=1,F11=-1),1,0)</f>
        <v>0</v>
      </c>
      <c r="AC13">
        <f>IF(AND(Table2[[#This Row],[STATES in numeric format]]=0,F12=0,F11=0),1,0)</f>
        <v>0</v>
      </c>
      <c r="AD13">
        <f>IF(AND(Table2[[#This Row],[STATES in numeric format]]=0,F12=1,F11=0),1,0)</f>
        <v>0</v>
      </c>
      <c r="AE13">
        <f>IF(AND(Table2[[#This Row],[STATES in numeric format]]=0,F12=-1,F11=0),1,0)</f>
        <v>0</v>
      </c>
      <c r="AF13">
        <f>IF(AND(Table2[[#This Row],[STATES in numeric format]]=0,F12=0,F11=1),1,0)</f>
        <v>0</v>
      </c>
      <c r="AG13">
        <f>IF(AND(Table2[[#This Row],[STATES in numeric format]]=0,F12=0,F11=-1),1,0)</f>
        <v>0</v>
      </c>
    </row>
    <row r="14" spans="1:47" x14ac:dyDescent="0.3">
      <c r="A14" s="1">
        <v>43847</v>
      </c>
      <c r="B14">
        <v>41945.37</v>
      </c>
      <c r="C14">
        <f>Table2[[#This Row],[Close]]-0.001*Table2[[#This Row],[Close]]</f>
        <v>41903.424630000001</v>
      </c>
      <c r="D14">
        <f>Table2[[#This Row],[Close]]+0.001*Table2[[#This Row],[Close]]</f>
        <v>41987.315370000004</v>
      </c>
      <c r="E14" t="str">
        <f>IF(Table2[[#This Row],[Close]]&gt;D13,"up",IF(Table2[[#This Row],[Close]]&lt;C13,"down","constant"))</f>
        <v>constant</v>
      </c>
      <c r="F14" s="3">
        <f>IF(Table2[[#This Row],[States]]="up",1,IF(Table2[[#This Row],[States]]="down",-1,0))</f>
        <v>0</v>
      </c>
      <c r="G14">
        <f>IF(AND(Table2[[#This Row],[STATES in numeric format]]=-1,F13=1,F12=1),1,0)</f>
        <v>0</v>
      </c>
      <c r="H14">
        <f>IF(AND(Table2[[#This Row],[STATES in numeric format]]=-1,F13=-1,F12=-1),1,0)</f>
        <v>0</v>
      </c>
      <c r="I14">
        <f>IF(AND(Table2[[#This Row],[STATES in numeric format]]=-1,F13=-1,F12=1),1,0)</f>
        <v>0</v>
      </c>
      <c r="J14">
        <f>IF(AND(Table2[[#This Row],[STATES in numeric format]]=-1,F13=1,F12=-1),1,0)</f>
        <v>0</v>
      </c>
      <c r="K14">
        <f>IF(AND(Table2[[#This Row],[STATES in numeric format]]=-1,F13=0,F12=0),1,0)</f>
        <v>0</v>
      </c>
      <c r="L14">
        <f>IF(AND(Table2[[#This Row],[STATES in numeric format]]=-1,F13=1,F12=0),1,0)</f>
        <v>0</v>
      </c>
      <c r="M14">
        <f>IF(AND(Table2[[#This Row],[STATES in numeric format]]=-1,F13=-1,F12=0),1,0)</f>
        <v>0</v>
      </c>
      <c r="N14">
        <f>IF(AND(Table2[[#This Row],[STATES in numeric format]]=-1,F13=0,F12=1),1,0)</f>
        <v>0</v>
      </c>
      <c r="O14">
        <f>IF(AND(Table2[[#This Row],[STATES in numeric format]]=-1,F13=0,F12=-1),1,0)</f>
        <v>0</v>
      </c>
      <c r="P14">
        <f>IF(AND(Table2[[#This Row],[STATES in numeric format]]=1,F13=1,F12=1),1,0)</f>
        <v>0</v>
      </c>
      <c r="Q14">
        <f>IF(AND(Table2[[#This Row],[STATES in numeric format]]=1,F13=-1,F12=-1),1,0)</f>
        <v>0</v>
      </c>
      <c r="R14">
        <f>IF(AND(Table2[[#This Row],[STATES in numeric format]]=1,F13=-1,F12=1),1,0)</f>
        <v>0</v>
      </c>
      <c r="S14">
        <f>IF(AND(Table2[[#This Row],[STATES in numeric format]]=1,F13=1,F12=-1),1,0)</f>
        <v>0</v>
      </c>
      <c r="T14">
        <f>IF(AND(Table2[[#This Row],[STATES in numeric format]]=1,F13=0,F12=0),1,0)</f>
        <v>0</v>
      </c>
      <c r="U14">
        <f>IF(AND(Table2[[#This Row],[STATES in numeric format]]=1,F13=1,F12=0),1,0)</f>
        <v>0</v>
      </c>
      <c r="V14">
        <f>IF(AND(Table2[[#This Row],[STATES in numeric format]]=1,F13=-1,F12=0),1,0)</f>
        <v>0</v>
      </c>
      <c r="W14">
        <f>IF(AND(Table2[[#This Row],[STATES in numeric format]]=1,F13=0,F12=1),1,0)</f>
        <v>0</v>
      </c>
      <c r="X14">
        <f>IF(AND(Table2[[#This Row],[STATES in numeric format]]=1,F13=0,F12=-1),1,0)</f>
        <v>0</v>
      </c>
      <c r="Y14">
        <f>IF(AND(Table2[[#This Row],[STATES in numeric format]]=0,F13=1,F12=1),1,0)</f>
        <v>0</v>
      </c>
      <c r="Z14">
        <f>IF(AND(Table2[[#This Row],[STATES in numeric format]]=0,F13=-1,F12=-1),1,0)</f>
        <v>0</v>
      </c>
      <c r="AA14">
        <f>IF(AND(Table2[[#This Row],[STATES in numeric format]]=0,F13=-1,F12=1),1,0)</f>
        <v>0</v>
      </c>
      <c r="AB14">
        <f>IF(AND(Table2[[#This Row],[STATES in numeric format]]=0,F13=1,F12=-1),1,0)</f>
        <v>1</v>
      </c>
      <c r="AC14">
        <f>IF(AND(Table2[[#This Row],[STATES in numeric format]]=0,F13=0,F12=0),1,0)</f>
        <v>0</v>
      </c>
      <c r="AD14">
        <f>IF(AND(Table2[[#This Row],[STATES in numeric format]]=0,F13=1,F12=0),1,0)</f>
        <v>0</v>
      </c>
      <c r="AE14">
        <f>IF(AND(Table2[[#This Row],[STATES in numeric format]]=0,F13=-1,F12=0),1,0)</f>
        <v>0</v>
      </c>
      <c r="AF14">
        <f>IF(AND(Table2[[#This Row],[STATES in numeric format]]=0,F13=0,F12=1),1,0)</f>
        <v>0</v>
      </c>
      <c r="AG14">
        <f>IF(AND(Table2[[#This Row],[STATES in numeric format]]=0,F13=0,F12=-1),1,0)</f>
        <v>0</v>
      </c>
      <c r="AJ14" s="2"/>
      <c r="AK14" s="2"/>
      <c r="AL14" s="2" t="s">
        <v>160</v>
      </c>
      <c r="AM14" s="2" t="s">
        <v>161</v>
      </c>
      <c r="AN14" s="2" t="s">
        <v>162</v>
      </c>
      <c r="AO14" s="2" t="s">
        <v>163</v>
      </c>
      <c r="AP14" s="2" t="s">
        <v>164</v>
      </c>
      <c r="AQ14" s="2" t="s">
        <v>165</v>
      </c>
      <c r="AR14" s="2" t="s">
        <v>166</v>
      </c>
      <c r="AS14" s="2" t="s">
        <v>167</v>
      </c>
      <c r="AT14" s="2" t="s">
        <v>168</v>
      </c>
    </row>
    <row r="15" spans="1:47" x14ac:dyDescent="0.3">
      <c r="A15" s="1">
        <v>43850</v>
      </c>
      <c r="B15">
        <v>41528.910000000003</v>
      </c>
      <c r="C15">
        <f>Table2[[#This Row],[Close]]-0.001*Table2[[#This Row],[Close]]</f>
        <v>41487.381090000003</v>
      </c>
      <c r="D15">
        <f>Table2[[#This Row],[Close]]+0.001*Table2[[#This Row],[Close]]</f>
        <v>41570.438910000004</v>
      </c>
      <c r="E15" t="str">
        <f>IF(Table2[[#This Row],[Close]]&gt;D14,"up",IF(Table2[[#This Row],[Close]]&lt;C14,"down","constant"))</f>
        <v>down</v>
      </c>
      <c r="F15" s="3">
        <f>IF(Table2[[#This Row],[States]]="up",1,IF(Table2[[#This Row],[States]]="down",-1,0))</f>
        <v>-1</v>
      </c>
      <c r="G15">
        <f>IF(AND(Table2[[#This Row],[STATES in numeric format]]=-1,F14=1,F13=1),1,0)</f>
        <v>0</v>
      </c>
      <c r="H15">
        <f>IF(AND(Table2[[#This Row],[STATES in numeric format]]=-1,F14=-1,F13=-1),1,0)</f>
        <v>0</v>
      </c>
      <c r="I15">
        <f>IF(AND(Table2[[#This Row],[STATES in numeric format]]=-1,F14=-1,F13=1),1,0)</f>
        <v>0</v>
      </c>
      <c r="J15">
        <f>IF(AND(Table2[[#This Row],[STATES in numeric format]]=-1,F14=1,F13=-1),1,0)</f>
        <v>0</v>
      </c>
      <c r="K15">
        <f>IF(AND(Table2[[#This Row],[STATES in numeric format]]=-1,F14=0,F13=0),1,0)</f>
        <v>0</v>
      </c>
      <c r="L15">
        <f>IF(AND(Table2[[#This Row],[STATES in numeric format]]=-1,F14=1,F13=0),1,0)</f>
        <v>0</v>
      </c>
      <c r="M15">
        <f>IF(AND(Table2[[#This Row],[STATES in numeric format]]=-1,F14=-1,F13=0),1,0)</f>
        <v>0</v>
      </c>
      <c r="N15">
        <f>IF(AND(Table2[[#This Row],[STATES in numeric format]]=-1,F14=0,F13=1),1,0)</f>
        <v>1</v>
      </c>
      <c r="O15">
        <f>IF(AND(Table2[[#This Row],[STATES in numeric format]]=-1,F14=0,F13=-1),1,0)</f>
        <v>0</v>
      </c>
      <c r="P15">
        <f>IF(AND(Table2[[#This Row],[STATES in numeric format]]=1,F14=1,F13=1),1,0)</f>
        <v>0</v>
      </c>
      <c r="Q15">
        <f>IF(AND(Table2[[#This Row],[STATES in numeric format]]=1,F14=-1,F13=-1),1,0)</f>
        <v>0</v>
      </c>
      <c r="R15">
        <f>IF(AND(Table2[[#This Row],[STATES in numeric format]]=1,F14=-1,F13=1),1,0)</f>
        <v>0</v>
      </c>
      <c r="S15">
        <f>IF(AND(Table2[[#This Row],[STATES in numeric format]]=1,F14=1,F13=-1),1,0)</f>
        <v>0</v>
      </c>
      <c r="T15">
        <f>IF(AND(Table2[[#This Row],[STATES in numeric format]]=1,F14=0,F13=0),1,0)</f>
        <v>0</v>
      </c>
      <c r="U15">
        <f>IF(AND(Table2[[#This Row],[STATES in numeric format]]=1,F14=1,F13=0),1,0)</f>
        <v>0</v>
      </c>
      <c r="V15">
        <f>IF(AND(Table2[[#This Row],[STATES in numeric format]]=1,F14=-1,F13=0),1,0)</f>
        <v>0</v>
      </c>
      <c r="W15">
        <f>IF(AND(Table2[[#This Row],[STATES in numeric format]]=1,F14=0,F13=1),1,0)</f>
        <v>0</v>
      </c>
      <c r="X15">
        <f>IF(AND(Table2[[#This Row],[STATES in numeric format]]=1,F14=0,F13=-1),1,0)</f>
        <v>0</v>
      </c>
      <c r="Y15">
        <f>IF(AND(Table2[[#This Row],[STATES in numeric format]]=0,F14=1,F13=1),1,0)</f>
        <v>0</v>
      </c>
      <c r="Z15">
        <f>IF(AND(Table2[[#This Row],[STATES in numeric format]]=0,F14=-1,F13=-1),1,0)</f>
        <v>0</v>
      </c>
      <c r="AA15">
        <f>IF(AND(Table2[[#This Row],[STATES in numeric format]]=0,F14=-1,F13=1),1,0)</f>
        <v>0</v>
      </c>
      <c r="AB15">
        <f>IF(AND(Table2[[#This Row],[STATES in numeric format]]=0,F14=1,F13=-1),1,0)</f>
        <v>0</v>
      </c>
      <c r="AC15">
        <f>IF(AND(Table2[[#This Row],[STATES in numeric format]]=0,F14=0,F13=0),1,0)</f>
        <v>0</v>
      </c>
      <c r="AD15">
        <f>IF(AND(Table2[[#This Row],[STATES in numeric format]]=0,F14=1,F13=0),1,0)</f>
        <v>0</v>
      </c>
      <c r="AE15">
        <f>IF(AND(Table2[[#This Row],[STATES in numeric format]]=0,F14=-1,F13=0),1,0)</f>
        <v>0</v>
      </c>
      <c r="AF15">
        <f>IF(AND(Table2[[#This Row],[STATES in numeric format]]=0,F14=0,F13=1),1,0)</f>
        <v>0</v>
      </c>
      <c r="AG15">
        <f>IF(AND(Table2[[#This Row],[STATES in numeric format]]=0,F14=0,F13=-1),1,0)</f>
        <v>0</v>
      </c>
      <c r="AJ15" s="2">
        <v>1</v>
      </c>
      <c r="AK15" s="2">
        <v>1</v>
      </c>
      <c r="AL15" s="5">
        <v>49</v>
      </c>
      <c r="AM15" s="6">
        <v>0</v>
      </c>
      <c r="AN15" s="7">
        <v>24</v>
      </c>
      <c r="AO15" s="22">
        <v>0</v>
      </c>
      <c r="AP15" s="22">
        <v>0</v>
      </c>
      <c r="AQ15" s="22">
        <v>0</v>
      </c>
      <c r="AR15" s="22">
        <v>0</v>
      </c>
      <c r="AS15" s="22">
        <v>5</v>
      </c>
      <c r="AT15">
        <v>0</v>
      </c>
      <c r="AU15" s="18">
        <f>SUM(AL15:AT15)</f>
        <v>78</v>
      </c>
    </row>
    <row r="16" spans="1:47" x14ac:dyDescent="0.3">
      <c r="A16" s="1">
        <v>43851</v>
      </c>
      <c r="B16">
        <v>41323.81</v>
      </c>
      <c r="C16">
        <f>Table2[[#This Row],[Close]]-0.001*Table2[[#This Row],[Close]]</f>
        <v>41282.486189999996</v>
      </c>
      <c r="D16">
        <f>Table2[[#This Row],[Close]]+0.001*Table2[[#This Row],[Close]]</f>
        <v>41365.133809999999</v>
      </c>
      <c r="E16" t="str">
        <f>IF(Table2[[#This Row],[Close]]&gt;D15,"up",IF(Table2[[#This Row],[Close]]&lt;C15,"down","constant"))</f>
        <v>down</v>
      </c>
      <c r="F16" s="3">
        <f>IF(Table2[[#This Row],[States]]="up",1,IF(Table2[[#This Row],[States]]="down",-1,0))</f>
        <v>-1</v>
      </c>
      <c r="G16">
        <f>IF(AND(Table2[[#This Row],[STATES in numeric format]]=-1,F15=1,F14=1),1,0)</f>
        <v>0</v>
      </c>
      <c r="H16">
        <f>IF(AND(Table2[[#This Row],[STATES in numeric format]]=-1,F15=-1,F14=-1),1,0)</f>
        <v>0</v>
      </c>
      <c r="I16">
        <f>IF(AND(Table2[[#This Row],[STATES in numeric format]]=-1,F15=-1,F14=1),1,0)</f>
        <v>0</v>
      </c>
      <c r="J16">
        <f>IF(AND(Table2[[#This Row],[STATES in numeric format]]=-1,F15=1,F14=-1),1,0)</f>
        <v>0</v>
      </c>
      <c r="K16">
        <f>IF(AND(Table2[[#This Row],[STATES in numeric format]]=-1,F15=0,F14=0),1,0)</f>
        <v>0</v>
      </c>
      <c r="L16">
        <f>IF(AND(Table2[[#This Row],[STATES in numeric format]]=-1,F15=1,F14=0),1,0)</f>
        <v>0</v>
      </c>
      <c r="M16">
        <f>IF(AND(Table2[[#This Row],[STATES in numeric format]]=-1,F15=-1,F14=0),1,0)</f>
        <v>1</v>
      </c>
      <c r="N16">
        <f>IF(AND(Table2[[#This Row],[STATES in numeric format]]=-1,F15=0,F14=1),1,0)</f>
        <v>0</v>
      </c>
      <c r="O16">
        <f>IF(AND(Table2[[#This Row],[STATES in numeric format]]=-1,F15=0,F14=-1),1,0)</f>
        <v>0</v>
      </c>
      <c r="P16">
        <f>IF(AND(Table2[[#This Row],[STATES in numeric format]]=1,F15=1,F14=1),1,0)</f>
        <v>0</v>
      </c>
      <c r="Q16">
        <f>IF(AND(Table2[[#This Row],[STATES in numeric format]]=1,F15=-1,F14=-1),1,0)</f>
        <v>0</v>
      </c>
      <c r="R16">
        <f>IF(AND(Table2[[#This Row],[STATES in numeric format]]=1,F15=-1,F14=1),1,0)</f>
        <v>0</v>
      </c>
      <c r="S16">
        <f>IF(AND(Table2[[#This Row],[STATES in numeric format]]=1,F15=1,F14=-1),1,0)</f>
        <v>0</v>
      </c>
      <c r="T16">
        <f>IF(AND(Table2[[#This Row],[STATES in numeric format]]=1,F15=0,F14=0),1,0)</f>
        <v>0</v>
      </c>
      <c r="U16">
        <f>IF(AND(Table2[[#This Row],[STATES in numeric format]]=1,F15=1,F14=0),1,0)</f>
        <v>0</v>
      </c>
      <c r="V16">
        <f>IF(AND(Table2[[#This Row],[STATES in numeric format]]=1,F15=-1,F14=0),1,0)</f>
        <v>0</v>
      </c>
      <c r="W16">
        <f>IF(AND(Table2[[#This Row],[STATES in numeric format]]=1,F15=0,F14=1),1,0)</f>
        <v>0</v>
      </c>
      <c r="X16">
        <f>IF(AND(Table2[[#This Row],[STATES in numeric format]]=1,F15=0,F14=-1),1,0)</f>
        <v>0</v>
      </c>
      <c r="Y16">
        <f>IF(AND(Table2[[#This Row],[STATES in numeric format]]=0,F15=1,F14=1),1,0)</f>
        <v>0</v>
      </c>
      <c r="Z16">
        <f>IF(AND(Table2[[#This Row],[STATES in numeric format]]=0,F15=-1,F14=-1),1,0)</f>
        <v>0</v>
      </c>
      <c r="AA16">
        <f>IF(AND(Table2[[#This Row],[STATES in numeric format]]=0,F15=-1,F14=1),1,0)</f>
        <v>0</v>
      </c>
      <c r="AB16">
        <f>IF(AND(Table2[[#This Row],[STATES in numeric format]]=0,F15=1,F14=-1),1,0)</f>
        <v>0</v>
      </c>
      <c r="AC16">
        <f>IF(AND(Table2[[#This Row],[STATES in numeric format]]=0,F15=0,F14=0),1,0)</f>
        <v>0</v>
      </c>
      <c r="AD16">
        <f>IF(AND(Table2[[#This Row],[STATES in numeric format]]=0,F15=1,F14=0),1,0)</f>
        <v>0</v>
      </c>
      <c r="AE16">
        <f>IF(AND(Table2[[#This Row],[STATES in numeric format]]=0,F15=-1,F14=0),1,0)</f>
        <v>0</v>
      </c>
      <c r="AF16">
        <f>IF(AND(Table2[[#This Row],[STATES in numeric format]]=0,F15=0,F14=1),1,0)</f>
        <v>0</v>
      </c>
      <c r="AG16">
        <f>IF(AND(Table2[[#This Row],[STATES in numeric format]]=0,F15=0,F14=-1),1,0)</f>
        <v>0</v>
      </c>
      <c r="AJ16" s="2">
        <v>-1</v>
      </c>
      <c r="AK16" s="2">
        <v>-1</v>
      </c>
      <c r="AL16" s="8">
        <v>0</v>
      </c>
      <c r="AM16" s="22">
        <v>18</v>
      </c>
      <c r="AN16" s="10">
        <v>0</v>
      </c>
      <c r="AO16" s="22">
        <v>21</v>
      </c>
      <c r="AP16">
        <v>0</v>
      </c>
      <c r="AQ16">
        <v>0</v>
      </c>
      <c r="AR16">
        <v>0</v>
      </c>
      <c r="AS16">
        <v>0</v>
      </c>
      <c r="AT16">
        <v>0</v>
      </c>
      <c r="AU16" s="18">
        <f t="shared" ref="AU16:AU23" si="1">SUM(AL16:AT16)</f>
        <v>39</v>
      </c>
    </row>
    <row r="17" spans="1:47" x14ac:dyDescent="0.3">
      <c r="A17" s="1">
        <v>43852</v>
      </c>
      <c r="B17">
        <v>41115.379999999997</v>
      </c>
      <c r="C17">
        <f>Table2[[#This Row],[Close]]-0.001*Table2[[#This Row],[Close]]</f>
        <v>41074.264619999994</v>
      </c>
      <c r="D17">
        <f>Table2[[#This Row],[Close]]+0.001*Table2[[#This Row],[Close]]</f>
        <v>41156.49538</v>
      </c>
      <c r="E17" t="str">
        <f>IF(Table2[[#This Row],[Close]]&gt;D16,"up",IF(Table2[[#This Row],[Close]]&lt;C16,"down","constant"))</f>
        <v>down</v>
      </c>
      <c r="F17" s="3">
        <f>IF(Table2[[#This Row],[States]]="up",1,IF(Table2[[#This Row],[States]]="down",-1,0))</f>
        <v>-1</v>
      </c>
      <c r="G17">
        <f>IF(AND(Table2[[#This Row],[STATES in numeric format]]=-1,F16=1,F15=1),1,0)</f>
        <v>0</v>
      </c>
      <c r="H17">
        <f>IF(AND(Table2[[#This Row],[STATES in numeric format]]=-1,F16=-1,F15=-1),1,0)</f>
        <v>1</v>
      </c>
      <c r="I17">
        <f>IF(AND(Table2[[#This Row],[STATES in numeric format]]=-1,F16=-1,F15=1),1,0)</f>
        <v>0</v>
      </c>
      <c r="J17">
        <f>IF(AND(Table2[[#This Row],[STATES in numeric format]]=-1,F16=1,F15=-1),1,0)</f>
        <v>0</v>
      </c>
      <c r="K17">
        <f>IF(AND(Table2[[#This Row],[STATES in numeric format]]=-1,F16=0,F15=0),1,0)</f>
        <v>0</v>
      </c>
      <c r="L17">
        <f>IF(AND(Table2[[#This Row],[STATES in numeric format]]=-1,F16=1,F15=0),1,0)</f>
        <v>0</v>
      </c>
      <c r="M17">
        <f>IF(AND(Table2[[#This Row],[STATES in numeric format]]=-1,F16=-1,F15=0),1,0)</f>
        <v>0</v>
      </c>
      <c r="N17">
        <f>IF(AND(Table2[[#This Row],[STATES in numeric format]]=-1,F16=0,F15=1),1,0)</f>
        <v>0</v>
      </c>
      <c r="O17">
        <f>IF(AND(Table2[[#This Row],[STATES in numeric format]]=-1,F16=0,F15=-1),1,0)</f>
        <v>0</v>
      </c>
      <c r="P17">
        <f>IF(AND(Table2[[#This Row],[STATES in numeric format]]=1,F16=1,F15=1),1,0)</f>
        <v>0</v>
      </c>
      <c r="Q17">
        <f>IF(AND(Table2[[#This Row],[STATES in numeric format]]=1,F16=-1,F15=-1),1,0)</f>
        <v>0</v>
      </c>
      <c r="R17">
        <f>IF(AND(Table2[[#This Row],[STATES in numeric format]]=1,F16=-1,F15=1),1,0)</f>
        <v>0</v>
      </c>
      <c r="S17">
        <f>IF(AND(Table2[[#This Row],[STATES in numeric format]]=1,F16=1,F15=-1),1,0)</f>
        <v>0</v>
      </c>
      <c r="T17">
        <f>IF(AND(Table2[[#This Row],[STATES in numeric format]]=1,F16=0,F15=0),1,0)</f>
        <v>0</v>
      </c>
      <c r="U17">
        <f>IF(AND(Table2[[#This Row],[STATES in numeric format]]=1,F16=1,F15=0),1,0)</f>
        <v>0</v>
      </c>
      <c r="V17">
        <f>IF(AND(Table2[[#This Row],[STATES in numeric format]]=1,F16=-1,F15=0),1,0)</f>
        <v>0</v>
      </c>
      <c r="W17">
        <f>IF(AND(Table2[[#This Row],[STATES in numeric format]]=1,F16=0,F15=1),1,0)</f>
        <v>0</v>
      </c>
      <c r="X17">
        <f>IF(AND(Table2[[#This Row],[STATES in numeric format]]=1,F16=0,F15=-1),1,0)</f>
        <v>0</v>
      </c>
      <c r="Y17">
        <f>IF(AND(Table2[[#This Row],[STATES in numeric format]]=0,F16=1,F15=1),1,0)</f>
        <v>0</v>
      </c>
      <c r="Z17">
        <f>IF(AND(Table2[[#This Row],[STATES in numeric format]]=0,F16=-1,F15=-1),1,0)</f>
        <v>0</v>
      </c>
      <c r="AA17">
        <f>IF(AND(Table2[[#This Row],[STATES in numeric format]]=0,F16=-1,F15=1),1,0)</f>
        <v>0</v>
      </c>
      <c r="AB17">
        <f>IF(AND(Table2[[#This Row],[STATES in numeric format]]=0,F16=1,F15=-1),1,0)</f>
        <v>0</v>
      </c>
      <c r="AC17">
        <f>IF(AND(Table2[[#This Row],[STATES in numeric format]]=0,F16=0,F15=0),1,0)</f>
        <v>0</v>
      </c>
      <c r="AD17">
        <f>IF(AND(Table2[[#This Row],[STATES in numeric format]]=0,F16=1,F15=0),1,0)</f>
        <v>0</v>
      </c>
      <c r="AE17">
        <f>IF(AND(Table2[[#This Row],[STATES in numeric format]]=0,F16=-1,F15=0),1,0)</f>
        <v>0</v>
      </c>
      <c r="AF17">
        <f>IF(AND(Table2[[#This Row],[STATES in numeric format]]=0,F16=0,F15=1),1,0)</f>
        <v>0</v>
      </c>
      <c r="AG17">
        <f>IF(AND(Table2[[#This Row],[STATES in numeric format]]=0,F16=0,F15=-1),1,0)</f>
        <v>0</v>
      </c>
      <c r="AJ17" s="2">
        <v>1</v>
      </c>
      <c r="AK17" s="2">
        <v>-1</v>
      </c>
      <c r="AL17" s="8">
        <v>0</v>
      </c>
      <c r="AM17" s="22">
        <v>19</v>
      </c>
      <c r="AN17" s="10">
        <v>0</v>
      </c>
      <c r="AO17" s="22">
        <v>28</v>
      </c>
      <c r="AP17">
        <v>0</v>
      </c>
      <c r="AQ17">
        <v>0</v>
      </c>
      <c r="AR17">
        <v>0</v>
      </c>
      <c r="AS17">
        <v>0</v>
      </c>
      <c r="AT17">
        <v>3</v>
      </c>
      <c r="AU17" s="18">
        <f t="shared" si="1"/>
        <v>50</v>
      </c>
    </row>
    <row r="18" spans="1:47" x14ac:dyDescent="0.3">
      <c r="A18" s="1">
        <v>43853</v>
      </c>
      <c r="B18">
        <v>41386.400000000001</v>
      </c>
      <c r="C18">
        <f>Table2[[#This Row],[Close]]-0.001*Table2[[#This Row],[Close]]</f>
        <v>41345.013599999998</v>
      </c>
      <c r="D18">
        <f>Table2[[#This Row],[Close]]+0.001*Table2[[#This Row],[Close]]</f>
        <v>41427.786400000005</v>
      </c>
      <c r="E18" t="str">
        <f>IF(Table2[[#This Row],[Close]]&gt;D17,"up",IF(Table2[[#This Row],[Close]]&lt;C17,"down","constant"))</f>
        <v>up</v>
      </c>
      <c r="F18" s="3">
        <f>IF(Table2[[#This Row],[States]]="up",1,IF(Table2[[#This Row],[States]]="down",-1,0))</f>
        <v>1</v>
      </c>
      <c r="G18">
        <f>IF(AND(Table2[[#This Row],[STATES in numeric format]]=-1,F17=1,F16=1),1,0)</f>
        <v>0</v>
      </c>
      <c r="H18">
        <f>IF(AND(Table2[[#This Row],[STATES in numeric format]]=-1,F17=-1,F16=-1),1,0)</f>
        <v>0</v>
      </c>
      <c r="I18">
        <f>IF(AND(Table2[[#This Row],[STATES in numeric format]]=-1,F17=-1,F16=1),1,0)</f>
        <v>0</v>
      </c>
      <c r="J18">
        <f>IF(AND(Table2[[#This Row],[STATES in numeric format]]=-1,F17=1,F16=-1),1,0)</f>
        <v>0</v>
      </c>
      <c r="K18">
        <f>IF(AND(Table2[[#This Row],[STATES in numeric format]]=-1,F17=0,F16=0),1,0)</f>
        <v>0</v>
      </c>
      <c r="L18">
        <f>IF(AND(Table2[[#This Row],[STATES in numeric format]]=-1,F17=1,F16=0),1,0)</f>
        <v>0</v>
      </c>
      <c r="M18">
        <f>IF(AND(Table2[[#This Row],[STATES in numeric format]]=-1,F17=-1,F16=0),1,0)</f>
        <v>0</v>
      </c>
      <c r="N18">
        <f>IF(AND(Table2[[#This Row],[STATES in numeric format]]=-1,F17=0,F16=1),1,0)</f>
        <v>0</v>
      </c>
      <c r="O18">
        <f>IF(AND(Table2[[#This Row],[STATES in numeric format]]=-1,F17=0,F16=-1),1,0)</f>
        <v>0</v>
      </c>
      <c r="P18">
        <f>IF(AND(Table2[[#This Row],[STATES in numeric format]]=1,F17=1,F16=1),1,0)</f>
        <v>0</v>
      </c>
      <c r="Q18">
        <f>IF(AND(Table2[[#This Row],[STATES in numeric format]]=1,F17=-1,F16=-1),1,0)</f>
        <v>1</v>
      </c>
      <c r="R18">
        <f>IF(AND(Table2[[#This Row],[STATES in numeric format]]=1,F17=-1,F16=1),1,0)</f>
        <v>0</v>
      </c>
      <c r="S18">
        <f>IF(AND(Table2[[#This Row],[STATES in numeric format]]=1,F17=1,F16=-1),1,0)</f>
        <v>0</v>
      </c>
      <c r="T18">
        <f>IF(AND(Table2[[#This Row],[STATES in numeric format]]=1,F17=0,F16=0),1,0)</f>
        <v>0</v>
      </c>
      <c r="U18">
        <f>IF(AND(Table2[[#This Row],[STATES in numeric format]]=1,F17=1,F16=0),1,0)</f>
        <v>0</v>
      </c>
      <c r="V18">
        <f>IF(AND(Table2[[#This Row],[STATES in numeric format]]=1,F17=-1,F16=0),1,0)</f>
        <v>0</v>
      </c>
      <c r="W18">
        <f>IF(AND(Table2[[#This Row],[STATES in numeric format]]=1,F17=0,F16=1),1,0)</f>
        <v>0</v>
      </c>
      <c r="X18">
        <f>IF(AND(Table2[[#This Row],[STATES in numeric format]]=1,F17=0,F16=-1),1,0)</f>
        <v>0</v>
      </c>
      <c r="Y18">
        <f>IF(AND(Table2[[#This Row],[STATES in numeric format]]=0,F17=1,F16=1),1,0)</f>
        <v>0</v>
      </c>
      <c r="Z18">
        <f>IF(AND(Table2[[#This Row],[STATES in numeric format]]=0,F17=-1,F16=-1),1,0)</f>
        <v>0</v>
      </c>
      <c r="AA18">
        <f>IF(AND(Table2[[#This Row],[STATES in numeric format]]=0,F17=-1,F16=1),1,0)</f>
        <v>0</v>
      </c>
      <c r="AB18">
        <f>IF(AND(Table2[[#This Row],[STATES in numeric format]]=0,F17=1,F16=-1),1,0)</f>
        <v>0</v>
      </c>
      <c r="AC18">
        <f>IF(AND(Table2[[#This Row],[STATES in numeric format]]=0,F17=0,F16=0),1,0)</f>
        <v>0</v>
      </c>
      <c r="AD18">
        <f>IF(AND(Table2[[#This Row],[STATES in numeric format]]=0,F17=1,F16=0),1,0)</f>
        <v>0</v>
      </c>
      <c r="AE18">
        <f>IF(AND(Table2[[#This Row],[STATES in numeric format]]=0,F17=-1,F16=0),1,0)</f>
        <v>0</v>
      </c>
      <c r="AF18">
        <f>IF(AND(Table2[[#This Row],[STATES in numeric format]]=0,F17=0,F16=1),1,0)</f>
        <v>0</v>
      </c>
      <c r="AG18">
        <f>IF(AND(Table2[[#This Row],[STATES in numeric format]]=0,F17=0,F16=-1),1,0)</f>
        <v>0</v>
      </c>
      <c r="AJ18" s="2">
        <v>-1</v>
      </c>
      <c r="AK18" s="2">
        <v>1</v>
      </c>
      <c r="AL18" s="8">
        <v>24</v>
      </c>
      <c r="AM18" s="9">
        <v>0</v>
      </c>
      <c r="AN18" s="10">
        <v>24</v>
      </c>
      <c r="AO18" s="22">
        <v>0</v>
      </c>
      <c r="AP18" s="22">
        <v>0</v>
      </c>
      <c r="AQ18" s="22">
        <v>0</v>
      </c>
      <c r="AR18" s="22">
        <v>0</v>
      </c>
      <c r="AS18" s="22">
        <v>6</v>
      </c>
      <c r="AT18">
        <v>0</v>
      </c>
      <c r="AU18" s="18">
        <f t="shared" si="1"/>
        <v>54</v>
      </c>
    </row>
    <row r="19" spans="1:47" x14ac:dyDescent="0.3">
      <c r="A19" s="1">
        <v>43854</v>
      </c>
      <c r="B19">
        <v>41613.19</v>
      </c>
      <c r="C19">
        <f>Table2[[#This Row],[Close]]-0.001*Table2[[#This Row],[Close]]</f>
        <v>41571.576810000006</v>
      </c>
      <c r="D19">
        <f>Table2[[#This Row],[Close]]+0.001*Table2[[#This Row],[Close]]</f>
        <v>41654.803189999999</v>
      </c>
      <c r="E19" t="str">
        <f>IF(Table2[[#This Row],[Close]]&gt;D18,"up",IF(Table2[[#This Row],[Close]]&lt;C18,"down","constant"))</f>
        <v>up</v>
      </c>
      <c r="F19" s="3">
        <f>IF(Table2[[#This Row],[States]]="up",1,IF(Table2[[#This Row],[States]]="down",-1,0))</f>
        <v>1</v>
      </c>
      <c r="G19">
        <f>IF(AND(Table2[[#This Row],[STATES in numeric format]]=-1,F18=1,F17=1),1,0)</f>
        <v>0</v>
      </c>
      <c r="H19">
        <f>IF(AND(Table2[[#This Row],[STATES in numeric format]]=-1,F18=-1,F17=-1),1,0)</f>
        <v>0</v>
      </c>
      <c r="I19">
        <f>IF(AND(Table2[[#This Row],[STATES in numeric format]]=-1,F18=-1,F17=1),1,0)</f>
        <v>0</v>
      </c>
      <c r="J19">
        <f>IF(AND(Table2[[#This Row],[STATES in numeric format]]=-1,F18=1,F17=-1),1,0)</f>
        <v>0</v>
      </c>
      <c r="K19">
        <f>IF(AND(Table2[[#This Row],[STATES in numeric format]]=-1,F18=0,F17=0),1,0)</f>
        <v>0</v>
      </c>
      <c r="L19">
        <f>IF(AND(Table2[[#This Row],[STATES in numeric format]]=-1,F18=1,F17=0),1,0)</f>
        <v>0</v>
      </c>
      <c r="M19">
        <f>IF(AND(Table2[[#This Row],[STATES in numeric format]]=-1,F18=-1,F17=0),1,0)</f>
        <v>0</v>
      </c>
      <c r="N19">
        <f>IF(AND(Table2[[#This Row],[STATES in numeric format]]=-1,F18=0,F17=1),1,0)</f>
        <v>0</v>
      </c>
      <c r="O19">
        <f>IF(AND(Table2[[#This Row],[STATES in numeric format]]=-1,F18=0,F17=-1),1,0)</f>
        <v>0</v>
      </c>
      <c r="P19">
        <f>IF(AND(Table2[[#This Row],[STATES in numeric format]]=1,F18=1,F17=1),1,0)</f>
        <v>0</v>
      </c>
      <c r="Q19">
        <f>IF(AND(Table2[[#This Row],[STATES in numeric format]]=1,F18=-1,F17=-1),1,0)</f>
        <v>0</v>
      </c>
      <c r="R19">
        <f>IF(AND(Table2[[#This Row],[STATES in numeric format]]=1,F18=-1,F17=1),1,0)</f>
        <v>0</v>
      </c>
      <c r="S19">
        <f>IF(AND(Table2[[#This Row],[STATES in numeric format]]=1,F18=1,F17=-1),1,0)</f>
        <v>1</v>
      </c>
      <c r="T19">
        <f>IF(AND(Table2[[#This Row],[STATES in numeric format]]=1,F18=0,F17=0),1,0)</f>
        <v>0</v>
      </c>
      <c r="U19">
        <f>IF(AND(Table2[[#This Row],[STATES in numeric format]]=1,F18=1,F17=0),1,0)</f>
        <v>0</v>
      </c>
      <c r="V19">
        <f>IF(AND(Table2[[#This Row],[STATES in numeric format]]=1,F18=-1,F17=0),1,0)</f>
        <v>0</v>
      </c>
      <c r="W19">
        <f>IF(AND(Table2[[#This Row],[STATES in numeric format]]=1,F18=0,F17=1),1,0)</f>
        <v>0</v>
      </c>
      <c r="X19">
        <f>IF(AND(Table2[[#This Row],[STATES in numeric format]]=1,F18=0,F17=-1),1,0)</f>
        <v>0</v>
      </c>
      <c r="Y19">
        <f>IF(AND(Table2[[#This Row],[STATES in numeric format]]=0,F18=1,F17=1),1,0)</f>
        <v>0</v>
      </c>
      <c r="Z19">
        <f>IF(AND(Table2[[#This Row],[STATES in numeric format]]=0,F18=-1,F17=-1),1,0)</f>
        <v>0</v>
      </c>
      <c r="AA19">
        <f>IF(AND(Table2[[#This Row],[STATES in numeric format]]=0,F18=-1,F17=1),1,0)</f>
        <v>0</v>
      </c>
      <c r="AB19">
        <f>IF(AND(Table2[[#This Row],[STATES in numeric format]]=0,F18=1,F17=-1),1,0)</f>
        <v>0</v>
      </c>
      <c r="AC19">
        <f>IF(AND(Table2[[#This Row],[STATES in numeric format]]=0,F18=0,F17=0),1,0)</f>
        <v>0</v>
      </c>
      <c r="AD19">
        <f>IF(AND(Table2[[#This Row],[STATES in numeric format]]=0,F18=1,F17=0),1,0)</f>
        <v>0</v>
      </c>
      <c r="AE19">
        <f>IF(AND(Table2[[#This Row],[STATES in numeric format]]=0,F18=-1,F17=0),1,0)</f>
        <v>0</v>
      </c>
      <c r="AF19">
        <f>IF(AND(Table2[[#This Row],[STATES in numeric format]]=0,F18=0,F17=1),1,0)</f>
        <v>0</v>
      </c>
      <c r="AG19">
        <f>IF(AND(Table2[[#This Row],[STATES in numeric format]]=0,F18=0,F17=-1),1,0)</f>
        <v>0</v>
      </c>
      <c r="AJ19" s="2">
        <v>0</v>
      </c>
      <c r="AK19" s="2">
        <v>0</v>
      </c>
      <c r="AL19" s="8">
        <f>SUM(K16:K407)</f>
        <v>0</v>
      </c>
      <c r="AM19" s="9">
        <f>SUM(AC16:AC407)</f>
        <v>0</v>
      </c>
      <c r="AN19" s="10">
        <v>0</v>
      </c>
      <c r="AO19" s="22">
        <v>0</v>
      </c>
      <c r="AP19" s="22">
        <v>0</v>
      </c>
      <c r="AQ19" s="22">
        <v>1</v>
      </c>
      <c r="AR19" s="22">
        <v>0</v>
      </c>
      <c r="AS19">
        <v>0</v>
      </c>
      <c r="AT19">
        <v>0</v>
      </c>
      <c r="AU19" s="18">
        <f t="shared" si="1"/>
        <v>1</v>
      </c>
    </row>
    <row r="20" spans="1:47" x14ac:dyDescent="0.3">
      <c r="A20" s="1">
        <v>43857</v>
      </c>
      <c r="B20">
        <v>41155.120000000003</v>
      </c>
      <c r="C20">
        <f>Table2[[#This Row],[Close]]-0.001*Table2[[#This Row],[Close]]</f>
        <v>41113.96488</v>
      </c>
      <c r="D20">
        <f>Table2[[#This Row],[Close]]+0.001*Table2[[#This Row],[Close]]</f>
        <v>41196.275120000006</v>
      </c>
      <c r="E20" t="str">
        <f>IF(Table2[[#This Row],[Close]]&gt;D19,"up",IF(Table2[[#This Row],[Close]]&lt;C19,"down","constant"))</f>
        <v>down</v>
      </c>
      <c r="F20" s="3">
        <f>IF(Table2[[#This Row],[States]]="up",1,IF(Table2[[#This Row],[States]]="down",-1,0))</f>
        <v>-1</v>
      </c>
      <c r="G20">
        <f>IF(AND(Table2[[#This Row],[STATES in numeric format]]=-1,F19=1,F18=1),1,0)</f>
        <v>1</v>
      </c>
      <c r="H20">
        <f>IF(AND(Table2[[#This Row],[STATES in numeric format]]=-1,F19=-1,F18=-1),1,0)</f>
        <v>0</v>
      </c>
      <c r="I20">
        <f>IF(AND(Table2[[#This Row],[STATES in numeric format]]=-1,F19=-1,F18=1),1,0)</f>
        <v>0</v>
      </c>
      <c r="J20">
        <f>IF(AND(Table2[[#This Row],[STATES in numeric format]]=-1,F19=1,F18=-1),1,0)</f>
        <v>0</v>
      </c>
      <c r="K20">
        <f>IF(AND(Table2[[#This Row],[STATES in numeric format]]=-1,F19=0,F18=0),1,0)</f>
        <v>0</v>
      </c>
      <c r="L20">
        <f>IF(AND(Table2[[#This Row],[STATES in numeric format]]=-1,F19=1,F18=0),1,0)</f>
        <v>0</v>
      </c>
      <c r="M20">
        <f>IF(AND(Table2[[#This Row],[STATES in numeric format]]=-1,F19=-1,F18=0),1,0)</f>
        <v>0</v>
      </c>
      <c r="N20">
        <f>IF(AND(Table2[[#This Row],[STATES in numeric format]]=-1,F19=0,F18=1),1,0)</f>
        <v>0</v>
      </c>
      <c r="O20">
        <f>IF(AND(Table2[[#This Row],[STATES in numeric format]]=-1,F19=0,F18=-1),1,0)</f>
        <v>0</v>
      </c>
      <c r="P20">
        <f>IF(AND(Table2[[#This Row],[STATES in numeric format]]=1,F19=1,F18=1),1,0)</f>
        <v>0</v>
      </c>
      <c r="Q20">
        <f>IF(AND(Table2[[#This Row],[STATES in numeric format]]=1,F19=-1,F18=-1),1,0)</f>
        <v>0</v>
      </c>
      <c r="R20">
        <f>IF(AND(Table2[[#This Row],[STATES in numeric format]]=1,F19=-1,F18=1),1,0)</f>
        <v>0</v>
      </c>
      <c r="S20">
        <f>IF(AND(Table2[[#This Row],[STATES in numeric format]]=1,F19=1,F18=-1),1,0)</f>
        <v>0</v>
      </c>
      <c r="T20">
        <f>IF(AND(Table2[[#This Row],[STATES in numeric format]]=1,F19=0,F18=0),1,0)</f>
        <v>0</v>
      </c>
      <c r="U20">
        <f>IF(AND(Table2[[#This Row],[STATES in numeric format]]=1,F19=1,F18=0),1,0)</f>
        <v>0</v>
      </c>
      <c r="V20">
        <f>IF(AND(Table2[[#This Row],[STATES in numeric format]]=1,F19=-1,F18=0),1,0)</f>
        <v>0</v>
      </c>
      <c r="W20">
        <f>IF(AND(Table2[[#This Row],[STATES in numeric format]]=1,F19=0,F18=1),1,0)</f>
        <v>0</v>
      </c>
      <c r="X20">
        <f>IF(AND(Table2[[#This Row],[STATES in numeric format]]=1,F19=0,F18=-1),1,0)</f>
        <v>0</v>
      </c>
      <c r="Y20">
        <f>IF(AND(Table2[[#This Row],[STATES in numeric format]]=0,F19=1,F18=1),1,0)</f>
        <v>0</v>
      </c>
      <c r="Z20">
        <f>IF(AND(Table2[[#This Row],[STATES in numeric format]]=0,F19=-1,F18=-1),1,0)</f>
        <v>0</v>
      </c>
      <c r="AA20">
        <f>IF(AND(Table2[[#This Row],[STATES in numeric format]]=0,F19=-1,F18=1),1,0)</f>
        <v>0</v>
      </c>
      <c r="AB20">
        <f>IF(AND(Table2[[#This Row],[STATES in numeric format]]=0,F19=1,F18=-1),1,0)</f>
        <v>0</v>
      </c>
      <c r="AC20">
        <f>IF(AND(Table2[[#This Row],[STATES in numeric format]]=0,F19=0,F18=0),1,0)</f>
        <v>0</v>
      </c>
      <c r="AD20">
        <f>IF(AND(Table2[[#This Row],[STATES in numeric format]]=0,F19=1,F18=0),1,0)</f>
        <v>0</v>
      </c>
      <c r="AE20">
        <f>IF(AND(Table2[[#This Row],[STATES in numeric format]]=0,F19=-1,F18=0),1,0)</f>
        <v>0</v>
      </c>
      <c r="AF20">
        <f>IF(AND(Table2[[#This Row],[STATES in numeric format]]=0,F19=0,F18=1),1,0)</f>
        <v>0</v>
      </c>
      <c r="AG20">
        <f>IF(AND(Table2[[#This Row],[STATES in numeric format]]=0,F19=0,F18=-1),1,0)</f>
        <v>0</v>
      </c>
      <c r="AJ20" s="2">
        <v>0</v>
      </c>
      <c r="AK20" s="2">
        <v>1</v>
      </c>
      <c r="AL20" s="8">
        <v>5</v>
      </c>
      <c r="AM20" s="9">
        <v>0</v>
      </c>
      <c r="AN20" s="10">
        <v>2</v>
      </c>
      <c r="AO20" s="22">
        <v>0</v>
      </c>
      <c r="AP20" s="22">
        <v>0</v>
      </c>
      <c r="AQ20" s="22">
        <v>0</v>
      </c>
      <c r="AR20" s="22">
        <v>0</v>
      </c>
      <c r="AS20" s="22">
        <v>1</v>
      </c>
      <c r="AT20">
        <v>0</v>
      </c>
      <c r="AU20" s="18">
        <f t="shared" si="1"/>
        <v>8</v>
      </c>
    </row>
    <row r="21" spans="1:47" x14ac:dyDescent="0.3">
      <c r="A21" s="1">
        <v>43858</v>
      </c>
      <c r="B21">
        <v>40966.86</v>
      </c>
      <c r="C21">
        <f>Table2[[#This Row],[Close]]-0.001*Table2[[#This Row],[Close]]</f>
        <v>40925.89314</v>
      </c>
      <c r="D21">
        <f>Table2[[#This Row],[Close]]+0.001*Table2[[#This Row],[Close]]</f>
        <v>41007.826860000001</v>
      </c>
      <c r="E21" t="str">
        <f>IF(Table2[[#This Row],[Close]]&gt;D20,"up",IF(Table2[[#This Row],[Close]]&lt;C20,"down","constant"))</f>
        <v>down</v>
      </c>
      <c r="F21" s="3">
        <f>IF(Table2[[#This Row],[States]]="up",1,IF(Table2[[#This Row],[States]]="down",-1,0))</f>
        <v>-1</v>
      </c>
      <c r="G21">
        <f>IF(AND(Table2[[#This Row],[STATES in numeric format]]=-1,F20=1,F19=1),1,0)</f>
        <v>0</v>
      </c>
      <c r="H21">
        <f>IF(AND(Table2[[#This Row],[STATES in numeric format]]=-1,F20=-1,F19=-1),1,0)</f>
        <v>0</v>
      </c>
      <c r="I21">
        <f>IF(AND(Table2[[#This Row],[STATES in numeric format]]=-1,F20=-1,F19=1),1,0)</f>
        <v>1</v>
      </c>
      <c r="J21">
        <f>IF(AND(Table2[[#This Row],[STATES in numeric format]]=-1,F20=1,F19=-1),1,0)</f>
        <v>0</v>
      </c>
      <c r="K21">
        <f>IF(AND(Table2[[#This Row],[STATES in numeric format]]=-1,F20=0,F19=0),1,0)</f>
        <v>0</v>
      </c>
      <c r="L21">
        <f>IF(AND(Table2[[#This Row],[STATES in numeric format]]=-1,F20=1,F19=0),1,0)</f>
        <v>0</v>
      </c>
      <c r="M21">
        <f>IF(AND(Table2[[#This Row],[STATES in numeric format]]=-1,F20=-1,F19=0),1,0)</f>
        <v>0</v>
      </c>
      <c r="N21">
        <f>IF(AND(Table2[[#This Row],[STATES in numeric format]]=-1,F20=0,F19=1),1,0)</f>
        <v>0</v>
      </c>
      <c r="O21">
        <f>IF(AND(Table2[[#This Row],[STATES in numeric format]]=-1,F20=0,F19=-1),1,0)</f>
        <v>0</v>
      </c>
      <c r="P21">
        <f>IF(AND(Table2[[#This Row],[STATES in numeric format]]=1,F20=1,F19=1),1,0)</f>
        <v>0</v>
      </c>
      <c r="Q21">
        <f>IF(AND(Table2[[#This Row],[STATES in numeric format]]=1,F20=-1,F19=-1),1,0)</f>
        <v>0</v>
      </c>
      <c r="R21">
        <f>IF(AND(Table2[[#This Row],[STATES in numeric format]]=1,F20=-1,F19=1),1,0)</f>
        <v>0</v>
      </c>
      <c r="S21">
        <f>IF(AND(Table2[[#This Row],[STATES in numeric format]]=1,F20=1,F19=-1),1,0)</f>
        <v>0</v>
      </c>
      <c r="T21">
        <f>IF(AND(Table2[[#This Row],[STATES in numeric format]]=1,F20=0,F19=0),1,0)</f>
        <v>0</v>
      </c>
      <c r="U21">
        <f>IF(AND(Table2[[#This Row],[STATES in numeric format]]=1,F20=1,F19=0),1,0)</f>
        <v>0</v>
      </c>
      <c r="V21">
        <f>IF(AND(Table2[[#This Row],[STATES in numeric format]]=1,F20=-1,F19=0),1,0)</f>
        <v>0</v>
      </c>
      <c r="W21">
        <f>IF(AND(Table2[[#This Row],[STATES in numeric format]]=1,F20=0,F19=1),1,0)</f>
        <v>0</v>
      </c>
      <c r="X21">
        <f>IF(AND(Table2[[#This Row],[STATES in numeric format]]=1,F20=0,F19=-1),1,0)</f>
        <v>0</v>
      </c>
      <c r="Y21">
        <f>IF(AND(Table2[[#This Row],[STATES in numeric format]]=0,F20=1,F19=1),1,0)</f>
        <v>0</v>
      </c>
      <c r="Z21">
        <f>IF(AND(Table2[[#This Row],[STATES in numeric format]]=0,F20=-1,F19=-1),1,0)</f>
        <v>0</v>
      </c>
      <c r="AA21">
        <f>IF(AND(Table2[[#This Row],[STATES in numeric format]]=0,F20=-1,F19=1),1,0)</f>
        <v>0</v>
      </c>
      <c r="AB21">
        <f>IF(AND(Table2[[#This Row],[STATES in numeric format]]=0,F20=1,F19=-1),1,0)</f>
        <v>0</v>
      </c>
      <c r="AC21">
        <f>IF(AND(Table2[[#This Row],[STATES in numeric format]]=0,F20=0,F19=0),1,0)</f>
        <v>0</v>
      </c>
      <c r="AD21">
        <f>IF(AND(Table2[[#This Row],[STATES in numeric format]]=0,F20=1,F19=0),1,0)</f>
        <v>0</v>
      </c>
      <c r="AE21">
        <f>IF(AND(Table2[[#This Row],[STATES in numeric format]]=0,F20=-1,F19=0),1,0)</f>
        <v>0</v>
      </c>
      <c r="AF21">
        <f>IF(AND(Table2[[#This Row],[STATES in numeric format]]=0,F20=0,F19=1),1,0)</f>
        <v>0</v>
      </c>
      <c r="AG21">
        <f>IF(AND(Table2[[#This Row],[STATES in numeric format]]=0,F20=0,F19=-1),1,0)</f>
        <v>0</v>
      </c>
      <c r="AJ21" s="2">
        <v>0</v>
      </c>
      <c r="AK21" s="2">
        <v>-1</v>
      </c>
      <c r="AL21" s="8">
        <v>0</v>
      </c>
      <c r="AM21" s="22">
        <v>2</v>
      </c>
      <c r="AN21" s="10">
        <v>0</v>
      </c>
      <c r="AO21" s="22">
        <v>4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18">
        <f t="shared" si="1"/>
        <v>6</v>
      </c>
    </row>
    <row r="22" spans="1:47" x14ac:dyDescent="0.3">
      <c r="A22" s="1">
        <v>43859</v>
      </c>
      <c r="B22">
        <v>41198.660000000003</v>
      </c>
      <c r="C22">
        <f>Table2[[#This Row],[Close]]-0.001*Table2[[#This Row],[Close]]</f>
        <v>41157.461340000002</v>
      </c>
      <c r="D22">
        <f>Table2[[#This Row],[Close]]+0.001*Table2[[#This Row],[Close]]</f>
        <v>41239.858660000005</v>
      </c>
      <c r="E22" t="str">
        <f>IF(Table2[[#This Row],[Close]]&gt;D21,"up",IF(Table2[[#This Row],[Close]]&lt;C21,"down","constant"))</f>
        <v>up</v>
      </c>
      <c r="F22" s="3">
        <f>IF(Table2[[#This Row],[States]]="up",1,IF(Table2[[#This Row],[States]]="down",-1,0))</f>
        <v>1</v>
      </c>
      <c r="G22">
        <f>IF(AND(Table2[[#This Row],[STATES in numeric format]]=-1,F21=1,F20=1),1,0)</f>
        <v>0</v>
      </c>
      <c r="H22">
        <f>IF(AND(Table2[[#This Row],[STATES in numeric format]]=-1,F21=-1,F20=-1),1,0)</f>
        <v>0</v>
      </c>
      <c r="I22">
        <f>IF(AND(Table2[[#This Row],[STATES in numeric format]]=-1,F21=-1,F20=1),1,0)</f>
        <v>0</v>
      </c>
      <c r="J22">
        <f>IF(AND(Table2[[#This Row],[STATES in numeric format]]=-1,F21=1,F20=-1),1,0)</f>
        <v>0</v>
      </c>
      <c r="K22">
        <f>IF(AND(Table2[[#This Row],[STATES in numeric format]]=-1,F21=0,F20=0),1,0)</f>
        <v>0</v>
      </c>
      <c r="L22">
        <f>IF(AND(Table2[[#This Row],[STATES in numeric format]]=-1,F21=1,F20=0),1,0)</f>
        <v>0</v>
      </c>
      <c r="M22">
        <f>IF(AND(Table2[[#This Row],[STATES in numeric format]]=-1,F21=-1,F20=0),1,0)</f>
        <v>0</v>
      </c>
      <c r="N22">
        <f>IF(AND(Table2[[#This Row],[STATES in numeric format]]=-1,F21=0,F20=1),1,0)</f>
        <v>0</v>
      </c>
      <c r="O22">
        <f>IF(AND(Table2[[#This Row],[STATES in numeric format]]=-1,F21=0,F20=-1),1,0)</f>
        <v>0</v>
      </c>
      <c r="P22">
        <f>IF(AND(Table2[[#This Row],[STATES in numeric format]]=1,F21=1,F20=1),1,0)</f>
        <v>0</v>
      </c>
      <c r="Q22">
        <f>IF(AND(Table2[[#This Row],[STATES in numeric format]]=1,F21=-1,F20=-1),1,0)</f>
        <v>1</v>
      </c>
      <c r="R22">
        <f>IF(AND(Table2[[#This Row],[STATES in numeric format]]=1,F21=-1,F20=1),1,0)</f>
        <v>0</v>
      </c>
      <c r="S22">
        <f>IF(AND(Table2[[#This Row],[STATES in numeric format]]=1,F21=1,F20=-1),1,0)</f>
        <v>0</v>
      </c>
      <c r="T22">
        <f>IF(AND(Table2[[#This Row],[STATES in numeric format]]=1,F21=0,F20=0),1,0)</f>
        <v>0</v>
      </c>
      <c r="U22">
        <f>IF(AND(Table2[[#This Row],[STATES in numeric format]]=1,F21=1,F20=0),1,0)</f>
        <v>0</v>
      </c>
      <c r="V22">
        <f>IF(AND(Table2[[#This Row],[STATES in numeric format]]=1,F21=-1,F20=0),1,0)</f>
        <v>0</v>
      </c>
      <c r="W22">
        <f>IF(AND(Table2[[#This Row],[STATES in numeric format]]=1,F21=0,F20=1),1,0)</f>
        <v>0</v>
      </c>
      <c r="X22">
        <f>IF(AND(Table2[[#This Row],[STATES in numeric format]]=1,F21=0,F20=-1),1,0)</f>
        <v>0</v>
      </c>
      <c r="Y22">
        <f>IF(AND(Table2[[#This Row],[STATES in numeric format]]=0,F21=1,F20=1),1,0)</f>
        <v>0</v>
      </c>
      <c r="Z22">
        <f>IF(AND(Table2[[#This Row],[STATES in numeric format]]=0,F21=-1,F20=-1),1,0)</f>
        <v>0</v>
      </c>
      <c r="AA22">
        <f>IF(AND(Table2[[#This Row],[STATES in numeric format]]=0,F21=-1,F20=1),1,0)</f>
        <v>0</v>
      </c>
      <c r="AB22">
        <f>IF(AND(Table2[[#This Row],[STATES in numeric format]]=0,F21=1,F20=-1),1,0)</f>
        <v>0</v>
      </c>
      <c r="AC22">
        <f>IF(AND(Table2[[#This Row],[STATES in numeric format]]=0,F21=0,F20=0),1,0)</f>
        <v>0</v>
      </c>
      <c r="AD22">
        <f>IF(AND(Table2[[#This Row],[STATES in numeric format]]=0,F21=1,F20=0),1,0)</f>
        <v>0</v>
      </c>
      <c r="AE22">
        <f>IF(AND(Table2[[#This Row],[STATES in numeric format]]=0,F21=-1,F20=0),1,0)</f>
        <v>0</v>
      </c>
      <c r="AF22">
        <f>IF(AND(Table2[[#This Row],[STATES in numeric format]]=0,F21=0,F20=1),1,0)</f>
        <v>0</v>
      </c>
      <c r="AG22">
        <f>IF(AND(Table2[[#This Row],[STATES in numeric format]]=0,F21=0,F20=-1),1,0)</f>
        <v>0</v>
      </c>
      <c r="AJ22" s="2">
        <v>1</v>
      </c>
      <c r="AK22" s="2">
        <v>0</v>
      </c>
      <c r="AL22" s="8">
        <v>0</v>
      </c>
      <c r="AM22" s="9">
        <v>0</v>
      </c>
      <c r="AN22" s="10">
        <v>0</v>
      </c>
      <c r="AO22" s="22">
        <v>0</v>
      </c>
      <c r="AP22" s="22">
        <v>1</v>
      </c>
      <c r="AQ22" s="22">
        <v>5</v>
      </c>
      <c r="AR22" s="22">
        <v>5</v>
      </c>
      <c r="AS22" s="22">
        <v>0</v>
      </c>
      <c r="AT22">
        <v>0</v>
      </c>
      <c r="AU22" s="18">
        <f t="shared" si="1"/>
        <v>11</v>
      </c>
    </row>
    <row r="23" spans="1:47" x14ac:dyDescent="0.3">
      <c r="A23" s="1">
        <v>43860</v>
      </c>
      <c r="B23">
        <v>40913.82</v>
      </c>
      <c r="C23">
        <f>Table2[[#This Row],[Close]]-0.001*Table2[[#This Row],[Close]]</f>
        <v>40872.906179999998</v>
      </c>
      <c r="D23">
        <f>Table2[[#This Row],[Close]]+0.001*Table2[[#This Row],[Close]]</f>
        <v>40954.733820000001</v>
      </c>
      <c r="E23" t="str">
        <f>IF(Table2[[#This Row],[Close]]&gt;D22,"up",IF(Table2[[#This Row],[Close]]&lt;C22,"down","constant"))</f>
        <v>down</v>
      </c>
      <c r="F23" s="3">
        <f>IF(Table2[[#This Row],[States]]="up",1,IF(Table2[[#This Row],[States]]="down",-1,0))</f>
        <v>-1</v>
      </c>
      <c r="G23">
        <f>IF(AND(Table2[[#This Row],[STATES in numeric format]]=-1,F22=1,F21=1),1,0)</f>
        <v>0</v>
      </c>
      <c r="H23">
        <f>IF(AND(Table2[[#This Row],[STATES in numeric format]]=-1,F22=-1,F21=-1),1,0)</f>
        <v>0</v>
      </c>
      <c r="I23">
        <f>IF(AND(Table2[[#This Row],[STATES in numeric format]]=-1,F22=-1,F21=1),1,0)</f>
        <v>0</v>
      </c>
      <c r="J23">
        <f>IF(AND(Table2[[#This Row],[STATES in numeric format]]=-1,F22=1,F21=-1),1,0)</f>
        <v>1</v>
      </c>
      <c r="K23">
        <f>IF(AND(Table2[[#This Row],[STATES in numeric format]]=-1,F22=0,F21=0),1,0)</f>
        <v>0</v>
      </c>
      <c r="L23">
        <f>IF(AND(Table2[[#This Row],[STATES in numeric format]]=-1,F22=1,F21=0),1,0)</f>
        <v>0</v>
      </c>
      <c r="M23">
        <f>IF(AND(Table2[[#This Row],[STATES in numeric format]]=-1,F22=-1,F21=0),1,0)</f>
        <v>0</v>
      </c>
      <c r="N23">
        <f>IF(AND(Table2[[#This Row],[STATES in numeric format]]=-1,F22=0,F21=1),1,0)</f>
        <v>0</v>
      </c>
      <c r="O23">
        <f>IF(AND(Table2[[#This Row],[STATES in numeric format]]=-1,F22=0,F21=-1),1,0)</f>
        <v>0</v>
      </c>
      <c r="P23">
        <f>IF(AND(Table2[[#This Row],[STATES in numeric format]]=1,F22=1,F21=1),1,0)</f>
        <v>0</v>
      </c>
      <c r="Q23">
        <f>IF(AND(Table2[[#This Row],[STATES in numeric format]]=1,F22=-1,F21=-1),1,0)</f>
        <v>0</v>
      </c>
      <c r="R23">
        <f>IF(AND(Table2[[#This Row],[STATES in numeric format]]=1,F22=-1,F21=1),1,0)</f>
        <v>0</v>
      </c>
      <c r="S23">
        <f>IF(AND(Table2[[#This Row],[STATES in numeric format]]=1,F22=1,F21=-1),1,0)</f>
        <v>0</v>
      </c>
      <c r="T23">
        <f>IF(AND(Table2[[#This Row],[STATES in numeric format]]=1,F22=0,F21=0),1,0)</f>
        <v>0</v>
      </c>
      <c r="U23">
        <f>IF(AND(Table2[[#This Row],[STATES in numeric format]]=1,F22=1,F21=0),1,0)</f>
        <v>0</v>
      </c>
      <c r="V23">
        <f>IF(AND(Table2[[#This Row],[STATES in numeric format]]=1,F22=-1,F21=0),1,0)</f>
        <v>0</v>
      </c>
      <c r="W23">
        <f>IF(AND(Table2[[#This Row],[STATES in numeric format]]=1,F22=0,F21=1),1,0)</f>
        <v>0</v>
      </c>
      <c r="X23">
        <f>IF(AND(Table2[[#This Row],[STATES in numeric format]]=1,F22=0,F21=-1),1,0)</f>
        <v>0</v>
      </c>
      <c r="Y23">
        <f>IF(AND(Table2[[#This Row],[STATES in numeric format]]=0,F22=1,F21=1),1,0)</f>
        <v>0</v>
      </c>
      <c r="Z23">
        <f>IF(AND(Table2[[#This Row],[STATES in numeric format]]=0,F22=-1,F21=-1),1,0)</f>
        <v>0</v>
      </c>
      <c r="AA23">
        <f>IF(AND(Table2[[#This Row],[STATES in numeric format]]=0,F22=-1,F21=1),1,0)</f>
        <v>0</v>
      </c>
      <c r="AB23">
        <f>IF(AND(Table2[[#This Row],[STATES in numeric format]]=0,F22=1,F21=-1),1,0)</f>
        <v>0</v>
      </c>
      <c r="AC23">
        <f>IF(AND(Table2[[#This Row],[STATES in numeric format]]=0,F22=0,F21=0),1,0)</f>
        <v>0</v>
      </c>
      <c r="AD23">
        <f>IF(AND(Table2[[#This Row],[STATES in numeric format]]=0,F22=1,F21=0),1,0)</f>
        <v>0</v>
      </c>
      <c r="AE23">
        <f>IF(AND(Table2[[#This Row],[STATES in numeric format]]=0,F22=-1,F21=0),1,0)</f>
        <v>0</v>
      </c>
      <c r="AF23">
        <f>IF(AND(Table2[[#This Row],[STATES in numeric format]]=0,F22=0,F21=1),1,0)</f>
        <v>0</v>
      </c>
      <c r="AG23">
        <f>IF(AND(Table2[[#This Row],[STATES in numeric format]]=0,F22=0,F21=-1),1,0)</f>
        <v>0</v>
      </c>
      <c r="AJ23" s="2">
        <v>-1</v>
      </c>
      <c r="AK23" s="2">
        <v>0</v>
      </c>
      <c r="AL23" s="12">
        <v>0</v>
      </c>
      <c r="AM23" s="13">
        <v>0</v>
      </c>
      <c r="AN23" s="18">
        <v>0</v>
      </c>
      <c r="AO23" s="22">
        <v>0</v>
      </c>
      <c r="AP23" s="22">
        <v>0</v>
      </c>
      <c r="AQ23" s="22">
        <v>2</v>
      </c>
      <c r="AR23" s="22">
        <v>1</v>
      </c>
      <c r="AS23" s="22">
        <v>0</v>
      </c>
      <c r="AT23">
        <v>0</v>
      </c>
      <c r="AU23" s="18">
        <f t="shared" si="1"/>
        <v>3</v>
      </c>
    </row>
    <row r="24" spans="1:47" x14ac:dyDescent="0.3">
      <c r="A24" s="1">
        <v>43861</v>
      </c>
      <c r="B24">
        <v>40723.49</v>
      </c>
      <c r="C24">
        <f>Table2[[#This Row],[Close]]-0.001*Table2[[#This Row],[Close]]</f>
        <v>40682.766510000001</v>
      </c>
      <c r="D24">
        <f>Table2[[#This Row],[Close]]+0.001*Table2[[#This Row],[Close]]</f>
        <v>40764.213489999995</v>
      </c>
      <c r="E24" t="str">
        <f>IF(Table2[[#This Row],[Close]]&gt;D23,"up",IF(Table2[[#This Row],[Close]]&lt;C23,"down","constant"))</f>
        <v>down</v>
      </c>
      <c r="F24" s="3">
        <f>IF(Table2[[#This Row],[States]]="up",1,IF(Table2[[#This Row],[States]]="down",-1,0))</f>
        <v>-1</v>
      </c>
      <c r="G24">
        <f>IF(AND(Table2[[#This Row],[STATES in numeric format]]=-1,F23=1,F22=1),1,0)</f>
        <v>0</v>
      </c>
      <c r="H24">
        <f>IF(AND(Table2[[#This Row],[STATES in numeric format]]=-1,F23=-1,F22=-1),1,0)</f>
        <v>0</v>
      </c>
      <c r="I24">
        <f>IF(AND(Table2[[#This Row],[STATES in numeric format]]=-1,F23=-1,F22=1),1,0)</f>
        <v>1</v>
      </c>
      <c r="J24">
        <f>IF(AND(Table2[[#This Row],[STATES in numeric format]]=-1,F23=1,F22=-1),1,0)</f>
        <v>0</v>
      </c>
      <c r="K24">
        <f>IF(AND(Table2[[#This Row],[STATES in numeric format]]=-1,F23=0,F22=0),1,0)</f>
        <v>0</v>
      </c>
      <c r="L24">
        <f>IF(AND(Table2[[#This Row],[STATES in numeric format]]=-1,F23=1,F22=0),1,0)</f>
        <v>0</v>
      </c>
      <c r="M24">
        <f>IF(AND(Table2[[#This Row],[STATES in numeric format]]=-1,F23=-1,F22=0),1,0)</f>
        <v>0</v>
      </c>
      <c r="N24">
        <f>IF(AND(Table2[[#This Row],[STATES in numeric format]]=-1,F23=0,F22=1),1,0)</f>
        <v>0</v>
      </c>
      <c r="O24">
        <f>IF(AND(Table2[[#This Row],[STATES in numeric format]]=-1,F23=0,F22=-1),1,0)</f>
        <v>0</v>
      </c>
      <c r="P24">
        <f>IF(AND(Table2[[#This Row],[STATES in numeric format]]=1,F23=1,F22=1),1,0)</f>
        <v>0</v>
      </c>
      <c r="Q24">
        <f>IF(AND(Table2[[#This Row],[STATES in numeric format]]=1,F23=-1,F22=-1),1,0)</f>
        <v>0</v>
      </c>
      <c r="R24">
        <f>IF(AND(Table2[[#This Row],[STATES in numeric format]]=1,F23=-1,F22=1),1,0)</f>
        <v>0</v>
      </c>
      <c r="S24">
        <f>IF(AND(Table2[[#This Row],[STATES in numeric format]]=1,F23=1,F22=-1),1,0)</f>
        <v>0</v>
      </c>
      <c r="T24">
        <f>IF(AND(Table2[[#This Row],[STATES in numeric format]]=1,F23=0,F22=0),1,0)</f>
        <v>0</v>
      </c>
      <c r="U24">
        <f>IF(AND(Table2[[#This Row],[STATES in numeric format]]=1,F23=1,F22=0),1,0)</f>
        <v>0</v>
      </c>
      <c r="V24">
        <f>IF(AND(Table2[[#This Row],[STATES in numeric format]]=1,F23=-1,F22=0),1,0)</f>
        <v>0</v>
      </c>
      <c r="W24">
        <f>IF(AND(Table2[[#This Row],[STATES in numeric format]]=1,F23=0,F22=1),1,0)</f>
        <v>0</v>
      </c>
      <c r="X24">
        <f>IF(AND(Table2[[#This Row],[STATES in numeric format]]=1,F23=0,F22=-1),1,0)</f>
        <v>0</v>
      </c>
      <c r="Y24">
        <f>IF(AND(Table2[[#This Row],[STATES in numeric format]]=0,F23=1,F22=1),1,0)</f>
        <v>0</v>
      </c>
      <c r="Z24">
        <f>IF(AND(Table2[[#This Row],[STATES in numeric format]]=0,F23=-1,F22=-1),1,0)</f>
        <v>0</v>
      </c>
      <c r="AA24">
        <f>IF(AND(Table2[[#This Row],[STATES in numeric format]]=0,F23=-1,F22=1),1,0)</f>
        <v>0</v>
      </c>
      <c r="AB24">
        <f>IF(AND(Table2[[#This Row],[STATES in numeric format]]=0,F23=1,F22=-1),1,0)</f>
        <v>0</v>
      </c>
      <c r="AC24">
        <f>IF(AND(Table2[[#This Row],[STATES in numeric format]]=0,F23=0,F22=0),1,0)</f>
        <v>0</v>
      </c>
      <c r="AD24">
        <f>IF(AND(Table2[[#This Row],[STATES in numeric format]]=0,F23=1,F22=0),1,0)</f>
        <v>0</v>
      </c>
      <c r="AE24">
        <f>IF(AND(Table2[[#This Row],[STATES in numeric format]]=0,F23=-1,F22=0),1,0)</f>
        <v>0</v>
      </c>
      <c r="AF24">
        <f>IF(AND(Table2[[#This Row],[STATES in numeric format]]=0,F23=0,F22=1),1,0)</f>
        <v>0</v>
      </c>
      <c r="AG24">
        <f>IF(AND(Table2[[#This Row],[STATES in numeric format]]=0,F23=0,F22=-1),1,0)</f>
        <v>0</v>
      </c>
      <c r="AJ24" s="18"/>
      <c r="AK24" s="18"/>
      <c r="AL24" s="14"/>
      <c r="AM24" s="18"/>
      <c r="AN24" s="18"/>
      <c r="AU24" s="18">
        <f>SUM(AU15:AU23)</f>
        <v>250</v>
      </c>
    </row>
    <row r="25" spans="1:47" x14ac:dyDescent="0.3">
      <c r="A25" s="1">
        <v>43862</v>
      </c>
      <c r="B25">
        <v>39735.53</v>
      </c>
      <c r="C25">
        <f>Table2[[#This Row],[Close]]-0.001*Table2[[#This Row],[Close]]</f>
        <v>39695.794470000001</v>
      </c>
      <c r="D25">
        <f>Table2[[#This Row],[Close]]+0.001*Table2[[#This Row],[Close]]</f>
        <v>39775.265529999997</v>
      </c>
      <c r="E25" t="str">
        <f>IF(Table2[[#This Row],[Close]]&gt;D24,"up",IF(Table2[[#This Row],[Close]]&lt;C24,"down","constant"))</f>
        <v>down</v>
      </c>
      <c r="F25" s="3">
        <f>IF(Table2[[#This Row],[States]]="up",1,IF(Table2[[#This Row],[States]]="down",-1,0))</f>
        <v>-1</v>
      </c>
      <c r="G25">
        <f>IF(AND(Table2[[#This Row],[STATES in numeric format]]=-1,F24=1,F23=1),1,0)</f>
        <v>0</v>
      </c>
      <c r="H25">
        <f>IF(AND(Table2[[#This Row],[STATES in numeric format]]=-1,F24=-1,F23=-1),1,0)</f>
        <v>1</v>
      </c>
      <c r="I25">
        <f>IF(AND(Table2[[#This Row],[STATES in numeric format]]=-1,F24=-1,F23=1),1,0)</f>
        <v>0</v>
      </c>
      <c r="J25">
        <f>IF(AND(Table2[[#This Row],[STATES in numeric format]]=-1,F24=1,F23=-1),1,0)</f>
        <v>0</v>
      </c>
      <c r="K25">
        <f>IF(AND(Table2[[#This Row],[STATES in numeric format]]=-1,F24=0,F23=0),1,0)</f>
        <v>0</v>
      </c>
      <c r="L25">
        <f>IF(AND(Table2[[#This Row],[STATES in numeric format]]=-1,F24=1,F23=0),1,0)</f>
        <v>0</v>
      </c>
      <c r="M25">
        <f>IF(AND(Table2[[#This Row],[STATES in numeric format]]=-1,F24=-1,F23=0),1,0)</f>
        <v>0</v>
      </c>
      <c r="N25">
        <f>IF(AND(Table2[[#This Row],[STATES in numeric format]]=-1,F24=0,F23=1),1,0)</f>
        <v>0</v>
      </c>
      <c r="O25">
        <f>IF(AND(Table2[[#This Row],[STATES in numeric format]]=-1,F24=0,F23=-1),1,0)</f>
        <v>0</v>
      </c>
      <c r="P25">
        <f>IF(AND(Table2[[#This Row],[STATES in numeric format]]=1,F24=1,F23=1),1,0)</f>
        <v>0</v>
      </c>
      <c r="Q25">
        <f>IF(AND(Table2[[#This Row],[STATES in numeric format]]=1,F24=-1,F23=-1),1,0)</f>
        <v>0</v>
      </c>
      <c r="R25">
        <f>IF(AND(Table2[[#This Row],[STATES in numeric format]]=1,F24=-1,F23=1),1,0)</f>
        <v>0</v>
      </c>
      <c r="S25">
        <f>IF(AND(Table2[[#This Row],[STATES in numeric format]]=1,F24=1,F23=-1),1,0)</f>
        <v>0</v>
      </c>
      <c r="T25">
        <f>IF(AND(Table2[[#This Row],[STATES in numeric format]]=1,F24=0,F23=0),1,0)</f>
        <v>0</v>
      </c>
      <c r="U25">
        <f>IF(AND(Table2[[#This Row],[STATES in numeric format]]=1,F24=1,F23=0),1,0)</f>
        <v>0</v>
      </c>
      <c r="V25">
        <f>IF(AND(Table2[[#This Row],[STATES in numeric format]]=1,F24=-1,F23=0),1,0)</f>
        <v>0</v>
      </c>
      <c r="W25">
        <f>IF(AND(Table2[[#This Row],[STATES in numeric format]]=1,F24=0,F23=1),1,0)</f>
        <v>0</v>
      </c>
      <c r="X25">
        <f>IF(AND(Table2[[#This Row],[STATES in numeric format]]=1,F24=0,F23=-1),1,0)</f>
        <v>0</v>
      </c>
      <c r="Y25">
        <f>IF(AND(Table2[[#This Row],[STATES in numeric format]]=0,F24=1,F23=1),1,0)</f>
        <v>0</v>
      </c>
      <c r="Z25">
        <f>IF(AND(Table2[[#This Row],[STATES in numeric format]]=0,F24=-1,F23=-1),1,0)</f>
        <v>0</v>
      </c>
      <c r="AA25">
        <f>IF(AND(Table2[[#This Row],[STATES in numeric format]]=0,F24=-1,F23=1),1,0)</f>
        <v>0</v>
      </c>
      <c r="AB25">
        <f>IF(AND(Table2[[#This Row],[STATES in numeric format]]=0,F24=1,F23=-1),1,0)</f>
        <v>0</v>
      </c>
      <c r="AC25">
        <f>IF(AND(Table2[[#This Row],[STATES in numeric format]]=0,F24=0,F23=0),1,0)</f>
        <v>0</v>
      </c>
      <c r="AD25">
        <f>IF(AND(Table2[[#This Row],[STATES in numeric format]]=0,F24=1,F23=0),1,0)</f>
        <v>0</v>
      </c>
      <c r="AE25">
        <f>IF(AND(Table2[[#This Row],[STATES in numeric format]]=0,F24=-1,F23=0),1,0)</f>
        <v>0</v>
      </c>
      <c r="AF25">
        <f>IF(AND(Table2[[#This Row],[STATES in numeric format]]=0,F24=0,F23=1),1,0)</f>
        <v>0</v>
      </c>
      <c r="AG25">
        <f>IF(AND(Table2[[#This Row],[STATES in numeric format]]=0,F24=0,F23=-1),1,0)</f>
        <v>0</v>
      </c>
    </row>
    <row r="26" spans="1:47" x14ac:dyDescent="0.3">
      <c r="A26" s="1">
        <v>43864</v>
      </c>
      <c r="B26">
        <v>39872.31</v>
      </c>
      <c r="C26">
        <f>Table2[[#This Row],[Close]]-0.001*Table2[[#This Row],[Close]]</f>
        <v>39832.437689999999</v>
      </c>
      <c r="D26">
        <f>Table2[[#This Row],[Close]]+0.001*Table2[[#This Row],[Close]]</f>
        <v>39912.182309999997</v>
      </c>
      <c r="E26" t="str">
        <f>IF(Table2[[#This Row],[Close]]&gt;D25,"up",IF(Table2[[#This Row],[Close]]&lt;C25,"down","constant"))</f>
        <v>up</v>
      </c>
      <c r="F26" s="3">
        <f>IF(Table2[[#This Row],[States]]="up",1,IF(Table2[[#This Row],[States]]="down",-1,0))</f>
        <v>1</v>
      </c>
      <c r="G26">
        <f>IF(AND(Table2[[#This Row],[STATES in numeric format]]=-1,F25=1,F24=1),1,0)</f>
        <v>0</v>
      </c>
      <c r="H26">
        <f>IF(AND(Table2[[#This Row],[STATES in numeric format]]=-1,F25=-1,F24=-1),1,0)</f>
        <v>0</v>
      </c>
      <c r="I26">
        <f>IF(AND(Table2[[#This Row],[STATES in numeric format]]=-1,F25=-1,F24=1),1,0)</f>
        <v>0</v>
      </c>
      <c r="J26">
        <f>IF(AND(Table2[[#This Row],[STATES in numeric format]]=-1,F25=1,F24=-1),1,0)</f>
        <v>0</v>
      </c>
      <c r="K26">
        <f>IF(AND(Table2[[#This Row],[STATES in numeric format]]=-1,F25=0,F24=0),1,0)</f>
        <v>0</v>
      </c>
      <c r="L26">
        <f>IF(AND(Table2[[#This Row],[STATES in numeric format]]=-1,F25=1,F24=0),1,0)</f>
        <v>0</v>
      </c>
      <c r="M26">
        <f>IF(AND(Table2[[#This Row],[STATES in numeric format]]=-1,F25=-1,F24=0),1,0)</f>
        <v>0</v>
      </c>
      <c r="N26">
        <f>IF(AND(Table2[[#This Row],[STATES in numeric format]]=-1,F25=0,F24=1),1,0)</f>
        <v>0</v>
      </c>
      <c r="O26">
        <f>IF(AND(Table2[[#This Row],[STATES in numeric format]]=-1,F25=0,F24=-1),1,0)</f>
        <v>0</v>
      </c>
      <c r="P26">
        <f>IF(AND(Table2[[#This Row],[STATES in numeric format]]=1,F25=1,F24=1),1,0)</f>
        <v>0</v>
      </c>
      <c r="Q26">
        <f>IF(AND(Table2[[#This Row],[STATES in numeric format]]=1,F25=-1,F24=-1),1,0)</f>
        <v>1</v>
      </c>
      <c r="R26">
        <f>IF(AND(Table2[[#This Row],[STATES in numeric format]]=1,F25=-1,F24=1),1,0)</f>
        <v>0</v>
      </c>
      <c r="S26">
        <f>IF(AND(Table2[[#This Row],[STATES in numeric format]]=1,F25=1,F24=-1),1,0)</f>
        <v>0</v>
      </c>
      <c r="T26">
        <f>IF(AND(Table2[[#This Row],[STATES in numeric format]]=1,F25=0,F24=0),1,0)</f>
        <v>0</v>
      </c>
      <c r="U26">
        <f>IF(AND(Table2[[#This Row],[STATES in numeric format]]=1,F25=1,F24=0),1,0)</f>
        <v>0</v>
      </c>
      <c r="V26">
        <f>IF(AND(Table2[[#This Row],[STATES in numeric format]]=1,F25=-1,F24=0),1,0)</f>
        <v>0</v>
      </c>
      <c r="W26">
        <f>IF(AND(Table2[[#This Row],[STATES in numeric format]]=1,F25=0,F24=1),1,0)</f>
        <v>0</v>
      </c>
      <c r="X26">
        <f>IF(AND(Table2[[#This Row],[STATES in numeric format]]=1,F25=0,F24=-1),1,0)</f>
        <v>0</v>
      </c>
      <c r="Y26">
        <f>IF(AND(Table2[[#This Row],[STATES in numeric format]]=0,F25=1,F24=1),1,0)</f>
        <v>0</v>
      </c>
      <c r="Z26">
        <f>IF(AND(Table2[[#This Row],[STATES in numeric format]]=0,F25=-1,F24=-1),1,0)</f>
        <v>0</v>
      </c>
      <c r="AA26">
        <f>IF(AND(Table2[[#This Row],[STATES in numeric format]]=0,F25=-1,F24=1),1,0)</f>
        <v>0</v>
      </c>
      <c r="AB26">
        <f>IF(AND(Table2[[#This Row],[STATES in numeric format]]=0,F25=1,F24=-1),1,0)</f>
        <v>0</v>
      </c>
      <c r="AC26">
        <f>IF(AND(Table2[[#This Row],[STATES in numeric format]]=0,F25=0,F24=0),1,0)</f>
        <v>0</v>
      </c>
      <c r="AD26">
        <f>IF(AND(Table2[[#This Row],[STATES in numeric format]]=0,F25=1,F24=0),1,0)</f>
        <v>0</v>
      </c>
      <c r="AE26">
        <f>IF(AND(Table2[[#This Row],[STATES in numeric format]]=0,F25=-1,F24=0),1,0)</f>
        <v>0</v>
      </c>
      <c r="AF26">
        <f>IF(AND(Table2[[#This Row],[STATES in numeric format]]=0,F25=0,F24=1),1,0)</f>
        <v>0</v>
      </c>
      <c r="AG26">
        <f>IF(AND(Table2[[#This Row],[STATES in numeric format]]=0,F25=0,F24=-1),1,0)</f>
        <v>0</v>
      </c>
    </row>
    <row r="27" spans="1:47" x14ac:dyDescent="0.3">
      <c r="A27" s="1">
        <v>43865</v>
      </c>
      <c r="B27">
        <v>40789.379999999997</v>
      </c>
      <c r="C27">
        <f>Table2[[#This Row],[Close]]-0.001*Table2[[#This Row],[Close]]</f>
        <v>40748.590619999995</v>
      </c>
      <c r="D27">
        <f>Table2[[#This Row],[Close]]+0.001*Table2[[#This Row],[Close]]</f>
        <v>40830.169379999999</v>
      </c>
      <c r="E27" t="str">
        <f>IF(Table2[[#This Row],[Close]]&gt;D26,"up",IF(Table2[[#This Row],[Close]]&lt;C26,"down","constant"))</f>
        <v>up</v>
      </c>
      <c r="F27" s="3">
        <f>IF(Table2[[#This Row],[States]]="up",1,IF(Table2[[#This Row],[States]]="down",-1,0))</f>
        <v>1</v>
      </c>
      <c r="G27">
        <f>IF(AND(Table2[[#This Row],[STATES in numeric format]]=-1,F26=1,F25=1),1,0)</f>
        <v>0</v>
      </c>
      <c r="H27">
        <f>IF(AND(Table2[[#This Row],[STATES in numeric format]]=-1,F26=-1,F25=-1),1,0)</f>
        <v>0</v>
      </c>
      <c r="I27">
        <f>IF(AND(Table2[[#This Row],[STATES in numeric format]]=-1,F26=-1,F25=1),1,0)</f>
        <v>0</v>
      </c>
      <c r="J27">
        <f>IF(AND(Table2[[#This Row],[STATES in numeric format]]=-1,F26=1,F25=-1),1,0)</f>
        <v>0</v>
      </c>
      <c r="K27">
        <f>IF(AND(Table2[[#This Row],[STATES in numeric format]]=-1,F26=0,F25=0),1,0)</f>
        <v>0</v>
      </c>
      <c r="L27">
        <f>IF(AND(Table2[[#This Row],[STATES in numeric format]]=-1,F26=1,F25=0),1,0)</f>
        <v>0</v>
      </c>
      <c r="M27">
        <f>IF(AND(Table2[[#This Row],[STATES in numeric format]]=-1,F26=-1,F25=0),1,0)</f>
        <v>0</v>
      </c>
      <c r="N27">
        <f>IF(AND(Table2[[#This Row],[STATES in numeric format]]=-1,F26=0,F25=1),1,0)</f>
        <v>0</v>
      </c>
      <c r="O27">
        <f>IF(AND(Table2[[#This Row],[STATES in numeric format]]=-1,F26=0,F25=-1),1,0)</f>
        <v>0</v>
      </c>
      <c r="P27">
        <f>IF(AND(Table2[[#This Row],[STATES in numeric format]]=1,F26=1,F25=1),1,0)</f>
        <v>0</v>
      </c>
      <c r="Q27">
        <f>IF(AND(Table2[[#This Row],[STATES in numeric format]]=1,F26=-1,F25=-1),1,0)</f>
        <v>0</v>
      </c>
      <c r="R27">
        <f>IF(AND(Table2[[#This Row],[STATES in numeric format]]=1,F26=-1,F25=1),1,0)</f>
        <v>0</v>
      </c>
      <c r="S27">
        <f>IF(AND(Table2[[#This Row],[STATES in numeric format]]=1,F26=1,F25=-1),1,0)</f>
        <v>1</v>
      </c>
      <c r="T27">
        <f>IF(AND(Table2[[#This Row],[STATES in numeric format]]=1,F26=0,F25=0),1,0)</f>
        <v>0</v>
      </c>
      <c r="U27">
        <f>IF(AND(Table2[[#This Row],[STATES in numeric format]]=1,F26=1,F25=0),1,0)</f>
        <v>0</v>
      </c>
      <c r="V27">
        <f>IF(AND(Table2[[#This Row],[STATES in numeric format]]=1,F26=-1,F25=0),1,0)</f>
        <v>0</v>
      </c>
      <c r="W27">
        <f>IF(AND(Table2[[#This Row],[STATES in numeric format]]=1,F26=0,F25=1),1,0)</f>
        <v>0</v>
      </c>
      <c r="X27">
        <f>IF(AND(Table2[[#This Row],[STATES in numeric format]]=1,F26=0,F25=-1),1,0)</f>
        <v>0</v>
      </c>
      <c r="Y27">
        <f>IF(AND(Table2[[#This Row],[STATES in numeric format]]=0,F26=1,F25=1),1,0)</f>
        <v>0</v>
      </c>
      <c r="Z27">
        <f>IF(AND(Table2[[#This Row],[STATES in numeric format]]=0,F26=-1,F25=-1),1,0)</f>
        <v>0</v>
      </c>
      <c r="AA27">
        <f>IF(AND(Table2[[#This Row],[STATES in numeric format]]=0,F26=-1,F25=1),1,0)</f>
        <v>0</v>
      </c>
      <c r="AB27">
        <f>IF(AND(Table2[[#This Row],[STATES in numeric format]]=0,F26=1,F25=-1),1,0)</f>
        <v>0</v>
      </c>
      <c r="AC27">
        <f>IF(AND(Table2[[#This Row],[STATES in numeric format]]=0,F26=0,F25=0),1,0)</f>
        <v>0</v>
      </c>
      <c r="AD27">
        <f>IF(AND(Table2[[#This Row],[STATES in numeric format]]=0,F26=1,F25=0),1,0)</f>
        <v>0</v>
      </c>
      <c r="AE27">
        <f>IF(AND(Table2[[#This Row],[STATES in numeric format]]=0,F26=-1,F25=0),1,0)</f>
        <v>0</v>
      </c>
      <c r="AF27">
        <f>IF(AND(Table2[[#This Row],[STATES in numeric format]]=0,F26=0,F25=1),1,0)</f>
        <v>0</v>
      </c>
      <c r="AG27">
        <f>IF(AND(Table2[[#This Row],[STATES in numeric format]]=0,F26=0,F25=-1),1,0)</f>
        <v>0</v>
      </c>
    </row>
    <row r="28" spans="1:47" x14ac:dyDescent="0.3">
      <c r="A28" s="1">
        <v>43866</v>
      </c>
      <c r="B28">
        <v>41142.660000000003</v>
      </c>
      <c r="C28">
        <f>Table2[[#This Row],[Close]]-0.001*Table2[[#This Row],[Close]]</f>
        <v>41101.517340000006</v>
      </c>
      <c r="D28">
        <f>Table2[[#This Row],[Close]]+0.001*Table2[[#This Row],[Close]]</f>
        <v>41183.802660000001</v>
      </c>
      <c r="E28" t="str">
        <f>IF(Table2[[#This Row],[Close]]&gt;D27,"up",IF(Table2[[#This Row],[Close]]&lt;C27,"down","constant"))</f>
        <v>up</v>
      </c>
      <c r="F28" s="3">
        <f>IF(Table2[[#This Row],[States]]="up",1,IF(Table2[[#This Row],[States]]="down",-1,0))</f>
        <v>1</v>
      </c>
      <c r="G28">
        <f>IF(AND(Table2[[#This Row],[STATES in numeric format]]=-1,F27=1,F26=1),1,0)</f>
        <v>0</v>
      </c>
      <c r="H28">
        <f>IF(AND(Table2[[#This Row],[STATES in numeric format]]=-1,F27=-1,F26=-1),1,0)</f>
        <v>0</v>
      </c>
      <c r="I28">
        <f>IF(AND(Table2[[#This Row],[STATES in numeric format]]=-1,F27=-1,F26=1),1,0)</f>
        <v>0</v>
      </c>
      <c r="J28">
        <f>IF(AND(Table2[[#This Row],[STATES in numeric format]]=-1,F27=1,F26=-1),1,0)</f>
        <v>0</v>
      </c>
      <c r="K28">
        <f>IF(AND(Table2[[#This Row],[STATES in numeric format]]=-1,F27=0,F26=0),1,0)</f>
        <v>0</v>
      </c>
      <c r="L28">
        <f>IF(AND(Table2[[#This Row],[STATES in numeric format]]=-1,F27=1,F26=0),1,0)</f>
        <v>0</v>
      </c>
      <c r="M28">
        <f>IF(AND(Table2[[#This Row],[STATES in numeric format]]=-1,F27=-1,F26=0),1,0)</f>
        <v>0</v>
      </c>
      <c r="N28">
        <f>IF(AND(Table2[[#This Row],[STATES in numeric format]]=-1,F27=0,F26=1),1,0)</f>
        <v>0</v>
      </c>
      <c r="O28">
        <f>IF(AND(Table2[[#This Row],[STATES in numeric format]]=-1,F27=0,F26=-1),1,0)</f>
        <v>0</v>
      </c>
      <c r="P28">
        <f>IF(AND(Table2[[#This Row],[STATES in numeric format]]=1,F27=1,F26=1),1,0)</f>
        <v>1</v>
      </c>
      <c r="Q28">
        <f>IF(AND(Table2[[#This Row],[STATES in numeric format]]=1,F27=-1,F26=-1),1,0)</f>
        <v>0</v>
      </c>
      <c r="R28">
        <f>IF(AND(Table2[[#This Row],[STATES in numeric format]]=1,F27=-1,F26=1),1,0)</f>
        <v>0</v>
      </c>
      <c r="S28">
        <f>IF(AND(Table2[[#This Row],[STATES in numeric format]]=1,F27=1,F26=-1),1,0)</f>
        <v>0</v>
      </c>
      <c r="T28">
        <f>IF(AND(Table2[[#This Row],[STATES in numeric format]]=1,F27=0,F26=0),1,0)</f>
        <v>0</v>
      </c>
      <c r="U28">
        <f>IF(AND(Table2[[#This Row],[STATES in numeric format]]=1,F27=1,F26=0),1,0)</f>
        <v>0</v>
      </c>
      <c r="V28">
        <f>IF(AND(Table2[[#This Row],[STATES in numeric format]]=1,F27=-1,F26=0),1,0)</f>
        <v>0</v>
      </c>
      <c r="W28">
        <f>IF(AND(Table2[[#This Row],[STATES in numeric format]]=1,F27=0,F26=1),1,0)</f>
        <v>0</v>
      </c>
      <c r="X28">
        <f>IF(AND(Table2[[#This Row],[STATES in numeric format]]=1,F27=0,F26=-1),1,0)</f>
        <v>0</v>
      </c>
      <c r="Y28">
        <f>IF(AND(Table2[[#This Row],[STATES in numeric format]]=0,F27=1,F26=1),1,0)</f>
        <v>0</v>
      </c>
      <c r="Z28">
        <f>IF(AND(Table2[[#This Row],[STATES in numeric format]]=0,F27=-1,F26=-1),1,0)</f>
        <v>0</v>
      </c>
      <c r="AA28">
        <f>IF(AND(Table2[[#This Row],[STATES in numeric format]]=0,F27=-1,F26=1),1,0)</f>
        <v>0</v>
      </c>
      <c r="AB28">
        <f>IF(AND(Table2[[#This Row],[STATES in numeric format]]=0,F27=1,F26=-1),1,0)</f>
        <v>0</v>
      </c>
      <c r="AC28">
        <f>IF(AND(Table2[[#This Row],[STATES in numeric format]]=0,F27=0,F26=0),1,0)</f>
        <v>0</v>
      </c>
      <c r="AD28">
        <f>IF(AND(Table2[[#This Row],[STATES in numeric format]]=0,F27=1,F26=0),1,0)</f>
        <v>0</v>
      </c>
      <c r="AE28">
        <f>IF(AND(Table2[[#This Row],[STATES in numeric format]]=0,F27=-1,F26=0),1,0)</f>
        <v>0</v>
      </c>
      <c r="AF28">
        <f>IF(AND(Table2[[#This Row],[STATES in numeric format]]=0,F27=0,F26=1),1,0)</f>
        <v>0</v>
      </c>
      <c r="AG28">
        <f>IF(AND(Table2[[#This Row],[STATES in numeric format]]=0,F27=0,F26=-1),1,0)</f>
        <v>0</v>
      </c>
      <c r="AJ28" s="2"/>
      <c r="AK28" s="2"/>
      <c r="AL28" s="2" t="s">
        <v>173</v>
      </c>
      <c r="AM28" s="2" t="s">
        <v>161</v>
      </c>
      <c r="AN28" s="2" t="s">
        <v>162</v>
      </c>
      <c r="AO28" s="2" t="s">
        <v>163</v>
      </c>
      <c r="AP28" s="2" t="s">
        <v>172</v>
      </c>
      <c r="AQ28" s="2" t="s">
        <v>171</v>
      </c>
      <c r="AR28" s="2" t="s">
        <v>170</v>
      </c>
      <c r="AS28" s="2" t="s">
        <v>169</v>
      </c>
      <c r="AT28" s="2" t="s">
        <v>168</v>
      </c>
      <c r="AU28" s="2" t="s">
        <v>133</v>
      </c>
    </row>
    <row r="29" spans="1:47" x14ac:dyDescent="0.3">
      <c r="A29" s="1">
        <v>43867</v>
      </c>
      <c r="B29">
        <v>41306.03</v>
      </c>
      <c r="C29">
        <f>Table2[[#This Row],[Close]]-0.001*Table2[[#This Row],[Close]]</f>
        <v>41264.723969999999</v>
      </c>
      <c r="D29">
        <f>Table2[[#This Row],[Close]]+0.001*Table2[[#This Row],[Close]]</f>
        <v>41347.336029999999</v>
      </c>
      <c r="E29" t="str">
        <f>IF(Table2[[#This Row],[Close]]&gt;D28,"up",IF(Table2[[#This Row],[Close]]&lt;C28,"down","constant"))</f>
        <v>up</v>
      </c>
      <c r="F29" s="3">
        <f>IF(Table2[[#This Row],[States]]="up",1,IF(Table2[[#This Row],[States]]="down",-1,0))</f>
        <v>1</v>
      </c>
      <c r="G29">
        <f>IF(AND(Table2[[#This Row],[STATES in numeric format]]=-1,F28=1,F27=1),1,0)</f>
        <v>0</v>
      </c>
      <c r="H29">
        <f>IF(AND(Table2[[#This Row],[STATES in numeric format]]=-1,F28=-1,F27=-1),1,0)</f>
        <v>0</v>
      </c>
      <c r="I29">
        <f>IF(AND(Table2[[#This Row],[STATES in numeric format]]=-1,F28=-1,F27=1),1,0)</f>
        <v>0</v>
      </c>
      <c r="J29">
        <f>IF(AND(Table2[[#This Row],[STATES in numeric format]]=-1,F28=1,F27=-1),1,0)</f>
        <v>0</v>
      </c>
      <c r="K29">
        <f>IF(AND(Table2[[#This Row],[STATES in numeric format]]=-1,F28=0,F27=0),1,0)</f>
        <v>0</v>
      </c>
      <c r="L29">
        <f>IF(AND(Table2[[#This Row],[STATES in numeric format]]=-1,F28=1,F27=0),1,0)</f>
        <v>0</v>
      </c>
      <c r="M29">
        <f>IF(AND(Table2[[#This Row],[STATES in numeric format]]=-1,F28=-1,F27=0),1,0)</f>
        <v>0</v>
      </c>
      <c r="N29">
        <f>IF(AND(Table2[[#This Row],[STATES in numeric format]]=-1,F28=0,F27=1),1,0)</f>
        <v>0</v>
      </c>
      <c r="O29">
        <f>IF(AND(Table2[[#This Row],[STATES in numeric format]]=-1,F28=0,F27=-1),1,0)</f>
        <v>0</v>
      </c>
      <c r="P29">
        <f>IF(AND(Table2[[#This Row],[STATES in numeric format]]=1,F28=1,F27=1),1,0)</f>
        <v>1</v>
      </c>
      <c r="Q29">
        <f>IF(AND(Table2[[#This Row],[STATES in numeric format]]=1,F28=-1,F27=-1),1,0)</f>
        <v>0</v>
      </c>
      <c r="R29">
        <f>IF(AND(Table2[[#This Row],[STATES in numeric format]]=1,F28=-1,F27=1),1,0)</f>
        <v>0</v>
      </c>
      <c r="S29">
        <f>IF(AND(Table2[[#This Row],[STATES in numeric format]]=1,F28=1,F27=-1),1,0)</f>
        <v>0</v>
      </c>
      <c r="T29">
        <f>IF(AND(Table2[[#This Row],[STATES in numeric format]]=1,F28=0,F27=0),1,0)</f>
        <v>0</v>
      </c>
      <c r="U29">
        <f>IF(AND(Table2[[#This Row],[STATES in numeric format]]=1,F28=1,F27=0),1,0)</f>
        <v>0</v>
      </c>
      <c r="V29">
        <f>IF(AND(Table2[[#This Row],[STATES in numeric format]]=1,F28=-1,F27=0),1,0)</f>
        <v>0</v>
      </c>
      <c r="W29">
        <f>IF(AND(Table2[[#This Row],[STATES in numeric format]]=1,F28=0,F27=1),1,0)</f>
        <v>0</v>
      </c>
      <c r="X29">
        <f>IF(AND(Table2[[#This Row],[STATES in numeric format]]=1,F28=0,F27=-1),1,0)</f>
        <v>0</v>
      </c>
      <c r="Y29">
        <f>IF(AND(Table2[[#This Row],[STATES in numeric format]]=0,F28=1,F27=1),1,0)</f>
        <v>0</v>
      </c>
      <c r="Z29">
        <f>IF(AND(Table2[[#This Row],[STATES in numeric format]]=0,F28=-1,F27=-1),1,0)</f>
        <v>0</v>
      </c>
      <c r="AA29">
        <f>IF(AND(Table2[[#This Row],[STATES in numeric format]]=0,F28=-1,F27=1),1,0)</f>
        <v>0</v>
      </c>
      <c r="AB29">
        <f>IF(AND(Table2[[#This Row],[STATES in numeric format]]=0,F28=1,F27=-1),1,0)</f>
        <v>0</v>
      </c>
      <c r="AC29">
        <f>IF(AND(Table2[[#This Row],[STATES in numeric format]]=0,F28=0,F27=0),1,0)</f>
        <v>0</v>
      </c>
      <c r="AD29">
        <f>IF(AND(Table2[[#This Row],[STATES in numeric format]]=0,F28=1,F27=0),1,0)</f>
        <v>0</v>
      </c>
      <c r="AE29">
        <f>IF(AND(Table2[[#This Row],[STATES in numeric format]]=0,F28=-1,F27=0),1,0)</f>
        <v>0</v>
      </c>
      <c r="AF29">
        <f>IF(AND(Table2[[#This Row],[STATES in numeric format]]=0,F28=0,F27=1),1,0)</f>
        <v>0</v>
      </c>
      <c r="AG29">
        <f>IF(AND(Table2[[#This Row],[STATES in numeric format]]=0,F28=0,F27=-1),1,0)</f>
        <v>0</v>
      </c>
      <c r="AJ29" s="2">
        <v>1</v>
      </c>
      <c r="AK29" s="2">
        <v>1</v>
      </c>
      <c r="AL29" s="5">
        <f>AL15/$AU$15</f>
        <v>0.62820512820512819</v>
      </c>
      <c r="AM29" s="5">
        <f t="shared" ref="AM29:AT29" si="2">AM15/$AU$15</f>
        <v>0</v>
      </c>
      <c r="AN29" s="5">
        <f t="shared" si="2"/>
        <v>0.30769230769230771</v>
      </c>
      <c r="AO29" s="5">
        <f t="shared" si="2"/>
        <v>0</v>
      </c>
      <c r="AP29" s="5">
        <f t="shared" si="2"/>
        <v>0</v>
      </c>
      <c r="AQ29" s="5">
        <f t="shared" si="2"/>
        <v>0</v>
      </c>
      <c r="AR29" s="5">
        <f t="shared" si="2"/>
        <v>0</v>
      </c>
      <c r="AS29" s="5">
        <f t="shared" si="2"/>
        <v>6.4102564102564097E-2</v>
      </c>
      <c r="AT29" s="5">
        <f t="shared" si="2"/>
        <v>0</v>
      </c>
      <c r="AU29" s="23">
        <f>SUM(AL29:AT29)</f>
        <v>1</v>
      </c>
    </row>
    <row r="30" spans="1:47" x14ac:dyDescent="0.3">
      <c r="A30" s="1">
        <v>43868</v>
      </c>
      <c r="B30">
        <v>41141.85</v>
      </c>
      <c r="C30">
        <f>Table2[[#This Row],[Close]]-0.001*Table2[[#This Row],[Close]]</f>
        <v>41100.708149999999</v>
      </c>
      <c r="D30">
        <f>Table2[[#This Row],[Close]]+0.001*Table2[[#This Row],[Close]]</f>
        <v>41182.991849999999</v>
      </c>
      <c r="E30" t="str">
        <f>IF(Table2[[#This Row],[Close]]&gt;D29,"up",IF(Table2[[#This Row],[Close]]&lt;C29,"down","constant"))</f>
        <v>down</v>
      </c>
      <c r="F30" s="3">
        <f>IF(Table2[[#This Row],[States]]="up",1,IF(Table2[[#This Row],[States]]="down",-1,0))</f>
        <v>-1</v>
      </c>
      <c r="G30">
        <f>IF(AND(Table2[[#This Row],[STATES in numeric format]]=-1,F29=1,F28=1),1,0)</f>
        <v>1</v>
      </c>
      <c r="H30">
        <f>IF(AND(Table2[[#This Row],[STATES in numeric format]]=-1,F29=-1,F28=-1),1,0)</f>
        <v>0</v>
      </c>
      <c r="I30">
        <f>IF(AND(Table2[[#This Row],[STATES in numeric format]]=-1,F29=-1,F28=1),1,0)</f>
        <v>0</v>
      </c>
      <c r="J30">
        <f>IF(AND(Table2[[#This Row],[STATES in numeric format]]=-1,F29=1,F28=-1),1,0)</f>
        <v>0</v>
      </c>
      <c r="K30">
        <f>IF(AND(Table2[[#This Row],[STATES in numeric format]]=-1,F29=0,F28=0),1,0)</f>
        <v>0</v>
      </c>
      <c r="L30">
        <f>IF(AND(Table2[[#This Row],[STATES in numeric format]]=-1,F29=1,F28=0),1,0)</f>
        <v>0</v>
      </c>
      <c r="M30">
        <f>IF(AND(Table2[[#This Row],[STATES in numeric format]]=-1,F29=-1,F28=0),1,0)</f>
        <v>0</v>
      </c>
      <c r="N30">
        <f>IF(AND(Table2[[#This Row],[STATES in numeric format]]=-1,F29=0,F28=1),1,0)</f>
        <v>0</v>
      </c>
      <c r="O30">
        <f>IF(AND(Table2[[#This Row],[STATES in numeric format]]=-1,F29=0,F28=-1),1,0)</f>
        <v>0</v>
      </c>
      <c r="P30">
        <f>IF(AND(Table2[[#This Row],[STATES in numeric format]]=1,F29=1,F28=1),1,0)</f>
        <v>0</v>
      </c>
      <c r="Q30">
        <f>IF(AND(Table2[[#This Row],[STATES in numeric format]]=1,F29=-1,F28=-1),1,0)</f>
        <v>0</v>
      </c>
      <c r="R30">
        <f>IF(AND(Table2[[#This Row],[STATES in numeric format]]=1,F29=-1,F28=1),1,0)</f>
        <v>0</v>
      </c>
      <c r="S30">
        <f>IF(AND(Table2[[#This Row],[STATES in numeric format]]=1,F29=1,F28=-1),1,0)</f>
        <v>0</v>
      </c>
      <c r="T30">
        <f>IF(AND(Table2[[#This Row],[STATES in numeric format]]=1,F29=0,F28=0),1,0)</f>
        <v>0</v>
      </c>
      <c r="U30">
        <f>IF(AND(Table2[[#This Row],[STATES in numeric format]]=1,F29=1,F28=0),1,0)</f>
        <v>0</v>
      </c>
      <c r="V30">
        <f>IF(AND(Table2[[#This Row],[STATES in numeric format]]=1,F29=-1,F28=0),1,0)</f>
        <v>0</v>
      </c>
      <c r="W30">
        <f>IF(AND(Table2[[#This Row],[STATES in numeric format]]=1,F29=0,F28=1),1,0)</f>
        <v>0</v>
      </c>
      <c r="X30">
        <f>IF(AND(Table2[[#This Row],[STATES in numeric format]]=1,F29=0,F28=-1),1,0)</f>
        <v>0</v>
      </c>
      <c r="Y30">
        <f>IF(AND(Table2[[#This Row],[STATES in numeric format]]=0,F29=1,F28=1),1,0)</f>
        <v>0</v>
      </c>
      <c r="Z30">
        <f>IF(AND(Table2[[#This Row],[STATES in numeric format]]=0,F29=-1,F28=-1),1,0)</f>
        <v>0</v>
      </c>
      <c r="AA30">
        <f>IF(AND(Table2[[#This Row],[STATES in numeric format]]=0,F29=-1,F28=1),1,0)</f>
        <v>0</v>
      </c>
      <c r="AB30">
        <f>IF(AND(Table2[[#This Row],[STATES in numeric format]]=0,F29=1,F28=-1),1,0)</f>
        <v>0</v>
      </c>
      <c r="AC30">
        <f>IF(AND(Table2[[#This Row],[STATES in numeric format]]=0,F29=0,F28=0),1,0)</f>
        <v>0</v>
      </c>
      <c r="AD30">
        <f>IF(AND(Table2[[#This Row],[STATES in numeric format]]=0,F29=1,F28=0),1,0)</f>
        <v>0</v>
      </c>
      <c r="AE30">
        <f>IF(AND(Table2[[#This Row],[STATES in numeric format]]=0,F29=-1,F28=0),1,0)</f>
        <v>0</v>
      </c>
      <c r="AF30">
        <f>IF(AND(Table2[[#This Row],[STATES in numeric format]]=0,F29=0,F28=1),1,0)</f>
        <v>0</v>
      </c>
      <c r="AG30">
        <f>IF(AND(Table2[[#This Row],[STATES in numeric format]]=0,F29=0,F28=-1),1,0)</f>
        <v>0</v>
      </c>
      <c r="AJ30" s="2">
        <v>-1</v>
      </c>
      <c r="AK30" s="2">
        <v>-1</v>
      </c>
      <c r="AL30" s="8">
        <f>AL16/$AU$16</f>
        <v>0</v>
      </c>
      <c r="AM30" s="8">
        <f t="shared" ref="AM30:AT30" si="3">AM16/$AU$16</f>
        <v>0.46153846153846156</v>
      </c>
      <c r="AN30" s="8">
        <f t="shared" si="3"/>
        <v>0</v>
      </c>
      <c r="AO30" s="8">
        <f t="shared" si="3"/>
        <v>0.53846153846153844</v>
      </c>
      <c r="AP30" s="8">
        <f t="shared" si="3"/>
        <v>0</v>
      </c>
      <c r="AQ30" s="8">
        <f t="shared" si="3"/>
        <v>0</v>
      </c>
      <c r="AR30" s="8">
        <f t="shared" si="3"/>
        <v>0</v>
      </c>
      <c r="AS30" s="8">
        <f t="shared" si="3"/>
        <v>0</v>
      </c>
      <c r="AT30" s="8">
        <f t="shared" si="3"/>
        <v>0</v>
      </c>
      <c r="AU30" s="23">
        <f t="shared" ref="AU30:AU37" si="4">SUM(AL30:AT30)</f>
        <v>1</v>
      </c>
    </row>
    <row r="31" spans="1:47" x14ac:dyDescent="0.3">
      <c r="A31" s="1">
        <v>43871</v>
      </c>
      <c r="B31">
        <v>40979.620000000003</v>
      </c>
      <c r="C31">
        <f>Table2[[#This Row],[Close]]-0.001*Table2[[#This Row],[Close]]</f>
        <v>40938.640380000004</v>
      </c>
      <c r="D31">
        <f>Table2[[#This Row],[Close]]+0.001*Table2[[#This Row],[Close]]</f>
        <v>41020.599620000001</v>
      </c>
      <c r="E31" t="str">
        <f>IF(Table2[[#This Row],[Close]]&gt;D30,"up",IF(Table2[[#This Row],[Close]]&lt;C30,"down","constant"))</f>
        <v>down</v>
      </c>
      <c r="F31" s="3">
        <f>IF(Table2[[#This Row],[States]]="up",1,IF(Table2[[#This Row],[States]]="down",-1,0))</f>
        <v>-1</v>
      </c>
      <c r="G31">
        <f>IF(AND(Table2[[#This Row],[STATES in numeric format]]=-1,F30=1,F29=1),1,0)</f>
        <v>0</v>
      </c>
      <c r="H31">
        <f>IF(AND(Table2[[#This Row],[STATES in numeric format]]=-1,F30=-1,F29=-1),1,0)</f>
        <v>0</v>
      </c>
      <c r="I31">
        <f>IF(AND(Table2[[#This Row],[STATES in numeric format]]=-1,F30=-1,F29=1),1,0)</f>
        <v>1</v>
      </c>
      <c r="J31">
        <f>IF(AND(Table2[[#This Row],[STATES in numeric format]]=-1,F30=1,F29=-1),1,0)</f>
        <v>0</v>
      </c>
      <c r="K31">
        <f>IF(AND(Table2[[#This Row],[STATES in numeric format]]=-1,F30=0,F29=0),1,0)</f>
        <v>0</v>
      </c>
      <c r="L31">
        <f>IF(AND(Table2[[#This Row],[STATES in numeric format]]=-1,F30=1,F29=0),1,0)</f>
        <v>0</v>
      </c>
      <c r="M31">
        <f>IF(AND(Table2[[#This Row],[STATES in numeric format]]=-1,F30=-1,F29=0),1,0)</f>
        <v>0</v>
      </c>
      <c r="N31">
        <f>IF(AND(Table2[[#This Row],[STATES in numeric format]]=-1,F30=0,F29=1),1,0)</f>
        <v>0</v>
      </c>
      <c r="O31">
        <f>IF(AND(Table2[[#This Row],[STATES in numeric format]]=-1,F30=0,F29=-1),1,0)</f>
        <v>0</v>
      </c>
      <c r="P31">
        <f>IF(AND(Table2[[#This Row],[STATES in numeric format]]=1,F30=1,F29=1),1,0)</f>
        <v>0</v>
      </c>
      <c r="Q31">
        <f>IF(AND(Table2[[#This Row],[STATES in numeric format]]=1,F30=-1,F29=-1),1,0)</f>
        <v>0</v>
      </c>
      <c r="R31">
        <f>IF(AND(Table2[[#This Row],[STATES in numeric format]]=1,F30=-1,F29=1),1,0)</f>
        <v>0</v>
      </c>
      <c r="S31">
        <f>IF(AND(Table2[[#This Row],[STATES in numeric format]]=1,F30=1,F29=-1),1,0)</f>
        <v>0</v>
      </c>
      <c r="T31">
        <f>IF(AND(Table2[[#This Row],[STATES in numeric format]]=1,F30=0,F29=0),1,0)</f>
        <v>0</v>
      </c>
      <c r="U31">
        <f>IF(AND(Table2[[#This Row],[STATES in numeric format]]=1,F30=1,F29=0),1,0)</f>
        <v>0</v>
      </c>
      <c r="V31">
        <f>IF(AND(Table2[[#This Row],[STATES in numeric format]]=1,F30=-1,F29=0),1,0)</f>
        <v>0</v>
      </c>
      <c r="W31">
        <f>IF(AND(Table2[[#This Row],[STATES in numeric format]]=1,F30=0,F29=1),1,0)</f>
        <v>0</v>
      </c>
      <c r="X31">
        <f>IF(AND(Table2[[#This Row],[STATES in numeric format]]=1,F30=0,F29=-1),1,0)</f>
        <v>0</v>
      </c>
      <c r="Y31">
        <f>IF(AND(Table2[[#This Row],[STATES in numeric format]]=0,F30=1,F29=1),1,0)</f>
        <v>0</v>
      </c>
      <c r="Z31">
        <f>IF(AND(Table2[[#This Row],[STATES in numeric format]]=0,F30=-1,F29=-1),1,0)</f>
        <v>0</v>
      </c>
      <c r="AA31">
        <f>IF(AND(Table2[[#This Row],[STATES in numeric format]]=0,F30=-1,F29=1),1,0)</f>
        <v>0</v>
      </c>
      <c r="AB31">
        <f>IF(AND(Table2[[#This Row],[STATES in numeric format]]=0,F30=1,F29=-1),1,0)</f>
        <v>0</v>
      </c>
      <c r="AC31">
        <f>IF(AND(Table2[[#This Row],[STATES in numeric format]]=0,F30=0,F29=0),1,0)</f>
        <v>0</v>
      </c>
      <c r="AD31">
        <f>IF(AND(Table2[[#This Row],[STATES in numeric format]]=0,F30=1,F29=0),1,0)</f>
        <v>0</v>
      </c>
      <c r="AE31">
        <f>IF(AND(Table2[[#This Row],[STATES in numeric format]]=0,F30=-1,F29=0),1,0)</f>
        <v>0</v>
      </c>
      <c r="AF31">
        <f>IF(AND(Table2[[#This Row],[STATES in numeric format]]=0,F30=0,F29=1),1,0)</f>
        <v>0</v>
      </c>
      <c r="AG31">
        <f>IF(AND(Table2[[#This Row],[STATES in numeric format]]=0,F30=0,F29=-1),1,0)</f>
        <v>0</v>
      </c>
      <c r="AJ31" s="2">
        <v>1</v>
      </c>
      <c r="AK31" s="2">
        <v>-1</v>
      </c>
      <c r="AL31" s="8">
        <f>AL17/$AU$17</f>
        <v>0</v>
      </c>
      <c r="AM31" s="8">
        <f t="shared" ref="AM31:AT31" si="5">AM17/$AU$17</f>
        <v>0.38</v>
      </c>
      <c r="AN31" s="8">
        <f t="shared" si="5"/>
        <v>0</v>
      </c>
      <c r="AO31" s="8">
        <f t="shared" si="5"/>
        <v>0.56000000000000005</v>
      </c>
      <c r="AP31" s="8">
        <f t="shared" si="5"/>
        <v>0</v>
      </c>
      <c r="AQ31" s="8">
        <f t="shared" si="5"/>
        <v>0</v>
      </c>
      <c r="AR31" s="8">
        <f t="shared" si="5"/>
        <v>0</v>
      </c>
      <c r="AS31" s="8">
        <f t="shared" si="5"/>
        <v>0</v>
      </c>
      <c r="AT31" s="8">
        <f t="shared" si="5"/>
        <v>0.06</v>
      </c>
      <c r="AU31" s="23">
        <f t="shared" si="4"/>
        <v>1</v>
      </c>
    </row>
    <row r="32" spans="1:47" x14ac:dyDescent="0.3">
      <c r="A32" s="1">
        <v>43872</v>
      </c>
      <c r="B32">
        <v>41216.14</v>
      </c>
      <c r="C32">
        <f>Table2[[#This Row],[Close]]-0.001*Table2[[#This Row],[Close]]</f>
        <v>41174.923860000003</v>
      </c>
      <c r="D32">
        <f>Table2[[#This Row],[Close]]+0.001*Table2[[#This Row],[Close]]</f>
        <v>41257.356139999996</v>
      </c>
      <c r="E32" t="str">
        <f>IF(Table2[[#This Row],[Close]]&gt;D31,"up",IF(Table2[[#This Row],[Close]]&lt;C31,"down","constant"))</f>
        <v>up</v>
      </c>
      <c r="F32" s="3">
        <f>IF(Table2[[#This Row],[States]]="up",1,IF(Table2[[#This Row],[States]]="down",-1,0))</f>
        <v>1</v>
      </c>
      <c r="G32">
        <f>IF(AND(Table2[[#This Row],[STATES in numeric format]]=-1,F31=1,F30=1),1,0)</f>
        <v>0</v>
      </c>
      <c r="H32">
        <f>IF(AND(Table2[[#This Row],[STATES in numeric format]]=-1,F31=-1,F30=-1),1,0)</f>
        <v>0</v>
      </c>
      <c r="I32">
        <f>IF(AND(Table2[[#This Row],[STATES in numeric format]]=-1,F31=-1,F30=1),1,0)</f>
        <v>0</v>
      </c>
      <c r="J32">
        <f>IF(AND(Table2[[#This Row],[STATES in numeric format]]=-1,F31=1,F30=-1),1,0)</f>
        <v>0</v>
      </c>
      <c r="K32">
        <f>IF(AND(Table2[[#This Row],[STATES in numeric format]]=-1,F31=0,F30=0),1,0)</f>
        <v>0</v>
      </c>
      <c r="L32">
        <f>IF(AND(Table2[[#This Row],[STATES in numeric format]]=-1,F31=1,F30=0),1,0)</f>
        <v>0</v>
      </c>
      <c r="M32">
        <f>IF(AND(Table2[[#This Row],[STATES in numeric format]]=-1,F31=-1,F30=0),1,0)</f>
        <v>0</v>
      </c>
      <c r="N32">
        <f>IF(AND(Table2[[#This Row],[STATES in numeric format]]=-1,F31=0,F30=1),1,0)</f>
        <v>0</v>
      </c>
      <c r="O32">
        <f>IF(AND(Table2[[#This Row],[STATES in numeric format]]=-1,F31=0,F30=-1),1,0)</f>
        <v>0</v>
      </c>
      <c r="P32">
        <f>IF(AND(Table2[[#This Row],[STATES in numeric format]]=1,F31=1,F30=1),1,0)</f>
        <v>0</v>
      </c>
      <c r="Q32">
        <f>IF(AND(Table2[[#This Row],[STATES in numeric format]]=1,F31=-1,F30=-1),1,0)</f>
        <v>1</v>
      </c>
      <c r="R32">
        <f>IF(AND(Table2[[#This Row],[STATES in numeric format]]=1,F31=-1,F30=1),1,0)</f>
        <v>0</v>
      </c>
      <c r="S32">
        <f>IF(AND(Table2[[#This Row],[STATES in numeric format]]=1,F31=1,F30=-1),1,0)</f>
        <v>0</v>
      </c>
      <c r="T32">
        <f>IF(AND(Table2[[#This Row],[STATES in numeric format]]=1,F31=0,F30=0),1,0)</f>
        <v>0</v>
      </c>
      <c r="U32">
        <f>IF(AND(Table2[[#This Row],[STATES in numeric format]]=1,F31=1,F30=0),1,0)</f>
        <v>0</v>
      </c>
      <c r="V32">
        <f>IF(AND(Table2[[#This Row],[STATES in numeric format]]=1,F31=-1,F30=0),1,0)</f>
        <v>0</v>
      </c>
      <c r="W32">
        <f>IF(AND(Table2[[#This Row],[STATES in numeric format]]=1,F31=0,F30=1),1,0)</f>
        <v>0</v>
      </c>
      <c r="X32">
        <f>IF(AND(Table2[[#This Row],[STATES in numeric format]]=1,F31=0,F30=-1),1,0)</f>
        <v>0</v>
      </c>
      <c r="Y32">
        <f>IF(AND(Table2[[#This Row],[STATES in numeric format]]=0,F31=1,F30=1),1,0)</f>
        <v>0</v>
      </c>
      <c r="Z32">
        <f>IF(AND(Table2[[#This Row],[STATES in numeric format]]=0,F31=-1,F30=-1),1,0)</f>
        <v>0</v>
      </c>
      <c r="AA32">
        <f>IF(AND(Table2[[#This Row],[STATES in numeric format]]=0,F31=-1,F30=1),1,0)</f>
        <v>0</v>
      </c>
      <c r="AB32">
        <f>IF(AND(Table2[[#This Row],[STATES in numeric format]]=0,F31=1,F30=-1),1,0)</f>
        <v>0</v>
      </c>
      <c r="AC32">
        <f>IF(AND(Table2[[#This Row],[STATES in numeric format]]=0,F31=0,F30=0),1,0)</f>
        <v>0</v>
      </c>
      <c r="AD32">
        <f>IF(AND(Table2[[#This Row],[STATES in numeric format]]=0,F31=1,F30=0),1,0)</f>
        <v>0</v>
      </c>
      <c r="AE32">
        <f>IF(AND(Table2[[#This Row],[STATES in numeric format]]=0,F31=-1,F30=0),1,0)</f>
        <v>0</v>
      </c>
      <c r="AF32">
        <f>IF(AND(Table2[[#This Row],[STATES in numeric format]]=0,F31=0,F30=1),1,0)</f>
        <v>0</v>
      </c>
      <c r="AG32">
        <f>IF(AND(Table2[[#This Row],[STATES in numeric format]]=0,F31=0,F30=-1),1,0)</f>
        <v>0</v>
      </c>
      <c r="AJ32" s="2">
        <v>-1</v>
      </c>
      <c r="AK32" s="2">
        <v>1</v>
      </c>
      <c r="AL32" s="8">
        <f>AL18/$AU$18</f>
        <v>0.44444444444444442</v>
      </c>
      <c r="AM32" s="8">
        <f t="shared" ref="AM32:AT32" si="6">AM18/$AU$18</f>
        <v>0</v>
      </c>
      <c r="AN32" s="8">
        <f t="shared" si="6"/>
        <v>0.44444444444444442</v>
      </c>
      <c r="AO32" s="8">
        <f t="shared" si="6"/>
        <v>0</v>
      </c>
      <c r="AP32" s="8">
        <f t="shared" si="6"/>
        <v>0</v>
      </c>
      <c r="AQ32" s="8">
        <f t="shared" si="6"/>
        <v>0</v>
      </c>
      <c r="AR32" s="8">
        <f t="shared" si="6"/>
        <v>0</v>
      </c>
      <c r="AS32" s="8">
        <f t="shared" si="6"/>
        <v>0.1111111111111111</v>
      </c>
      <c r="AT32" s="8">
        <f t="shared" si="6"/>
        <v>0</v>
      </c>
      <c r="AU32" s="23">
        <f t="shared" si="4"/>
        <v>1</v>
      </c>
    </row>
    <row r="33" spans="1:47" x14ac:dyDescent="0.3">
      <c r="A33" s="1">
        <v>43873</v>
      </c>
      <c r="B33">
        <v>41565.9</v>
      </c>
      <c r="C33">
        <f>Table2[[#This Row],[Close]]-0.001*Table2[[#This Row],[Close]]</f>
        <v>41524.3341</v>
      </c>
      <c r="D33">
        <f>Table2[[#This Row],[Close]]+0.001*Table2[[#This Row],[Close]]</f>
        <v>41607.465900000003</v>
      </c>
      <c r="E33" t="str">
        <f>IF(Table2[[#This Row],[Close]]&gt;D32,"up",IF(Table2[[#This Row],[Close]]&lt;C32,"down","constant"))</f>
        <v>up</v>
      </c>
      <c r="F33" s="3">
        <f>IF(Table2[[#This Row],[States]]="up",1,IF(Table2[[#This Row],[States]]="down",-1,0))</f>
        <v>1</v>
      </c>
      <c r="G33">
        <f>IF(AND(Table2[[#This Row],[STATES in numeric format]]=-1,F32=1,F31=1),1,0)</f>
        <v>0</v>
      </c>
      <c r="H33">
        <f>IF(AND(Table2[[#This Row],[STATES in numeric format]]=-1,F32=-1,F31=-1),1,0)</f>
        <v>0</v>
      </c>
      <c r="I33">
        <f>IF(AND(Table2[[#This Row],[STATES in numeric format]]=-1,F32=-1,F31=1),1,0)</f>
        <v>0</v>
      </c>
      <c r="J33">
        <f>IF(AND(Table2[[#This Row],[STATES in numeric format]]=-1,F32=1,F31=-1),1,0)</f>
        <v>0</v>
      </c>
      <c r="K33">
        <f>IF(AND(Table2[[#This Row],[STATES in numeric format]]=-1,F32=0,F31=0),1,0)</f>
        <v>0</v>
      </c>
      <c r="L33">
        <f>IF(AND(Table2[[#This Row],[STATES in numeric format]]=-1,F32=1,F31=0),1,0)</f>
        <v>0</v>
      </c>
      <c r="M33">
        <f>IF(AND(Table2[[#This Row],[STATES in numeric format]]=-1,F32=-1,F31=0),1,0)</f>
        <v>0</v>
      </c>
      <c r="N33">
        <f>IF(AND(Table2[[#This Row],[STATES in numeric format]]=-1,F32=0,F31=1),1,0)</f>
        <v>0</v>
      </c>
      <c r="O33">
        <f>IF(AND(Table2[[#This Row],[STATES in numeric format]]=-1,F32=0,F31=-1),1,0)</f>
        <v>0</v>
      </c>
      <c r="P33">
        <f>IF(AND(Table2[[#This Row],[STATES in numeric format]]=1,F32=1,F31=1),1,0)</f>
        <v>0</v>
      </c>
      <c r="Q33">
        <f>IF(AND(Table2[[#This Row],[STATES in numeric format]]=1,F32=-1,F31=-1),1,0)</f>
        <v>0</v>
      </c>
      <c r="R33">
        <f>IF(AND(Table2[[#This Row],[STATES in numeric format]]=1,F32=-1,F31=1),1,0)</f>
        <v>0</v>
      </c>
      <c r="S33">
        <f>IF(AND(Table2[[#This Row],[STATES in numeric format]]=1,F32=1,F31=-1),1,0)</f>
        <v>1</v>
      </c>
      <c r="T33">
        <f>IF(AND(Table2[[#This Row],[STATES in numeric format]]=1,F32=0,F31=0),1,0)</f>
        <v>0</v>
      </c>
      <c r="U33">
        <f>IF(AND(Table2[[#This Row],[STATES in numeric format]]=1,F32=1,F31=0),1,0)</f>
        <v>0</v>
      </c>
      <c r="V33">
        <f>IF(AND(Table2[[#This Row],[STATES in numeric format]]=1,F32=-1,F31=0),1,0)</f>
        <v>0</v>
      </c>
      <c r="W33">
        <f>IF(AND(Table2[[#This Row],[STATES in numeric format]]=1,F32=0,F31=1),1,0)</f>
        <v>0</v>
      </c>
      <c r="X33">
        <f>IF(AND(Table2[[#This Row],[STATES in numeric format]]=1,F32=0,F31=-1),1,0)</f>
        <v>0</v>
      </c>
      <c r="Y33">
        <f>IF(AND(Table2[[#This Row],[STATES in numeric format]]=0,F32=1,F31=1),1,0)</f>
        <v>0</v>
      </c>
      <c r="Z33">
        <f>IF(AND(Table2[[#This Row],[STATES in numeric format]]=0,F32=-1,F31=-1),1,0)</f>
        <v>0</v>
      </c>
      <c r="AA33">
        <f>IF(AND(Table2[[#This Row],[STATES in numeric format]]=0,F32=-1,F31=1),1,0)</f>
        <v>0</v>
      </c>
      <c r="AB33">
        <f>IF(AND(Table2[[#This Row],[STATES in numeric format]]=0,F32=1,F31=-1),1,0)</f>
        <v>0</v>
      </c>
      <c r="AC33">
        <f>IF(AND(Table2[[#This Row],[STATES in numeric format]]=0,F32=0,F31=0),1,0)</f>
        <v>0</v>
      </c>
      <c r="AD33">
        <f>IF(AND(Table2[[#This Row],[STATES in numeric format]]=0,F32=1,F31=0),1,0)</f>
        <v>0</v>
      </c>
      <c r="AE33">
        <f>IF(AND(Table2[[#This Row],[STATES in numeric format]]=0,F32=-1,F31=0),1,0)</f>
        <v>0</v>
      </c>
      <c r="AF33">
        <f>IF(AND(Table2[[#This Row],[STATES in numeric format]]=0,F32=0,F31=1),1,0)</f>
        <v>0</v>
      </c>
      <c r="AG33">
        <f>IF(AND(Table2[[#This Row],[STATES in numeric format]]=0,F32=0,F31=-1),1,0)</f>
        <v>0</v>
      </c>
      <c r="AJ33" s="2">
        <v>0</v>
      </c>
      <c r="AK33" s="2">
        <v>0</v>
      </c>
      <c r="AL33" s="8">
        <f>AL19/$AU$19</f>
        <v>0</v>
      </c>
      <c r="AM33" s="8">
        <f t="shared" ref="AM33:AT33" si="7">AM19/$AU$19</f>
        <v>0</v>
      </c>
      <c r="AN33" s="8">
        <f t="shared" si="7"/>
        <v>0</v>
      </c>
      <c r="AO33" s="8">
        <f t="shared" si="7"/>
        <v>0</v>
      </c>
      <c r="AP33" s="8">
        <f t="shared" si="7"/>
        <v>0</v>
      </c>
      <c r="AQ33" s="8">
        <f t="shared" si="7"/>
        <v>1</v>
      </c>
      <c r="AR33" s="8">
        <f t="shared" si="7"/>
        <v>0</v>
      </c>
      <c r="AS33" s="8">
        <f t="shared" si="7"/>
        <v>0</v>
      </c>
      <c r="AT33" s="8">
        <f t="shared" si="7"/>
        <v>0</v>
      </c>
      <c r="AU33" s="23">
        <f t="shared" si="4"/>
        <v>1</v>
      </c>
    </row>
    <row r="34" spans="1:47" x14ac:dyDescent="0.3">
      <c r="A34" s="1">
        <v>43874</v>
      </c>
      <c r="B34">
        <v>41459.79</v>
      </c>
      <c r="C34">
        <f>Table2[[#This Row],[Close]]-0.001*Table2[[#This Row],[Close]]</f>
        <v>41418.33021</v>
      </c>
      <c r="D34">
        <f>Table2[[#This Row],[Close]]+0.001*Table2[[#This Row],[Close]]</f>
        <v>41501.249790000002</v>
      </c>
      <c r="E34" t="str">
        <f>IF(Table2[[#This Row],[Close]]&gt;D33,"up",IF(Table2[[#This Row],[Close]]&lt;C33,"down","constant"))</f>
        <v>down</v>
      </c>
      <c r="F34" s="3">
        <f>IF(Table2[[#This Row],[States]]="up",1,IF(Table2[[#This Row],[States]]="down",-1,0))</f>
        <v>-1</v>
      </c>
      <c r="G34">
        <f>IF(AND(Table2[[#This Row],[STATES in numeric format]]=-1,F33=1,F32=1),1,0)</f>
        <v>1</v>
      </c>
      <c r="H34">
        <f>IF(AND(Table2[[#This Row],[STATES in numeric format]]=-1,F33=-1,F32=-1),1,0)</f>
        <v>0</v>
      </c>
      <c r="I34">
        <f>IF(AND(Table2[[#This Row],[STATES in numeric format]]=-1,F33=-1,F32=1),1,0)</f>
        <v>0</v>
      </c>
      <c r="J34">
        <f>IF(AND(Table2[[#This Row],[STATES in numeric format]]=-1,F33=1,F32=-1),1,0)</f>
        <v>0</v>
      </c>
      <c r="K34">
        <f>IF(AND(Table2[[#This Row],[STATES in numeric format]]=-1,F33=0,F32=0),1,0)</f>
        <v>0</v>
      </c>
      <c r="L34">
        <f>IF(AND(Table2[[#This Row],[STATES in numeric format]]=-1,F33=1,F32=0),1,0)</f>
        <v>0</v>
      </c>
      <c r="M34">
        <f>IF(AND(Table2[[#This Row],[STATES in numeric format]]=-1,F33=-1,F32=0),1,0)</f>
        <v>0</v>
      </c>
      <c r="N34">
        <f>IF(AND(Table2[[#This Row],[STATES in numeric format]]=-1,F33=0,F32=1),1,0)</f>
        <v>0</v>
      </c>
      <c r="O34">
        <f>IF(AND(Table2[[#This Row],[STATES in numeric format]]=-1,F33=0,F32=-1),1,0)</f>
        <v>0</v>
      </c>
      <c r="P34">
        <f>IF(AND(Table2[[#This Row],[STATES in numeric format]]=1,F33=1,F32=1),1,0)</f>
        <v>0</v>
      </c>
      <c r="Q34">
        <f>IF(AND(Table2[[#This Row],[STATES in numeric format]]=1,F33=-1,F32=-1),1,0)</f>
        <v>0</v>
      </c>
      <c r="R34">
        <f>IF(AND(Table2[[#This Row],[STATES in numeric format]]=1,F33=-1,F32=1),1,0)</f>
        <v>0</v>
      </c>
      <c r="S34">
        <f>IF(AND(Table2[[#This Row],[STATES in numeric format]]=1,F33=1,F32=-1),1,0)</f>
        <v>0</v>
      </c>
      <c r="T34">
        <f>IF(AND(Table2[[#This Row],[STATES in numeric format]]=1,F33=0,F32=0),1,0)</f>
        <v>0</v>
      </c>
      <c r="U34">
        <f>IF(AND(Table2[[#This Row],[STATES in numeric format]]=1,F33=1,F32=0),1,0)</f>
        <v>0</v>
      </c>
      <c r="V34">
        <f>IF(AND(Table2[[#This Row],[STATES in numeric format]]=1,F33=-1,F32=0),1,0)</f>
        <v>0</v>
      </c>
      <c r="W34">
        <f>IF(AND(Table2[[#This Row],[STATES in numeric format]]=1,F33=0,F32=1),1,0)</f>
        <v>0</v>
      </c>
      <c r="X34">
        <f>IF(AND(Table2[[#This Row],[STATES in numeric format]]=1,F33=0,F32=-1),1,0)</f>
        <v>0</v>
      </c>
      <c r="Y34">
        <f>IF(AND(Table2[[#This Row],[STATES in numeric format]]=0,F33=1,F32=1),1,0)</f>
        <v>0</v>
      </c>
      <c r="Z34">
        <f>IF(AND(Table2[[#This Row],[STATES in numeric format]]=0,F33=-1,F32=-1),1,0)</f>
        <v>0</v>
      </c>
      <c r="AA34">
        <f>IF(AND(Table2[[#This Row],[STATES in numeric format]]=0,F33=-1,F32=1),1,0)</f>
        <v>0</v>
      </c>
      <c r="AB34">
        <f>IF(AND(Table2[[#This Row],[STATES in numeric format]]=0,F33=1,F32=-1),1,0)</f>
        <v>0</v>
      </c>
      <c r="AC34">
        <f>IF(AND(Table2[[#This Row],[STATES in numeric format]]=0,F33=0,F32=0),1,0)</f>
        <v>0</v>
      </c>
      <c r="AD34">
        <f>IF(AND(Table2[[#This Row],[STATES in numeric format]]=0,F33=1,F32=0),1,0)</f>
        <v>0</v>
      </c>
      <c r="AE34">
        <f>IF(AND(Table2[[#This Row],[STATES in numeric format]]=0,F33=-1,F32=0),1,0)</f>
        <v>0</v>
      </c>
      <c r="AF34">
        <f>IF(AND(Table2[[#This Row],[STATES in numeric format]]=0,F33=0,F32=1),1,0)</f>
        <v>0</v>
      </c>
      <c r="AG34">
        <f>IF(AND(Table2[[#This Row],[STATES in numeric format]]=0,F33=0,F32=-1),1,0)</f>
        <v>0</v>
      </c>
      <c r="AJ34" s="2">
        <v>0</v>
      </c>
      <c r="AK34" s="2">
        <v>1</v>
      </c>
      <c r="AL34" s="8">
        <f>AL20/$AU$20</f>
        <v>0.625</v>
      </c>
      <c r="AM34" s="8">
        <f t="shared" ref="AM34:AT34" si="8">AM20/$AU$20</f>
        <v>0</v>
      </c>
      <c r="AN34" s="8">
        <f t="shared" si="8"/>
        <v>0.25</v>
      </c>
      <c r="AO34" s="8">
        <f t="shared" si="8"/>
        <v>0</v>
      </c>
      <c r="AP34" s="8">
        <f t="shared" si="8"/>
        <v>0</v>
      </c>
      <c r="AQ34" s="8">
        <f t="shared" si="8"/>
        <v>0</v>
      </c>
      <c r="AR34" s="8">
        <f t="shared" si="8"/>
        <v>0</v>
      </c>
      <c r="AS34" s="8">
        <f t="shared" si="8"/>
        <v>0.125</v>
      </c>
      <c r="AT34" s="8">
        <f t="shared" si="8"/>
        <v>0</v>
      </c>
      <c r="AU34" s="23">
        <f t="shared" si="4"/>
        <v>1</v>
      </c>
    </row>
    <row r="35" spans="1:47" x14ac:dyDescent="0.3">
      <c r="A35" s="1">
        <v>43875</v>
      </c>
      <c r="B35">
        <v>41257.74</v>
      </c>
      <c r="C35">
        <f>Table2[[#This Row],[Close]]-0.001*Table2[[#This Row],[Close]]</f>
        <v>41216.482259999997</v>
      </c>
      <c r="D35">
        <f>Table2[[#This Row],[Close]]+0.001*Table2[[#This Row],[Close]]</f>
        <v>41298.997739999999</v>
      </c>
      <c r="E35" t="str">
        <f>IF(Table2[[#This Row],[Close]]&gt;D34,"up",IF(Table2[[#This Row],[Close]]&lt;C34,"down","constant"))</f>
        <v>down</v>
      </c>
      <c r="F35" s="3">
        <f>IF(Table2[[#This Row],[States]]="up",1,IF(Table2[[#This Row],[States]]="down",-1,0))</f>
        <v>-1</v>
      </c>
      <c r="G35">
        <f>IF(AND(Table2[[#This Row],[STATES in numeric format]]=-1,F34=1,F33=1),1,0)</f>
        <v>0</v>
      </c>
      <c r="H35">
        <f>IF(AND(Table2[[#This Row],[STATES in numeric format]]=-1,F34=-1,F33=-1),1,0)</f>
        <v>0</v>
      </c>
      <c r="I35">
        <f>IF(AND(Table2[[#This Row],[STATES in numeric format]]=-1,F34=-1,F33=1),1,0)</f>
        <v>1</v>
      </c>
      <c r="J35">
        <f>IF(AND(Table2[[#This Row],[STATES in numeric format]]=-1,F34=1,F33=-1),1,0)</f>
        <v>0</v>
      </c>
      <c r="K35">
        <f>IF(AND(Table2[[#This Row],[STATES in numeric format]]=-1,F34=0,F33=0),1,0)</f>
        <v>0</v>
      </c>
      <c r="L35">
        <f>IF(AND(Table2[[#This Row],[STATES in numeric format]]=-1,F34=1,F33=0),1,0)</f>
        <v>0</v>
      </c>
      <c r="M35">
        <f>IF(AND(Table2[[#This Row],[STATES in numeric format]]=-1,F34=-1,F33=0),1,0)</f>
        <v>0</v>
      </c>
      <c r="N35">
        <f>IF(AND(Table2[[#This Row],[STATES in numeric format]]=-1,F34=0,F33=1),1,0)</f>
        <v>0</v>
      </c>
      <c r="O35">
        <f>IF(AND(Table2[[#This Row],[STATES in numeric format]]=-1,F34=0,F33=-1),1,0)</f>
        <v>0</v>
      </c>
      <c r="P35">
        <f>IF(AND(Table2[[#This Row],[STATES in numeric format]]=1,F34=1,F33=1),1,0)</f>
        <v>0</v>
      </c>
      <c r="Q35">
        <f>IF(AND(Table2[[#This Row],[STATES in numeric format]]=1,F34=-1,F33=-1),1,0)</f>
        <v>0</v>
      </c>
      <c r="R35">
        <f>IF(AND(Table2[[#This Row],[STATES in numeric format]]=1,F34=-1,F33=1),1,0)</f>
        <v>0</v>
      </c>
      <c r="S35">
        <f>IF(AND(Table2[[#This Row],[STATES in numeric format]]=1,F34=1,F33=-1),1,0)</f>
        <v>0</v>
      </c>
      <c r="T35">
        <f>IF(AND(Table2[[#This Row],[STATES in numeric format]]=1,F34=0,F33=0),1,0)</f>
        <v>0</v>
      </c>
      <c r="U35">
        <f>IF(AND(Table2[[#This Row],[STATES in numeric format]]=1,F34=1,F33=0),1,0)</f>
        <v>0</v>
      </c>
      <c r="V35">
        <f>IF(AND(Table2[[#This Row],[STATES in numeric format]]=1,F34=-1,F33=0),1,0)</f>
        <v>0</v>
      </c>
      <c r="W35">
        <f>IF(AND(Table2[[#This Row],[STATES in numeric format]]=1,F34=0,F33=1),1,0)</f>
        <v>0</v>
      </c>
      <c r="X35">
        <f>IF(AND(Table2[[#This Row],[STATES in numeric format]]=1,F34=0,F33=-1),1,0)</f>
        <v>0</v>
      </c>
      <c r="Y35">
        <f>IF(AND(Table2[[#This Row],[STATES in numeric format]]=0,F34=1,F33=1),1,0)</f>
        <v>0</v>
      </c>
      <c r="Z35">
        <f>IF(AND(Table2[[#This Row],[STATES in numeric format]]=0,F34=-1,F33=-1),1,0)</f>
        <v>0</v>
      </c>
      <c r="AA35">
        <f>IF(AND(Table2[[#This Row],[STATES in numeric format]]=0,F34=-1,F33=1),1,0)</f>
        <v>0</v>
      </c>
      <c r="AB35">
        <f>IF(AND(Table2[[#This Row],[STATES in numeric format]]=0,F34=1,F33=-1),1,0)</f>
        <v>0</v>
      </c>
      <c r="AC35">
        <f>IF(AND(Table2[[#This Row],[STATES in numeric format]]=0,F34=0,F33=0),1,0)</f>
        <v>0</v>
      </c>
      <c r="AD35">
        <f>IF(AND(Table2[[#This Row],[STATES in numeric format]]=0,F34=1,F33=0),1,0)</f>
        <v>0</v>
      </c>
      <c r="AE35">
        <f>IF(AND(Table2[[#This Row],[STATES in numeric format]]=0,F34=-1,F33=0),1,0)</f>
        <v>0</v>
      </c>
      <c r="AF35">
        <f>IF(AND(Table2[[#This Row],[STATES in numeric format]]=0,F34=0,F33=1),1,0)</f>
        <v>0</v>
      </c>
      <c r="AG35">
        <f>IF(AND(Table2[[#This Row],[STATES in numeric format]]=0,F34=0,F33=-1),1,0)</f>
        <v>0</v>
      </c>
      <c r="AJ35" s="2">
        <v>0</v>
      </c>
      <c r="AK35" s="2">
        <v>-1</v>
      </c>
      <c r="AL35" s="8">
        <f>AL21/$AU$21</f>
        <v>0</v>
      </c>
      <c r="AM35" s="8">
        <f t="shared" ref="AM35:AT35" si="9">AM21/$AU$21</f>
        <v>0.33333333333333331</v>
      </c>
      <c r="AN35" s="8">
        <f t="shared" si="9"/>
        <v>0</v>
      </c>
      <c r="AO35" s="8">
        <f t="shared" si="9"/>
        <v>0.66666666666666663</v>
      </c>
      <c r="AP35" s="8">
        <f t="shared" si="9"/>
        <v>0</v>
      </c>
      <c r="AQ35" s="8">
        <f t="shared" si="9"/>
        <v>0</v>
      </c>
      <c r="AR35" s="8">
        <f t="shared" si="9"/>
        <v>0</v>
      </c>
      <c r="AS35" s="8">
        <f t="shared" si="9"/>
        <v>0</v>
      </c>
      <c r="AT35" s="8">
        <f t="shared" si="9"/>
        <v>0</v>
      </c>
      <c r="AU35" s="23">
        <f t="shared" si="4"/>
        <v>1</v>
      </c>
    </row>
    <row r="36" spans="1:47" x14ac:dyDescent="0.3">
      <c r="A36" s="1">
        <v>43878</v>
      </c>
      <c r="B36">
        <v>41055.69</v>
      </c>
      <c r="C36">
        <f>Table2[[#This Row],[Close]]-0.001*Table2[[#This Row],[Close]]</f>
        <v>41014.634310000001</v>
      </c>
      <c r="D36">
        <f>Table2[[#This Row],[Close]]+0.001*Table2[[#This Row],[Close]]</f>
        <v>41096.745690000003</v>
      </c>
      <c r="E36" t="str">
        <f>IF(Table2[[#This Row],[Close]]&gt;D35,"up",IF(Table2[[#This Row],[Close]]&lt;C35,"down","constant"))</f>
        <v>down</v>
      </c>
      <c r="F36" s="3">
        <f>IF(Table2[[#This Row],[States]]="up",1,IF(Table2[[#This Row],[States]]="down",-1,0))</f>
        <v>-1</v>
      </c>
      <c r="G36">
        <f>IF(AND(Table2[[#This Row],[STATES in numeric format]]=-1,F35=1,F34=1),1,0)</f>
        <v>0</v>
      </c>
      <c r="H36">
        <f>IF(AND(Table2[[#This Row],[STATES in numeric format]]=-1,F35=-1,F34=-1),1,0)</f>
        <v>1</v>
      </c>
      <c r="I36">
        <f>IF(AND(Table2[[#This Row],[STATES in numeric format]]=-1,F35=-1,F34=1),1,0)</f>
        <v>0</v>
      </c>
      <c r="J36">
        <f>IF(AND(Table2[[#This Row],[STATES in numeric format]]=-1,F35=1,F34=-1),1,0)</f>
        <v>0</v>
      </c>
      <c r="K36">
        <f>IF(AND(Table2[[#This Row],[STATES in numeric format]]=-1,F35=0,F34=0),1,0)</f>
        <v>0</v>
      </c>
      <c r="L36">
        <f>IF(AND(Table2[[#This Row],[STATES in numeric format]]=-1,F35=1,F34=0),1,0)</f>
        <v>0</v>
      </c>
      <c r="M36">
        <f>IF(AND(Table2[[#This Row],[STATES in numeric format]]=-1,F35=-1,F34=0),1,0)</f>
        <v>0</v>
      </c>
      <c r="N36">
        <f>IF(AND(Table2[[#This Row],[STATES in numeric format]]=-1,F35=0,F34=1),1,0)</f>
        <v>0</v>
      </c>
      <c r="O36">
        <f>IF(AND(Table2[[#This Row],[STATES in numeric format]]=-1,F35=0,F34=-1),1,0)</f>
        <v>0</v>
      </c>
      <c r="P36">
        <f>IF(AND(Table2[[#This Row],[STATES in numeric format]]=1,F35=1,F34=1),1,0)</f>
        <v>0</v>
      </c>
      <c r="Q36">
        <f>IF(AND(Table2[[#This Row],[STATES in numeric format]]=1,F35=-1,F34=-1),1,0)</f>
        <v>0</v>
      </c>
      <c r="R36">
        <f>IF(AND(Table2[[#This Row],[STATES in numeric format]]=1,F35=-1,F34=1),1,0)</f>
        <v>0</v>
      </c>
      <c r="S36">
        <f>IF(AND(Table2[[#This Row],[STATES in numeric format]]=1,F35=1,F34=-1),1,0)</f>
        <v>0</v>
      </c>
      <c r="T36">
        <f>IF(AND(Table2[[#This Row],[STATES in numeric format]]=1,F35=0,F34=0),1,0)</f>
        <v>0</v>
      </c>
      <c r="U36">
        <f>IF(AND(Table2[[#This Row],[STATES in numeric format]]=1,F35=1,F34=0),1,0)</f>
        <v>0</v>
      </c>
      <c r="V36">
        <f>IF(AND(Table2[[#This Row],[STATES in numeric format]]=1,F35=-1,F34=0),1,0)</f>
        <v>0</v>
      </c>
      <c r="W36">
        <f>IF(AND(Table2[[#This Row],[STATES in numeric format]]=1,F35=0,F34=1),1,0)</f>
        <v>0</v>
      </c>
      <c r="X36">
        <f>IF(AND(Table2[[#This Row],[STATES in numeric format]]=1,F35=0,F34=-1),1,0)</f>
        <v>0</v>
      </c>
      <c r="Y36">
        <f>IF(AND(Table2[[#This Row],[STATES in numeric format]]=0,F35=1,F34=1),1,0)</f>
        <v>0</v>
      </c>
      <c r="Z36">
        <f>IF(AND(Table2[[#This Row],[STATES in numeric format]]=0,F35=-1,F34=-1),1,0)</f>
        <v>0</v>
      </c>
      <c r="AA36">
        <f>IF(AND(Table2[[#This Row],[STATES in numeric format]]=0,F35=-1,F34=1),1,0)</f>
        <v>0</v>
      </c>
      <c r="AB36">
        <f>IF(AND(Table2[[#This Row],[STATES in numeric format]]=0,F35=1,F34=-1),1,0)</f>
        <v>0</v>
      </c>
      <c r="AC36">
        <f>IF(AND(Table2[[#This Row],[STATES in numeric format]]=0,F35=0,F34=0),1,0)</f>
        <v>0</v>
      </c>
      <c r="AD36">
        <f>IF(AND(Table2[[#This Row],[STATES in numeric format]]=0,F35=1,F34=0),1,0)</f>
        <v>0</v>
      </c>
      <c r="AE36">
        <f>IF(AND(Table2[[#This Row],[STATES in numeric format]]=0,F35=-1,F34=0),1,0)</f>
        <v>0</v>
      </c>
      <c r="AF36">
        <f>IF(AND(Table2[[#This Row],[STATES in numeric format]]=0,F35=0,F34=1),1,0)</f>
        <v>0</v>
      </c>
      <c r="AG36">
        <f>IF(AND(Table2[[#This Row],[STATES in numeric format]]=0,F35=0,F34=-1),1,0)</f>
        <v>0</v>
      </c>
      <c r="AJ36" s="2">
        <v>1</v>
      </c>
      <c r="AK36" s="2">
        <v>0</v>
      </c>
      <c r="AL36" s="8">
        <f>AL22/$AU$22</f>
        <v>0</v>
      </c>
      <c r="AM36" s="8">
        <f t="shared" ref="AM36:AT36" si="10">AM22/$AU$22</f>
        <v>0</v>
      </c>
      <c r="AN36" s="8">
        <f t="shared" si="10"/>
        <v>0</v>
      </c>
      <c r="AO36" s="8">
        <f t="shared" si="10"/>
        <v>0</v>
      </c>
      <c r="AP36" s="8">
        <f t="shared" si="10"/>
        <v>9.0909090909090912E-2</v>
      </c>
      <c r="AQ36" s="8">
        <f t="shared" si="10"/>
        <v>0.45454545454545453</v>
      </c>
      <c r="AR36" s="8">
        <f t="shared" si="10"/>
        <v>0.45454545454545453</v>
      </c>
      <c r="AS36" s="8">
        <f t="shared" si="10"/>
        <v>0</v>
      </c>
      <c r="AT36" s="8">
        <f t="shared" si="10"/>
        <v>0</v>
      </c>
      <c r="AU36" s="23">
        <f t="shared" si="4"/>
        <v>1</v>
      </c>
    </row>
    <row r="37" spans="1:47" x14ac:dyDescent="0.3">
      <c r="A37" s="1">
        <v>43879</v>
      </c>
      <c r="B37">
        <v>40894.379999999997</v>
      </c>
      <c r="C37">
        <f>Table2[[#This Row],[Close]]-0.001*Table2[[#This Row],[Close]]</f>
        <v>40853.485619999999</v>
      </c>
      <c r="D37">
        <f>Table2[[#This Row],[Close]]+0.001*Table2[[#This Row],[Close]]</f>
        <v>40935.274379999995</v>
      </c>
      <c r="E37" t="str">
        <f>IF(Table2[[#This Row],[Close]]&gt;D36,"up",IF(Table2[[#This Row],[Close]]&lt;C36,"down","constant"))</f>
        <v>down</v>
      </c>
      <c r="F37" s="3">
        <f>IF(Table2[[#This Row],[States]]="up",1,IF(Table2[[#This Row],[States]]="down",-1,0))</f>
        <v>-1</v>
      </c>
      <c r="G37">
        <f>IF(AND(Table2[[#This Row],[STATES in numeric format]]=-1,F36=1,F35=1),1,0)</f>
        <v>0</v>
      </c>
      <c r="H37">
        <f>IF(AND(Table2[[#This Row],[STATES in numeric format]]=-1,F36=-1,F35=-1),1,0)</f>
        <v>1</v>
      </c>
      <c r="I37">
        <f>IF(AND(Table2[[#This Row],[STATES in numeric format]]=-1,F36=-1,F35=1),1,0)</f>
        <v>0</v>
      </c>
      <c r="J37">
        <f>IF(AND(Table2[[#This Row],[STATES in numeric format]]=-1,F36=1,F35=-1),1,0)</f>
        <v>0</v>
      </c>
      <c r="K37">
        <f>IF(AND(Table2[[#This Row],[STATES in numeric format]]=-1,F36=0,F35=0),1,0)</f>
        <v>0</v>
      </c>
      <c r="L37">
        <f>IF(AND(Table2[[#This Row],[STATES in numeric format]]=-1,F36=1,F35=0),1,0)</f>
        <v>0</v>
      </c>
      <c r="M37">
        <f>IF(AND(Table2[[#This Row],[STATES in numeric format]]=-1,F36=-1,F35=0),1,0)</f>
        <v>0</v>
      </c>
      <c r="N37">
        <f>IF(AND(Table2[[#This Row],[STATES in numeric format]]=-1,F36=0,F35=1),1,0)</f>
        <v>0</v>
      </c>
      <c r="O37">
        <f>IF(AND(Table2[[#This Row],[STATES in numeric format]]=-1,F36=0,F35=-1),1,0)</f>
        <v>0</v>
      </c>
      <c r="P37">
        <f>IF(AND(Table2[[#This Row],[STATES in numeric format]]=1,F36=1,F35=1),1,0)</f>
        <v>0</v>
      </c>
      <c r="Q37">
        <f>IF(AND(Table2[[#This Row],[STATES in numeric format]]=1,F36=-1,F35=-1),1,0)</f>
        <v>0</v>
      </c>
      <c r="R37">
        <f>IF(AND(Table2[[#This Row],[STATES in numeric format]]=1,F36=-1,F35=1),1,0)</f>
        <v>0</v>
      </c>
      <c r="S37">
        <f>IF(AND(Table2[[#This Row],[STATES in numeric format]]=1,F36=1,F35=-1),1,0)</f>
        <v>0</v>
      </c>
      <c r="T37">
        <f>IF(AND(Table2[[#This Row],[STATES in numeric format]]=1,F36=0,F35=0),1,0)</f>
        <v>0</v>
      </c>
      <c r="U37">
        <f>IF(AND(Table2[[#This Row],[STATES in numeric format]]=1,F36=1,F35=0),1,0)</f>
        <v>0</v>
      </c>
      <c r="V37">
        <f>IF(AND(Table2[[#This Row],[STATES in numeric format]]=1,F36=-1,F35=0),1,0)</f>
        <v>0</v>
      </c>
      <c r="W37">
        <f>IF(AND(Table2[[#This Row],[STATES in numeric format]]=1,F36=0,F35=1),1,0)</f>
        <v>0</v>
      </c>
      <c r="X37">
        <f>IF(AND(Table2[[#This Row],[STATES in numeric format]]=1,F36=0,F35=-1),1,0)</f>
        <v>0</v>
      </c>
      <c r="Y37">
        <f>IF(AND(Table2[[#This Row],[STATES in numeric format]]=0,F36=1,F35=1),1,0)</f>
        <v>0</v>
      </c>
      <c r="Z37">
        <f>IF(AND(Table2[[#This Row],[STATES in numeric format]]=0,F36=-1,F35=-1),1,0)</f>
        <v>0</v>
      </c>
      <c r="AA37">
        <f>IF(AND(Table2[[#This Row],[STATES in numeric format]]=0,F36=-1,F35=1),1,0)</f>
        <v>0</v>
      </c>
      <c r="AB37">
        <f>IF(AND(Table2[[#This Row],[STATES in numeric format]]=0,F36=1,F35=-1),1,0)</f>
        <v>0</v>
      </c>
      <c r="AC37">
        <f>IF(AND(Table2[[#This Row],[STATES in numeric format]]=0,F36=0,F35=0),1,0)</f>
        <v>0</v>
      </c>
      <c r="AD37">
        <f>IF(AND(Table2[[#This Row],[STATES in numeric format]]=0,F36=1,F35=0),1,0)</f>
        <v>0</v>
      </c>
      <c r="AE37">
        <f>IF(AND(Table2[[#This Row],[STATES in numeric format]]=0,F36=-1,F35=0),1,0)</f>
        <v>0</v>
      </c>
      <c r="AF37">
        <f>IF(AND(Table2[[#This Row],[STATES in numeric format]]=0,F36=0,F35=1),1,0)</f>
        <v>0</v>
      </c>
      <c r="AG37">
        <f>IF(AND(Table2[[#This Row],[STATES in numeric format]]=0,F36=0,F35=-1),1,0)</f>
        <v>0</v>
      </c>
      <c r="AJ37" s="2">
        <v>-1</v>
      </c>
      <c r="AK37" s="2">
        <v>0</v>
      </c>
      <c r="AL37" s="12">
        <f>AL23/$AU$23</f>
        <v>0</v>
      </c>
      <c r="AM37" s="12">
        <f t="shared" ref="AM37:AT37" si="11">AM23/$AU$23</f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0.66666666666666663</v>
      </c>
      <c r="AR37" s="12">
        <f t="shared" si="11"/>
        <v>0.33333333333333331</v>
      </c>
      <c r="AS37" s="12">
        <f t="shared" si="11"/>
        <v>0</v>
      </c>
      <c r="AT37" s="12">
        <f t="shared" si="11"/>
        <v>0</v>
      </c>
      <c r="AU37" s="23">
        <f t="shared" si="4"/>
        <v>1</v>
      </c>
    </row>
    <row r="38" spans="1:47" x14ac:dyDescent="0.3">
      <c r="A38" s="1">
        <v>43880</v>
      </c>
      <c r="B38">
        <v>41323</v>
      </c>
      <c r="C38">
        <f>Table2[[#This Row],[Close]]-0.001*Table2[[#This Row],[Close]]</f>
        <v>41281.677000000003</v>
      </c>
      <c r="D38">
        <f>Table2[[#This Row],[Close]]+0.001*Table2[[#This Row],[Close]]</f>
        <v>41364.322999999997</v>
      </c>
      <c r="E38" t="str">
        <f>IF(Table2[[#This Row],[Close]]&gt;D37,"up",IF(Table2[[#This Row],[Close]]&lt;C37,"down","constant"))</f>
        <v>up</v>
      </c>
      <c r="F38" s="3">
        <f>IF(Table2[[#This Row],[States]]="up",1,IF(Table2[[#This Row],[States]]="down",-1,0))</f>
        <v>1</v>
      </c>
      <c r="G38">
        <f>IF(AND(Table2[[#This Row],[STATES in numeric format]]=-1,F37=1,F36=1),1,0)</f>
        <v>0</v>
      </c>
      <c r="H38">
        <f>IF(AND(Table2[[#This Row],[STATES in numeric format]]=-1,F37=-1,F36=-1),1,0)</f>
        <v>0</v>
      </c>
      <c r="I38">
        <f>IF(AND(Table2[[#This Row],[STATES in numeric format]]=-1,F37=-1,F36=1),1,0)</f>
        <v>0</v>
      </c>
      <c r="J38">
        <f>IF(AND(Table2[[#This Row],[STATES in numeric format]]=-1,F37=1,F36=-1),1,0)</f>
        <v>0</v>
      </c>
      <c r="K38">
        <f>IF(AND(Table2[[#This Row],[STATES in numeric format]]=-1,F37=0,F36=0),1,0)</f>
        <v>0</v>
      </c>
      <c r="L38">
        <f>IF(AND(Table2[[#This Row],[STATES in numeric format]]=-1,F37=1,F36=0),1,0)</f>
        <v>0</v>
      </c>
      <c r="M38">
        <f>IF(AND(Table2[[#This Row],[STATES in numeric format]]=-1,F37=-1,F36=0),1,0)</f>
        <v>0</v>
      </c>
      <c r="N38">
        <f>IF(AND(Table2[[#This Row],[STATES in numeric format]]=-1,F37=0,F36=1),1,0)</f>
        <v>0</v>
      </c>
      <c r="O38">
        <f>IF(AND(Table2[[#This Row],[STATES in numeric format]]=-1,F37=0,F36=-1),1,0)</f>
        <v>0</v>
      </c>
      <c r="P38">
        <f>IF(AND(Table2[[#This Row],[STATES in numeric format]]=1,F37=1,F36=1),1,0)</f>
        <v>0</v>
      </c>
      <c r="Q38">
        <f>IF(AND(Table2[[#This Row],[STATES in numeric format]]=1,F37=-1,F36=-1),1,0)</f>
        <v>1</v>
      </c>
      <c r="R38">
        <f>IF(AND(Table2[[#This Row],[STATES in numeric format]]=1,F37=-1,F36=1),1,0)</f>
        <v>0</v>
      </c>
      <c r="S38">
        <f>IF(AND(Table2[[#This Row],[STATES in numeric format]]=1,F37=1,F36=-1),1,0)</f>
        <v>0</v>
      </c>
      <c r="T38">
        <f>IF(AND(Table2[[#This Row],[STATES in numeric format]]=1,F37=0,F36=0),1,0)</f>
        <v>0</v>
      </c>
      <c r="U38">
        <f>IF(AND(Table2[[#This Row],[STATES in numeric format]]=1,F37=1,F36=0),1,0)</f>
        <v>0</v>
      </c>
      <c r="V38">
        <f>IF(AND(Table2[[#This Row],[STATES in numeric format]]=1,F37=-1,F36=0),1,0)</f>
        <v>0</v>
      </c>
      <c r="W38">
        <f>IF(AND(Table2[[#This Row],[STATES in numeric format]]=1,F37=0,F36=1),1,0)</f>
        <v>0</v>
      </c>
      <c r="X38">
        <f>IF(AND(Table2[[#This Row],[STATES in numeric format]]=1,F37=0,F36=-1),1,0)</f>
        <v>0</v>
      </c>
      <c r="Y38">
        <f>IF(AND(Table2[[#This Row],[STATES in numeric format]]=0,F37=1,F36=1),1,0)</f>
        <v>0</v>
      </c>
      <c r="Z38">
        <f>IF(AND(Table2[[#This Row],[STATES in numeric format]]=0,F37=-1,F36=-1),1,0)</f>
        <v>0</v>
      </c>
      <c r="AA38">
        <f>IF(AND(Table2[[#This Row],[STATES in numeric format]]=0,F37=-1,F36=1),1,0)</f>
        <v>0</v>
      </c>
      <c r="AB38">
        <f>IF(AND(Table2[[#This Row],[STATES in numeric format]]=0,F37=1,F36=-1),1,0)</f>
        <v>0</v>
      </c>
      <c r="AC38">
        <f>IF(AND(Table2[[#This Row],[STATES in numeric format]]=0,F37=0,F36=0),1,0)</f>
        <v>0</v>
      </c>
      <c r="AD38">
        <f>IF(AND(Table2[[#This Row],[STATES in numeric format]]=0,F37=1,F36=0),1,0)</f>
        <v>0</v>
      </c>
      <c r="AE38">
        <f>IF(AND(Table2[[#This Row],[STATES in numeric format]]=0,F37=-1,F36=0),1,0)</f>
        <v>0</v>
      </c>
      <c r="AF38">
        <f>IF(AND(Table2[[#This Row],[STATES in numeric format]]=0,F37=0,F36=1),1,0)</f>
        <v>0</v>
      </c>
      <c r="AG38">
        <f>IF(AND(Table2[[#This Row],[STATES in numeric format]]=0,F37=0,F36=-1),1,0)</f>
        <v>0</v>
      </c>
      <c r="AJ38" s="18"/>
      <c r="AK38" s="18"/>
      <c r="AL38" s="14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3">
      <c r="A39" s="1">
        <v>43881</v>
      </c>
      <c r="B39">
        <v>41170.120000000003</v>
      </c>
      <c r="C39">
        <f>Table2[[#This Row],[Close]]-0.001*Table2[[#This Row],[Close]]</f>
        <v>41128.94988</v>
      </c>
      <c r="D39">
        <f>Table2[[#This Row],[Close]]+0.001*Table2[[#This Row],[Close]]</f>
        <v>41211.290120000005</v>
      </c>
      <c r="E39" t="str">
        <f>IF(Table2[[#This Row],[Close]]&gt;D38,"up",IF(Table2[[#This Row],[Close]]&lt;C38,"down","constant"))</f>
        <v>down</v>
      </c>
      <c r="F39" s="3">
        <f>IF(Table2[[#This Row],[States]]="up",1,IF(Table2[[#This Row],[States]]="down",-1,0))</f>
        <v>-1</v>
      </c>
      <c r="G39">
        <f>IF(AND(Table2[[#This Row],[STATES in numeric format]]=-1,F38=1,F37=1),1,0)</f>
        <v>0</v>
      </c>
      <c r="H39">
        <f>IF(AND(Table2[[#This Row],[STATES in numeric format]]=-1,F38=-1,F37=-1),1,0)</f>
        <v>0</v>
      </c>
      <c r="I39">
        <f>IF(AND(Table2[[#This Row],[STATES in numeric format]]=-1,F38=-1,F37=1),1,0)</f>
        <v>0</v>
      </c>
      <c r="J39">
        <f>IF(AND(Table2[[#This Row],[STATES in numeric format]]=-1,F38=1,F37=-1),1,0)</f>
        <v>1</v>
      </c>
      <c r="K39">
        <f>IF(AND(Table2[[#This Row],[STATES in numeric format]]=-1,F38=0,F37=0),1,0)</f>
        <v>0</v>
      </c>
      <c r="L39">
        <f>IF(AND(Table2[[#This Row],[STATES in numeric format]]=-1,F38=1,F37=0),1,0)</f>
        <v>0</v>
      </c>
      <c r="M39">
        <f>IF(AND(Table2[[#This Row],[STATES in numeric format]]=-1,F38=-1,F37=0),1,0)</f>
        <v>0</v>
      </c>
      <c r="N39">
        <f>IF(AND(Table2[[#This Row],[STATES in numeric format]]=-1,F38=0,F37=1),1,0)</f>
        <v>0</v>
      </c>
      <c r="O39">
        <f>IF(AND(Table2[[#This Row],[STATES in numeric format]]=-1,F38=0,F37=-1),1,0)</f>
        <v>0</v>
      </c>
      <c r="P39">
        <f>IF(AND(Table2[[#This Row],[STATES in numeric format]]=1,F38=1,F37=1),1,0)</f>
        <v>0</v>
      </c>
      <c r="Q39">
        <f>IF(AND(Table2[[#This Row],[STATES in numeric format]]=1,F38=-1,F37=-1),1,0)</f>
        <v>0</v>
      </c>
      <c r="R39">
        <f>IF(AND(Table2[[#This Row],[STATES in numeric format]]=1,F38=-1,F37=1),1,0)</f>
        <v>0</v>
      </c>
      <c r="S39">
        <f>IF(AND(Table2[[#This Row],[STATES in numeric format]]=1,F38=1,F37=-1),1,0)</f>
        <v>0</v>
      </c>
      <c r="T39">
        <f>IF(AND(Table2[[#This Row],[STATES in numeric format]]=1,F38=0,F37=0),1,0)</f>
        <v>0</v>
      </c>
      <c r="U39">
        <f>IF(AND(Table2[[#This Row],[STATES in numeric format]]=1,F38=1,F37=0),1,0)</f>
        <v>0</v>
      </c>
      <c r="V39">
        <f>IF(AND(Table2[[#This Row],[STATES in numeric format]]=1,F38=-1,F37=0),1,0)</f>
        <v>0</v>
      </c>
      <c r="W39">
        <f>IF(AND(Table2[[#This Row],[STATES in numeric format]]=1,F38=0,F37=1),1,0)</f>
        <v>0</v>
      </c>
      <c r="X39">
        <f>IF(AND(Table2[[#This Row],[STATES in numeric format]]=1,F38=0,F37=-1),1,0)</f>
        <v>0</v>
      </c>
      <c r="Y39">
        <f>IF(AND(Table2[[#This Row],[STATES in numeric format]]=0,F38=1,F37=1),1,0)</f>
        <v>0</v>
      </c>
      <c r="Z39">
        <f>IF(AND(Table2[[#This Row],[STATES in numeric format]]=0,F38=-1,F37=-1),1,0)</f>
        <v>0</v>
      </c>
      <c r="AA39">
        <f>IF(AND(Table2[[#This Row],[STATES in numeric format]]=0,F38=-1,F37=1),1,0)</f>
        <v>0</v>
      </c>
      <c r="AB39">
        <f>IF(AND(Table2[[#This Row],[STATES in numeric format]]=0,F38=1,F37=-1),1,0)</f>
        <v>0</v>
      </c>
      <c r="AC39">
        <f>IF(AND(Table2[[#This Row],[STATES in numeric format]]=0,F38=0,F37=0),1,0)</f>
        <v>0</v>
      </c>
      <c r="AD39">
        <f>IF(AND(Table2[[#This Row],[STATES in numeric format]]=0,F38=1,F37=0),1,0)</f>
        <v>0</v>
      </c>
      <c r="AE39">
        <f>IF(AND(Table2[[#This Row],[STATES in numeric format]]=0,F38=-1,F37=0),1,0)</f>
        <v>0</v>
      </c>
      <c r="AF39">
        <f>IF(AND(Table2[[#This Row],[STATES in numeric format]]=0,F38=0,F37=1),1,0)</f>
        <v>0</v>
      </c>
      <c r="AG39">
        <f>IF(AND(Table2[[#This Row],[STATES in numeric format]]=0,F38=0,F37=-1),1,0)</f>
        <v>0</v>
      </c>
    </row>
    <row r="40" spans="1:47" x14ac:dyDescent="0.3">
      <c r="A40" s="1">
        <v>43885</v>
      </c>
      <c r="B40">
        <v>40363.230000000003</v>
      </c>
      <c r="C40">
        <f>Table2[[#This Row],[Close]]-0.001*Table2[[#This Row],[Close]]</f>
        <v>40322.866770000001</v>
      </c>
      <c r="D40">
        <f>Table2[[#This Row],[Close]]+0.001*Table2[[#This Row],[Close]]</f>
        <v>40403.593230000006</v>
      </c>
      <c r="E40" t="str">
        <f>IF(Table2[[#This Row],[Close]]&gt;D39,"up",IF(Table2[[#This Row],[Close]]&lt;C39,"down","constant"))</f>
        <v>down</v>
      </c>
      <c r="F40" s="3">
        <f>IF(Table2[[#This Row],[States]]="up",1,IF(Table2[[#This Row],[States]]="down",-1,0))</f>
        <v>-1</v>
      </c>
      <c r="G40">
        <f>IF(AND(Table2[[#This Row],[STATES in numeric format]]=-1,F39=1,F38=1),1,0)</f>
        <v>0</v>
      </c>
      <c r="H40">
        <f>IF(AND(Table2[[#This Row],[STATES in numeric format]]=-1,F39=-1,F38=-1),1,0)</f>
        <v>0</v>
      </c>
      <c r="I40">
        <f>IF(AND(Table2[[#This Row],[STATES in numeric format]]=-1,F39=-1,F38=1),1,0)</f>
        <v>1</v>
      </c>
      <c r="J40">
        <f>IF(AND(Table2[[#This Row],[STATES in numeric format]]=-1,F39=1,F38=-1),1,0)</f>
        <v>0</v>
      </c>
      <c r="K40">
        <f>IF(AND(Table2[[#This Row],[STATES in numeric format]]=-1,F39=0,F38=0),1,0)</f>
        <v>0</v>
      </c>
      <c r="L40">
        <f>IF(AND(Table2[[#This Row],[STATES in numeric format]]=-1,F39=1,F38=0),1,0)</f>
        <v>0</v>
      </c>
      <c r="M40">
        <f>IF(AND(Table2[[#This Row],[STATES in numeric format]]=-1,F39=-1,F38=0),1,0)</f>
        <v>0</v>
      </c>
      <c r="N40">
        <f>IF(AND(Table2[[#This Row],[STATES in numeric format]]=-1,F39=0,F38=1),1,0)</f>
        <v>0</v>
      </c>
      <c r="O40">
        <f>IF(AND(Table2[[#This Row],[STATES in numeric format]]=-1,F39=0,F38=-1),1,0)</f>
        <v>0</v>
      </c>
      <c r="P40">
        <f>IF(AND(Table2[[#This Row],[STATES in numeric format]]=1,F39=1,F38=1),1,0)</f>
        <v>0</v>
      </c>
      <c r="Q40">
        <f>IF(AND(Table2[[#This Row],[STATES in numeric format]]=1,F39=-1,F38=-1),1,0)</f>
        <v>0</v>
      </c>
      <c r="R40">
        <f>IF(AND(Table2[[#This Row],[STATES in numeric format]]=1,F39=-1,F38=1),1,0)</f>
        <v>0</v>
      </c>
      <c r="S40">
        <f>IF(AND(Table2[[#This Row],[STATES in numeric format]]=1,F39=1,F38=-1),1,0)</f>
        <v>0</v>
      </c>
      <c r="T40">
        <f>IF(AND(Table2[[#This Row],[STATES in numeric format]]=1,F39=0,F38=0),1,0)</f>
        <v>0</v>
      </c>
      <c r="U40">
        <f>IF(AND(Table2[[#This Row],[STATES in numeric format]]=1,F39=1,F38=0),1,0)</f>
        <v>0</v>
      </c>
      <c r="V40">
        <f>IF(AND(Table2[[#This Row],[STATES in numeric format]]=1,F39=-1,F38=0),1,0)</f>
        <v>0</v>
      </c>
      <c r="W40">
        <f>IF(AND(Table2[[#This Row],[STATES in numeric format]]=1,F39=0,F38=1),1,0)</f>
        <v>0</v>
      </c>
      <c r="X40">
        <f>IF(AND(Table2[[#This Row],[STATES in numeric format]]=1,F39=0,F38=-1),1,0)</f>
        <v>0</v>
      </c>
      <c r="Y40">
        <f>IF(AND(Table2[[#This Row],[STATES in numeric format]]=0,F39=1,F38=1),1,0)</f>
        <v>0</v>
      </c>
      <c r="Z40">
        <f>IF(AND(Table2[[#This Row],[STATES in numeric format]]=0,F39=-1,F38=-1),1,0)</f>
        <v>0</v>
      </c>
      <c r="AA40">
        <f>IF(AND(Table2[[#This Row],[STATES in numeric format]]=0,F39=-1,F38=1),1,0)</f>
        <v>0</v>
      </c>
      <c r="AB40">
        <f>IF(AND(Table2[[#This Row],[STATES in numeric format]]=0,F39=1,F38=-1),1,0)</f>
        <v>0</v>
      </c>
      <c r="AC40">
        <f>IF(AND(Table2[[#This Row],[STATES in numeric format]]=0,F39=0,F38=0),1,0)</f>
        <v>0</v>
      </c>
      <c r="AD40">
        <f>IF(AND(Table2[[#This Row],[STATES in numeric format]]=0,F39=1,F38=0),1,0)</f>
        <v>0</v>
      </c>
      <c r="AE40">
        <f>IF(AND(Table2[[#This Row],[STATES in numeric format]]=0,F39=-1,F38=0),1,0)</f>
        <v>0</v>
      </c>
      <c r="AF40">
        <f>IF(AND(Table2[[#This Row],[STATES in numeric format]]=0,F39=0,F38=1),1,0)</f>
        <v>0</v>
      </c>
      <c r="AG40">
        <f>IF(AND(Table2[[#This Row],[STATES in numeric format]]=0,F39=0,F38=-1),1,0)</f>
        <v>0</v>
      </c>
    </row>
    <row r="41" spans="1:47" x14ac:dyDescent="0.3">
      <c r="A41" s="1">
        <v>43886</v>
      </c>
      <c r="B41">
        <v>40281.199999999997</v>
      </c>
      <c r="C41">
        <f>Table2[[#This Row],[Close]]-0.001*Table2[[#This Row],[Close]]</f>
        <v>40240.918799999999</v>
      </c>
      <c r="D41">
        <f>Table2[[#This Row],[Close]]+0.001*Table2[[#This Row],[Close]]</f>
        <v>40321.481199999995</v>
      </c>
      <c r="E41" t="str">
        <f>IF(Table2[[#This Row],[Close]]&gt;D40,"up",IF(Table2[[#This Row],[Close]]&lt;C40,"down","constant"))</f>
        <v>down</v>
      </c>
      <c r="F41" s="3">
        <f>IF(Table2[[#This Row],[States]]="up",1,IF(Table2[[#This Row],[States]]="down",-1,0))</f>
        <v>-1</v>
      </c>
      <c r="G41">
        <f>IF(AND(Table2[[#This Row],[STATES in numeric format]]=-1,F40=1,F39=1),1,0)</f>
        <v>0</v>
      </c>
      <c r="H41">
        <f>IF(AND(Table2[[#This Row],[STATES in numeric format]]=-1,F40=-1,F39=-1),1,0)</f>
        <v>1</v>
      </c>
      <c r="I41">
        <f>IF(AND(Table2[[#This Row],[STATES in numeric format]]=-1,F40=-1,F39=1),1,0)</f>
        <v>0</v>
      </c>
      <c r="J41">
        <f>IF(AND(Table2[[#This Row],[STATES in numeric format]]=-1,F40=1,F39=-1),1,0)</f>
        <v>0</v>
      </c>
      <c r="K41">
        <f>IF(AND(Table2[[#This Row],[STATES in numeric format]]=-1,F40=0,F39=0),1,0)</f>
        <v>0</v>
      </c>
      <c r="L41">
        <f>IF(AND(Table2[[#This Row],[STATES in numeric format]]=-1,F40=1,F39=0),1,0)</f>
        <v>0</v>
      </c>
      <c r="M41">
        <f>IF(AND(Table2[[#This Row],[STATES in numeric format]]=-1,F40=-1,F39=0),1,0)</f>
        <v>0</v>
      </c>
      <c r="N41">
        <f>IF(AND(Table2[[#This Row],[STATES in numeric format]]=-1,F40=0,F39=1),1,0)</f>
        <v>0</v>
      </c>
      <c r="O41">
        <f>IF(AND(Table2[[#This Row],[STATES in numeric format]]=-1,F40=0,F39=-1),1,0)</f>
        <v>0</v>
      </c>
      <c r="P41">
        <f>IF(AND(Table2[[#This Row],[STATES in numeric format]]=1,F40=1,F39=1),1,0)</f>
        <v>0</v>
      </c>
      <c r="Q41">
        <f>IF(AND(Table2[[#This Row],[STATES in numeric format]]=1,F40=-1,F39=-1),1,0)</f>
        <v>0</v>
      </c>
      <c r="R41">
        <f>IF(AND(Table2[[#This Row],[STATES in numeric format]]=1,F40=-1,F39=1),1,0)</f>
        <v>0</v>
      </c>
      <c r="S41">
        <f>IF(AND(Table2[[#This Row],[STATES in numeric format]]=1,F40=1,F39=-1),1,0)</f>
        <v>0</v>
      </c>
      <c r="T41">
        <f>IF(AND(Table2[[#This Row],[STATES in numeric format]]=1,F40=0,F39=0),1,0)</f>
        <v>0</v>
      </c>
      <c r="U41">
        <f>IF(AND(Table2[[#This Row],[STATES in numeric format]]=1,F40=1,F39=0),1,0)</f>
        <v>0</v>
      </c>
      <c r="V41">
        <f>IF(AND(Table2[[#This Row],[STATES in numeric format]]=1,F40=-1,F39=0),1,0)</f>
        <v>0</v>
      </c>
      <c r="W41">
        <f>IF(AND(Table2[[#This Row],[STATES in numeric format]]=1,F40=0,F39=1),1,0)</f>
        <v>0</v>
      </c>
      <c r="X41">
        <f>IF(AND(Table2[[#This Row],[STATES in numeric format]]=1,F40=0,F39=-1),1,0)</f>
        <v>0</v>
      </c>
      <c r="Y41">
        <f>IF(AND(Table2[[#This Row],[STATES in numeric format]]=0,F40=1,F39=1),1,0)</f>
        <v>0</v>
      </c>
      <c r="Z41">
        <f>IF(AND(Table2[[#This Row],[STATES in numeric format]]=0,F40=-1,F39=-1),1,0)</f>
        <v>0</v>
      </c>
      <c r="AA41">
        <f>IF(AND(Table2[[#This Row],[STATES in numeric format]]=0,F40=-1,F39=1),1,0)</f>
        <v>0</v>
      </c>
      <c r="AB41">
        <f>IF(AND(Table2[[#This Row],[STATES in numeric format]]=0,F40=1,F39=-1),1,0)</f>
        <v>0</v>
      </c>
      <c r="AC41">
        <f>IF(AND(Table2[[#This Row],[STATES in numeric format]]=0,F40=0,F39=0),1,0)</f>
        <v>0</v>
      </c>
      <c r="AD41">
        <f>IF(AND(Table2[[#This Row],[STATES in numeric format]]=0,F40=1,F39=0),1,0)</f>
        <v>0</v>
      </c>
      <c r="AE41">
        <f>IF(AND(Table2[[#This Row],[STATES in numeric format]]=0,F40=-1,F39=0),1,0)</f>
        <v>0</v>
      </c>
      <c r="AF41">
        <f>IF(AND(Table2[[#This Row],[STATES in numeric format]]=0,F40=0,F39=1),1,0)</f>
        <v>0</v>
      </c>
      <c r="AG41">
        <f>IF(AND(Table2[[#This Row],[STATES in numeric format]]=0,F40=0,F39=-1),1,0)</f>
        <v>0</v>
      </c>
    </row>
    <row r="42" spans="1:47" x14ac:dyDescent="0.3">
      <c r="A42" s="1">
        <v>43887</v>
      </c>
      <c r="B42">
        <v>39888.959999999999</v>
      </c>
      <c r="C42">
        <f>Table2[[#This Row],[Close]]-0.001*Table2[[#This Row],[Close]]</f>
        <v>39849.071040000003</v>
      </c>
      <c r="D42">
        <f>Table2[[#This Row],[Close]]+0.001*Table2[[#This Row],[Close]]</f>
        <v>39928.848959999996</v>
      </c>
      <c r="E42" t="str">
        <f>IF(Table2[[#This Row],[Close]]&gt;D41,"up",IF(Table2[[#This Row],[Close]]&lt;C41,"down","constant"))</f>
        <v>down</v>
      </c>
      <c r="F42" s="3">
        <f>IF(Table2[[#This Row],[States]]="up",1,IF(Table2[[#This Row],[States]]="down",-1,0))</f>
        <v>-1</v>
      </c>
      <c r="G42">
        <f>IF(AND(Table2[[#This Row],[STATES in numeric format]]=-1,F41=1,F40=1),1,0)</f>
        <v>0</v>
      </c>
      <c r="H42">
        <f>IF(AND(Table2[[#This Row],[STATES in numeric format]]=-1,F41=-1,F40=-1),1,0)</f>
        <v>1</v>
      </c>
      <c r="I42">
        <f>IF(AND(Table2[[#This Row],[STATES in numeric format]]=-1,F41=-1,F40=1),1,0)</f>
        <v>0</v>
      </c>
      <c r="J42">
        <f>IF(AND(Table2[[#This Row],[STATES in numeric format]]=-1,F41=1,F40=-1),1,0)</f>
        <v>0</v>
      </c>
      <c r="K42">
        <f>IF(AND(Table2[[#This Row],[STATES in numeric format]]=-1,F41=0,F40=0),1,0)</f>
        <v>0</v>
      </c>
      <c r="L42">
        <f>IF(AND(Table2[[#This Row],[STATES in numeric format]]=-1,F41=1,F40=0),1,0)</f>
        <v>0</v>
      </c>
      <c r="M42">
        <f>IF(AND(Table2[[#This Row],[STATES in numeric format]]=-1,F41=-1,F40=0),1,0)</f>
        <v>0</v>
      </c>
      <c r="N42">
        <f>IF(AND(Table2[[#This Row],[STATES in numeric format]]=-1,F41=0,F40=1),1,0)</f>
        <v>0</v>
      </c>
      <c r="O42">
        <f>IF(AND(Table2[[#This Row],[STATES in numeric format]]=-1,F41=0,F40=-1),1,0)</f>
        <v>0</v>
      </c>
      <c r="P42">
        <f>IF(AND(Table2[[#This Row],[STATES in numeric format]]=1,F41=1,F40=1),1,0)</f>
        <v>0</v>
      </c>
      <c r="Q42">
        <f>IF(AND(Table2[[#This Row],[STATES in numeric format]]=1,F41=-1,F40=-1),1,0)</f>
        <v>0</v>
      </c>
      <c r="R42">
        <f>IF(AND(Table2[[#This Row],[STATES in numeric format]]=1,F41=-1,F40=1),1,0)</f>
        <v>0</v>
      </c>
      <c r="S42">
        <f>IF(AND(Table2[[#This Row],[STATES in numeric format]]=1,F41=1,F40=-1),1,0)</f>
        <v>0</v>
      </c>
      <c r="T42">
        <f>IF(AND(Table2[[#This Row],[STATES in numeric format]]=1,F41=0,F40=0),1,0)</f>
        <v>0</v>
      </c>
      <c r="U42">
        <f>IF(AND(Table2[[#This Row],[STATES in numeric format]]=1,F41=1,F40=0),1,0)</f>
        <v>0</v>
      </c>
      <c r="V42">
        <f>IF(AND(Table2[[#This Row],[STATES in numeric format]]=1,F41=-1,F40=0),1,0)</f>
        <v>0</v>
      </c>
      <c r="W42">
        <f>IF(AND(Table2[[#This Row],[STATES in numeric format]]=1,F41=0,F40=1),1,0)</f>
        <v>0</v>
      </c>
      <c r="X42">
        <f>IF(AND(Table2[[#This Row],[STATES in numeric format]]=1,F41=0,F40=-1),1,0)</f>
        <v>0</v>
      </c>
      <c r="Y42">
        <f>IF(AND(Table2[[#This Row],[STATES in numeric format]]=0,F41=1,F40=1),1,0)</f>
        <v>0</v>
      </c>
      <c r="Z42">
        <f>IF(AND(Table2[[#This Row],[STATES in numeric format]]=0,F41=-1,F40=-1),1,0)</f>
        <v>0</v>
      </c>
      <c r="AA42">
        <f>IF(AND(Table2[[#This Row],[STATES in numeric format]]=0,F41=-1,F40=1),1,0)</f>
        <v>0</v>
      </c>
      <c r="AB42">
        <f>IF(AND(Table2[[#This Row],[STATES in numeric format]]=0,F41=1,F40=-1),1,0)</f>
        <v>0</v>
      </c>
      <c r="AC42">
        <f>IF(AND(Table2[[#This Row],[STATES in numeric format]]=0,F41=0,F40=0),1,0)</f>
        <v>0</v>
      </c>
      <c r="AD42">
        <f>IF(AND(Table2[[#This Row],[STATES in numeric format]]=0,F41=1,F40=0),1,0)</f>
        <v>0</v>
      </c>
      <c r="AE42">
        <f>IF(AND(Table2[[#This Row],[STATES in numeric format]]=0,F41=-1,F40=0),1,0)</f>
        <v>0</v>
      </c>
      <c r="AF42">
        <f>IF(AND(Table2[[#This Row],[STATES in numeric format]]=0,F41=0,F40=1),1,0)</f>
        <v>0</v>
      </c>
      <c r="AG42">
        <f>IF(AND(Table2[[#This Row],[STATES in numeric format]]=0,F41=0,F40=-1),1,0)</f>
        <v>0</v>
      </c>
    </row>
    <row r="43" spans="1:47" x14ac:dyDescent="0.3">
      <c r="A43" s="1">
        <v>43888</v>
      </c>
      <c r="B43">
        <v>39745.660000000003</v>
      </c>
      <c r="C43">
        <f>Table2[[#This Row],[Close]]-0.001*Table2[[#This Row],[Close]]</f>
        <v>39705.914340000003</v>
      </c>
      <c r="D43">
        <f>Table2[[#This Row],[Close]]+0.001*Table2[[#This Row],[Close]]</f>
        <v>39785.405660000004</v>
      </c>
      <c r="E43" t="str">
        <f>IF(Table2[[#This Row],[Close]]&gt;D42,"up",IF(Table2[[#This Row],[Close]]&lt;C42,"down","constant"))</f>
        <v>down</v>
      </c>
      <c r="F43" s="3">
        <f>IF(Table2[[#This Row],[States]]="up",1,IF(Table2[[#This Row],[States]]="down",-1,0))</f>
        <v>-1</v>
      </c>
      <c r="G43">
        <f>IF(AND(Table2[[#This Row],[STATES in numeric format]]=-1,F42=1,F41=1),1,0)</f>
        <v>0</v>
      </c>
      <c r="H43">
        <f>IF(AND(Table2[[#This Row],[STATES in numeric format]]=-1,F42=-1,F41=-1),1,0)</f>
        <v>1</v>
      </c>
      <c r="I43">
        <f>IF(AND(Table2[[#This Row],[STATES in numeric format]]=-1,F42=-1,F41=1),1,0)</f>
        <v>0</v>
      </c>
      <c r="J43">
        <f>IF(AND(Table2[[#This Row],[STATES in numeric format]]=-1,F42=1,F41=-1),1,0)</f>
        <v>0</v>
      </c>
      <c r="K43">
        <f>IF(AND(Table2[[#This Row],[STATES in numeric format]]=-1,F42=0,F41=0),1,0)</f>
        <v>0</v>
      </c>
      <c r="L43">
        <f>IF(AND(Table2[[#This Row],[STATES in numeric format]]=-1,F42=1,F41=0),1,0)</f>
        <v>0</v>
      </c>
      <c r="M43">
        <f>IF(AND(Table2[[#This Row],[STATES in numeric format]]=-1,F42=-1,F41=0),1,0)</f>
        <v>0</v>
      </c>
      <c r="N43">
        <f>IF(AND(Table2[[#This Row],[STATES in numeric format]]=-1,F42=0,F41=1),1,0)</f>
        <v>0</v>
      </c>
      <c r="O43">
        <f>IF(AND(Table2[[#This Row],[STATES in numeric format]]=-1,F42=0,F41=-1),1,0)</f>
        <v>0</v>
      </c>
      <c r="P43">
        <f>IF(AND(Table2[[#This Row],[STATES in numeric format]]=1,F42=1,F41=1),1,0)</f>
        <v>0</v>
      </c>
      <c r="Q43">
        <f>IF(AND(Table2[[#This Row],[STATES in numeric format]]=1,F42=-1,F41=-1),1,0)</f>
        <v>0</v>
      </c>
      <c r="R43">
        <f>IF(AND(Table2[[#This Row],[STATES in numeric format]]=1,F42=-1,F41=1),1,0)</f>
        <v>0</v>
      </c>
      <c r="S43">
        <f>IF(AND(Table2[[#This Row],[STATES in numeric format]]=1,F42=1,F41=-1),1,0)</f>
        <v>0</v>
      </c>
      <c r="T43">
        <f>IF(AND(Table2[[#This Row],[STATES in numeric format]]=1,F42=0,F41=0),1,0)</f>
        <v>0</v>
      </c>
      <c r="U43">
        <f>IF(AND(Table2[[#This Row],[STATES in numeric format]]=1,F42=1,F41=0),1,0)</f>
        <v>0</v>
      </c>
      <c r="V43">
        <f>IF(AND(Table2[[#This Row],[STATES in numeric format]]=1,F42=-1,F41=0),1,0)</f>
        <v>0</v>
      </c>
      <c r="W43">
        <f>IF(AND(Table2[[#This Row],[STATES in numeric format]]=1,F42=0,F41=1),1,0)</f>
        <v>0</v>
      </c>
      <c r="X43">
        <f>IF(AND(Table2[[#This Row],[STATES in numeric format]]=1,F42=0,F41=-1),1,0)</f>
        <v>0</v>
      </c>
      <c r="Y43">
        <f>IF(AND(Table2[[#This Row],[STATES in numeric format]]=0,F42=1,F41=1),1,0)</f>
        <v>0</v>
      </c>
      <c r="Z43">
        <f>IF(AND(Table2[[#This Row],[STATES in numeric format]]=0,F42=-1,F41=-1),1,0)</f>
        <v>0</v>
      </c>
      <c r="AA43">
        <f>IF(AND(Table2[[#This Row],[STATES in numeric format]]=0,F42=-1,F41=1),1,0)</f>
        <v>0</v>
      </c>
      <c r="AB43">
        <f>IF(AND(Table2[[#This Row],[STATES in numeric format]]=0,F42=1,F41=-1),1,0)</f>
        <v>0</v>
      </c>
      <c r="AC43">
        <f>IF(AND(Table2[[#This Row],[STATES in numeric format]]=0,F42=0,F41=0),1,0)</f>
        <v>0</v>
      </c>
      <c r="AD43">
        <f>IF(AND(Table2[[#This Row],[STATES in numeric format]]=0,F42=1,F41=0),1,0)</f>
        <v>0</v>
      </c>
      <c r="AE43">
        <f>IF(AND(Table2[[#This Row],[STATES in numeric format]]=0,F42=-1,F41=0),1,0)</f>
        <v>0</v>
      </c>
      <c r="AF43">
        <f>IF(AND(Table2[[#This Row],[STATES in numeric format]]=0,F42=0,F41=1),1,0)</f>
        <v>0</v>
      </c>
      <c r="AG43">
        <f>IF(AND(Table2[[#This Row],[STATES in numeric format]]=0,F42=0,F41=-1),1,0)</f>
        <v>0</v>
      </c>
    </row>
    <row r="44" spans="1:47" x14ac:dyDescent="0.3">
      <c r="A44" s="1">
        <v>43889</v>
      </c>
      <c r="B44">
        <v>38297.29</v>
      </c>
      <c r="C44">
        <f>Table2[[#This Row],[Close]]-0.001*Table2[[#This Row],[Close]]</f>
        <v>38258.992709999999</v>
      </c>
      <c r="D44">
        <f>Table2[[#This Row],[Close]]+0.001*Table2[[#This Row],[Close]]</f>
        <v>38335.587290000003</v>
      </c>
      <c r="E44" t="str">
        <f>IF(Table2[[#This Row],[Close]]&gt;D43,"up",IF(Table2[[#This Row],[Close]]&lt;C43,"down","constant"))</f>
        <v>down</v>
      </c>
      <c r="F44" s="3">
        <f>IF(Table2[[#This Row],[States]]="up",1,IF(Table2[[#This Row],[States]]="down",-1,0))</f>
        <v>-1</v>
      </c>
      <c r="G44">
        <f>IF(AND(Table2[[#This Row],[STATES in numeric format]]=-1,F43=1,F42=1),1,0)</f>
        <v>0</v>
      </c>
      <c r="H44">
        <f>IF(AND(Table2[[#This Row],[STATES in numeric format]]=-1,F43=-1,F42=-1),1,0)</f>
        <v>1</v>
      </c>
      <c r="I44">
        <f>IF(AND(Table2[[#This Row],[STATES in numeric format]]=-1,F43=-1,F42=1),1,0)</f>
        <v>0</v>
      </c>
      <c r="J44">
        <f>IF(AND(Table2[[#This Row],[STATES in numeric format]]=-1,F43=1,F42=-1),1,0)</f>
        <v>0</v>
      </c>
      <c r="K44">
        <f>IF(AND(Table2[[#This Row],[STATES in numeric format]]=-1,F43=0,F42=0),1,0)</f>
        <v>0</v>
      </c>
      <c r="L44">
        <f>IF(AND(Table2[[#This Row],[STATES in numeric format]]=-1,F43=1,F42=0),1,0)</f>
        <v>0</v>
      </c>
      <c r="M44">
        <f>IF(AND(Table2[[#This Row],[STATES in numeric format]]=-1,F43=-1,F42=0),1,0)</f>
        <v>0</v>
      </c>
      <c r="N44">
        <f>IF(AND(Table2[[#This Row],[STATES in numeric format]]=-1,F43=0,F42=1),1,0)</f>
        <v>0</v>
      </c>
      <c r="O44">
        <f>IF(AND(Table2[[#This Row],[STATES in numeric format]]=-1,F43=0,F42=-1),1,0)</f>
        <v>0</v>
      </c>
      <c r="P44">
        <f>IF(AND(Table2[[#This Row],[STATES in numeric format]]=1,F43=1,F42=1),1,0)</f>
        <v>0</v>
      </c>
      <c r="Q44">
        <f>IF(AND(Table2[[#This Row],[STATES in numeric format]]=1,F43=-1,F42=-1),1,0)</f>
        <v>0</v>
      </c>
      <c r="R44">
        <f>IF(AND(Table2[[#This Row],[STATES in numeric format]]=1,F43=-1,F42=1),1,0)</f>
        <v>0</v>
      </c>
      <c r="S44">
        <f>IF(AND(Table2[[#This Row],[STATES in numeric format]]=1,F43=1,F42=-1),1,0)</f>
        <v>0</v>
      </c>
      <c r="T44">
        <f>IF(AND(Table2[[#This Row],[STATES in numeric format]]=1,F43=0,F42=0),1,0)</f>
        <v>0</v>
      </c>
      <c r="U44">
        <f>IF(AND(Table2[[#This Row],[STATES in numeric format]]=1,F43=1,F42=0),1,0)</f>
        <v>0</v>
      </c>
      <c r="V44">
        <f>IF(AND(Table2[[#This Row],[STATES in numeric format]]=1,F43=-1,F42=0),1,0)</f>
        <v>0</v>
      </c>
      <c r="W44">
        <f>IF(AND(Table2[[#This Row],[STATES in numeric format]]=1,F43=0,F42=1),1,0)</f>
        <v>0</v>
      </c>
      <c r="X44">
        <f>IF(AND(Table2[[#This Row],[STATES in numeric format]]=1,F43=0,F42=-1),1,0)</f>
        <v>0</v>
      </c>
      <c r="Y44">
        <f>IF(AND(Table2[[#This Row],[STATES in numeric format]]=0,F43=1,F42=1),1,0)</f>
        <v>0</v>
      </c>
      <c r="Z44">
        <f>IF(AND(Table2[[#This Row],[STATES in numeric format]]=0,F43=-1,F42=-1),1,0)</f>
        <v>0</v>
      </c>
      <c r="AA44">
        <f>IF(AND(Table2[[#This Row],[STATES in numeric format]]=0,F43=-1,F42=1),1,0)</f>
        <v>0</v>
      </c>
      <c r="AB44">
        <f>IF(AND(Table2[[#This Row],[STATES in numeric format]]=0,F43=1,F42=-1),1,0)</f>
        <v>0</v>
      </c>
      <c r="AC44">
        <f>IF(AND(Table2[[#This Row],[STATES in numeric format]]=0,F43=0,F42=0),1,0)</f>
        <v>0</v>
      </c>
      <c r="AD44">
        <f>IF(AND(Table2[[#This Row],[STATES in numeric format]]=0,F43=1,F42=0),1,0)</f>
        <v>0</v>
      </c>
      <c r="AE44">
        <f>IF(AND(Table2[[#This Row],[STATES in numeric format]]=0,F43=-1,F42=0),1,0)</f>
        <v>0</v>
      </c>
      <c r="AF44">
        <f>IF(AND(Table2[[#This Row],[STATES in numeric format]]=0,F43=0,F42=1),1,0)</f>
        <v>0</v>
      </c>
      <c r="AG44">
        <f>IF(AND(Table2[[#This Row],[STATES in numeric format]]=0,F43=0,F42=-1),1,0)</f>
        <v>0</v>
      </c>
    </row>
    <row r="45" spans="1:47" x14ac:dyDescent="0.3">
      <c r="A45" s="1">
        <v>43892</v>
      </c>
      <c r="B45">
        <v>38144.019999999997</v>
      </c>
      <c r="C45">
        <f>Table2[[#This Row],[Close]]-0.001*Table2[[#This Row],[Close]]</f>
        <v>38105.875979999997</v>
      </c>
      <c r="D45">
        <f>Table2[[#This Row],[Close]]+0.001*Table2[[#This Row],[Close]]</f>
        <v>38182.164019999997</v>
      </c>
      <c r="E45" t="str">
        <f>IF(Table2[[#This Row],[Close]]&gt;D44,"up",IF(Table2[[#This Row],[Close]]&lt;C44,"down","constant"))</f>
        <v>down</v>
      </c>
      <c r="F45" s="3">
        <f>IF(Table2[[#This Row],[States]]="up",1,IF(Table2[[#This Row],[States]]="down",-1,0))</f>
        <v>-1</v>
      </c>
      <c r="G45">
        <f>IF(AND(Table2[[#This Row],[STATES in numeric format]]=-1,F44=1,F43=1),1,0)</f>
        <v>0</v>
      </c>
      <c r="H45">
        <f>IF(AND(Table2[[#This Row],[STATES in numeric format]]=-1,F44=-1,F43=-1),1,0)</f>
        <v>1</v>
      </c>
      <c r="I45">
        <f>IF(AND(Table2[[#This Row],[STATES in numeric format]]=-1,F44=-1,F43=1),1,0)</f>
        <v>0</v>
      </c>
      <c r="J45">
        <f>IF(AND(Table2[[#This Row],[STATES in numeric format]]=-1,F44=1,F43=-1),1,0)</f>
        <v>0</v>
      </c>
      <c r="K45">
        <f>IF(AND(Table2[[#This Row],[STATES in numeric format]]=-1,F44=0,F43=0),1,0)</f>
        <v>0</v>
      </c>
      <c r="L45">
        <f>IF(AND(Table2[[#This Row],[STATES in numeric format]]=-1,F44=1,F43=0),1,0)</f>
        <v>0</v>
      </c>
      <c r="M45">
        <f>IF(AND(Table2[[#This Row],[STATES in numeric format]]=-1,F44=-1,F43=0),1,0)</f>
        <v>0</v>
      </c>
      <c r="N45">
        <f>IF(AND(Table2[[#This Row],[STATES in numeric format]]=-1,F44=0,F43=1),1,0)</f>
        <v>0</v>
      </c>
      <c r="O45">
        <f>IF(AND(Table2[[#This Row],[STATES in numeric format]]=-1,F44=0,F43=-1),1,0)</f>
        <v>0</v>
      </c>
      <c r="P45">
        <f>IF(AND(Table2[[#This Row],[STATES in numeric format]]=1,F44=1,F43=1),1,0)</f>
        <v>0</v>
      </c>
      <c r="Q45">
        <f>IF(AND(Table2[[#This Row],[STATES in numeric format]]=1,F44=-1,F43=-1),1,0)</f>
        <v>0</v>
      </c>
      <c r="R45">
        <f>IF(AND(Table2[[#This Row],[STATES in numeric format]]=1,F44=-1,F43=1),1,0)</f>
        <v>0</v>
      </c>
      <c r="S45">
        <f>IF(AND(Table2[[#This Row],[STATES in numeric format]]=1,F44=1,F43=-1),1,0)</f>
        <v>0</v>
      </c>
      <c r="T45">
        <f>IF(AND(Table2[[#This Row],[STATES in numeric format]]=1,F44=0,F43=0),1,0)</f>
        <v>0</v>
      </c>
      <c r="U45">
        <f>IF(AND(Table2[[#This Row],[STATES in numeric format]]=1,F44=1,F43=0),1,0)</f>
        <v>0</v>
      </c>
      <c r="V45">
        <f>IF(AND(Table2[[#This Row],[STATES in numeric format]]=1,F44=-1,F43=0),1,0)</f>
        <v>0</v>
      </c>
      <c r="W45">
        <f>IF(AND(Table2[[#This Row],[STATES in numeric format]]=1,F44=0,F43=1),1,0)</f>
        <v>0</v>
      </c>
      <c r="X45">
        <f>IF(AND(Table2[[#This Row],[STATES in numeric format]]=1,F44=0,F43=-1),1,0)</f>
        <v>0</v>
      </c>
      <c r="Y45">
        <f>IF(AND(Table2[[#This Row],[STATES in numeric format]]=0,F44=1,F43=1),1,0)</f>
        <v>0</v>
      </c>
      <c r="Z45">
        <f>IF(AND(Table2[[#This Row],[STATES in numeric format]]=0,F44=-1,F43=-1),1,0)</f>
        <v>0</v>
      </c>
      <c r="AA45">
        <f>IF(AND(Table2[[#This Row],[STATES in numeric format]]=0,F44=-1,F43=1),1,0)</f>
        <v>0</v>
      </c>
      <c r="AB45">
        <f>IF(AND(Table2[[#This Row],[STATES in numeric format]]=0,F44=1,F43=-1),1,0)</f>
        <v>0</v>
      </c>
      <c r="AC45">
        <f>IF(AND(Table2[[#This Row],[STATES in numeric format]]=0,F44=0,F43=0),1,0)</f>
        <v>0</v>
      </c>
      <c r="AD45">
        <f>IF(AND(Table2[[#This Row],[STATES in numeric format]]=0,F44=1,F43=0),1,0)</f>
        <v>0</v>
      </c>
      <c r="AE45">
        <f>IF(AND(Table2[[#This Row],[STATES in numeric format]]=0,F44=-1,F43=0),1,0)</f>
        <v>0</v>
      </c>
      <c r="AF45">
        <f>IF(AND(Table2[[#This Row],[STATES in numeric format]]=0,F44=0,F43=1),1,0)</f>
        <v>0</v>
      </c>
      <c r="AG45">
        <f>IF(AND(Table2[[#This Row],[STATES in numeric format]]=0,F44=0,F43=-1),1,0)</f>
        <v>0</v>
      </c>
    </row>
    <row r="46" spans="1:47" x14ac:dyDescent="0.3">
      <c r="A46" s="1">
        <v>43893</v>
      </c>
      <c r="B46">
        <v>38623.699999999997</v>
      </c>
      <c r="C46">
        <f>Table2[[#This Row],[Close]]-0.001*Table2[[#This Row],[Close]]</f>
        <v>38585.076300000001</v>
      </c>
      <c r="D46">
        <f>Table2[[#This Row],[Close]]+0.001*Table2[[#This Row],[Close]]</f>
        <v>38662.323699999994</v>
      </c>
      <c r="E46" t="str">
        <f>IF(Table2[[#This Row],[Close]]&gt;D45,"up",IF(Table2[[#This Row],[Close]]&lt;C45,"down","constant"))</f>
        <v>up</v>
      </c>
      <c r="F46" s="3">
        <f>IF(Table2[[#This Row],[States]]="up",1,IF(Table2[[#This Row],[States]]="down",-1,0))</f>
        <v>1</v>
      </c>
      <c r="G46">
        <f>IF(AND(Table2[[#This Row],[STATES in numeric format]]=-1,F45=1,F44=1),1,0)</f>
        <v>0</v>
      </c>
      <c r="H46">
        <f>IF(AND(Table2[[#This Row],[STATES in numeric format]]=-1,F45=-1,F44=-1),1,0)</f>
        <v>0</v>
      </c>
      <c r="I46">
        <f>IF(AND(Table2[[#This Row],[STATES in numeric format]]=-1,F45=-1,F44=1),1,0)</f>
        <v>0</v>
      </c>
      <c r="J46">
        <f>IF(AND(Table2[[#This Row],[STATES in numeric format]]=-1,F45=1,F44=-1),1,0)</f>
        <v>0</v>
      </c>
      <c r="K46">
        <f>IF(AND(Table2[[#This Row],[STATES in numeric format]]=-1,F45=0,F44=0),1,0)</f>
        <v>0</v>
      </c>
      <c r="L46">
        <f>IF(AND(Table2[[#This Row],[STATES in numeric format]]=-1,F45=1,F44=0),1,0)</f>
        <v>0</v>
      </c>
      <c r="M46">
        <f>IF(AND(Table2[[#This Row],[STATES in numeric format]]=-1,F45=-1,F44=0),1,0)</f>
        <v>0</v>
      </c>
      <c r="N46">
        <f>IF(AND(Table2[[#This Row],[STATES in numeric format]]=-1,F45=0,F44=1),1,0)</f>
        <v>0</v>
      </c>
      <c r="O46">
        <f>IF(AND(Table2[[#This Row],[STATES in numeric format]]=-1,F45=0,F44=-1),1,0)</f>
        <v>0</v>
      </c>
      <c r="P46">
        <f>IF(AND(Table2[[#This Row],[STATES in numeric format]]=1,F45=1,F44=1),1,0)</f>
        <v>0</v>
      </c>
      <c r="Q46">
        <f>IF(AND(Table2[[#This Row],[STATES in numeric format]]=1,F45=-1,F44=-1),1,0)</f>
        <v>1</v>
      </c>
      <c r="R46">
        <f>IF(AND(Table2[[#This Row],[STATES in numeric format]]=1,F45=-1,F44=1),1,0)</f>
        <v>0</v>
      </c>
      <c r="S46">
        <f>IF(AND(Table2[[#This Row],[STATES in numeric format]]=1,F45=1,F44=-1),1,0)</f>
        <v>0</v>
      </c>
      <c r="T46">
        <f>IF(AND(Table2[[#This Row],[STATES in numeric format]]=1,F45=0,F44=0),1,0)</f>
        <v>0</v>
      </c>
      <c r="U46">
        <f>IF(AND(Table2[[#This Row],[STATES in numeric format]]=1,F45=1,F44=0),1,0)</f>
        <v>0</v>
      </c>
      <c r="V46">
        <f>IF(AND(Table2[[#This Row],[STATES in numeric format]]=1,F45=-1,F44=0),1,0)</f>
        <v>0</v>
      </c>
      <c r="W46">
        <f>IF(AND(Table2[[#This Row],[STATES in numeric format]]=1,F45=0,F44=1),1,0)</f>
        <v>0</v>
      </c>
      <c r="X46">
        <f>IF(AND(Table2[[#This Row],[STATES in numeric format]]=1,F45=0,F44=-1),1,0)</f>
        <v>0</v>
      </c>
      <c r="Y46">
        <f>IF(AND(Table2[[#This Row],[STATES in numeric format]]=0,F45=1,F44=1),1,0)</f>
        <v>0</v>
      </c>
      <c r="Z46">
        <f>IF(AND(Table2[[#This Row],[STATES in numeric format]]=0,F45=-1,F44=-1),1,0)</f>
        <v>0</v>
      </c>
      <c r="AA46">
        <f>IF(AND(Table2[[#This Row],[STATES in numeric format]]=0,F45=-1,F44=1),1,0)</f>
        <v>0</v>
      </c>
      <c r="AB46">
        <f>IF(AND(Table2[[#This Row],[STATES in numeric format]]=0,F45=1,F44=-1),1,0)</f>
        <v>0</v>
      </c>
      <c r="AC46">
        <f>IF(AND(Table2[[#This Row],[STATES in numeric format]]=0,F45=0,F44=0),1,0)</f>
        <v>0</v>
      </c>
      <c r="AD46">
        <f>IF(AND(Table2[[#This Row],[STATES in numeric format]]=0,F45=1,F44=0),1,0)</f>
        <v>0</v>
      </c>
      <c r="AE46">
        <f>IF(AND(Table2[[#This Row],[STATES in numeric format]]=0,F45=-1,F44=0),1,0)</f>
        <v>0</v>
      </c>
      <c r="AF46">
        <f>IF(AND(Table2[[#This Row],[STATES in numeric format]]=0,F45=0,F44=1),1,0)</f>
        <v>0</v>
      </c>
      <c r="AG46">
        <f>IF(AND(Table2[[#This Row],[STATES in numeric format]]=0,F45=0,F44=-1),1,0)</f>
        <v>0</v>
      </c>
    </row>
    <row r="47" spans="1:47" x14ac:dyDescent="0.3">
      <c r="A47" s="1">
        <v>43894</v>
      </c>
      <c r="B47">
        <v>38409.480000000003</v>
      </c>
      <c r="C47">
        <f>Table2[[#This Row],[Close]]-0.001*Table2[[#This Row],[Close]]</f>
        <v>38371.070520000001</v>
      </c>
      <c r="D47">
        <f>Table2[[#This Row],[Close]]+0.001*Table2[[#This Row],[Close]]</f>
        <v>38447.889480000005</v>
      </c>
      <c r="E47" t="str">
        <f>IF(Table2[[#This Row],[Close]]&gt;D46,"up",IF(Table2[[#This Row],[Close]]&lt;C46,"down","constant"))</f>
        <v>down</v>
      </c>
      <c r="F47" s="3">
        <f>IF(Table2[[#This Row],[States]]="up",1,IF(Table2[[#This Row],[States]]="down",-1,0))</f>
        <v>-1</v>
      </c>
      <c r="G47">
        <f>IF(AND(Table2[[#This Row],[STATES in numeric format]]=-1,F46=1,F45=1),1,0)</f>
        <v>0</v>
      </c>
      <c r="H47">
        <f>IF(AND(Table2[[#This Row],[STATES in numeric format]]=-1,F46=-1,F45=-1),1,0)</f>
        <v>0</v>
      </c>
      <c r="I47">
        <f>IF(AND(Table2[[#This Row],[STATES in numeric format]]=-1,F46=-1,F45=1),1,0)</f>
        <v>0</v>
      </c>
      <c r="J47">
        <f>IF(AND(Table2[[#This Row],[STATES in numeric format]]=-1,F46=1,F45=-1),1,0)</f>
        <v>1</v>
      </c>
      <c r="K47">
        <f>IF(AND(Table2[[#This Row],[STATES in numeric format]]=-1,F46=0,F45=0),1,0)</f>
        <v>0</v>
      </c>
      <c r="L47">
        <f>IF(AND(Table2[[#This Row],[STATES in numeric format]]=-1,F46=1,F45=0),1,0)</f>
        <v>0</v>
      </c>
      <c r="M47">
        <f>IF(AND(Table2[[#This Row],[STATES in numeric format]]=-1,F46=-1,F45=0),1,0)</f>
        <v>0</v>
      </c>
      <c r="N47">
        <f>IF(AND(Table2[[#This Row],[STATES in numeric format]]=-1,F46=0,F45=1),1,0)</f>
        <v>0</v>
      </c>
      <c r="O47">
        <f>IF(AND(Table2[[#This Row],[STATES in numeric format]]=-1,F46=0,F45=-1),1,0)</f>
        <v>0</v>
      </c>
      <c r="P47">
        <f>IF(AND(Table2[[#This Row],[STATES in numeric format]]=1,F46=1,F45=1),1,0)</f>
        <v>0</v>
      </c>
      <c r="Q47">
        <f>IF(AND(Table2[[#This Row],[STATES in numeric format]]=1,F46=-1,F45=-1),1,0)</f>
        <v>0</v>
      </c>
      <c r="R47">
        <f>IF(AND(Table2[[#This Row],[STATES in numeric format]]=1,F46=-1,F45=1),1,0)</f>
        <v>0</v>
      </c>
      <c r="S47">
        <f>IF(AND(Table2[[#This Row],[STATES in numeric format]]=1,F46=1,F45=-1),1,0)</f>
        <v>0</v>
      </c>
      <c r="T47">
        <f>IF(AND(Table2[[#This Row],[STATES in numeric format]]=1,F46=0,F45=0),1,0)</f>
        <v>0</v>
      </c>
      <c r="U47">
        <f>IF(AND(Table2[[#This Row],[STATES in numeric format]]=1,F46=1,F45=0),1,0)</f>
        <v>0</v>
      </c>
      <c r="V47">
        <f>IF(AND(Table2[[#This Row],[STATES in numeric format]]=1,F46=-1,F45=0),1,0)</f>
        <v>0</v>
      </c>
      <c r="W47">
        <f>IF(AND(Table2[[#This Row],[STATES in numeric format]]=1,F46=0,F45=1),1,0)</f>
        <v>0</v>
      </c>
      <c r="X47">
        <f>IF(AND(Table2[[#This Row],[STATES in numeric format]]=1,F46=0,F45=-1),1,0)</f>
        <v>0</v>
      </c>
      <c r="Y47">
        <f>IF(AND(Table2[[#This Row],[STATES in numeric format]]=0,F46=1,F45=1),1,0)</f>
        <v>0</v>
      </c>
      <c r="Z47">
        <f>IF(AND(Table2[[#This Row],[STATES in numeric format]]=0,F46=-1,F45=-1),1,0)</f>
        <v>0</v>
      </c>
      <c r="AA47">
        <f>IF(AND(Table2[[#This Row],[STATES in numeric format]]=0,F46=-1,F45=1),1,0)</f>
        <v>0</v>
      </c>
      <c r="AB47">
        <f>IF(AND(Table2[[#This Row],[STATES in numeric format]]=0,F46=1,F45=-1),1,0)</f>
        <v>0</v>
      </c>
      <c r="AC47">
        <f>IF(AND(Table2[[#This Row],[STATES in numeric format]]=0,F46=0,F45=0),1,0)</f>
        <v>0</v>
      </c>
      <c r="AD47">
        <f>IF(AND(Table2[[#This Row],[STATES in numeric format]]=0,F46=1,F45=0),1,0)</f>
        <v>0</v>
      </c>
      <c r="AE47">
        <f>IF(AND(Table2[[#This Row],[STATES in numeric format]]=0,F46=-1,F45=0),1,0)</f>
        <v>0</v>
      </c>
      <c r="AF47">
        <f>IF(AND(Table2[[#This Row],[STATES in numeric format]]=0,F46=0,F45=1),1,0)</f>
        <v>0</v>
      </c>
      <c r="AG47">
        <f>IF(AND(Table2[[#This Row],[STATES in numeric format]]=0,F46=0,F45=-1),1,0)</f>
        <v>0</v>
      </c>
    </row>
    <row r="48" spans="1:47" x14ac:dyDescent="0.3">
      <c r="A48" s="1">
        <v>43895</v>
      </c>
      <c r="B48">
        <v>38470.61</v>
      </c>
      <c r="C48">
        <f>Table2[[#This Row],[Close]]-0.001*Table2[[#This Row],[Close]]</f>
        <v>38432.139390000004</v>
      </c>
      <c r="D48">
        <f>Table2[[#This Row],[Close]]+0.001*Table2[[#This Row],[Close]]</f>
        <v>38509.080609999997</v>
      </c>
      <c r="E48" t="str">
        <f>IF(Table2[[#This Row],[Close]]&gt;D47,"up",IF(Table2[[#This Row],[Close]]&lt;C47,"down","constant"))</f>
        <v>up</v>
      </c>
      <c r="F48" s="3">
        <f>IF(Table2[[#This Row],[States]]="up",1,IF(Table2[[#This Row],[States]]="down",-1,0))</f>
        <v>1</v>
      </c>
      <c r="G48">
        <f>IF(AND(Table2[[#This Row],[STATES in numeric format]]=-1,F47=1,F46=1),1,0)</f>
        <v>0</v>
      </c>
      <c r="H48">
        <f>IF(AND(Table2[[#This Row],[STATES in numeric format]]=-1,F47=-1,F46=-1),1,0)</f>
        <v>0</v>
      </c>
      <c r="I48">
        <f>IF(AND(Table2[[#This Row],[STATES in numeric format]]=-1,F47=-1,F46=1),1,0)</f>
        <v>0</v>
      </c>
      <c r="J48">
        <f>IF(AND(Table2[[#This Row],[STATES in numeric format]]=-1,F47=1,F46=-1),1,0)</f>
        <v>0</v>
      </c>
      <c r="K48">
        <f>IF(AND(Table2[[#This Row],[STATES in numeric format]]=-1,F47=0,F46=0),1,0)</f>
        <v>0</v>
      </c>
      <c r="L48">
        <f>IF(AND(Table2[[#This Row],[STATES in numeric format]]=-1,F47=1,F46=0),1,0)</f>
        <v>0</v>
      </c>
      <c r="M48">
        <f>IF(AND(Table2[[#This Row],[STATES in numeric format]]=-1,F47=-1,F46=0),1,0)</f>
        <v>0</v>
      </c>
      <c r="N48">
        <f>IF(AND(Table2[[#This Row],[STATES in numeric format]]=-1,F47=0,F46=1),1,0)</f>
        <v>0</v>
      </c>
      <c r="O48">
        <f>IF(AND(Table2[[#This Row],[STATES in numeric format]]=-1,F47=0,F46=-1),1,0)</f>
        <v>0</v>
      </c>
      <c r="P48">
        <f>IF(AND(Table2[[#This Row],[STATES in numeric format]]=1,F47=1,F46=1),1,0)</f>
        <v>0</v>
      </c>
      <c r="Q48">
        <f>IF(AND(Table2[[#This Row],[STATES in numeric format]]=1,F47=-1,F46=-1),1,0)</f>
        <v>0</v>
      </c>
      <c r="R48">
        <f>IF(AND(Table2[[#This Row],[STATES in numeric format]]=1,F47=-1,F46=1),1,0)</f>
        <v>1</v>
      </c>
      <c r="S48">
        <f>IF(AND(Table2[[#This Row],[STATES in numeric format]]=1,F47=1,F46=-1),1,0)</f>
        <v>0</v>
      </c>
      <c r="T48">
        <f>IF(AND(Table2[[#This Row],[STATES in numeric format]]=1,F47=0,F46=0),1,0)</f>
        <v>0</v>
      </c>
      <c r="U48">
        <f>IF(AND(Table2[[#This Row],[STATES in numeric format]]=1,F47=1,F46=0),1,0)</f>
        <v>0</v>
      </c>
      <c r="V48">
        <f>IF(AND(Table2[[#This Row],[STATES in numeric format]]=1,F47=-1,F46=0),1,0)</f>
        <v>0</v>
      </c>
      <c r="W48">
        <f>IF(AND(Table2[[#This Row],[STATES in numeric format]]=1,F47=0,F46=1),1,0)</f>
        <v>0</v>
      </c>
      <c r="X48">
        <f>IF(AND(Table2[[#This Row],[STATES in numeric format]]=1,F47=0,F46=-1),1,0)</f>
        <v>0</v>
      </c>
      <c r="Y48">
        <f>IF(AND(Table2[[#This Row],[STATES in numeric format]]=0,F47=1,F46=1),1,0)</f>
        <v>0</v>
      </c>
      <c r="Z48">
        <f>IF(AND(Table2[[#This Row],[STATES in numeric format]]=0,F47=-1,F46=-1),1,0)</f>
        <v>0</v>
      </c>
      <c r="AA48">
        <f>IF(AND(Table2[[#This Row],[STATES in numeric format]]=0,F47=-1,F46=1),1,0)</f>
        <v>0</v>
      </c>
      <c r="AB48">
        <f>IF(AND(Table2[[#This Row],[STATES in numeric format]]=0,F47=1,F46=-1),1,0)</f>
        <v>0</v>
      </c>
      <c r="AC48">
        <f>IF(AND(Table2[[#This Row],[STATES in numeric format]]=0,F47=0,F46=0),1,0)</f>
        <v>0</v>
      </c>
      <c r="AD48">
        <f>IF(AND(Table2[[#This Row],[STATES in numeric format]]=0,F47=1,F46=0),1,0)</f>
        <v>0</v>
      </c>
      <c r="AE48">
        <f>IF(AND(Table2[[#This Row],[STATES in numeric format]]=0,F47=-1,F46=0),1,0)</f>
        <v>0</v>
      </c>
      <c r="AF48">
        <f>IF(AND(Table2[[#This Row],[STATES in numeric format]]=0,F47=0,F46=1),1,0)</f>
        <v>0</v>
      </c>
      <c r="AG48">
        <f>IF(AND(Table2[[#This Row],[STATES in numeric format]]=0,F47=0,F46=-1),1,0)</f>
        <v>0</v>
      </c>
    </row>
    <row r="49" spans="1:33" x14ac:dyDescent="0.3">
      <c r="A49" s="1">
        <v>43896</v>
      </c>
      <c r="B49">
        <v>37576.620000000003</v>
      </c>
      <c r="C49">
        <f>Table2[[#This Row],[Close]]-0.001*Table2[[#This Row],[Close]]</f>
        <v>37539.043380000003</v>
      </c>
      <c r="D49">
        <f>Table2[[#This Row],[Close]]+0.001*Table2[[#This Row],[Close]]</f>
        <v>37614.196620000002</v>
      </c>
      <c r="E49" t="str">
        <f>IF(Table2[[#This Row],[Close]]&gt;D48,"up",IF(Table2[[#This Row],[Close]]&lt;C48,"down","constant"))</f>
        <v>down</v>
      </c>
      <c r="F49" s="3">
        <f>IF(Table2[[#This Row],[States]]="up",1,IF(Table2[[#This Row],[States]]="down",-1,0))</f>
        <v>-1</v>
      </c>
      <c r="G49">
        <f>IF(AND(Table2[[#This Row],[STATES in numeric format]]=-1,F48=1,F47=1),1,0)</f>
        <v>0</v>
      </c>
      <c r="H49">
        <f>IF(AND(Table2[[#This Row],[STATES in numeric format]]=-1,F48=-1,F47=-1),1,0)</f>
        <v>0</v>
      </c>
      <c r="I49">
        <f>IF(AND(Table2[[#This Row],[STATES in numeric format]]=-1,F48=-1,F47=1),1,0)</f>
        <v>0</v>
      </c>
      <c r="J49">
        <f>IF(AND(Table2[[#This Row],[STATES in numeric format]]=-1,F48=1,F47=-1),1,0)</f>
        <v>1</v>
      </c>
      <c r="K49">
        <f>IF(AND(Table2[[#This Row],[STATES in numeric format]]=-1,F48=0,F47=0),1,0)</f>
        <v>0</v>
      </c>
      <c r="L49">
        <f>IF(AND(Table2[[#This Row],[STATES in numeric format]]=-1,F48=1,F47=0),1,0)</f>
        <v>0</v>
      </c>
      <c r="M49">
        <f>IF(AND(Table2[[#This Row],[STATES in numeric format]]=-1,F48=-1,F47=0),1,0)</f>
        <v>0</v>
      </c>
      <c r="N49">
        <f>IF(AND(Table2[[#This Row],[STATES in numeric format]]=-1,F48=0,F47=1),1,0)</f>
        <v>0</v>
      </c>
      <c r="O49">
        <f>IF(AND(Table2[[#This Row],[STATES in numeric format]]=-1,F48=0,F47=-1),1,0)</f>
        <v>0</v>
      </c>
      <c r="P49">
        <f>IF(AND(Table2[[#This Row],[STATES in numeric format]]=1,F48=1,F47=1),1,0)</f>
        <v>0</v>
      </c>
      <c r="Q49">
        <f>IF(AND(Table2[[#This Row],[STATES in numeric format]]=1,F48=-1,F47=-1),1,0)</f>
        <v>0</v>
      </c>
      <c r="R49">
        <f>IF(AND(Table2[[#This Row],[STATES in numeric format]]=1,F48=-1,F47=1),1,0)</f>
        <v>0</v>
      </c>
      <c r="S49">
        <f>IF(AND(Table2[[#This Row],[STATES in numeric format]]=1,F48=1,F47=-1),1,0)</f>
        <v>0</v>
      </c>
      <c r="T49">
        <f>IF(AND(Table2[[#This Row],[STATES in numeric format]]=1,F48=0,F47=0),1,0)</f>
        <v>0</v>
      </c>
      <c r="U49">
        <f>IF(AND(Table2[[#This Row],[STATES in numeric format]]=1,F48=1,F47=0),1,0)</f>
        <v>0</v>
      </c>
      <c r="V49">
        <f>IF(AND(Table2[[#This Row],[STATES in numeric format]]=1,F48=-1,F47=0),1,0)</f>
        <v>0</v>
      </c>
      <c r="W49">
        <f>IF(AND(Table2[[#This Row],[STATES in numeric format]]=1,F48=0,F47=1),1,0)</f>
        <v>0</v>
      </c>
      <c r="X49">
        <f>IF(AND(Table2[[#This Row],[STATES in numeric format]]=1,F48=0,F47=-1),1,0)</f>
        <v>0</v>
      </c>
      <c r="Y49">
        <f>IF(AND(Table2[[#This Row],[STATES in numeric format]]=0,F48=1,F47=1),1,0)</f>
        <v>0</v>
      </c>
      <c r="Z49">
        <f>IF(AND(Table2[[#This Row],[STATES in numeric format]]=0,F48=-1,F47=-1),1,0)</f>
        <v>0</v>
      </c>
      <c r="AA49">
        <f>IF(AND(Table2[[#This Row],[STATES in numeric format]]=0,F48=-1,F47=1),1,0)</f>
        <v>0</v>
      </c>
      <c r="AB49">
        <f>IF(AND(Table2[[#This Row],[STATES in numeric format]]=0,F48=1,F47=-1),1,0)</f>
        <v>0</v>
      </c>
      <c r="AC49">
        <f>IF(AND(Table2[[#This Row],[STATES in numeric format]]=0,F48=0,F47=0),1,0)</f>
        <v>0</v>
      </c>
      <c r="AD49">
        <f>IF(AND(Table2[[#This Row],[STATES in numeric format]]=0,F48=1,F47=0),1,0)</f>
        <v>0</v>
      </c>
      <c r="AE49">
        <f>IF(AND(Table2[[#This Row],[STATES in numeric format]]=0,F48=-1,F47=0),1,0)</f>
        <v>0</v>
      </c>
      <c r="AF49">
        <f>IF(AND(Table2[[#This Row],[STATES in numeric format]]=0,F48=0,F47=1),1,0)</f>
        <v>0</v>
      </c>
      <c r="AG49">
        <f>IF(AND(Table2[[#This Row],[STATES in numeric format]]=0,F48=0,F47=-1),1,0)</f>
        <v>0</v>
      </c>
    </row>
    <row r="50" spans="1:33" x14ac:dyDescent="0.3">
      <c r="A50" s="1">
        <v>43899</v>
      </c>
      <c r="B50">
        <v>35634.949999999997</v>
      </c>
      <c r="C50">
        <f>Table2[[#This Row],[Close]]-0.001*Table2[[#This Row],[Close]]</f>
        <v>35599.315049999997</v>
      </c>
      <c r="D50">
        <f>Table2[[#This Row],[Close]]+0.001*Table2[[#This Row],[Close]]</f>
        <v>35670.584949999997</v>
      </c>
      <c r="E50" t="str">
        <f>IF(Table2[[#This Row],[Close]]&gt;D49,"up",IF(Table2[[#This Row],[Close]]&lt;C49,"down","constant"))</f>
        <v>down</v>
      </c>
      <c r="F50" s="3">
        <f>IF(Table2[[#This Row],[States]]="up",1,IF(Table2[[#This Row],[States]]="down",-1,0))</f>
        <v>-1</v>
      </c>
      <c r="G50">
        <f>IF(AND(Table2[[#This Row],[STATES in numeric format]]=-1,F49=1,F48=1),1,0)</f>
        <v>0</v>
      </c>
      <c r="H50">
        <f>IF(AND(Table2[[#This Row],[STATES in numeric format]]=-1,F49=-1,F48=-1),1,0)</f>
        <v>0</v>
      </c>
      <c r="I50">
        <f>IF(AND(Table2[[#This Row],[STATES in numeric format]]=-1,F49=-1,F48=1),1,0)</f>
        <v>1</v>
      </c>
      <c r="J50">
        <f>IF(AND(Table2[[#This Row],[STATES in numeric format]]=-1,F49=1,F48=-1),1,0)</f>
        <v>0</v>
      </c>
      <c r="K50">
        <f>IF(AND(Table2[[#This Row],[STATES in numeric format]]=-1,F49=0,F48=0),1,0)</f>
        <v>0</v>
      </c>
      <c r="L50">
        <f>IF(AND(Table2[[#This Row],[STATES in numeric format]]=-1,F49=1,F48=0),1,0)</f>
        <v>0</v>
      </c>
      <c r="M50">
        <f>IF(AND(Table2[[#This Row],[STATES in numeric format]]=-1,F49=-1,F48=0),1,0)</f>
        <v>0</v>
      </c>
      <c r="N50">
        <f>IF(AND(Table2[[#This Row],[STATES in numeric format]]=-1,F49=0,F48=1),1,0)</f>
        <v>0</v>
      </c>
      <c r="O50">
        <f>IF(AND(Table2[[#This Row],[STATES in numeric format]]=-1,F49=0,F48=-1),1,0)</f>
        <v>0</v>
      </c>
      <c r="P50">
        <f>IF(AND(Table2[[#This Row],[STATES in numeric format]]=1,F49=1,F48=1),1,0)</f>
        <v>0</v>
      </c>
      <c r="Q50">
        <f>IF(AND(Table2[[#This Row],[STATES in numeric format]]=1,F49=-1,F48=-1),1,0)</f>
        <v>0</v>
      </c>
      <c r="R50">
        <f>IF(AND(Table2[[#This Row],[STATES in numeric format]]=1,F49=-1,F48=1),1,0)</f>
        <v>0</v>
      </c>
      <c r="S50">
        <f>IF(AND(Table2[[#This Row],[STATES in numeric format]]=1,F49=1,F48=-1),1,0)</f>
        <v>0</v>
      </c>
      <c r="T50">
        <f>IF(AND(Table2[[#This Row],[STATES in numeric format]]=1,F49=0,F48=0),1,0)</f>
        <v>0</v>
      </c>
      <c r="U50">
        <f>IF(AND(Table2[[#This Row],[STATES in numeric format]]=1,F49=1,F48=0),1,0)</f>
        <v>0</v>
      </c>
      <c r="V50">
        <f>IF(AND(Table2[[#This Row],[STATES in numeric format]]=1,F49=-1,F48=0),1,0)</f>
        <v>0</v>
      </c>
      <c r="W50">
        <f>IF(AND(Table2[[#This Row],[STATES in numeric format]]=1,F49=0,F48=1),1,0)</f>
        <v>0</v>
      </c>
      <c r="X50">
        <f>IF(AND(Table2[[#This Row],[STATES in numeric format]]=1,F49=0,F48=-1),1,0)</f>
        <v>0</v>
      </c>
      <c r="Y50">
        <f>IF(AND(Table2[[#This Row],[STATES in numeric format]]=0,F49=1,F48=1),1,0)</f>
        <v>0</v>
      </c>
      <c r="Z50">
        <f>IF(AND(Table2[[#This Row],[STATES in numeric format]]=0,F49=-1,F48=-1),1,0)</f>
        <v>0</v>
      </c>
      <c r="AA50">
        <f>IF(AND(Table2[[#This Row],[STATES in numeric format]]=0,F49=-1,F48=1),1,0)</f>
        <v>0</v>
      </c>
      <c r="AB50">
        <f>IF(AND(Table2[[#This Row],[STATES in numeric format]]=0,F49=1,F48=-1),1,0)</f>
        <v>0</v>
      </c>
      <c r="AC50">
        <f>IF(AND(Table2[[#This Row],[STATES in numeric format]]=0,F49=0,F48=0),1,0)</f>
        <v>0</v>
      </c>
      <c r="AD50">
        <f>IF(AND(Table2[[#This Row],[STATES in numeric format]]=0,F49=1,F48=0),1,0)</f>
        <v>0</v>
      </c>
      <c r="AE50">
        <f>IF(AND(Table2[[#This Row],[STATES in numeric format]]=0,F49=-1,F48=0),1,0)</f>
        <v>0</v>
      </c>
      <c r="AF50">
        <f>IF(AND(Table2[[#This Row],[STATES in numeric format]]=0,F49=0,F48=1),1,0)</f>
        <v>0</v>
      </c>
      <c r="AG50">
        <f>IF(AND(Table2[[#This Row],[STATES in numeric format]]=0,F49=0,F48=-1),1,0)</f>
        <v>0</v>
      </c>
    </row>
    <row r="51" spans="1:33" x14ac:dyDescent="0.3">
      <c r="A51" s="1">
        <v>43901</v>
      </c>
      <c r="B51">
        <v>35697.4</v>
      </c>
      <c r="C51">
        <f>Table2[[#This Row],[Close]]-0.001*Table2[[#This Row],[Close]]</f>
        <v>35661.702600000004</v>
      </c>
      <c r="D51">
        <f>Table2[[#This Row],[Close]]+0.001*Table2[[#This Row],[Close]]</f>
        <v>35733.097399999999</v>
      </c>
      <c r="E51" t="str">
        <f>IF(Table2[[#This Row],[Close]]&gt;D50,"up",IF(Table2[[#This Row],[Close]]&lt;C50,"down","constant"))</f>
        <v>up</v>
      </c>
      <c r="F51" s="3">
        <f>IF(Table2[[#This Row],[States]]="up",1,IF(Table2[[#This Row],[States]]="down",-1,0))</f>
        <v>1</v>
      </c>
      <c r="G51">
        <f>IF(AND(Table2[[#This Row],[STATES in numeric format]]=-1,F50=1,F49=1),1,0)</f>
        <v>0</v>
      </c>
      <c r="H51">
        <f>IF(AND(Table2[[#This Row],[STATES in numeric format]]=-1,F50=-1,F49=-1),1,0)</f>
        <v>0</v>
      </c>
      <c r="I51">
        <f>IF(AND(Table2[[#This Row],[STATES in numeric format]]=-1,F50=-1,F49=1),1,0)</f>
        <v>0</v>
      </c>
      <c r="J51">
        <f>IF(AND(Table2[[#This Row],[STATES in numeric format]]=-1,F50=1,F49=-1),1,0)</f>
        <v>0</v>
      </c>
      <c r="K51">
        <f>IF(AND(Table2[[#This Row],[STATES in numeric format]]=-1,F50=0,F49=0),1,0)</f>
        <v>0</v>
      </c>
      <c r="L51">
        <f>IF(AND(Table2[[#This Row],[STATES in numeric format]]=-1,F50=1,F49=0),1,0)</f>
        <v>0</v>
      </c>
      <c r="M51">
        <f>IF(AND(Table2[[#This Row],[STATES in numeric format]]=-1,F50=-1,F49=0),1,0)</f>
        <v>0</v>
      </c>
      <c r="N51">
        <f>IF(AND(Table2[[#This Row],[STATES in numeric format]]=-1,F50=0,F49=1),1,0)</f>
        <v>0</v>
      </c>
      <c r="O51">
        <f>IF(AND(Table2[[#This Row],[STATES in numeric format]]=-1,F50=0,F49=-1),1,0)</f>
        <v>0</v>
      </c>
      <c r="P51">
        <f>IF(AND(Table2[[#This Row],[STATES in numeric format]]=1,F50=1,F49=1),1,0)</f>
        <v>0</v>
      </c>
      <c r="Q51">
        <f>IF(AND(Table2[[#This Row],[STATES in numeric format]]=1,F50=-1,F49=-1),1,0)</f>
        <v>1</v>
      </c>
      <c r="R51">
        <f>IF(AND(Table2[[#This Row],[STATES in numeric format]]=1,F50=-1,F49=1),1,0)</f>
        <v>0</v>
      </c>
      <c r="S51">
        <f>IF(AND(Table2[[#This Row],[STATES in numeric format]]=1,F50=1,F49=-1),1,0)</f>
        <v>0</v>
      </c>
      <c r="T51">
        <f>IF(AND(Table2[[#This Row],[STATES in numeric format]]=1,F50=0,F49=0),1,0)</f>
        <v>0</v>
      </c>
      <c r="U51">
        <f>IF(AND(Table2[[#This Row],[STATES in numeric format]]=1,F50=1,F49=0),1,0)</f>
        <v>0</v>
      </c>
      <c r="V51">
        <f>IF(AND(Table2[[#This Row],[STATES in numeric format]]=1,F50=-1,F49=0),1,0)</f>
        <v>0</v>
      </c>
      <c r="W51">
        <f>IF(AND(Table2[[#This Row],[STATES in numeric format]]=1,F50=0,F49=1),1,0)</f>
        <v>0</v>
      </c>
      <c r="X51">
        <f>IF(AND(Table2[[#This Row],[STATES in numeric format]]=1,F50=0,F49=-1),1,0)</f>
        <v>0</v>
      </c>
      <c r="Y51">
        <f>IF(AND(Table2[[#This Row],[STATES in numeric format]]=0,F50=1,F49=1),1,0)</f>
        <v>0</v>
      </c>
      <c r="Z51">
        <f>IF(AND(Table2[[#This Row],[STATES in numeric format]]=0,F50=-1,F49=-1),1,0)</f>
        <v>0</v>
      </c>
      <c r="AA51">
        <f>IF(AND(Table2[[#This Row],[STATES in numeric format]]=0,F50=-1,F49=1),1,0)</f>
        <v>0</v>
      </c>
      <c r="AB51">
        <f>IF(AND(Table2[[#This Row],[STATES in numeric format]]=0,F50=1,F49=-1),1,0)</f>
        <v>0</v>
      </c>
      <c r="AC51">
        <f>IF(AND(Table2[[#This Row],[STATES in numeric format]]=0,F50=0,F49=0),1,0)</f>
        <v>0</v>
      </c>
      <c r="AD51">
        <f>IF(AND(Table2[[#This Row],[STATES in numeric format]]=0,F50=1,F49=0),1,0)</f>
        <v>0</v>
      </c>
      <c r="AE51">
        <f>IF(AND(Table2[[#This Row],[STATES in numeric format]]=0,F50=-1,F49=0),1,0)</f>
        <v>0</v>
      </c>
      <c r="AF51">
        <f>IF(AND(Table2[[#This Row],[STATES in numeric format]]=0,F50=0,F49=1),1,0)</f>
        <v>0</v>
      </c>
      <c r="AG51">
        <f>IF(AND(Table2[[#This Row],[STATES in numeric format]]=0,F50=0,F49=-1),1,0)</f>
        <v>0</v>
      </c>
    </row>
    <row r="52" spans="1:33" x14ac:dyDescent="0.3">
      <c r="A52" s="1">
        <v>43902</v>
      </c>
      <c r="B52">
        <v>32778.14</v>
      </c>
      <c r="C52">
        <f>Table2[[#This Row],[Close]]-0.001*Table2[[#This Row],[Close]]</f>
        <v>32745.361860000001</v>
      </c>
      <c r="D52">
        <f>Table2[[#This Row],[Close]]+0.001*Table2[[#This Row],[Close]]</f>
        <v>32810.918140000002</v>
      </c>
      <c r="E52" t="str">
        <f>IF(Table2[[#This Row],[Close]]&gt;D51,"up",IF(Table2[[#This Row],[Close]]&lt;C51,"down","constant"))</f>
        <v>down</v>
      </c>
      <c r="F52" s="3">
        <f>IF(Table2[[#This Row],[States]]="up",1,IF(Table2[[#This Row],[States]]="down",-1,0))</f>
        <v>-1</v>
      </c>
      <c r="G52">
        <f>IF(AND(Table2[[#This Row],[STATES in numeric format]]=-1,F51=1,F50=1),1,0)</f>
        <v>0</v>
      </c>
      <c r="H52">
        <f>IF(AND(Table2[[#This Row],[STATES in numeric format]]=-1,F51=-1,F50=-1),1,0)</f>
        <v>0</v>
      </c>
      <c r="I52">
        <f>IF(AND(Table2[[#This Row],[STATES in numeric format]]=-1,F51=-1,F50=1),1,0)</f>
        <v>0</v>
      </c>
      <c r="J52">
        <f>IF(AND(Table2[[#This Row],[STATES in numeric format]]=-1,F51=1,F50=-1),1,0)</f>
        <v>1</v>
      </c>
      <c r="K52">
        <f>IF(AND(Table2[[#This Row],[STATES in numeric format]]=-1,F51=0,F50=0),1,0)</f>
        <v>0</v>
      </c>
      <c r="L52">
        <f>IF(AND(Table2[[#This Row],[STATES in numeric format]]=-1,F51=1,F50=0),1,0)</f>
        <v>0</v>
      </c>
      <c r="M52">
        <f>IF(AND(Table2[[#This Row],[STATES in numeric format]]=-1,F51=-1,F50=0),1,0)</f>
        <v>0</v>
      </c>
      <c r="N52">
        <f>IF(AND(Table2[[#This Row],[STATES in numeric format]]=-1,F51=0,F50=1),1,0)</f>
        <v>0</v>
      </c>
      <c r="O52">
        <f>IF(AND(Table2[[#This Row],[STATES in numeric format]]=-1,F51=0,F50=-1),1,0)</f>
        <v>0</v>
      </c>
      <c r="P52">
        <f>IF(AND(Table2[[#This Row],[STATES in numeric format]]=1,F51=1,F50=1),1,0)</f>
        <v>0</v>
      </c>
      <c r="Q52">
        <f>IF(AND(Table2[[#This Row],[STATES in numeric format]]=1,F51=-1,F50=-1),1,0)</f>
        <v>0</v>
      </c>
      <c r="R52">
        <f>IF(AND(Table2[[#This Row],[STATES in numeric format]]=1,F51=-1,F50=1),1,0)</f>
        <v>0</v>
      </c>
      <c r="S52">
        <f>IF(AND(Table2[[#This Row],[STATES in numeric format]]=1,F51=1,F50=-1),1,0)</f>
        <v>0</v>
      </c>
      <c r="T52">
        <f>IF(AND(Table2[[#This Row],[STATES in numeric format]]=1,F51=0,F50=0),1,0)</f>
        <v>0</v>
      </c>
      <c r="U52">
        <f>IF(AND(Table2[[#This Row],[STATES in numeric format]]=1,F51=1,F50=0),1,0)</f>
        <v>0</v>
      </c>
      <c r="V52">
        <f>IF(AND(Table2[[#This Row],[STATES in numeric format]]=1,F51=-1,F50=0),1,0)</f>
        <v>0</v>
      </c>
      <c r="W52">
        <f>IF(AND(Table2[[#This Row],[STATES in numeric format]]=1,F51=0,F50=1),1,0)</f>
        <v>0</v>
      </c>
      <c r="X52">
        <f>IF(AND(Table2[[#This Row],[STATES in numeric format]]=1,F51=0,F50=-1),1,0)</f>
        <v>0</v>
      </c>
      <c r="Y52">
        <f>IF(AND(Table2[[#This Row],[STATES in numeric format]]=0,F51=1,F50=1),1,0)</f>
        <v>0</v>
      </c>
      <c r="Z52">
        <f>IF(AND(Table2[[#This Row],[STATES in numeric format]]=0,F51=-1,F50=-1),1,0)</f>
        <v>0</v>
      </c>
      <c r="AA52">
        <f>IF(AND(Table2[[#This Row],[STATES in numeric format]]=0,F51=-1,F50=1),1,0)</f>
        <v>0</v>
      </c>
      <c r="AB52">
        <f>IF(AND(Table2[[#This Row],[STATES in numeric format]]=0,F51=1,F50=-1),1,0)</f>
        <v>0</v>
      </c>
      <c r="AC52">
        <f>IF(AND(Table2[[#This Row],[STATES in numeric format]]=0,F51=0,F50=0),1,0)</f>
        <v>0</v>
      </c>
      <c r="AD52">
        <f>IF(AND(Table2[[#This Row],[STATES in numeric format]]=0,F51=1,F50=0),1,0)</f>
        <v>0</v>
      </c>
      <c r="AE52">
        <f>IF(AND(Table2[[#This Row],[STATES in numeric format]]=0,F51=-1,F50=0),1,0)</f>
        <v>0</v>
      </c>
      <c r="AF52">
        <f>IF(AND(Table2[[#This Row],[STATES in numeric format]]=0,F51=0,F50=1),1,0)</f>
        <v>0</v>
      </c>
      <c r="AG52">
        <f>IF(AND(Table2[[#This Row],[STATES in numeric format]]=0,F51=0,F50=-1),1,0)</f>
        <v>0</v>
      </c>
    </row>
    <row r="53" spans="1:33" x14ac:dyDescent="0.3">
      <c r="A53" s="1">
        <v>43903</v>
      </c>
      <c r="B53">
        <v>34103.480000000003</v>
      </c>
      <c r="C53">
        <f>Table2[[#This Row],[Close]]-0.001*Table2[[#This Row],[Close]]</f>
        <v>34069.376520000005</v>
      </c>
      <c r="D53">
        <f>Table2[[#This Row],[Close]]+0.001*Table2[[#This Row],[Close]]</f>
        <v>34137.583480000001</v>
      </c>
      <c r="E53" t="str">
        <f>IF(Table2[[#This Row],[Close]]&gt;D52,"up",IF(Table2[[#This Row],[Close]]&lt;C52,"down","constant"))</f>
        <v>up</v>
      </c>
      <c r="F53" s="3">
        <f>IF(Table2[[#This Row],[States]]="up",1,IF(Table2[[#This Row],[States]]="down",-1,0))</f>
        <v>1</v>
      </c>
      <c r="G53">
        <f>IF(AND(Table2[[#This Row],[STATES in numeric format]]=-1,F52=1,F51=1),1,0)</f>
        <v>0</v>
      </c>
      <c r="H53">
        <f>IF(AND(Table2[[#This Row],[STATES in numeric format]]=-1,F52=-1,F51=-1),1,0)</f>
        <v>0</v>
      </c>
      <c r="I53">
        <f>IF(AND(Table2[[#This Row],[STATES in numeric format]]=-1,F52=-1,F51=1),1,0)</f>
        <v>0</v>
      </c>
      <c r="J53">
        <f>IF(AND(Table2[[#This Row],[STATES in numeric format]]=-1,F52=1,F51=-1),1,0)</f>
        <v>0</v>
      </c>
      <c r="K53">
        <f>IF(AND(Table2[[#This Row],[STATES in numeric format]]=-1,F52=0,F51=0),1,0)</f>
        <v>0</v>
      </c>
      <c r="L53">
        <f>IF(AND(Table2[[#This Row],[STATES in numeric format]]=-1,F52=1,F51=0),1,0)</f>
        <v>0</v>
      </c>
      <c r="M53">
        <f>IF(AND(Table2[[#This Row],[STATES in numeric format]]=-1,F52=-1,F51=0),1,0)</f>
        <v>0</v>
      </c>
      <c r="N53">
        <f>IF(AND(Table2[[#This Row],[STATES in numeric format]]=-1,F52=0,F51=1),1,0)</f>
        <v>0</v>
      </c>
      <c r="O53">
        <f>IF(AND(Table2[[#This Row],[STATES in numeric format]]=-1,F52=0,F51=-1),1,0)</f>
        <v>0</v>
      </c>
      <c r="P53">
        <f>IF(AND(Table2[[#This Row],[STATES in numeric format]]=1,F52=1,F51=1),1,0)</f>
        <v>0</v>
      </c>
      <c r="Q53">
        <f>IF(AND(Table2[[#This Row],[STATES in numeric format]]=1,F52=-1,F51=-1),1,0)</f>
        <v>0</v>
      </c>
      <c r="R53">
        <f>IF(AND(Table2[[#This Row],[STATES in numeric format]]=1,F52=-1,F51=1),1,0)</f>
        <v>1</v>
      </c>
      <c r="S53">
        <f>IF(AND(Table2[[#This Row],[STATES in numeric format]]=1,F52=1,F51=-1),1,0)</f>
        <v>0</v>
      </c>
      <c r="T53">
        <f>IF(AND(Table2[[#This Row],[STATES in numeric format]]=1,F52=0,F51=0),1,0)</f>
        <v>0</v>
      </c>
      <c r="U53">
        <f>IF(AND(Table2[[#This Row],[STATES in numeric format]]=1,F52=1,F51=0),1,0)</f>
        <v>0</v>
      </c>
      <c r="V53">
        <f>IF(AND(Table2[[#This Row],[STATES in numeric format]]=1,F52=-1,F51=0),1,0)</f>
        <v>0</v>
      </c>
      <c r="W53">
        <f>IF(AND(Table2[[#This Row],[STATES in numeric format]]=1,F52=0,F51=1),1,0)</f>
        <v>0</v>
      </c>
      <c r="X53">
        <f>IF(AND(Table2[[#This Row],[STATES in numeric format]]=1,F52=0,F51=-1),1,0)</f>
        <v>0</v>
      </c>
      <c r="Y53">
        <f>IF(AND(Table2[[#This Row],[STATES in numeric format]]=0,F52=1,F51=1),1,0)</f>
        <v>0</v>
      </c>
      <c r="Z53">
        <f>IF(AND(Table2[[#This Row],[STATES in numeric format]]=0,F52=-1,F51=-1),1,0)</f>
        <v>0</v>
      </c>
      <c r="AA53">
        <f>IF(AND(Table2[[#This Row],[STATES in numeric format]]=0,F52=-1,F51=1),1,0)</f>
        <v>0</v>
      </c>
      <c r="AB53">
        <f>IF(AND(Table2[[#This Row],[STATES in numeric format]]=0,F52=1,F51=-1),1,0)</f>
        <v>0</v>
      </c>
      <c r="AC53">
        <f>IF(AND(Table2[[#This Row],[STATES in numeric format]]=0,F52=0,F51=0),1,0)</f>
        <v>0</v>
      </c>
      <c r="AD53">
        <f>IF(AND(Table2[[#This Row],[STATES in numeric format]]=0,F52=1,F51=0),1,0)</f>
        <v>0</v>
      </c>
      <c r="AE53">
        <f>IF(AND(Table2[[#This Row],[STATES in numeric format]]=0,F52=-1,F51=0),1,0)</f>
        <v>0</v>
      </c>
      <c r="AF53">
        <f>IF(AND(Table2[[#This Row],[STATES in numeric format]]=0,F52=0,F51=1),1,0)</f>
        <v>0</v>
      </c>
      <c r="AG53">
        <f>IF(AND(Table2[[#This Row],[STATES in numeric format]]=0,F52=0,F51=-1),1,0)</f>
        <v>0</v>
      </c>
    </row>
    <row r="54" spans="1:33" x14ac:dyDescent="0.3">
      <c r="A54" s="1">
        <v>43906</v>
      </c>
      <c r="B54">
        <v>31390.07</v>
      </c>
      <c r="C54">
        <f>Table2[[#This Row],[Close]]-0.001*Table2[[#This Row],[Close]]</f>
        <v>31358.679929999998</v>
      </c>
      <c r="D54">
        <f>Table2[[#This Row],[Close]]+0.001*Table2[[#This Row],[Close]]</f>
        <v>31421.460070000001</v>
      </c>
      <c r="E54" t="str">
        <f>IF(Table2[[#This Row],[Close]]&gt;D53,"up",IF(Table2[[#This Row],[Close]]&lt;C53,"down","constant"))</f>
        <v>down</v>
      </c>
      <c r="F54" s="3">
        <f>IF(Table2[[#This Row],[States]]="up",1,IF(Table2[[#This Row],[States]]="down",-1,0))</f>
        <v>-1</v>
      </c>
      <c r="G54">
        <f>IF(AND(Table2[[#This Row],[STATES in numeric format]]=-1,F53=1,F52=1),1,0)</f>
        <v>0</v>
      </c>
      <c r="H54">
        <f>IF(AND(Table2[[#This Row],[STATES in numeric format]]=-1,F53=-1,F52=-1),1,0)</f>
        <v>0</v>
      </c>
      <c r="I54">
        <f>IF(AND(Table2[[#This Row],[STATES in numeric format]]=-1,F53=-1,F52=1),1,0)</f>
        <v>0</v>
      </c>
      <c r="J54">
        <f>IF(AND(Table2[[#This Row],[STATES in numeric format]]=-1,F53=1,F52=-1),1,0)</f>
        <v>1</v>
      </c>
      <c r="K54">
        <f>IF(AND(Table2[[#This Row],[STATES in numeric format]]=-1,F53=0,F52=0),1,0)</f>
        <v>0</v>
      </c>
      <c r="L54">
        <f>IF(AND(Table2[[#This Row],[STATES in numeric format]]=-1,F53=1,F52=0),1,0)</f>
        <v>0</v>
      </c>
      <c r="M54">
        <f>IF(AND(Table2[[#This Row],[STATES in numeric format]]=-1,F53=-1,F52=0),1,0)</f>
        <v>0</v>
      </c>
      <c r="N54">
        <f>IF(AND(Table2[[#This Row],[STATES in numeric format]]=-1,F53=0,F52=1),1,0)</f>
        <v>0</v>
      </c>
      <c r="O54">
        <f>IF(AND(Table2[[#This Row],[STATES in numeric format]]=-1,F53=0,F52=-1),1,0)</f>
        <v>0</v>
      </c>
      <c r="P54">
        <f>IF(AND(Table2[[#This Row],[STATES in numeric format]]=1,F53=1,F52=1),1,0)</f>
        <v>0</v>
      </c>
      <c r="Q54">
        <f>IF(AND(Table2[[#This Row],[STATES in numeric format]]=1,F53=-1,F52=-1),1,0)</f>
        <v>0</v>
      </c>
      <c r="R54">
        <f>IF(AND(Table2[[#This Row],[STATES in numeric format]]=1,F53=-1,F52=1),1,0)</f>
        <v>0</v>
      </c>
      <c r="S54">
        <f>IF(AND(Table2[[#This Row],[STATES in numeric format]]=1,F53=1,F52=-1),1,0)</f>
        <v>0</v>
      </c>
      <c r="T54">
        <f>IF(AND(Table2[[#This Row],[STATES in numeric format]]=1,F53=0,F52=0),1,0)</f>
        <v>0</v>
      </c>
      <c r="U54">
        <f>IF(AND(Table2[[#This Row],[STATES in numeric format]]=1,F53=1,F52=0),1,0)</f>
        <v>0</v>
      </c>
      <c r="V54">
        <f>IF(AND(Table2[[#This Row],[STATES in numeric format]]=1,F53=-1,F52=0),1,0)</f>
        <v>0</v>
      </c>
      <c r="W54">
        <f>IF(AND(Table2[[#This Row],[STATES in numeric format]]=1,F53=0,F52=1),1,0)</f>
        <v>0</v>
      </c>
      <c r="X54">
        <f>IF(AND(Table2[[#This Row],[STATES in numeric format]]=1,F53=0,F52=-1),1,0)</f>
        <v>0</v>
      </c>
      <c r="Y54">
        <f>IF(AND(Table2[[#This Row],[STATES in numeric format]]=0,F53=1,F52=1),1,0)</f>
        <v>0</v>
      </c>
      <c r="Z54">
        <f>IF(AND(Table2[[#This Row],[STATES in numeric format]]=0,F53=-1,F52=-1),1,0)</f>
        <v>0</v>
      </c>
      <c r="AA54">
        <f>IF(AND(Table2[[#This Row],[STATES in numeric format]]=0,F53=-1,F52=1),1,0)</f>
        <v>0</v>
      </c>
      <c r="AB54">
        <f>IF(AND(Table2[[#This Row],[STATES in numeric format]]=0,F53=1,F52=-1),1,0)</f>
        <v>0</v>
      </c>
      <c r="AC54">
        <f>IF(AND(Table2[[#This Row],[STATES in numeric format]]=0,F53=0,F52=0),1,0)</f>
        <v>0</v>
      </c>
      <c r="AD54">
        <f>IF(AND(Table2[[#This Row],[STATES in numeric format]]=0,F53=1,F52=0),1,0)</f>
        <v>0</v>
      </c>
      <c r="AE54">
        <f>IF(AND(Table2[[#This Row],[STATES in numeric format]]=0,F53=-1,F52=0),1,0)</f>
        <v>0</v>
      </c>
      <c r="AF54">
        <f>IF(AND(Table2[[#This Row],[STATES in numeric format]]=0,F53=0,F52=1),1,0)</f>
        <v>0</v>
      </c>
      <c r="AG54">
        <f>IF(AND(Table2[[#This Row],[STATES in numeric format]]=0,F53=0,F52=-1),1,0)</f>
        <v>0</v>
      </c>
    </row>
    <row r="55" spans="1:33" x14ac:dyDescent="0.3">
      <c r="A55" s="1">
        <v>43907</v>
      </c>
      <c r="B55">
        <v>30579.09</v>
      </c>
      <c r="C55">
        <f>Table2[[#This Row],[Close]]-0.001*Table2[[#This Row],[Close]]</f>
        <v>30548.510910000001</v>
      </c>
      <c r="D55">
        <f>Table2[[#This Row],[Close]]+0.001*Table2[[#This Row],[Close]]</f>
        <v>30609.669089999999</v>
      </c>
      <c r="E55" t="str">
        <f>IF(Table2[[#This Row],[Close]]&gt;D54,"up",IF(Table2[[#This Row],[Close]]&lt;C54,"down","constant"))</f>
        <v>down</v>
      </c>
      <c r="F55" s="3">
        <f>IF(Table2[[#This Row],[States]]="up",1,IF(Table2[[#This Row],[States]]="down",-1,0))</f>
        <v>-1</v>
      </c>
      <c r="G55">
        <f>IF(AND(Table2[[#This Row],[STATES in numeric format]]=-1,F54=1,F53=1),1,0)</f>
        <v>0</v>
      </c>
      <c r="H55">
        <f>IF(AND(Table2[[#This Row],[STATES in numeric format]]=-1,F54=-1,F53=-1),1,0)</f>
        <v>0</v>
      </c>
      <c r="I55">
        <f>IF(AND(Table2[[#This Row],[STATES in numeric format]]=-1,F54=-1,F53=1),1,0)</f>
        <v>1</v>
      </c>
      <c r="J55">
        <f>IF(AND(Table2[[#This Row],[STATES in numeric format]]=-1,F54=1,F53=-1),1,0)</f>
        <v>0</v>
      </c>
      <c r="K55">
        <f>IF(AND(Table2[[#This Row],[STATES in numeric format]]=-1,F54=0,F53=0),1,0)</f>
        <v>0</v>
      </c>
      <c r="L55">
        <f>IF(AND(Table2[[#This Row],[STATES in numeric format]]=-1,F54=1,F53=0),1,0)</f>
        <v>0</v>
      </c>
      <c r="M55">
        <f>IF(AND(Table2[[#This Row],[STATES in numeric format]]=-1,F54=-1,F53=0),1,0)</f>
        <v>0</v>
      </c>
      <c r="N55">
        <f>IF(AND(Table2[[#This Row],[STATES in numeric format]]=-1,F54=0,F53=1),1,0)</f>
        <v>0</v>
      </c>
      <c r="O55">
        <f>IF(AND(Table2[[#This Row],[STATES in numeric format]]=-1,F54=0,F53=-1),1,0)</f>
        <v>0</v>
      </c>
      <c r="P55">
        <f>IF(AND(Table2[[#This Row],[STATES in numeric format]]=1,F54=1,F53=1),1,0)</f>
        <v>0</v>
      </c>
      <c r="Q55">
        <f>IF(AND(Table2[[#This Row],[STATES in numeric format]]=1,F54=-1,F53=-1),1,0)</f>
        <v>0</v>
      </c>
      <c r="R55">
        <f>IF(AND(Table2[[#This Row],[STATES in numeric format]]=1,F54=-1,F53=1),1,0)</f>
        <v>0</v>
      </c>
      <c r="S55">
        <f>IF(AND(Table2[[#This Row],[STATES in numeric format]]=1,F54=1,F53=-1),1,0)</f>
        <v>0</v>
      </c>
      <c r="T55">
        <f>IF(AND(Table2[[#This Row],[STATES in numeric format]]=1,F54=0,F53=0),1,0)</f>
        <v>0</v>
      </c>
      <c r="U55">
        <f>IF(AND(Table2[[#This Row],[STATES in numeric format]]=1,F54=1,F53=0),1,0)</f>
        <v>0</v>
      </c>
      <c r="V55">
        <f>IF(AND(Table2[[#This Row],[STATES in numeric format]]=1,F54=-1,F53=0),1,0)</f>
        <v>0</v>
      </c>
      <c r="W55">
        <f>IF(AND(Table2[[#This Row],[STATES in numeric format]]=1,F54=0,F53=1),1,0)</f>
        <v>0</v>
      </c>
      <c r="X55">
        <f>IF(AND(Table2[[#This Row],[STATES in numeric format]]=1,F54=0,F53=-1),1,0)</f>
        <v>0</v>
      </c>
      <c r="Y55">
        <f>IF(AND(Table2[[#This Row],[STATES in numeric format]]=0,F54=1,F53=1),1,0)</f>
        <v>0</v>
      </c>
      <c r="Z55">
        <f>IF(AND(Table2[[#This Row],[STATES in numeric format]]=0,F54=-1,F53=-1),1,0)</f>
        <v>0</v>
      </c>
      <c r="AA55">
        <f>IF(AND(Table2[[#This Row],[STATES in numeric format]]=0,F54=-1,F53=1),1,0)</f>
        <v>0</v>
      </c>
      <c r="AB55">
        <f>IF(AND(Table2[[#This Row],[STATES in numeric format]]=0,F54=1,F53=-1),1,0)</f>
        <v>0</v>
      </c>
      <c r="AC55">
        <f>IF(AND(Table2[[#This Row],[STATES in numeric format]]=0,F54=0,F53=0),1,0)</f>
        <v>0</v>
      </c>
      <c r="AD55">
        <f>IF(AND(Table2[[#This Row],[STATES in numeric format]]=0,F54=1,F53=0),1,0)</f>
        <v>0</v>
      </c>
      <c r="AE55">
        <f>IF(AND(Table2[[#This Row],[STATES in numeric format]]=0,F54=-1,F53=0),1,0)</f>
        <v>0</v>
      </c>
      <c r="AF55">
        <f>IF(AND(Table2[[#This Row],[STATES in numeric format]]=0,F54=0,F53=1),1,0)</f>
        <v>0</v>
      </c>
      <c r="AG55">
        <f>IF(AND(Table2[[#This Row],[STATES in numeric format]]=0,F54=0,F53=-1),1,0)</f>
        <v>0</v>
      </c>
    </row>
    <row r="56" spans="1:33" x14ac:dyDescent="0.3">
      <c r="A56" s="1">
        <v>43908</v>
      </c>
      <c r="B56">
        <v>28869.51</v>
      </c>
      <c r="C56">
        <f>Table2[[#This Row],[Close]]-0.001*Table2[[#This Row],[Close]]</f>
        <v>28840.640489999998</v>
      </c>
      <c r="D56">
        <f>Table2[[#This Row],[Close]]+0.001*Table2[[#This Row],[Close]]</f>
        <v>28898.379509999999</v>
      </c>
      <c r="E56" t="str">
        <f>IF(Table2[[#This Row],[Close]]&gt;D55,"up",IF(Table2[[#This Row],[Close]]&lt;C55,"down","constant"))</f>
        <v>down</v>
      </c>
      <c r="F56" s="3">
        <f>IF(Table2[[#This Row],[States]]="up",1,IF(Table2[[#This Row],[States]]="down",-1,0))</f>
        <v>-1</v>
      </c>
      <c r="G56">
        <f>IF(AND(Table2[[#This Row],[STATES in numeric format]]=-1,F55=1,F54=1),1,0)</f>
        <v>0</v>
      </c>
      <c r="H56">
        <f>IF(AND(Table2[[#This Row],[STATES in numeric format]]=-1,F55=-1,F54=-1),1,0)</f>
        <v>1</v>
      </c>
      <c r="I56">
        <f>IF(AND(Table2[[#This Row],[STATES in numeric format]]=-1,F55=-1,F54=1),1,0)</f>
        <v>0</v>
      </c>
      <c r="J56">
        <f>IF(AND(Table2[[#This Row],[STATES in numeric format]]=-1,F55=1,F54=-1),1,0)</f>
        <v>0</v>
      </c>
      <c r="K56">
        <f>IF(AND(Table2[[#This Row],[STATES in numeric format]]=-1,F55=0,F54=0),1,0)</f>
        <v>0</v>
      </c>
      <c r="L56">
        <f>IF(AND(Table2[[#This Row],[STATES in numeric format]]=-1,F55=1,F54=0),1,0)</f>
        <v>0</v>
      </c>
      <c r="M56">
        <f>IF(AND(Table2[[#This Row],[STATES in numeric format]]=-1,F55=-1,F54=0),1,0)</f>
        <v>0</v>
      </c>
      <c r="N56">
        <f>IF(AND(Table2[[#This Row],[STATES in numeric format]]=-1,F55=0,F54=1),1,0)</f>
        <v>0</v>
      </c>
      <c r="O56">
        <f>IF(AND(Table2[[#This Row],[STATES in numeric format]]=-1,F55=0,F54=-1),1,0)</f>
        <v>0</v>
      </c>
      <c r="P56">
        <f>IF(AND(Table2[[#This Row],[STATES in numeric format]]=1,F55=1,F54=1),1,0)</f>
        <v>0</v>
      </c>
      <c r="Q56">
        <f>IF(AND(Table2[[#This Row],[STATES in numeric format]]=1,F55=-1,F54=-1),1,0)</f>
        <v>0</v>
      </c>
      <c r="R56">
        <f>IF(AND(Table2[[#This Row],[STATES in numeric format]]=1,F55=-1,F54=1),1,0)</f>
        <v>0</v>
      </c>
      <c r="S56">
        <f>IF(AND(Table2[[#This Row],[STATES in numeric format]]=1,F55=1,F54=-1),1,0)</f>
        <v>0</v>
      </c>
      <c r="T56">
        <f>IF(AND(Table2[[#This Row],[STATES in numeric format]]=1,F55=0,F54=0),1,0)</f>
        <v>0</v>
      </c>
      <c r="U56">
        <f>IF(AND(Table2[[#This Row],[STATES in numeric format]]=1,F55=1,F54=0),1,0)</f>
        <v>0</v>
      </c>
      <c r="V56">
        <f>IF(AND(Table2[[#This Row],[STATES in numeric format]]=1,F55=-1,F54=0),1,0)</f>
        <v>0</v>
      </c>
      <c r="W56">
        <f>IF(AND(Table2[[#This Row],[STATES in numeric format]]=1,F55=0,F54=1),1,0)</f>
        <v>0</v>
      </c>
      <c r="X56">
        <f>IF(AND(Table2[[#This Row],[STATES in numeric format]]=1,F55=0,F54=-1),1,0)</f>
        <v>0</v>
      </c>
      <c r="Y56">
        <f>IF(AND(Table2[[#This Row],[STATES in numeric format]]=0,F55=1,F54=1),1,0)</f>
        <v>0</v>
      </c>
      <c r="Z56">
        <f>IF(AND(Table2[[#This Row],[STATES in numeric format]]=0,F55=-1,F54=-1),1,0)</f>
        <v>0</v>
      </c>
      <c r="AA56">
        <f>IF(AND(Table2[[#This Row],[STATES in numeric format]]=0,F55=-1,F54=1),1,0)</f>
        <v>0</v>
      </c>
      <c r="AB56">
        <f>IF(AND(Table2[[#This Row],[STATES in numeric format]]=0,F55=1,F54=-1),1,0)</f>
        <v>0</v>
      </c>
      <c r="AC56">
        <f>IF(AND(Table2[[#This Row],[STATES in numeric format]]=0,F55=0,F54=0),1,0)</f>
        <v>0</v>
      </c>
      <c r="AD56">
        <f>IF(AND(Table2[[#This Row],[STATES in numeric format]]=0,F55=1,F54=0),1,0)</f>
        <v>0</v>
      </c>
      <c r="AE56">
        <f>IF(AND(Table2[[#This Row],[STATES in numeric format]]=0,F55=-1,F54=0),1,0)</f>
        <v>0</v>
      </c>
      <c r="AF56">
        <f>IF(AND(Table2[[#This Row],[STATES in numeric format]]=0,F55=0,F54=1),1,0)</f>
        <v>0</v>
      </c>
      <c r="AG56">
        <f>IF(AND(Table2[[#This Row],[STATES in numeric format]]=0,F55=0,F54=-1),1,0)</f>
        <v>0</v>
      </c>
    </row>
    <row r="57" spans="1:33" x14ac:dyDescent="0.3">
      <c r="A57" s="1">
        <v>43909</v>
      </c>
      <c r="B57">
        <v>28288.23</v>
      </c>
      <c r="C57">
        <f>Table2[[#This Row],[Close]]-0.001*Table2[[#This Row],[Close]]</f>
        <v>28259.941770000001</v>
      </c>
      <c r="D57">
        <f>Table2[[#This Row],[Close]]+0.001*Table2[[#This Row],[Close]]</f>
        <v>28316.518229999998</v>
      </c>
      <c r="E57" t="str">
        <f>IF(Table2[[#This Row],[Close]]&gt;D56,"up",IF(Table2[[#This Row],[Close]]&lt;C56,"down","constant"))</f>
        <v>down</v>
      </c>
      <c r="F57" s="3">
        <f>IF(Table2[[#This Row],[States]]="up",1,IF(Table2[[#This Row],[States]]="down",-1,0))</f>
        <v>-1</v>
      </c>
      <c r="G57">
        <f>IF(AND(Table2[[#This Row],[STATES in numeric format]]=-1,F56=1,F55=1),1,0)</f>
        <v>0</v>
      </c>
      <c r="H57">
        <f>IF(AND(Table2[[#This Row],[STATES in numeric format]]=-1,F56=-1,F55=-1),1,0)</f>
        <v>1</v>
      </c>
      <c r="I57">
        <f>IF(AND(Table2[[#This Row],[STATES in numeric format]]=-1,F56=-1,F55=1),1,0)</f>
        <v>0</v>
      </c>
      <c r="J57">
        <f>IF(AND(Table2[[#This Row],[STATES in numeric format]]=-1,F56=1,F55=-1),1,0)</f>
        <v>0</v>
      </c>
      <c r="K57">
        <f>IF(AND(Table2[[#This Row],[STATES in numeric format]]=-1,F56=0,F55=0),1,0)</f>
        <v>0</v>
      </c>
      <c r="L57">
        <f>IF(AND(Table2[[#This Row],[STATES in numeric format]]=-1,F56=1,F55=0),1,0)</f>
        <v>0</v>
      </c>
      <c r="M57">
        <f>IF(AND(Table2[[#This Row],[STATES in numeric format]]=-1,F56=-1,F55=0),1,0)</f>
        <v>0</v>
      </c>
      <c r="N57">
        <f>IF(AND(Table2[[#This Row],[STATES in numeric format]]=-1,F56=0,F55=1),1,0)</f>
        <v>0</v>
      </c>
      <c r="O57">
        <f>IF(AND(Table2[[#This Row],[STATES in numeric format]]=-1,F56=0,F55=-1),1,0)</f>
        <v>0</v>
      </c>
      <c r="P57">
        <f>IF(AND(Table2[[#This Row],[STATES in numeric format]]=1,F56=1,F55=1),1,0)</f>
        <v>0</v>
      </c>
      <c r="Q57">
        <f>IF(AND(Table2[[#This Row],[STATES in numeric format]]=1,F56=-1,F55=-1),1,0)</f>
        <v>0</v>
      </c>
      <c r="R57">
        <f>IF(AND(Table2[[#This Row],[STATES in numeric format]]=1,F56=-1,F55=1),1,0)</f>
        <v>0</v>
      </c>
      <c r="S57">
        <f>IF(AND(Table2[[#This Row],[STATES in numeric format]]=1,F56=1,F55=-1),1,0)</f>
        <v>0</v>
      </c>
      <c r="T57">
        <f>IF(AND(Table2[[#This Row],[STATES in numeric format]]=1,F56=0,F55=0),1,0)</f>
        <v>0</v>
      </c>
      <c r="U57">
        <f>IF(AND(Table2[[#This Row],[STATES in numeric format]]=1,F56=1,F55=0),1,0)</f>
        <v>0</v>
      </c>
      <c r="V57">
        <f>IF(AND(Table2[[#This Row],[STATES in numeric format]]=1,F56=-1,F55=0),1,0)</f>
        <v>0</v>
      </c>
      <c r="W57">
        <f>IF(AND(Table2[[#This Row],[STATES in numeric format]]=1,F56=0,F55=1),1,0)</f>
        <v>0</v>
      </c>
      <c r="X57">
        <f>IF(AND(Table2[[#This Row],[STATES in numeric format]]=1,F56=0,F55=-1),1,0)</f>
        <v>0</v>
      </c>
      <c r="Y57">
        <f>IF(AND(Table2[[#This Row],[STATES in numeric format]]=0,F56=1,F55=1),1,0)</f>
        <v>0</v>
      </c>
      <c r="Z57">
        <f>IF(AND(Table2[[#This Row],[STATES in numeric format]]=0,F56=-1,F55=-1),1,0)</f>
        <v>0</v>
      </c>
      <c r="AA57">
        <f>IF(AND(Table2[[#This Row],[STATES in numeric format]]=0,F56=-1,F55=1),1,0)</f>
        <v>0</v>
      </c>
      <c r="AB57">
        <f>IF(AND(Table2[[#This Row],[STATES in numeric format]]=0,F56=1,F55=-1),1,0)</f>
        <v>0</v>
      </c>
      <c r="AC57">
        <f>IF(AND(Table2[[#This Row],[STATES in numeric format]]=0,F56=0,F55=0),1,0)</f>
        <v>0</v>
      </c>
      <c r="AD57">
        <f>IF(AND(Table2[[#This Row],[STATES in numeric format]]=0,F56=1,F55=0),1,0)</f>
        <v>0</v>
      </c>
      <c r="AE57">
        <f>IF(AND(Table2[[#This Row],[STATES in numeric format]]=0,F56=-1,F55=0),1,0)</f>
        <v>0</v>
      </c>
      <c r="AF57">
        <f>IF(AND(Table2[[#This Row],[STATES in numeric format]]=0,F56=0,F55=1),1,0)</f>
        <v>0</v>
      </c>
      <c r="AG57">
        <f>IF(AND(Table2[[#This Row],[STATES in numeric format]]=0,F56=0,F55=-1),1,0)</f>
        <v>0</v>
      </c>
    </row>
    <row r="58" spans="1:33" x14ac:dyDescent="0.3">
      <c r="A58" s="1">
        <v>43910</v>
      </c>
      <c r="B58">
        <v>29915.96</v>
      </c>
      <c r="C58">
        <f>Table2[[#This Row],[Close]]-0.001*Table2[[#This Row],[Close]]</f>
        <v>29886.044040000001</v>
      </c>
      <c r="D58">
        <f>Table2[[#This Row],[Close]]+0.001*Table2[[#This Row],[Close]]</f>
        <v>29945.875959999998</v>
      </c>
      <c r="E58" t="str">
        <f>IF(Table2[[#This Row],[Close]]&gt;D57,"up",IF(Table2[[#This Row],[Close]]&lt;C57,"down","constant"))</f>
        <v>up</v>
      </c>
      <c r="F58" s="3">
        <f>IF(Table2[[#This Row],[States]]="up",1,IF(Table2[[#This Row],[States]]="down",-1,0))</f>
        <v>1</v>
      </c>
      <c r="G58">
        <f>IF(AND(Table2[[#This Row],[STATES in numeric format]]=-1,F57=1,F56=1),1,0)</f>
        <v>0</v>
      </c>
      <c r="H58">
        <f>IF(AND(Table2[[#This Row],[STATES in numeric format]]=-1,F57=-1,F56=-1),1,0)</f>
        <v>0</v>
      </c>
      <c r="I58">
        <f>IF(AND(Table2[[#This Row],[STATES in numeric format]]=-1,F57=-1,F56=1),1,0)</f>
        <v>0</v>
      </c>
      <c r="J58">
        <f>IF(AND(Table2[[#This Row],[STATES in numeric format]]=-1,F57=1,F56=-1),1,0)</f>
        <v>0</v>
      </c>
      <c r="K58">
        <f>IF(AND(Table2[[#This Row],[STATES in numeric format]]=-1,F57=0,F56=0),1,0)</f>
        <v>0</v>
      </c>
      <c r="L58">
        <f>IF(AND(Table2[[#This Row],[STATES in numeric format]]=-1,F57=1,F56=0),1,0)</f>
        <v>0</v>
      </c>
      <c r="M58">
        <f>IF(AND(Table2[[#This Row],[STATES in numeric format]]=-1,F57=-1,F56=0),1,0)</f>
        <v>0</v>
      </c>
      <c r="N58">
        <f>IF(AND(Table2[[#This Row],[STATES in numeric format]]=-1,F57=0,F56=1),1,0)</f>
        <v>0</v>
      </c>
      <c r="O58">
        <f>IF(AND(Table2[[#This Row],[STATES in numeric format]]=-1,F57=0,F56=-1),1,0)</f>
        <v>0</v>
      </c>
      <c r="P58">
        <f>IF(AND(Table2[[#This Row],[STATES in numeric format]]=1,F57=1,F56=1),1,0)</f>
        <v>0</v>
      </c>
      <c r="Q58">
        <f>IF(AND(Table2[[#This Row],[STATES in numeric format]]=1,F57=-1,F56=-1),1,0)</f>
        <v>1</v>
      </c>
      <c r="R58">
        <f>IF(AND(Table2[[#This Row],[STATES in numeric format]]=1,F57=-1,F56=1),1,0)</f>
        <v>0</v>
      </c>
      <c r="S58">
        <f>IF(AND(Table2[[#This Row],[STATES in numeric format]]=1,F57=1,F56=-1),1,0)</f>
        <v>0</v>
      </c>
      <c r="T58">
        <f>IF(AND(Table2[[#This Row],[STATES in numeric format]]=1,F57=0,F56=0),1,0)</f>
        <v>0</v>
      </c>
      <c r="U58">
        <f>IF(AND(Table2[[#This Row],[STATES in numeric format]]=1,F57=1,F56=0),1,0)</f>
        <v>0</v>
      </c>
      <c r="V58">
        <f>IF(AND(Table2[[#This Row],[STATES in numeric format]]=1,F57=-1,F56=0),1,0)</f>
        <v>0</v>
      </c>
      <c r="W58">
        <f>IF(AND(Table2[[#This Row],[STATES in numeric format]]=1,F57=0,F56=1),1,0)</f>
        <v>0</v>
      </c>
      <c r="X58">
        <f>IF(AND(Table2[[#This Row],[STATES in numeric format]]=1,F57=0,F56=-1),1,0)</f>
        <v>0</v>
      </c>
      <c r="Y58">
        <f>IF(AND(Table2[[#This Row],[STATES in numeric format]]=0,F57=1,F56=1),1,0)</f>
        <v>0</v>
      </c>
      <c r="Z58">
        <f>IF(AND(Table2[[#This Row],[STATES in numeric format]]=0,F57=-1,F56=-1),1,0)</f>
        <v>0</v>
      </c>
      <c r="AA58">
        <f>IF(AND(Table2[[#This Row],[STATES in numeric format]]=0,F57=-1,F56=1),1,0)</f>
        <v>0</v>
      </c>
      <c r="AB58">
        <f>IF(AND(Table2[[#This Row],[STATES in numeric format]]=0,F57=1,F56=-1),1,0)</f>
        <v>0</v>
      </c>
      <c r="AC58">
        <f>IF(AND(Table2[[#This Row],[STATES in numeric format]]=0,F57=0,F56=0),1,0)</f>
        <v>0</v>
      </c>
      <c r="AD58">
        <f>IF(AND(Table2[[#This Row],[STATES in numeric format]]=0,F57=1,F56=0),1,0)</f>
        <v>0</v>
      </c>
      <c r="AE58">
        <f>IF(AND(Table2[[#This Row],[STATES in numeric format]]=0,F57=-1,F56=0),1,0)</f>
        <v>0</v>
      </c>
      <c r="AF58">
        <f>IF(AND(Table2[[#This Row],[STATES in numeric format]]=0,F57=0,F56=1),1,0)</f>
        <v>0</v>
      </c>
      <c r="AG58">
        <f>IF(AND(Table2[[#This Row],[STATES in numeric format]]=0,F57=0,F56=-1),1,0)</f>
        <v>0</v>
      </c>
    </row>
    <row r="59" spans="1:33" x14ac:dyDescent="0.3">
      <c r="A59" s="1">
        <v>43913</v>
      </c>
      <c r="B59">
        <v>25981.24</v>
      </c>
      <c r="C59">
        <f>Table2[[#This Row],[Close]]-0.001*Table2[[#This Row],[Close]]</f>
        <v>25955.258760000001</v>
      </c>
      <c r="D59">
        <f>Table2[[#This Row],[Close]]+0.001*Table2[[#This Row],[Close]]</f>
        <v>26007.221240000003</v>
      </c>
      <c r="E59" t="str">
        <f>IF(Table2[[#This Row],[Close]]&gt;D58,"up",IF(Table2[[#This Row],[Close]]&lt;C58,"down","constant"))</f>
        <v>down</v>
      </c>
      <c r="F59" s="3">
        <f>IF(Table2[[#This Row],[States]]="up",1,IF(Table2[[#This Row],[States]]="down",-1,0))</f>
        <v>-1</v>
      </c>
      <c r="G59">
        <f>IF(AND(Table2[[#This Row],[STATES in numeric format]]=-1,F58=1,F57=1),1,0)</f>
        <v>0</v>
      </c>
      <c r="H59">
        <f>IF(AND(Table2[[#This Row],[STATES in numeric format]]=-1,F58=-1,F57=-1),1,0)</f>
        <v>0</v>
      </c>
      <c r="I59">
        <f>IF(AND(Table2[[#This Row],[STATES in numeric format]]=-1,F58=-1,F57=1),1,0)</f>
        <v>0</v>
      </c>
      <c r="J59">
        <f>IF(AND(Table2[[#This Row],[STATES in numeric format]]=-1,F58=1,F57=-1),1,0)</f>
        <v>1</v>
      </c>
      <c r="K59">
        <f>IF(AND(Table2[[#This Row],[STATES in numeric format]]=-1,F58=0,F57=0),1,0)</f>
        <v>0</v>
      </c>
      <c r="L59">
        <f>IF(AND(Table2[[#This Row],[STATES in numeric format]]=-1,F58=1,F57=0),1,0)</f>
        <v>0</v>
      </c>
      <c r="M59">
        <f>IF(AND(Table2[[#This Row],[STATES in numeric format]]=-1,F58=-1,F57=0),1,0)</f>
        <v>0</v>
      </c>
      <c r="N59">
        <f>IF(AND(Table2[[#This Row],[STATES in numeric format]]=-1,F58=0,F57=1),1,0)</f>
        <v>0</v>
      </c>
      <c r="O59">
        <f>IF(AND(Table2[[#This Row],[STATES in numeric format]]=-1,F58=0,F57=-1),1,0)</f>
        <v>0</v>
      </c>
      <c r="P59">
        <f>IF(AND(Table2[[#This Row],[STATES in numeric format]]=1,F58=1,F57=1),1,0)</f>
        <v>0</v>
      </c>
      <c r="Q59">
        <f>IF(AND(Table2[[#This Row],[STATES in numeric format]]=1,F58=-1,F57=-1),1,0)</f>
        <v>0</v>
      </c>
      <c r="R59">
        <f>IF(AND(Table2[[#This Row],[STATES in numeric format]]=1,F58=-1,F57=1),1,0)</f>
        <v>0</v>
      </c>
      <c r="S59">
        <f>IF(AND(Table2[[#This Row],[STATES in numeric format]]=1,F58=1,F57=-1),1,0)</f>
        <v>0</v>
      </c>
      <c r="T59">
        <f>IF(AND(Table2[[#This Row],[STATES in numeric format]]=1,F58=0,F57=0),1,0)</f>
        <v>0</v>
      </c>
      <c r="U59">
        <f>IF(AND(Table2[[#This Row],[STATES in numeric format]]=1,F58=1,F57=0),1,0)</f>
        <v>0</v>
      </c>
      <c r="V59">
        <f>IF(AND(Table2[[#This Row],[STATES in numeric format]]=1,F58=-1,F57=0),1,0)</f>
        <v>0</v>
      </c>
      <c r="W59">
        <f>IF(AND(Table2[[#This Row],[STATES in numeric format]]=1,F58=0,F57=1),1,0)</f>
        <v>0</v>
      </c>
      <c r="X59">
        <f>IF(AND(Table2[[#This Row],[STATES in numeric format]]=1,F58=0,F57=-1),1,0)</f>
        <v>0</v>
      </c>
      <c r="Y59">
        <f>IF(AND(Table2[[#This Row],[STATES in numeric format]]=0,F58=1,F57=1),1,0)</f>
        <v>0</v>
      </c>
      <c r="Z59">
        <f>IF(AND(Table2[[#This Row],[STATES in numeric format]]=0,F58=-1,F57=-1),1,0)</f>
        <v>0</v>
      </c>
      <c r="AA59">
        <f>IF(AND(Table2[[#This Row],[STATES in numeric format]]=0,F58=-1,F57=1),1,0)</f>
        <v>0</v>
      </c>
      <c r="AB59">
        <f>IF(AND(Table2[[#This Row],[STATES in numeric format]]=0,F58=1,F57=-1),1,0)</f>
        <v>0</v>
      </c>
      <c r="AC59">
        <f>IF(AND(Table2[[#This Row],[STATES in numeric format]]=0,F58=0,F57=0),1,0)</f>
        <v>0</v>
      </c>
      <c r="AD59">
        <f>IF(AND(Table2[[#This Row],[STATES in numeric format]]=0,F58=1,F57=0),1,0)</f>
        <v>0</v>
      </c>
      <c r="AE59">
        <f>IF(AND(Table2[[#This Row],[STATES in numeric format]]=0,F58=-1,F57=0),1,0)</f>
        <v>0</v>
      </c>
      <c r="AF59">
        <f>IF(AND(Table2[[#This Row],[STATES in numeric format]]=0,F58=0,F57=1),1,0)</f>
        <v>0</v>
      </c>
      <c r="AG59">
        <f>IF(AND(Table2[[#This Row],[STATES in numeric format]]=0,F58=0,F57=-1),1,0)</f>
        <v>0</v>
      </c>
    </row>
    <row r="60" spans="1:33" x14ac:dyDescent="0.3">
      <c r="A60" s="1">
        <v>43914</v>
      </c>
      <c r="B60">
        <v>26674.03</v>
      </c>
      <c r="C60">
        <f>Table2[[#This Row],[Close]]-0.001*Table2[[#This Row],[Close]]</f>
        <v>26647.355970000001</v>
      </c>
      <c r="D60">
        <f>Table2[[#This Row],[Close]]+0.001*Table2[[#This Row],[Close]]</f>
        <v>26700.704029999997</v>
      </c>
      <c r="E60" t="str">
        <f>IF(Table2[[#This Row],[Close]]&gt;D59,"up",IF(Table2[[#This Row],[Close]]&lt;C59,"down","constant"))</f>
        <v>up</v>
      </c>
      <c r="F60" s="3">
        <f>IF(Table2[[#This Row],[States]]="up",1,IF(Table2[[#This Row],[States]]="down",-1,0))</f>
        <v>1</v>
      </c>
      <c r="G60">
        <f>IF(AND(Table2[[#This Row],[STATES in numeric format]]=-1,F59=1,F58=1),1,0)</f>
        <v>0</v>
      </c>
      <c r="H60">
        <f>IF(AND(Table2[[#This Row],[STATES in numeric format]]=-1,F59=-1,F58=-1),1,0)</f>
        <v>0</v>
      </c>
      <c r="I60">
        <f>IF(AND(Table2[[#This Row],[STATES in numeric format]]=-1,F59=-1,F58=1),1,0)</f>
        <v>0</v>
      </c>
      <c r="J60">
        <f>IF(AND(Table2[[#This Row],[STATES in numeric format]]=-1,F59=1,F58=-1),1,0)</f>
        <v>0</v>
      </c>
      <c r="K60">
        <f>IF(AND(Table2[[#This Row],[STATES in numeric format]]=-1,F59=0,F58=0),1,0)</f>
        <v>0</v>
      </c>
      <c r="L60">
        <f>IF(AND(Table2[[#This Row],[STATES in numeric format]]=-1,F59=1,F58=0),1,0)</f>
        <v>0</v>
      </c>
      <c r="M60">
        <f>IF(AND(Table2[[#This Row],[STATES in numeric format]]=-1,F59=-1,F58=0),1,0)</f>
        <v>0</v>
      </c>
      <c r="N60">
        <f>IF(AND(Table2[[#This Row],[STATES in numeric format]]=-1,F59=0,F58=1),1,0)</f>
        <v>0</v>
      </c>
      <c r="O60">
        <f>IF(AND(Table2[[#This Row],[STATES in numeric format]]=-1,F59=0,F58=-1),1,0)</f>
        <v>0</v>
      </c>
      <c r="P60">
        <f>IF(AND(Table2[[#This Row],[STATES in numeric format]]=1,F59=1,F58=1),1,0)</f>
        <v>0</v>
      </c>
      <c r="Q60">
        <f>IF(AND(Table2[[#This Row],[STATES in numeric format]]=1,F59=-1,F58=-1),1,0)</f>
        <v>0</v>
      </c>
      <c r="R60">
        <f>IF(AND(Table2[[#This Row],[STATES in numeric format]]=1,F59=-1,F58=1),1,0)</f>
        <v>1</v>
      </c>
      <c r="S60">
        <f>IF(AND(Table2[[#This Row],[STATES in numeric format]]=1,F59=1,F58=-1),1,0)</f>
        <v>0</v>
      </c>
      <c r="T60">
        <f>IF(AND(Table2[[#This Row],[STATES in numeric format]]=1,F59=0,F58=0),1,0)</f>
        <v>0</v>
      </c>
      <c r="U60">
        <f>IF(AND(Table2[[#This Row],[STATES in numeric format]]=1,F59=1,F58=0),1,0)</f>
        <v>0</v>
      </c>
      <c r="V60">
        <f>IF(AND(Table2[[#This Row],[STATES in numeric format]]=1,F59=-1,F58=0),1,0)</f>
        <v>0</v>
      </c>
      <c r="W60">
        <f>IF(AND(Table2[[#This Row],[STATES in numeric format]]=1,F59=0,F58=1),1,0)</f>
        <v>0</v>
      </c>
      <c r="X60">
        <f>IF(AND(Table2[[#This Row],[STATES in numeric format]]=1,F59=0,F58=-1),1,0)</f>
        <v>0</v>
      </c>
      <c r="Y60">
        <f>IF(AND(Table2[[#This Row],[STATES in numeric format]]=0,F59=1,F58=1),1,0)</f>
        <v>0</v>
      </c>
      <c r="Z60">
        <f>IF(AND(Table2[[#This Row],[STATES in numeric format]]=0,F59=-1,F58=-1),1,0)</f>
        <v>0</v>
      </c>
      <c r="AA60">
        <f>IF(AND(Table2[[#This Row],[STATES in numeric format]]=0,F59=-1,F58=1),1,0)</f>
        <v>0</v>
      </c>
      <c r="AB60">
        <f>IF(AND(Table2[[#This Row],[STATES in numeric format]]=0,F59=1,F58=-1),1,0)</f>
        <v>0</v>
      </c>
      <c r="AC60">
        <f>IF(AND(Table2[[#This Row],[STATES in numeric format]]=0,F59=0,F58=0),1,0)</f>
        <v>0</v>
      </c>
      <c r="AD60">
        <f>IF(AND(Table2[[#This Row],[STATES in numeric format]]=0,F59=1,F58=0),1,0)</f>
        <v>0</v>
      </c>
      <c r="AE60">
        <f>IF(AND(Table2[[#This Row],[STATES in numeric format]]=0,F59=-1,F58=0),1,0)</f>
        <v>0</v>
      </c>
      <c r="AF60">
        <f>IF(AND(Table2[[#This Row],[STATES in numeric format]]=0,F59=0,F58=1),1,0)</f>
        <v>0</v>
      </c>
      <c r="AG60">
        <f>IF(AND(Table2[[#This Row],[STATES in numeric format]]=0,F59=0,F58=-1),1,0)</f>
        <v>0</v>
      </c>
    </row>
    <row r="61" spans="1:33" x14ac:dyDescent="0.3">
      <c r="A61" s="1">
        <v>43915</v>
      </c>
      <c r="B61">
        <v>28535.78</v>
      </c>
      <c r="C61">
        <f>Table2[[#This Row],[Close]]-0.001*Table2[[#This Row],[Close]]</f>
        <v>28507.24422</v>
      </c>
      <c r="D61">
        <f>Table2[[#This Row],[Close]]+0.001*Table2[[#This Row],[Close]]</f>
        <v>28564.315779999997</v>
      </c>
      <c r="E61" t="str">
        <f>IF(Table2[[#This Row],[Close]]&gt;D60,"up",IF(Table2[[#This Row],[Close]]&lt;C60,"down","constant"))</f>
        <v>up</v>
      </c>
      <c r="F61" s="3">
        <f>IF(Table2[[#This Row],[States]]="up",1,IF(Table2[[#This Row],[States]]="down",-1,0))</f>
        <v>1</v>
      </c>
      <c r="G61">
        <f>IF(AND(Table2[[#This Row],[STATES in numeric format]]=-1,F60=1,F59=1),1,0)</f>
        <v>0</v>
      </c>
      <c r="H61">
        <f>IF(AND(Table2[[#This Row],[STATES in numeric format]]=-1,F60=-1,F59=-1),1,0)</f>
        <v>0</v>
      </c>
      <c r="I61">
        <f>IF(AND(Table2[[#This Row],[STATES in numeric format]]=-1,F60=-1,F59=1),1,0)</f>
        <v>0</v>
      </c>
      <c r="J61">
        <f>IF(AND(Table2[[#This Row],[STATES in numeric format]]=-1,F60=1,F59=-1),1,0)</f>
        <v>0</v>
      </c>
      <c r="K61">
        <f>IF(AND(Table2[[#This Row],[STATES in numeric format]]=-1,F60=0,F59=0),1,0)</f>
        <v>0</v>
      </c>
      <c r="L61">
        <f>IF(AND(Table2[[#This Row],[STATES in numeric format]]=-1,F60=1,F59=0),1,0)</f>
        <v>0</v>
      </c>
      <c r="M61">
        <f>IF(AND(Table2[[#This Row],[STATES in numeric format]]=-1,F60=-1,F59=0),1,0)</f>
        <v>0</v>
      </c>
      <c r="N61">
        <f>IF(AND(Table2[[#This Row],[STATES in numeric format]]=-1,F60=0,F59=1),1,0)</f>
        <v>0</v>
      </c>
      <c r="O61">
        <f>IF(AND(Table2[[#This Row],[STATES in numeric format]]=-1,F60=0,F59=-1),1,0)</f>
        <v>0</v>
      </c>
      <c r="P61">
        <f>IF(AND(Table2[[#This Row],[STATES in numeric format]]=1,F60=1,F59=1),1,0)</f>
        <v>0</v>
      </c>
      <c r="Q61">
        <f>IF(AND(Table2[[#This Row],[STATES in numeric format]]=1,F60=-1,F59=-1),1,0)</f>
        <v>0</v>
      </c>
      <c r="R61">
        <f>IF(AND(Table2[[#This Row],[STATES in numeric format]]=1,F60=-1,F59=1),1,0)</f>
        <v>0</v>
      </c>
      <c r="S61">
        <f>IF(AND(Table2[[#This Row],[STATES in numeric format]]=1,F60=1,F59=-1),1,0)</f>
        <v>1</v>
      </c>
      <c r="T61">
        <f>IF(AND(Table2[[#This Row],[STATES in numeric format]]=1,F60=0,F59=0),1,0)</f>
        <v>0</v>
      </c>
      <c r="U61">
        <f>IF(AND(Table2[[#This Row],[STATES in numeric format]]=1,F60=1,F59=0),1,0)</f>
        <v>0</v>
      </c>
      <c r="V61">
        <f>IF(AND(Table2[[#This Row],[STATES in numeric format]]=1,F60=-1,F59=0),1,0)</f>
        <v>0</v>
      </c>
      <c r="W61">
        <f>IF(AND(Table2[[#This Row],[STATES in numeric format]]=1,F60=0,F59=1),1,0)</f>
        <v>0</v>
      </c>
      <c r="X61">
        <f>IF(AND(Table2[[#This Row],[STATES in numeric format]]=1,F60=0,F59=-1),1,0)</f>
        <v>0</v>
      </c>
      <c r="Y61">
        <f>IF(AND(Table2[[#This Row],[STATES in numeric format]]=0,F60=1,F59=1),1,0)</f>
        <v>0</v>
      </c>
      <c r="Z61">
        <f>IF(AND(Table2[[#This Row],[STATES in numeric format]]=0,F60=-1,F59=-1),1,0)</f>
        <v>0</v>
      </c>
      <c r="AA61">
        <f>IF(AND(Table2[[#This Row],[STATES in numeric format]]=0,F60=-1,F59=1),1,0)</f>
        <v>0</v>
      </c>
      <c r="AB61">
        <f>IF(AND(Table2[[#This Row],[STATES in numeric format]]=0,F60=1,F59=-1),1,0)</f>
        <v>0</v>
      </c>
      <c r="AC61">
        <f>IF(AND(Table2[[#This Row],[STATES in numeric format]]=0,F60=0,F59=0),1,0)</f>
        <v>0</v>
      </c>
      <c r="AD61">
        <f>IF(AND(Table2[[#This Row],[STATES in numeric format]]=0,F60=1,F59=0),1,0)</f>
        <v>0</v>
      </c>
      <c r="AE61">
        <f>IF(AND(Table2[[#This Row],[STATES in numeric format]]=0,F60=-1,F59=0),1,0)</f>
        <v>0</v>
      </c>
      <c r="AF61">
        <f>IF(AND(Table2[[#This Row],[STATES in numeric format]]=0,F60=0,F59=1),1,0)</f>
        <v>0</v>
      </c>
      <c r="AG61">
        <f>IF(AND(Table2[[#This Row],[STATES in numeric format]]=0,F60=0,F59=-1),1,0)</f>
        <v>0</v>
      </c>
    </row>
    <row r="62" spans="1:33" x14ac:dyDescent="0.3">
      <c r="A62" s="1">
        <v>43916</v>
      </c>
      <c r="B62">
        <v>29946.77</v>
      </c>
      <c r="C62">
        <f>Table2[[#This Row],[Close]]-0.001*Table2[[#This Row],[Close]]</f>
        <v>29916.823230000002</v>
      </c>
      <c r="D62">
        <f>Table2[[#This Row],[Close]]+0.001*Table2[[#This Row],[Close]]</f>
        <v>29976.716769999999</v>
      </c>
      <c r="E62" t="str">
        <f>IF(Table2[[#This Row],[Close]]&gt;D61,"up",IF(Table2[[#This Row],[Close]]&lt;C61,"down","constant"))</f>
        <v>up</v>
      </c>
      <c r="F62" s="3">
        <f>IF(Table2[[#This Row],[States]]="up",1,IF(Table2[[#This Row],[States]]="down",-1,0))</f>
        <v>1</v>
      </c>
      <c r="G62">
        <f>IF(AND(Table2[[#This Row],[STATES in numeric format]]=-1,F61=1,F60=1),1,0)</f>
        <v>0</v>
      </c>
      <c r="H62">
        <f>IF(AND(Table2[[#This Row],[STATES in numeric format]]=-1,F61=-1,F60=-1),1,0)</f>
        <v>0</v>
      </c>
      <c r="I62">
        <f>IF(AND(Table2[[#This Row],[STATES in numeric format]]=-1,F61=-1,F60=1),1,0)</f>
        <v>0</v>
      </c>
      <c r="J62">
        <f>IF(AND(Table2[[#This Row],[STATES in numeric format]]=-1,F61=1,F60=-1),1,0)</f>
        <v>0</v>
      </c>
      <c r="K62">
        <f>IF(AND(Table2[[#This Row],[STATES in numeric format]]=-1,F61=0,F60=0),1,0)</f>
        <v>0</v>
      </c>
      <c r="L62">
        <f>IF(AND(Table2[[#This Row],[STATES in numeric format]]=-1,F61=1,F60=0),1,0)</f>
        <v>0</v>
      </c>
      <c r="M62">
        <f>IF(AND(Table2[[#This Row],[STATES in numeric format]]=-1,F61=-1,F60=0),1,0)</f>
        <v>0</v>
      </c>
      <c r="N62">
        <f>IF(AND(Table2[[#This Row],[STATES in numeric format]]=-1,F61=0,F60=1),1,0)</f>
        <v>0</v>
      </c>
      <c r="O62">
        <f>IF(AND(Table2[[#This Row],[STATES in numeric format]]=-1,F61=0,F60=-1),1,0)</f>
        <v>0</v>
      </c>
      <c r="P62">
        <f>IF(AND(Table2[[#This Row],[STATES in numeric format]]=1,F61=1,F60=1),1,0)</f>
        <v>1</v>
      </c>
      <c r="Q62">
        <f>IF(AND(Table2[[#This Row],[STATES in numeric format]]=1,F61=-1,F60=-1),1,0)</f>
        <v>0</v>
      </c>
      <c r="R62">
        <f>IF(AND(Table2[[#This Row],[STATES in numeric format]]=1,F61=-1,F60=1),1,0)</f>
        <v>0</v>
      </c>
      <c r="S62">
        <f>IF(AND(Table2[[#This Row],[STATES in numeric format]]=1,F61=1,F60=-1),1,0)</f>
        <v>0</v>
      </c>
      <c r="T62">
        <f>IF(AND(Table2[[#This Row],[STATES in numeric format]]=1,F61=0,F60=0),1,0)</f>
        <v>0</v>
      </c>
      <c r="U62">
        <f>IF(AND(Table2[[#This Row],[STATES in numeric format]]=1,F61=1,F60=0),1,0)</f>
        <v>0</v>
      </c>
      <c r="V62">
        <f>IF(AND(Table2[[#This Row],[STATES in numeric format]]=1,F61=-1,F60=0),1,0)</f>
        <v>0</v>
      </c>
      <c r="W62">
        <f>IF(AND(Table2[[#This Row],[STATES in numeric format]]=1,F61=0,F60=1),1,0)</f>
        <v>0</v>
      </c>
      <c r="X62">
        <f>IF(AND(Table2[[#This Row],[STATES in numeric format]]=1,F61=0,F60=-1),1,0)</f>
        <v>0</v>
      </c>
      <c r="Y62">
        <f>IF(AND(Table2[[#This Row],[STATES in numeric format]]=0,F61=1,F60=1),1,0)</f>
        <v>0</v>
      </c>
      <c r="Z62">
        <f>IF(AND(Table2[[#This Row],[STATES in numeric format]]=0,F61=-1,F60=-1),1,0)</f>
        <v>0</v>
      </c>
      <c r="AA62">
        <f>IF(AND(Table2[[#This Row],[STATES in numeric format]]=0,F61=-1,F60=1),1,0)</f>
        <v>0</v>
      </c>
      <c r="AB62">
        <f>IF(AND(Table2[[#This Row],[STATES in numeric format]]=0,F61=1,F60=-1),1,0)</f>
        <v>0</v>
      </c>
      <c r="AC62">
        <f>IF(AND(Table2[[#This Row],[STATES in numeric format]]=0,F61=0,F60=0),1,0)</f>
        <v>0</v>
      </c>
      <c r="AD62">
        <f>IF(AND(Table2[[#This Row],[STATES in numeric format]]=0,F61=1,F60=0),1,0)</f>
        <v>0</v>
      </c>
      <c r="AE62">
        <f>IF(AND(Table2[[#This Row],[STATES in numeric format]]=0,F61=-1,F60=0),1,0)</f>
        <v>0</v>
      </c>
      <c r="AF62">
        <f>IF(AND(Table2[[#This Row],[STATES in numeric format]]=0,F61=0,F60=1),1,0)</f>
        <v>0</v>
      </c>
      <c r="AG62">
        <f>IF(AND(Table2[[#This Row],[STATES in numeric format]]=0,F61=0,F60=-1),1,0)</f>
        <v>0</v>
      </c>
    </row>
    <row r="63" spans="1:33" x14ac:dyDescent="0.3">
      <c r="A63" s="1">
        <v>43917</v>
      </c>
      <c r="B63">
        <v>29815.59</v>
      </c>
      <c r="C63">
        <f>Table2[[#This Row],[Close]]-0.001*Table2[[#This Row],[Close]]</f>
        <v>29785.774410000002</v>
      </c>
      <c r="D63">
        <f>Table2[[#This Row],[Close]]+0.001*Table2[[#This Row],[Close]]</f>
        <v>29845.405589999998</v>
      </c>
      <c r="E63" t="str">
        <f>IF(Table2[[#This Row],[Close]]&gt;D62,"up",IF(Table2[[#This Row],[Close]]&lt;C62,"down","constant"))</f>
        <v>down</v>
      </c>
      <c r="F63" s="3">
        <f>IF(Table2[[#This Row],[States]]="up",1,IF(Table2[[#This Row],[States]]="down",-1,0))</f>
        <v>-1</v>
      </c>
      <c r="G63">
        <f>IF(AND(Table2[[#This Row],[STATES in numeric format]]=-1,F62=1,F61=1),1,0)</f>
        <v>1</v>
      </c>
      <c r="H63">
        <f>IF(AND(Table2[[#This Row],[STATES in numeric format]]=-1,F62=-1,F61=-1),1,0)</f>
        <v>0</v>
      </c>
      <c r="I63">
        <f>IF(AND(Table2[[#This Row],[STATES in numeric format]]=-1,F62=-1,F61=1),1,0)</f>
        <v>0</v>
      </c>
      <c r="J63">
        <f>IF(AND(Table2[[#This Row],[STATES in numeric format]]=-1,F62=1,F61=-1),1,0)</f>
        <v>0</v>
      </c>
      <c r="K63">
        <f>IF(AND(Table2[[#This Row],[STATES in numeric format]]=-1,F62=0,F61=0),1,0)</f>
        <v>0</v>
      </c>
      <c r="L63">
        <f>IF(AND(Table2[[#This Row],[STATES in numeric format]]=-1,F62=1,F61=0),1,0)</f>
        <v>0</v>
      </c>
      <c r="M63">
        <f>IF(AND(Table2[[#This Row],[STATES in numeric format]]=-1,F62=-1,F61=0),1,0)</f>
        <v>0</v>
      </c>
      <c r="N63">
        <f>IF(AND(Table2[[#This Row],[STATES in numeric format]]=-1,F62=0,F61=1),1,0)</f>
        <v>0</v>
      </c>
      <c r="O63">
        <f>IF(AND(Table2[[#This Row],[STATES in numeric format]]=-1,F62=0,F61=-1),1,0)</f>
        <v>0</v>
      </c>
      <c r="P63">
        <f>IF(AND(Table2[[#This Row],[STATES in numeric format]]=1,F62=1,F61=1),1,0)</f>
        <v>0</v>
      </c>
      <c r="Q63">
        <f>IF(AND(Table2[[#This Row],[STATES in numeric format]]=1,F62=-1,F61=-1),1,0)</f>
        <v>0</v>
      </c>
      <c r="R63">
        <f>IF(AND(Table2[[#This Row],[STATES in numeric format]]=1,F62=-1,F61=1),1,0)</f>
        <v>0</v>
      </c>
      <c r="S63">
        <f>IF(AND(Table2[[#This Row],[STATES in numeric format]]=1,F62=1,F61=-1),1,0)</f>
        <v>0</v>
      </c>
      <c r="T63">
        <f>IF(AND(Table2[[#This Row],[STATES in numeric format]]=1,F62=0,F61=0),1,0)</f>
        <v>0</v>
      </c>
      <c r="U63">
        <f>IF(AND(Table2[[#This Row],[STATES in numeric format]]=1,F62=1,F61=0),1,0)</f>
        <v>0</v>
      </c>
      <c r="V63">
        <f>IF(AND(Table2[[#This Row],[STATES in numeric format]]=1,F62=-1,F61=0),1,0)</f>
        <v>0</v>
      </c>
      <c r="W63">
        <f>IF(AND(Table2[[#This Row],[STATES in numeric format]]=1,F62=0,F61=1),1,0)</f>
        <v>0</v>
      </c>
      <c r="X63">
        <f>IF(AND(Table2[[#This Row],[STATES in numeric format]]=1,F62=0,F61=-1),1,0)</f>
        <v>0</v>
      </c>
      <c r="Y63">
        <f>IF(AND(Table2[[#This Row],[STATES in numeric format]]=0,F62=1,F61=1),1,0)</f>
        <v>0</v>
      </c>
      <c r="Z63">
        <f>IF(AND(Table2[[#This Row],[STATES in numeric format]]=0,F62=-1,F61=-1),1,0)</f>
        <v>0</v>
      </c>
      <c r="AA63">
        <f>IF(AND(Table2[[#This Row],[STATES in numeric format]]=0,F62=-1,F61=1),1,0)</f>
        <v>0</v>
      </c>
      <c r="AB63">
        <f>IF(AND(Table2[[#This Row],[STATES in numeric format]]=0,F62=1,F61=-1),1,0)</f>
        <v>0</v>
      </c>
      <c r="AC63">
        <f>IF(AND(Table2[[#This Row],[STATES in numeric format]]=0,F62=0,F61=0),1,0)</f>
        <v>0</v>
      </c>
      <c r="AD63">
        <f>IF(AND(Table2[[#This Row],[STATES in numeric format]]=0,F62=1,F61=0),1,0)</f>
        <v>0</v>
      </c>
      <c r="AE63">
        <f>IF(AND(Table2[[#This Row],[STATES in numeric format]]=0,F62=-1,F61=0),1,0)</f>
        <v>0</v>
      </c>
      <c r="AF63">
        <f>IF(AND(Table2[[#This Row],[STATES in numeric format]]=0,F62=0,F61=1),1,0)</f>
        <v>0</v>
      </c>
      <c r="AG63">
        <f>IF(AND(Table2[[#This Row],[STATES in numeric format]]=0,F62=0,F61=-1),1,0)</f>
        <v>0</v>
      </c>
    </row>
    <row r="64" spans="1:33" x14ac:dyDescent="0.3">
      <c r="A64" s="1">
        <v>43920</v>
      </c>
      <c r="B64">
        <v>28440.32</v>
      </c>
      <c r="C64">
        <f>Table2[[#This Row],[Close]]-0.001*Table2[[#This Row],[Close]]</f>
        <v>28411.879679999998</v>
      </c>
      <c r="D64">
        <f>Table2[[#This Row],[Close]]+0.001*Table2[[#This Row],[Close]]</f>
        <v>28468.760320000001</v>
      </c>
      <c r="E64" t="str">
        <f>IF(Table2[[#This Row],[Close]]&gt;D63,"up",IF(Table2[[#This Row],[Close]]&lt;C63,"down","constant"))</f>
        <v>down</v>
      </c>
      <c r="F64" s="3">
        <f>IF(Table2[[#This Row],[States]]="up",1,IF(Table2[[#This Row],[States]]="down",-1,0))</f>
        <v>-1</v>
      </c>
      <c r="G64">
        <f>IF(AND(Table2[[#This Row],[STATES in numeric format]]=-1,F63=1,F62=1),1,0)</f>
        <v>0</v>
      </c>
      <c r="H64">
        <f>IF(AND(Table2[[#This Row],[STATES in numeric format]]=-1,F63=-1,F62=-1),1,0)</f>
        <v>0</v>
      </c>
      <c r="I64">
        <f>IF(AND(Table2[[#This Row],[STATES in numeric format]]=-1,F63=-1,F62=1),1,0)</f>
        <v>1</v>
      </c>
      <c r="J64">
        <f>IF(AND(Table2[[#This Row],[STATES in numeric format]]=-1,F63=1,F62=-1),1,0)</f>
        <v>0</v>
      </c>
      <c r="K64">
        <f>IF(AND(Table2[[#This Row],[STATES in numeric format]]=-1,F63=0,F62=0),1,0)</f>
        <v>0</v>
      </c>
      <c r="L64">
        <f>IF(AND(Table2[[#This Row],[STATES in numeric format]]=-1,F63=1,F62=0),1,0)</f>
        <v>0</v>
      </c>
      <c r="M64">
        <f>IF(AND(Table2[[#This Row],[STATES in numeric format]]=-1,F63=-1,F62=0),1,0)</f>
        <v>0</v>
      </c>
      <c r="N64">
        <f>IF(AND(Table2[[#This Row],[STATES in numeric format]]=-1,F63=0,F62=1),1,0)</f>
        <v>0</v>
      </c>
      <c r="O64">
        <f>IF(AND(Table2[[#This Row],[STATES in numeric format]]=-1,F63=0,F62=-1),1,0)</f>
        <v>0</v>
      </c>
      <c r="P64">
        <f>IF(AND(Table2[[#This Row],[STATES in numeric format]]=1,F63=1,F62=1),1,0)</f>
        <v>0</v>
      </c>
      <c r="Q64">
        <f>IF(AND(Table2[[#This Row],[STATES in numeric format]]=1,F63=-1,F62=-1),1,0)</f>
        <v>0</v>
      </c>
      <c r="R64">
        <f>IF(AND(Table2[[#This Row],[STATES in numeric format]]=1,F63=-1,F62=1),1,0)</f>
        <v>0</v>
      </c>
      <c r="S64">
        <f>IF(AND(Table2[[#This Row],[STATES in numeric format]]=1,F63=1,F62=-1),1,0)</f>
        <v>0</v>
      </c>
      <c r="T64">
        <f>IF(AND(Table2[[#This Row],[STATES in numeric format]]=1,F63=0,F62=0),1,0)</f>
        <v>0</v>
      </c>
      <c r="U64">
        <f>IF(AND(Table2[[#This Row],[STATES in numeric format]]=1,F63=1,F62=0),1,0)</f>
        <v>0</v>
      </c>
      <c r="V64">
        <f>IF(AND(Table2[[#This Row],[STATES in numeric format]]=1,F63=-1,F62=0),1,0)</f>
        <v>0</v>
      </c>
      <c r="W64">
        <f>IF(AND(Table2[[#This Row],[STATES in numeric format]]=1,F63=0,F62=1),1,0)</f>
        <v>0</v>
      </c>
      <c r="X64">
        <f>IF(AND(Table2[[#This Row],[STATES in numeric format]]=1,F63=0,F62=-1),1,0)</f>
        <v>0</v>
      </c>
      <c r="Y64">
        <f>IF(AND(Table2[[#This Row],[STATES in numeric format]]=0,F63=1,F62=1),1,0)</f>
        <v>0</v>
      </c>
      <c r="Z64">
        <f>IF(AND(Table2[[#This Row],[STATES in numeric format]]=0,F63=-1,F62=-1),1,0)</f>
        <v>0</v>
      </c>
      <c r="AA64">
        <f>IF(AND(Table2[[#This Row],[STATES in numeric format]]=0,F63=-1,F62=1),1,0)</f>
        <v>0</v>
      </c>
      <c r="AB64">
        <f>IF(AND(Table2[[#This Row],[STATES in numeric format]]=0,F63=1,F62=-1),1,0)</f>
        <v>0</v>
      </c>
      <c r="AC64">
        <f>IF(AND(Table2[[#This Row],[STATES in numeric format]]=0,F63=0,F62=0),1,0)</f>
        <v>0</v>
      </c>
      <c r="AD64">
        <f>IF(AND(Table2[[#This Row],[STATES in numeric format]]=0,F63=1,F62=0),1,0)</f>
        <v>0</v>
      </c>
      <c r="AE64">
        <f>IF(AND(Table2[[#This Row],[STATES in numeric format]]=0,F63=-1,F62=0),1,0)</f>
        <v>0</v>
      </c>
      <c r="AF64">
        <f>IF(AND(Table2[[#This Row],[STATES in numeric format]]=0,F63=0,F62=1),1,0)</f>
        <v>0</v>
      </c>
      <c r="AG64">
        <f>IF(AND(Table2[[#This Row],[STATES in numeric format]]=0,F63=0,F62=-1),1,0)</f>
        <v>0</v>
      </c>
    </row>
    <row r="65" spans="1:33" x14ac:dyDescent="0.3">
      <c r="A65" s="1">
        <v>43921</v>
      </c>
      <c r="B65">
        <v>29468.49</v>
      </c>
      <c r="C65">
        <f>Table2[[#This Row],[Close]]-0.001*Table2[[#This Row],[Close]]</f>
        <v>29439.021510000002</v>
      </c>
      <c r="D65">
        <f>Table2[[#This Row],[Close]]+0.001*Table2[[#This Row],[Close]]</f>
        <v>29497.958490000001</v>
      </c>
      <c r="E65" t="str">
        <f>IF(Table2[[#This Row],[Close]]&gt;D64,"up",IF(Table2[[#This Row],[Close]]&lt;C64,"down","constant"))</f>
        <v>up</v>
      </c>
      <c r="F65" s="3">
        <f>IF(Table2[[#This Row],[States]]="up",1,IF(Table2[[#This Row],[States]]="down",-1,0))</f>
        <v>1</v>
      </c>
      <c r="G65">
        <f>IF(AND(Table2[[#This Row],[STATES in numeric format]]=-1,F64=1,F63=1),1,0)</f>
        <v>0</v>
      </c>
      <c r="H65">
        <f>IF(AND(Table2[[#This Row],[STATES in numeric format]]=-1,F64=-1,F63=-1),1,0)</f>
        <v>0</v>
      </c>
      <c r="I65">
        <f>IF(AND(Table2[[#This Row],[STATES in numeric format]]=-1,F64=-1,F63=1),1,0)</f>
        <v>0</v>
      </c>
      <c r="J65">
        <f>IF(AND(Table2[[#This Row],[STATES in numeric format]]=-1,F64=1,F63=-1),1,0)</f>
        <v>0</v>
      </c>
      <c r="K65">
        <f>IF(AND(Table2[[#This Row],[STATES in numeric format]]=-1,F64=0,F63=0),1,0)</f>
        <v>0</v>
      </c>
      <c r="L65">
        <f>IF(AND(Table2[[#This Row],[STATES in numeric format]]=-1,F64=1,F63=0),1,0)</f>
        <v>0</v>
      </c>
      <c r="M65">
        <f>IF(AND(Table2[[#This Row],[STATES in numeric format]]=-1,F64=-1,F63=0),1,0)</f>
        <v>0</v>
      </c>
      <c r="N65">
        <f>IF(AND(Table2[[#This Row],[STATES in numeric format]]=-1,F64=0,F63=1),1,0)</f>
        <v>0</v>
      </c>
      <c r="O65">
        <f>IF(AND(Table2[[#This Row],[STATES in numeric format]]=-1,F64=0,F63=-1),1,0)</f>
        <v>0</v>
      </c>
      <c r="P65">
        <f>IF(AND(Table2[[#This Row],[STATES in numeric format]]=1,F64=1,F63=1),1,0)</f>
        <v>0</v>
      </c>
      <c r="Q65">
        <f>IF(AND(Table2[[#This Row],[STATES in numeric format]]=1,F64=-1,F63=-1),1,0)</f>
        <v>1</v>
      </c>
      <c r="R65">
        <f>IF(AND(Table2[[#This Row],[STATES in numeric format]]=1,F64=-1,F63=1),1,0)</f>
        <v>0</v>
      </c>
      <c r="S65">
        <f>IF(AND(Table2[[#This Row],[STATES in numeric format]]=1,F64=1,F63=-1),1,0)</f>
        <v>0</v>
      </c>
      <c r="T65">
        <f>IF(AND(Table2[[#This Row],[STATES in numeric format]]=1,F64=0,F63=0),1,0)</f>
        <v>0</v>
      </c>
      <c r="U65">
        <f>IF(AND(Table2[[#This Row],[STATES in numeric format]]=1,F64=1,F63=0),1,0)</f>
        <v>0</v>
      </c>
      <c r="V65">
        <f>IF(AND(Table2[[#This Row],[STATES in numeric format]]=1,F64=-1,F63=0),1,0)</f>
        <v>0</v>
      </c>
      <c r="W65">
        <f>IF(AND(Table2[[#This Row],[STATES in numeric format]]=1,F64=0,F63=1),1,0)</f>
        <v>0</v>
      </c>
      <c r="X65">
        <f>IF(AND(Table2[[#This Row],[STATES in numeric format]]=1,F64=0,F63=-1),1,0)</f>
        <v>0</v>
      </c>
      <c r="Y65">
        <f>IF(AND(Table2[[#This Row],[STATES in numeric format]]=0,F64=1,F63=1),1,0)</f>
        <v>0</v>
      </c>
      <c r="Z65">
        <f>IF(AND(Table2[[#This Row],[STATES in numeric format]]=0,F64=-1,F63=-1),1,0)</f>
        <v>0</v>
      </c>
      <c r="AA65">
        <f>IF(AND(Table2[[#This Row],[STATES in numeric format]]=0,F64=-1,F63=1),1,0)</f>
        <v>0</v>
      </c>
      <c r="AB65">
        <f>IF(AND(Table2[[#This Row],[STATES in numeric format]]=0,F64=1,F63=-1),1,0)</f>
        <v>0</v>
      </c>
      <c r="AC65">
        <f>IF(AND(Table2[[#This Row],[STATES in numeric format]]=0,F64=0,F63=0),1,0)</f>
        <v>0</v>
      </c>
      <c r="AD65">
        <f>IF(AND(Table2[[#This Row],[STATES in numeric format]]=0,F64=1,F63=0),1,0)</f>
        <v>0</v>
      </c>
      <c r="AE65">
        <f>IF(AND(Table2[[#This Row],[STATES in numeric format]]=0,F64=-1,F63=0),1,0)</f>
        <v>0</v>
      </c>
      <c r="AF65">
        <f>IF(AND(Table2[[#This Row],[STATES in numeric format]]=0,F64=0,F63=1),1,0)</f>
        <v>0</v>
      </c>
      <c r="AG65">
        <f>IF(AND(Table2[[#This Row],[STATES in numeric format]]=0,F64=0,F63=-1),1,0)</f>
        <v>0</v>
      </c>
    </row>
    <row r="66" spans="1:33" x14ac:dyDescent="0.3">
      <c r="A66" s="1">
        <v>43922</v>
      </c>
      <c r="B66">
        <v>28265.31</v>
      </c>
      <c r="C66">
        <f>Table2[[#This Row],[Close]]-0.001*Table2[[#This Row],[Close]]</f>
        <v>28237.044690000002</v>
      </c>
      <c r="D66">
        <f>Table2[[#This Row],[Close]]+0.001*Table2[[#This Row],[Close]]</f>
        <v>28293.57531</v>
      </c>
      <c r="E66" t="str">
        <f>IF(Table2[[#This Row],[Close]]&gt;D65,"up",IF(Table2[[#This Row],[Close]]&lt;C65,"down","constant"))</f>
        <v>down</v>
      </c>
      <c r="F66" s="3">
        <f>IF(Table2[[#This Row],[States]]="up",1,IF(Table2[[#This Row],[States]]="down",-1,0))</f>
        <v>-1</v>
      </c>
      <c r="G66">
        <f>IF(AND(Table2[[#This Row],[STATES in numeric format]]=-1,F65=1,F64=1),1,0)</f>
        <v>0</v>
      </c>
      <c r="H66">
        <f>IF(AND(Table2[[#This Row],[STATES in numeric format]]=-1,F65=-1,F64=-1),1,0)</f>
        <v>0</v>
      </c>
      <c r="I66">
        <f>IF(AND(Table2[[#This Row],[STATES in numeric format]]=-1,F65=-1,F64=1),1,0)</f>
        <v>0</v>
      </c>
      <c r="J66">
        <f>IF(AND(Table2[[#This Row],[STATES in numeric format]]=-1,F65=1,F64=-1),1,0)</f>
        <v>1</v>
      </c>
      <c r="K66">
        <f>IF(AND(Table2[[#This Row],[STATES in numeric format]]=-1,F65=0,F64=0),1,0)</f>
        <v>0</v>
      </c>
      <c r="L66">
        <f>IF(AND(Table2[[#This Row],[STATES in numeric format]]=-1,F65=1,F64=0),1,0)</f>
        <v>0</v>
      </c>
      <c r="M66">
        <f>IF(AND(Table2[[#This Row],[STATES in numeric format]]=-1,F65=-1,F64=0),1,0)</f>
        <v>0</v>
      </c>
      <c r="N66">
        <f>IF(AND(Table2[[#This Row],[STATES in numeric format]]=-1,F65=0,F64=1),1,0)</f>
        <v>0</v>
      </c>
      <c r="O66">
        <f>IF(AND(Table2[[#This Row],[STATES in numeric format]]=-1,F65=0,F64=-1),1,0)</f>
        <v>0</v>
      </c>
      <c r="P66">
        <f>IF(AND(Table2[[#This Row],[STATES in numeric format]]=1,F65=1,F64=1),1,0)</f>
        <v>0</v>
      </c>
      <c r="Q66">
        <f>IF(AND(Table2[[#This Row],[STATES in numeric format]]=1,F65=-1,F64=-1),1,0)</f>
        <v>0</v>
      </c>
      <c r="R66">
        <f>IF(AND(Table2[[#This Row],[STATES in numeric format]]=1,F65=-1,F64=1),1,0)</f>
        <v>0</v>
      </c>
      <c r="S66">
        <f>IF(AND(Table2[[#This Row],[STATES in numeric format]]=1,F65=1,F64=-1),1,0)</f>
        <v>0</v>
      </c>
      <c r="T66">
        <f>IF(AND(Table2[[#This Row],[STATES in numeric format]]=1,F65=0,F64=0),1,0)</f>
        <v>0</v>
      </c>
      <c r="U66">
        <f>IF(AND(Table2[[#This Row],[STATES in numeric format]]=1,F65=1,F64=0),1,0)</f>
        <v>0</v>
      </c>
      <c r="V66">
        <f>IF(AND(Table2[[#This Row],[STATES in numeric format]]=1,F65=-1,F64=0),1,0)</f>
        <v>0</v>
      </c>
      <c r="W66">
        <f>IF(AND(Table2[[#This Row],[STATES in numeric format]]=1,F65=0,F64=1),1,0)</f>
        <v>0</v>
      </c>
      <c r="X66">
        <f>IF(AND(Table2[[#This Row],[STATES in numeric format]]=1,F65=0,F64=-1),1,0)</f>
        <v>0</v>
      </c>
      <c r="Y66">
        <f>IF(AND(Table2[[#This Row],[STATES in numeric format]]=0,F65=1,F64=1),1,0)</f>
        <v>0</v>
      </c>
      <c r="Z66">
        <f>IF(AND(Table2[[#This Row],[STATES in numeric format]]=0,F65=-1,F64=-1),1,0)</f>
        <v>0</v>
      </c>
      <c r="AA66">
        <f>IF(AND(Table2[[#This Row],[STATES in numeric format]]=0,F65=-1,F64=1),1,0)</f>
        <v>0</v>
      </c>
      <c r="AB66">
        <f>IF(AND(Table2[[#This Row],[STATES in numeric format]]=0,F65=1,F64=-1),1,0)</f>
        <v>0</v>
      </c>
      <c r="AC66">
        <f>IF(AND(Table2[[#This Row],[STATES in numeric format]]=0,F65=0,F64=0),1,0)</f>
        <v>0</v>
      </c>
      <c r="AD66">
        <f>IF(AND(Table2[[#This Row],[STATES in numeric format]]=0,F65=1,F64=0),1,0)</f>
        <v>0</v>
      </c>
      <c r="AE66">
        <f>IF(AND(Table2[[#This Row],[STATES in numeric format]]=0,F65=-1,F64=0),1,0)</f>
        <v>0</v>
      </c>
      <c r="AF66">
        <f>IF(AND(Table2[[#This Row],[STATES in numeric format]]=0,F65=0,F64=1),1,0)</f>
        <v>0</v>
      </c>
      <c r="AG66">
        <f>IF(AND(Table2[[#This Row],[STATES in numeric format]]=0,F65=0,F64=-1),1,0)</f>
        <v>0</v>
      </c>
    </row>
    <row r="67" spans="1:33" x14ac:dyDescent="0.3">
      <c r="A67" s="1">
        <v>43924</v>
      </c>
      <c r="B67">
        <v>27590.95</v>
      </c>
      <c r="C67">
        <f>Table2[[#This Row],[Close]]-0.001*Table2[[#This Row],[Close]]</f>
        <v>27563.359049999999</v>
      </c>
      <c r="D67">
        <f>Table2[[#This Row],[Close]]+0.001*Table2[[#This Row],[Close]]</f>
        <v>27618.540950000002</v>
      </c>
      <c r="E67" t="str">
        <f>IF(Table2[[#This Row],[Close]]&gt;D66,"up",IF(Table2[[#This Row],[Close]]&lt;C66,"down","constant"))</f>
        <v>down</v>
      </c>
      <c r="F67" s="3">
        <f>IF(Table2[[#This Row],[States]]="up",1,IF(Table2[[#This Row],[States]]="down",-1,0))</f>
        <v>-1</v>
      </c>
      <c r="G67">
        <f>IF(AND(Table2[[#This Row],[STATES in numeric format]]=-1,F66=1,F65=1),1,0)</f>
        <v>0</v>
      </c>
      <c r="H67">
        <f>IF(AND(Table2[[#This Row],[STATES in numeric format]]=-1,F66=-1,F65=-1),1,0)</f>
        <v>0</v>
      </c>
      <c r="I67">
        <f>IF(AND(Table2[[#This Row],[STATES in numeric format]]=-1,F66=-1,F65=1),1,0)</f>
        <v>1</v>
      </c>
      <c r="J67">
        <f>IF(AND(Table2[[#This Row],[STATES in numeric format]]=-1,F66=1,F65=-1),1,0)</f>
        <v>0</v>
      </c>
      <c r="K67">
        <f>IF(AND(Table2[[#This Row],[STATES in numeric format]]=-1,F66=0,F65=0),1,0)</f>
        <v>0</v>
      </c>
      <c r="L67">
        <f>IF(AND(Table2[[#This Row],[STATES in numeric format]]=-1,F66=1,F65=0),1,0)</f>
        <v>0</v>
      </c>
      <c r="M67">
        <f>IF(AND(Table2[[#This Row],[STATES in numeric format]]=-1,F66=-1,F65=0),1,0)</f>
        <v>0</v>
      </c>
      <c r="N67">
        <f>IF(AND(Table2[[#This Row],[STATES in numeric format]]=-1,F66=0,F65=1),1,0)</f>
        <v>0</v>
      </c>
      <c r="O67">
        <f>IF(AND(Table2[[#This Row],[STATES in numeric format]]=-1,F66=0,F65=-1),1,0)</f>
        <v>0</v>
      </c>
      <c r="P67">
        <f>IF(AND(Table2[[#This Row],[STATES in numeric format]]=1,F66=1,F65=1),1,0)</f>
        <v>0</v>
      </c>
      <c r="Q67">
        <f>IF(AND(Table2[[#This Row],[STATES in numeric format]]=1,F66=-1,F65=-1),1,0)</f>
        <v>0</v>
      </c>
      <c r="R67">
        <f>IF(AND(Table2[[#This Row],[STATES in numeric format]]=1,F66=-1,F65=1),1,0)</f>
        <v>0</v>
      </c>
      <c r="S67">
        <f>IF(AND(Table2[[#This Row],[STATES in numeric format]]=1,F66=1,F65=-1),1,0)</f>
        <v>0</v>
      </c>
      <c r="T67">
        <f>IF(AND(Table2[[#This Row],[STATES in numeric format]]=1,F66=0,F65=0),1,0)</f>
        <v>0</v>
      </c>
      <c r="U67">
        <f>IF(AND(Table2[[#This Row],[STATES in numeric format]]=1,F66=1,F65=0),1,0)</f>
        <v>0</v>
      </c>
      <c r="V67">
        <f>IF(AND(Table2[[#This Row],[STATES in numeric format]]=1,F66=-1,F65=0),1,0)</f>
        <v>0</v>
      </c>
      <c r="W67">
        <f>IF(AND(Table2[[#This Row],[STATES in numeric format]]=1,F66=0,F65=1),1,0)</f>
        <v>0</v>
      </c>
      <c r="X67">
        <f>IF(AND(Table2[[#This Row],[STATES in numeric format]]=1,F66=0,F65=-1),1,0)</f>
        <v>0</v>
      </c>
      <c r="Y67">
        <f>IF(AND(Table2[[#This Row],[STATES in numeric format]]=0,F66=1,F65=1),1,0)</f>
        <v>0</v>
      </c>
      <c r="Z67">
        <f>IF(AND(Table2[[#This Row],[STATES in numeric format]]=0,F66=-1,F65=-1),1,0)</f>
        <v>0</v>
      </c>
      <c r="AA67">
        <f>IF(AND(Table2[[#This Row],[STATES in numeric format]]=0,F66=-1,F65=1),1,0)</f>
        <v>0</v>
      </c>
      <c r="AB67">
        <f>IF(AND(Table2[[#This Row],[STATES in numeric format]]=0,F66=1,F65=-1),1,0)</f>
        <v>0</v>
      </c>
      <c r="AC67">
        <f>IF(AND(Table2[[#This Row],[STATES in numeric format]]=0,F66=0,F65=0),1,0)</f>
        <v>0</v>
      </c>
      <c r="AD67">
        <f>IF(AND(Table2[[#This Row],[STATES in numeric format]]=0,F66=1,F65=0),1,0)</f>
        <v>0</v>
      </c>
      <c r="AE67">
        <f>IF(AND(Table2[[#This Row],[STATES in numeric format]]=0,F66=-1,F65=0),1,0)</f>
        <v>0</v>
      </c>
      <c r="AF67">
        <f>IF(AND(Table2[[#This Row],[STATES in numeric format]]=0,F66=0,F65=1),1,0)</f>
        <v>0</v>
      </c>
      <c r="AG67">
        <f>IF(AND(Table2[[#This Row],[STATES in numeric format]]=0,F66=0,F65=-1),1,0)</f>
        <v>0</v>
      </c>
    </row>
    <row r="68" spans="1:33" x14ac:dyDescent="0.3">
      <c r="A68" s="1">
        <v>43928</v>
      </c>
      <c r="B68">
        <v>30067.21</v>
      </c>
      <c r="C68">
        <f>Table2[[#This Row],[Close]]-0.001*Table2[[#This Row],[Close]]</f>
        <v>30037.142789999998</v>
      </c>
      <c r="D68">
        <f>Table2[[#This Row],[Close]]+0.001*Table2[[#This Row],[Close]]</f>
        <v>30097.27721</v>
      </c>
      <c r="E68" t="str">
        <f>IF(Table2[[#This Row],[Close]]&gt;D67,"up",IF(Table2[[#This Row],[Close]]&lt;C67,"down","constant"))</f>
        <v>up</v>
      </c>
      <c r="F68" s="3">
        <f>IF(Table2[[#This Row],[States]]="up",1,IF(Table2[[#This Row],[States]]="down",-1,0))</f>
        <v>1</v>
      </c>
      <c r="G68">
        <f>IF(AND(Table2[[#This Row],[STATES in numeric format]]=-1,F67=1,F66=1),1,0)</f>
        <v>0</v>
      </c>
      <c r="H68">
        <f>IF(AND(Table2[[#This Row],[STATES in numeric format]]=-1,F67=-1,F66=-1),1,0)</f>
        <v>0</v>
      </c>
      <c r="I68">
        <f>IF(AND(Table2[[#This Row],[STATES in numeric format]]=-1,F67=-1,F66=1),1,0)</f>
        <v>0</v>
      </c>
      <c r="J68">
        <f>IF(AND(Table2[[#This Row],[STATES in numeric format]]=-1,F67=1,F66=-1),1,0)</f>
        <v>0</v>
      </c>
      <c r="K68">
        <f>IF(AND(Table2[[#This Row],[STATES in numeric format]]=-1,F67=0,F66=0),1,0)</f>
        <v>0</v>
      </c>
      <c r="L68">
        <f>IF(AND(Table2[[#This Row],[STATES in numeric format]]=-1,F67=1,F66=0),1,0)</f>
        <v>0</v>
      </c>
      <c r="M68">
        <f>IF(AND(Table2[[#This Row],[STATES in numeric format]]=-1,F67=-1,F66=0),1,0)</f>
        <v>0</v>
      </c>
      <c r="N68">
        <f>IF(AND(Table2[[#This Row],[STATES in numeric format]]=-1,F67=0,F66=1),1,0)</f>
        <v>0</v>
      </c>
      <c r="O68">
        <f>IF(AND(Table2[[#This Row],[STATES in numeric format]]=-1,F67=0,F66=-1),1,0)</f>
        <v>0</v>
      </c>
      <c r="P68">
        <f>IF(AND(Table2[[#This Row],[STATES in numeric format]]=1,F67=1,F66=1),1,0)</f>
        <v>0</v>
      </c>
      <c r="Q68">
        <f>IF(AND(Table2[[#This Row],[STATES in numeric format]]=1,F67=-1,F66=-1),1,0)</f>
        <v>1</v>
      </c>
      <c r="R68">
        <f>IF(AND(Table2[[#This Row],[STATES in numeric format]]=1,F67=-1,F66=1),1,0)</f>
        <v>0</v>
      </c>
      <c r="S68">
        <f>IF(AND(Table2[[#This Row],[STATES in numeric format]]=1,F67=1,F66=-1),1,0)</f>
        <v>0</v>
      </c>
      <c r="T68">
        <f>IF(AND(Table2[[#This Row],[STATES in numeric format]]=1,F67=0,F66=0),1,0)</f>
        <v>0</v>
      </c>
      <c r="U68">
        <f>IF(AND(Table2[[#This Row],[STATES in numeric format]]=1,F67=1,F66=0),1,0)</f>
        <v>0</v>
      </c>
      <c r="V68">
        <f>IF(AND(Table2[[#This Row],[STATES in numeric format]]=1,F67=-1,F66=0),1,0)</f>
        <v>0</v>
      </c>
      <c r="W68">
        <f>IF(AND(Table2[[#This Row],[STATES in numeric format]]=1,F67=0,F66=1),1,0)</f>
        <v>0</v>
      </c>
      <c r="X68">
        <f>IF(AND(Table2[[#This Row],[STATES in numeric format]]=1,F67=0,F66=-1),1,0)</f>
        <v>0</v>
      </c>
      <c r="Y68">
        <f>IF(AND(Table2[[#This Row],[STATES in numeric format]]=0,F67=1,F66=1),1,0)</f>
        <v>0</v>
      </c>
      <c r="Z68">
        <f>IF(AND(Table2[[#This Row],[STATES in numeric format]]=0,F67=-1,F66=-1),1,0)</f>
        <v>0</v>
      </c>
      <c r="AA68">
        <f>IF(AND(Table2[[#This Row],[STATES in numeric format]]=0,F67=-1,F66=1),1,0)</f>
        <v>0</v>
      </c>
      <c r="AB68">
        <f>IF(AND(Table2[[#This Row],[STATES in numeric format]]=0,F67=1,F66=-1),1,0)</f>
        <v>0</v>
      </c>
      <c r="AC68">
        <f>IF(AND(Table2[[#This Row],[STATES in numeric format]]=0,F67=0,F66=0),1,0)</f>
        <v>0</v>
      </c>
      <c r="AD68">
        <f>IF(AND(Table2[[#This Row],[STATES in numeric format]]=0,F67=1,F66=0),1,0)</f>
        <v>0</v>
      </c>
      <c r="AE68">
        <f>IF(AND(Table2[[#This Row],[STATES in numeric format]]=0,F67=-1,F66=0),1,0)</f>
        <v>0</v>
      </c>
      <c r="AF68">
        <f>IF(AND(Table2[[#This Row],[STATES in numeric format]]=0,F67=0,F66=1),1,0)</f>
        <v>0</v>
      </c>
      <c r="AG68">
        <f>IF(AND(Table2[[#This Row],[STATES in numeric format]]=0,F67=0,F66=-1),1,0)</f>
        <v>0</v>
      </c>
    </row>
    <row r="69" spans="1:33" x14ac:dyDescent="0.3">
      <c r="A69" s="1">
        <v>43929</v>
      </c>
      <c r="B69">
        <v>29893.96</v>
      </c>
      <c r="C69">
        <f>Table2[[#This Row],[Close]]-0.001*Table2[[#This Row],[Close]]</f>
        <v>29864.066039999998</v>
      </c>
      <c r="D69">
        <f>Table2[[#This Row],[Close]]+0.001*Table2[[#This Row],[Close]]</f>
        <v>29923.85396</v>
      </c>
      <c r="E69" t="str">
        <f>IF(Table2[[#This Row],[Close]]&gt;D68,"up",IF(Table2[[#This Row],[Close]]&lt;C68,"down","constant"))</f>
        <v>down</v>
      </c>
      <c r="F69" s="3">
        <f>IF(Table2[[#This Row],[States]]="up",1,IF(Table2[[#This Row],[States]]="down",-1,0))</f>
        <v>-1</v>
      </c>
      <c r="G69">
        <f>IF(AND(Table2[[#This Row],[STATES in numeric format]]=-1,F68=1,F67=1),1,0)</f>
        <v>0</v>
      </c>
      <c r="H69">
        <f>IF(AND(Table2[[#This Row],[STATES in numeric format]]=-1,F68=-1,F67=-1),1,0)</f>
        <v>0</v>
      </c>
      <c r="I69">
        <f>IF(AND(Table2[[#This Row],[STATES in numeric format]]=-1,F68=-1,F67=1),1,0)</f>
        <v>0</v>
      </c>
      <c r="J69">
        <f>IF(AND(Table2[[#This Row],[STATES in numeric format]]=-1,F68=1,F67=-1),1,0)</f>
        <v>1</v>
      </c>
      <c r="K69">
        <f>IF(AND(Table2[[#This Row],[STATES in numeric format]]=-1,F68=0,F67=0),1,0)</f>
        <v>0</v>
      </c>
      <c r="L69">
        <f>IF(AND(Table2[[#This Row],[STATES in numeric format]]=-1,F68=1,F67=0),1,0)</f>
        <v>0</v>
      </c>
      <c r="M69">
        <f>IF(AND(Table2[[#This Row],[STATES in numeric format]]=-1,F68=-1,F67=0),1,0)</f>
        <v>0</v>
      </c>
      <c r="N69">
        <f>IF(AND(Table2[[#This Row],[STATES in numeric format]]=-1,F68=0,F67=1),1,0)</f>
        <v>0</v>
      </c>
      <c r="O69">
        <f>IF(AND(Table2[[#This Row],[STATES in numeric format]]=-1,F68=0,F67=-1),1,0)</f>
        <v>0</v>
      </c>
      <c r="P69">
        <f>IF(AND(Table2[[#This Row],[STATES in numeric format]]=1,F68=1,F67=1),1,0)</f>
        <v>0</v>
      </c>
      <c r="Q69">
        <f>IF(AND(Table2[[#This Row],[STATES in numeric format]]=1,F68=-1,F67=-1),1,0)</f>
        <v>0</v>
      </c>
      <c r="R69">
        <f>IF(AND(Table2[[#This Row],[STATES in numeric format]]=1,F68=-1,F67=1),1,0)</f>
        <v>0</v>
      </c>
      <c r="S69">
        <f>IF(AND(Table2[[#This Row],[STATES in numeric format]]=1,F68=1,F67=-1),1,0)</f>
        <v>0</v>
      </c>
      <c r="T69">
        <f>IF(AND(Table2[[#This Row],[STATES in numeric format]]=1,F68=0,F67=0),1,0)</f>
        <v>0</v>
      </c>
      <c r="U69">
        <f>IF(AND(Table2[[#This Row],[STATES in numeric format]]=1,F68=1,F67=0),1,0)</f>
        <v>0</v>
      </c>
      <c r="V69">
        <f>IF(AND(Table2[[#This Row],[STATES in numeric format]]=1,F68=-1,F67=0),1,0)</f>
        <v>0</v>
      </c>
      <c r="W69">
        <f>IF(AND(Table2[[#This Row],[STATES in numeric format]]=1,F68=0,F67=1),1,0)</f>
        <v>0</v>
      </c>
      <c r="X69">
        <f>IF(AND(Table2[[#This Row],[STATES in numeric format]]=1,F68=0,F67=-1),1,0)</f>
        <v>0</v>
      </c>
      <c r="Y69">
        <f>IF(AND(Table2[[#This Row],[STATES in numeric format]]=0,F68=1,F67=1),1,0)</f>
        <v>0</v>
      </c>
      <c r="Z69">
        <f>IF(AND(Table2[[#This Row],[STATES in numeric format]]=0,F68=-1,F67=-1),1,0)</f>
        <v>0</v>
      </c>
      <c r="AA69">
        <f>IF(AND(Table2[[#This Row],[STATES in numeric format]]=0,F68=-1,F67=1),1,0)</f>
        <v>0</v>
      </c>
      <c r="AB69">
        <f>IF(AND(Table2[[#This Row],[STATES in numeric format]]=0,F68=1,F67=-1),1,0)</f>
        <v>0</v>
      </c>
      <c r="AC69">
        <f>IF(AND(Table2[[#This Row],[STATES in numeric format]]=0,F68=0,F67=0),1,0)</f>
        <v>0</v>
      </c>
      <c r="AD69">
        <f>IF(AND(Table2[[#This Row],[STATES in numeric format]]=0,F68=1,F67=0),1,0)</f>
        <v>0</v>
      </c>
      <c r="AE69">
        <f>IF(AND(Table2[[#This Row],[STATES in numeric format]]=0,F68=-1,F67=0),1,0)</f>
        <v>0</v>
      </c>
      <c r="AF69">
        <f>IF(AND(Table2[[#This Row],[STATES in numeric format]]=0,F68=0,F67=1),1,0)</f>
        <v>0</v>
      </c>
      <c r="AG69">
        <f>IF(AND(Table2[[#This Row],[STATES in numeric format]]=0,F68=0,F67=-1),1,0)</f>
        <v>0</v>
      </c>
    </row>
    <row r="70" spans="1:33" x14ac:dyDescent="0.3">
      <c r="A70" s="1">
        <v>43930</v>
      </c>
      <c r="B70">
        <v>31159.62</v>
      </c>
      <c r="C70">
        <f>Table2[[#This Row],[Close]]-0.001*Table2[[#This Row],[Close]]</f>
        <v>31128.46038</v>
      </c>
      <c r="D70">
        <f>Table2[[#This Row],[Close]]+0.001*Table2[[#This Row],[Close]]</f>
        <v>31190.779619999998</v>
      </c>
      <c r="E70" t="str">
        <f>IF(Table2[[#This Row],[Close]]&gt;D69,"up",IF(Table2[[#This Row],[Close]]&lt;C69,"down","constant"))</f>
        <v>up</v>
      </c>
      <c r="F70" s="3">
        <f>IF(Table2[[#This Row],[States]]="up",1,IF(Table2[[#This Row],[States]]="down",-1,0))</f>
        <v>1</v>
      </c>
      <c r="G70">
        <f>IF(AND(Table2[[#This Row],[STATES in numeric format]]=-1,F69=1,F68=1),1,0)</f>
        <v>0</v>
      </c>
      <c r="H70">
        <f>IF(AND(Table2[[#This Row],[STATES in numeric format]]=-1,F69=-1,F68=-1),1,0)</f>
        <v>0</v>
      </c>
      <c r="I70">
        <f>IF(AND(Table2[[#This Row],[STATES in numeric format]]=-1,F69=-1,F68=1),1,0)</f>
        <v>0</v>
      </c>
      <c r="J70">
        <f>IF(AND(Table2[[#This Row],[STATES in numeric format]]=-1,F69=1,F68=-1),1,0)</f>
        <v>0</v>
      </c>
      <c r="K70">
        <f>IF(AND(Table2[[#This Row],[STATES in numeric format]]=-1,F69=0,F68=0),1,0)</f>
        <v>0</v>
      </c>
      <c r="L70">
        <f>IF(AND(Table2[[#This Row],[STATES in numeric format]]=-1,F69=1,F68=0),1,0)</f>
        <v>0</v>
      </c>
      <c r="M70">
        <f>IF(AND(Table2[[#This Row],[STATES in numeric format]]=-1,F69=-1,F68=0),1,0)</f>
        <v>0</v>
      </c>
      <c r="N70">
        <f>IF(AND(Table2[[#This Row],[STATES in numeric format]]=-1,F69=0,F68=1),1,0)</f>
        <v>0</v>
      </c>
      <c r="O70">
        <f>IF(AND(Table2[[#This Row],[STATES in numeric format]]=-1,F69=0,F68=-1),1,0)</f>
        <v>0</v>
      </c>
      <c r="P70">
        <f>IF(AND(Table2[[#This Row],[STATES in numeric format]]=1,F69=1,F68=1),1,0)</f>
        <v>0</v>
      </c>
      <c r="Q70">
        <f>IF(AND(Table2[[#This Row],[STATES in numeric format]]=1,F69=-1,F68=-1),1,0)</f>
        <v>0</v>
      </c>
      <c r="R70">
        <f>IF(AND(Table2[[#This Row],[STATES in numeric format]]=1,F69=-1,F68=1),1,0)</f>
        <v>1</v>
      </c>
      <c r="S70">
        <f>IF(AND(Table2[[#This Row],[STATES in numeric format]]=1,F69=1,F68=-1),1,0)</f>
        <v>0</v>
      </c>
      <c r="T70">
        <f>IF(AND(Table2[[#This Row],[STATES in numeric format]]=1,F69=0,F68=0),1,0)</f>
        <v>0</v>
      </c>
      <c r="U70">
        <f>IF(AND(Table2[[#This Row],[STATES in numeric format]]=1,F69=1,F68=0),1,0)</f>
        <v>0</v>
      </c>
      <c r="V70">
        <f>IF(AND(Table2[[#This Row],[STATES in numeric format]]=1,F69=-1,F68=0),1,0)</f>
        <v>0</v>
      </c>
      <c r="W70">
        <f>IF(AND(Table2[[#This Row],[STATES in numeric format]]=1,F69=0,F68=1),1,0)</f>
        <v>0</v>
      </c>
      <c r="X70">
        <f>IF(AND(Table2[[#This Row],[STATES in numeric format]]=1,F69=0,F68=-1),1,0)</f>
        <v>0</v>
      </c>
      <c r="Y70">
        <f>IF(AND(Table2[[#This Row],[STATES in numeric format]]=0,F69=1,F68=1),1,0)</f>
        <v>0</v>
      </c>
      <c r="Z70">
        <f>IF(AND(Table2[[#This Row],[STATES in numeric format]]=0,F69=-1,F68=-1),1,0)</f>
        <v>0</v>
      </c>
      <c r="AA70">
        <f>IF(AND(Table2[[#This Row],[STATES in numeric format]]=0,F69=-1,F68=1),1,0)</f>
        <v>0</v>
      </c>
      <c r="AB70">
        <f>IF(AND(Table2[[#This Row],[STATES in numeric format]]=0,F69=1,F68=-1),1,0)</f>
        <v>0</v>
      </c>
      <c r="AC70">
        <f>IF(AND(Table2[[#This Row],[STATES in numeric format]]=0,F69=0,F68=0),1,0)</f>
        <v>0</v>
      </c>
      <c r="AD70">
        <f>IF(AND(Table2[[#This Row],[STATES in numeric format]]=0,F69=1,F68=0),1,0)</f>
        <v>0</v>
      </c>
      <c r="AE70">
        <f>IF(AND(Table2[[#This Row],[STATES in numeric format]]=0,F69=-1,F68=0),1,0)</f>
        <v>0</v>
      </c>
      <c r="AF70">
        <f>IF(AND(Table2[[#This Row],[STATES in numeric format]]=0,F69=0,F68=1),1,0)</f>
        <v>0</v>
      </c>
      <c r="AG70">
        <f>IF(AND(Table2[[#This Row],[STATES in numeric format]]=0,F69=0,F68=-1),1,0)</f>
        <v>0</v>
      </c>
    </row>
    <row r="71" spans="1:33" x14ac:dyDescent="0.3">
      <c r="A71" s="1">
        <v>43934</v>
      </c>
      <c r="B71">
        <v>30690.02</v>
      </c>
      <c r="C71">
        <f>Table2[[#This Row],[Close]]-0.001*Table2[[#This Row],[Close]]</f>
        <v>30659.329980000002</v>
      </c>
      <c r="D71">
        <f>Table2[[#This Row],[Close]]+0.001*Table2[[#This Row],[Close]]</f>
        <v>30720.710019999999</v>
      </c>
      <c r="E71" t="str">
        <f>IF(Table2[[#This Row],[Close]]&gt;D70,"up",IF(Table2[[#This Row],[Close]]&lt;C70,"down","constant"))</f>
        <v>down</v>
      </c>
      <c r="F71" s="3">
        <f>IF(Table2[[#This Row],[States]]="up",1,IF(Table2[[#This Row],[States]]="down",-1,0))</f>
        <v>-1</v>
      </c>
      <c r="G71">
        <f>IF(AND(Table2[[#This Row],[STATES in numeric format]]=-1,F70=1,F69=1),1,0)</f>
        <v>0</v>
      </c>
      <c r="H71">
        <f>IF(AND(Table2[[#This Row],[STATES in numeric format]]=-1,F70=-1,F69=-1),1,0)</f>
        <v>0</v>
      </c>
      <c r="I71">
        <f>IF(AND(Table2[[#This Row],[STATES in numeric format]]=-1,F70=-1,F69=1),1,0)</f>
        <v>0</v>
      </c>
      <c r="J71">
        <f>IF(AND(Table2[[#This Row],[STATES in numeric format]]=-1,F70=1,F69=-1),1,0)</f>
        <v>1</v>
      </c>
      <c r="K71">
        <f>IF(AND(Table2[[#This Row],[STATES in numeric format]]=-1,F70=0,F69=0),1,0)</f>
        <v>0</v>
      </c>
      <c r="L71">
        <f>IF(AND(Table2[[#This Row],[STATES in numeric format]]=-1,F70=1,F69=0),1,0)</f>
        <v>0</v>
      </c>
      <c r="M71">
        <f>IF(AND(Table2[[#This Row],[STATES in numeric format]]=-1,F70=-1,F69=0),1,0)</f>
        <v>0</v>
      </c>
      <c r="N71">
        <f>IF(AND(Table2[[#This Row],[STATES in numeric format]]=-1,F70=0,F69=1),1,0)</f>
        <v>0</v>
      </c>
      <c r="O71">
        <f>IF(AND(Table2[[#This Row],[STATES in numeric format]]=-1,F70=0,F69=-1),1,0)</f>
        <v>0</v>
      </c>
      <c r="P71">
        <f>IF(AND(Table2[[#This Row],[STATES in numeric format]]=1,F70=1,F69=1),1,0)</f>
        <v>0</v>
      </c>
      <c r="Q71">
        <f>IF(AND(Table2[[#This Row],[STATES in numeric format]]=1,F70=-1,F69=-1),1,0)</f>
        <v>0</v>
      </c>
      <c r="R71">
        <f>IF(AND(Table2[[#This Row],[STATES in numeric format]]=1,F70=-1,F69=1),1,0)</f>
        <v>0</v>
      </c>
      <c r="S71">
        <f>IF(AND(Table2[[#This Row],[STATES in numeric format]]=1,F70=1,F69=-1),1,0)</f>
        <v>0</v>
      </c>
      <c r="T71">
        <f>IF(AND(Table2[[#This Row],[STATES in numeric format]]=1,F70=0,F69=0),1,0)</f>
        <v>0</v>
      </c>
      <c r="U71">
        <f>IF(AND(Table2[[#This Row],[STATES in numeric format]]=1,F70=1,F69=0),1,0)</f>
        <v>0</v>
      </c>
      <c r="V71">
        <f>IF(AND(Table2[[#This Row],[STATES in numeric format]]=1,F70=-1,F69=0),1,0)</f>
        <v>0</v>
      </c>
      <c r="W71">
        <f>IF(AND(Table2[[#This Row],[STATES in numeric format]]=1,F70=0,F69=1),1,0)</f>
        <v>0</v>
      </c>
      <c r="X71">
        <f>IF(AND(Table2[[#This Row],[STATES in numeric format]]=1,F70=0,F69=-1),1,0)</f>
        <v>0</v>
      </c>
      <c r="Y71">
        <f>IF(AND(Table2[[#This Row],[STATES in numeric format]]=0,F70=1,F69=1),1,0)</f>
        <v>0</v>
      </c>
      <c r="Z71">
        <f>IF(AND(Table2[[#This Row],[STATES in numeric format]]=0,F70=-1,F69=-1),1,0)</f>
        <v>0</v>
      </c>
      <c r="AA71">
        <f>IF(AND(Table2[[#This Row],[STATES in numeric format]]=0,F70=-1,F69=1),1,0)</f>
        <v>0</v>
      </c>
      <c r="AB71">
        <f>IF(AND(Table2[[#This Row],[STATES in numeric format]]=0,F70=1,F69=-1),1,0)</f>
        <v>0</v>
      </c>
      <c r="AC71">
        <f>IF(AND(Table2[[#This Row],[STATES in numeric format]]=0,F70=0,F69=0),1,0)</f>
        <v>0</v>
      </c>
      <c r="AD71">
        <f>IF(AND(Table2[[#This Row],[STATES in numeric format]]=0,F70=1,F69=0),1,0)</f>
        <v>0</v>
      </c>
      <c r="AE71">
        <f>IF(AND(Table2[[#This Row],[STATES in numeric format]]=0,F70=-1,F69=0),1,0)</f>
        <v>0</v>
      </c>
      <c r="AF71">
        <f>IF(AND(Table2[[#This Row],[STATES in numeric format]]=0,F70=0,F69=1),1,0)</f>
        <v>0</v>
      </c>
      <c r="AG71">
        <f>IF(AND(Table2[[#This Row],[STATES in numeric format]]=0,F70=0,F69=-1),1,0)</f>
        <v>0</v>
      </c>
    </row>
    <row r="72" spans="1:33" x14ac:dyDescent="0.3">
      <c r="A72" s="1">
        <v>43936</v>
      </c>
      <c r="B72">
        <v>30379.81</v>
      </c>
      <c r="C72">
        <f>Table2[[#This Row],[Close]]-0.001*Table2[[#This Row],[Close]]</f>
        <v>30349.430190000003</v>
      </c>
      <c r="D72">
        <f>Table2[[#This Row],[Close]]+0.001*Table2[[#This Row],[Close]]</f>
        <v>30410.18981</v>
      </c>
      <c r="E72" t="str">
        <f>IF(Table2[[#This Row],[Close]]&gt;D71,"up",IF(Table2[[#This Row],[Close]]&lt;C71,"down","constant"))</f>
        <v>down</v>
      </c>
      <c r="F72" s="3">
        <f>IF(Table2[[#This Row],[States]]="up",1,IF(Table2[[#This Row],[States]]="down",-1,0))</f>
        <v>-1</v>
      </c>
      <c r="G72">
        <f>IF(AND(Table2[[#This Row],[STATES in numeric format]]=-1,F71=1,F70=1),1,0)</f>
        <v>0</v>
      </c>
      <c r="H72">
        <f>IF(AND(Table2[[#This Row],[STATES in numeric format]]=-1,F71=-1,F70=-1),1,0)</f>
        <v>0</v>
      </c>
      <c r="I72">
        <f>IF(AND(Table2[[#This Row],[STATES in numeric format]]=-1,F71=-1,F70=1),1,0)</f>
        <v>1</v>
      </c>
      <c r="J72">
        <f>IF(AND(Table2[[#This Row],[STATES in numeric format]]=-1,F71=1,F70=-1),1,0)</f>
        <v>0</v>
      </c>
      <c r="K72">
        <f>IF(AND(Table2[[#This Row],[STATES in numeric format]]=-1,F71=0,F70=0),1,0)</f>
        <v>0</v>
      </c>
      <c r="L72">
        <f>IF(AND(Table2[[#This Row],[STATES in numeric format]]=-1,F71=1,F70=0),1,0)</f>
        <v>0</v>
      </c>
      <c r="M72">
        <f>IF(AND(Table2[[#This Row],[STATES in numeric format]]=-1,F71=-1,F70=0),1,0)</f>
        <v>0</v>
      </c>
      <c r="N72">
        <f>IF(AND(Table2[[#This Row],[STATES in numeric format]]=-1,F71=0,F70=1),1,0)</f>
        <v>0</v>
      </c>
      <c r="O72">
        <f>IF(AND(Table2[[#This Row],[STATES in numeric format]]=-1,F71=0,F70=-1),1,0)</f>
        <v>0</v>
      </c>
      <c r="P72">
        <f>IF(AND(Table2[[#This Row],[STATES in numeric format]]=1,F71=1,F70=1),1,0)</f>
        <v>0</v>
      </c>
      <c r="Q72">
        <f>IF(AND(Table2[[#This Row],[STATES in numeric format]]=1,F71=-1,F70=-1),1,0)</f>
        <v>0</v>
      </c>
      <c r="R72">
        <f>IF(AND(Table2[[#This Row],[STATES in numeric format]]=1,F71=-1,F70=1),1,0)</f>
        <v>0</v>
      </c>
      <c r="S72">
        <f>IF(AND(Table2[[#This Row],[STATES in numeric format]]=1,F71=1,F70=-1),1,0)</f>
        <v>0</v>
      </c>
      <c r="T72">
        <f>IF(AND(Table2[[#This Row],[STATES in numeric format]]=1,F71=0,F70=0),1,0)</f>
        <v>0</v>
      </c>
      <c r="U72">
        <f>IF(AND(Table2[[#This Row],[STATES in numeric format]]=1,F71=1,F70=0),1,0)</f>
        <v>0</v>
      </c>
      <c r="V72">
        <f>IF(AND(Table2[[#This Row],[STATES in numeric format]]=1,F71=-1,F70=0),1,0)</f>
        <v>0</v>
      </c>
      <c r="W72">
        <f>IF(AND(Table2[[#This Row],[STATES in numeric format]]=1,F71=0,F70=1),1,0)</f>
        <v>0</v>
      </c>
      <c r="X72">
        <f>IF(AND(Table2[[#This Row],[STATES in numeric format]]=1,F71=0,F70=-1),1,0)</f>
        <v>0</v>
      </c>
      <c r="Y72">
        <f>IF(AND(Table2[[#This Row],[STATES in numeric format]]=0,F71=1,F70=1),1,0)</f>
        <v>0</v>
      </c>
      <c r="Z72">
        <f>IF(AND(Table2[[#This Row],[STATES in numeric format]]=0,F71=-1,F70=-1),1,0)</f>
        <v>0</v>
      </c>
      <c r="AA72">
        <f>IF(AND(Table2[[#This Row],[STATES in numeric format]]=0,F71=-1,F70=1),1,0)</f>
        <v>0</v>
      </c>
      <c r="AB72">
        <f>IF(AND(Table2[[#This Row],[STATES in numeric format]]=0,F71=1,F70=-1),1,0)</f>
        <v>0</v>
      </c>
      <c r="AC72">
        <f>IF(AND(Table2[[#This Row],[STATES in numeric format]]=0,F71=0,F70=0),1,0)</f>
        <v>0</v>
      </c>
      <c r="AD72">
        <f>IF(AND(Table2[[#This Row],[STATES in numeric format]]=0,F71=1,F70=0),1,0)</f>
        <v>0</v>
      </c>
      <c r="AE72">
        <f>IF(AND(Table2[[#This Row],[STATES in numeric format]]=0,F71=-1,F70=0),1,0)</f>
        <v>0</v>
      </c>
      <c r="AF72">
        <f>IF(AND(Table2[[#This Row],[STATES in numeric format]]=0,F71=0,F70=1),1,0)</f>
        <v>0</v>
      </c>
      <c r="AG72">
        <f>IF(AND(Table2[[#This Row],[STATES in numeric format]]=0,F71=0,F70=-1),1,0)</f>
        <v>0</v>
      </c>
    </row>
    <row r="73" spans="1:33" x14ac:dyDescent="0.3">
      <c r="A73" s="1">
        <v>43937</v>
      </c>
      <c r="B73">
        <v>30602.61</v>
      </c>
      <c r="C73">
        <f>Table2[[#This Row],[Close]]-0.001*Table2[[#This Row],[Close]]</f>
        <v>30572.007389999999</v>
      </c>
      <c r="D73">
        <f>Table2[[#This Row],[Close]]+0.001*Table2[[#This Row],[Close]]</f>
        <v>30633.212610000002</v>
      </c>
      <c r="E73" t="str">
        <f>IF(Table2[[#This Row],[Close]]&gt;D72,"up",IF(Table2[[#This Row],[Close]]&lt;C72,"down","constant"))</f>
        <v>up</v>
      </c>
      <c r="F73" s="3">
        <f>IF(Table2[[#This Row],[States]]="up",1,IF(Table2[[#This Row],[States]]="down",-1,0))</f>
        <v>1</v>
      </c>
      <c r="G73">
        <f>IF(AND(Table2[[#This Row],[STATES in numeric format]]=-1,F72=1,F71=1),1,0)</f>
        <v>0</v>
      </c>
      <c r="H73">
        <f>IF(AND(Table2[[#This Row],[STATES in numeric format]]=-1,F72=-1,F71=-1),1,0)</f>
        <v>0</v>
      </c>
      <c r="I73">
        <f>IF(AND(Table2[[#This Row],[STATES in numeric format]]=-1,F72=-1,F71=1),1,0)</f>
        <v>0</v>
      </c>
      <c r="J73">
        <f>IF(AND(Table2[[#This Row],[STATES in numeric format]]=-1,F72=1,F71=-1),1,0)</f>
        <v>0</v>
      </c>
      <c r="K73">
        <f>IF(AND(Table2[[#This Row],[STATES in numeric format]]=-1,F72=0,F71=0),1,0)</f>
        <v>0</v>
      </c>
      <c r="L73">
        <f>IF(AND(Table2[[#This Row],[STATES in numeric format]]=-1,F72=1,F71=0),1,0)</f>
        <v>0</v>
      </c>
      <c r="M73">
        <f>IF(AND(Table2[[#This Row],[STATES in numeric format]]=-1,F72=-1,F71=0),1,0)</f>
        <v>0</v>
      </c>
      <c r="N73">
        <f>IF(AND(Table2[[#This Row],[STATES in numeric format]]=-1,F72=0,F71=1),1,0)</f>
        <v>0</v>
      </c>
      <c r="O73">
        <f>IF(AND(Table2[[#This Row],[STATES in numeric format]]=-1,F72=0,F71=-1),1,0)</f>
        <v>0</v>
      </c>
      <c r="P73">
        <f>IF(AND(Table2[[#This Row],[STATES in numeric format]]=1,F72=1,F71=1),1,0)</f>
        <v>0</v>
      </c>
      <c r="Q73">
        <f>IF(AND(Table2[[#This Row],[STATES in numeric format]]=1,F72=-1,F71=-1),1,0)</f>
        <v>1</v>
      </c>
      <c r="R73">
        <f>IF(AND(Table2[[#This Row],[STATES in numeric format]]=1,F72=-1,F71=1),1,0)</f>
        <v>0</v>
      </c>
      <c r="S73">
        <f>IF(AND(Table2[[#This Row],[STATES in numeric format]]=1,F72=1,F71=-1),1,0)</f>
        <v>0</v>
      </c>
      <c r="T73">
        <f>IF(AND(Table2[[#This Row],[STATES in numeric format]]=1,F72=0,F71=0),1,0)</f>
        <v>0</v>
      </c>
      <c r="U73">
        <f>IF(AND(Table2[[#This Row],[STATES in numeric format]]=1,F72=1,F71=0),1,0)</f>
        <v>0</v>
      </c>
      <c r="V73">
        <f>IF(AND(Table2[[#This Row],[STATES in numeric format]]=1,F72=-1,F71=0),1,0)</f>
        <v>0</v>
      </c>
      <c r="W73">
        <f>IF(AND(Table2[[#This Row],[STATES in numeric format]]=1,F72=0,F71=1),1,0)</f>
        <v>0</v>
      </c>
      <c r="X73">
        <f>IF(AND(Table2[[#This Row],[STATES in numeric format]]=1,F72=0,F71=-1),1,0)</f>
        <v>0</v>
      </c>
      <c r="Y73">
        <f>IF(AND(Table2[[#This Row],[STATES in numeric format]]=0,F72=1,F71=1),1,0)</f>
        <v>0</v>
      </c>
      <c r="Z73">
        <f>IF(AND(Table2[[#This Row],[STATES in numeric format]]=0,F72=-1,F71=-1),1,0)</f>
        <v>0</v>
      </c>
      <c r="AA73">
        <f>IF(AND(Table2[[#This Row],[STATES in numeric format]]=0,F72=-1,F71=1),1,0)</f>
        <v>0</v>
      </c>
      <c r="AB73">
        <f>IF(AND(Table2[[#This Row],[STATES in numeric format]]=0,F72=1,F71=-1),1,0)</f>
        <v>0</v>
      </c>
      <c r="AC73">
        <f>IF(AND(Table2[[#This Row],[STATES in numeric format]]=0,F72=0,F71=0),1,0)</f>
        <v>0</v>
      </c>
      <c r="AD73">
        <f>IF(AND(Table2[[#This Row],[STATES in numeric format]]=0,F72=1,F71=0),1,0)</f>
        <v>0</v>
      </c>
      <c r="AE73">
        <f>IF(AND(Table2[[#This Row],[STATES in numeric format]]=0,F72=-1,F71=0),1,0)</f>
        <v>0</v>
      </c>
      <c r="AF73">
        <f>IF(AND(Table2[[#This Row],[STATES in numeric format]]=0,F72=0,F71=1),1,0)</f>
        <v>0</v>
      </c>
      <c r="AG73">
        <f>IF(AND(Table2[[#This Row],[STATES in numeric format]]=0,F72=0,F71=-1),1,0)</f>
        <v>0</v>
      </c>
    </row>
    <row r="74" spans="1:33" x14ac:dyDescent="0.3">
      <c r="A74" s="1">
        <v>43938</v>
      </c>
      <c r="B74">
        <v>31588.720000000001</v>
      </c>
      <c r="C74">
        <f>Table2[[#This Row],[Close]]-0.001*Table2[[#This Row],[Close]]</f>
        <v>31557.131280000001</v>
      </c>
      <c r="D74">
        <f>Table2[[#This Row],[Close]]+0.001*Table2[[#This Row],[Close]]</f>
        <v>31620.308720000001</v>
      </c>
      <c r="E74" t="str">
        <f>IF(Table2[[#This Row],[Close]]&gt;D73,"up",IF(Table2[[#This Row],[Close]]&lt;C73,"down","constant"))</f>
        <v>up</v>
      </c>
      <c r="F74" s="3">
        <f>IF(Table2[[#This Row],[States]]="up",1,IF(Table2[[#This Row],[States]]="down",-1,0))</f>
        <v>1</v>
      </c>
      <c r="G74">
        <f>IF(AND(Table2[[#This Row],[STATES in numeric format]]=-1,F73=1,F72=1),1,0)</f>
        <v>0</v>
      </c>
      <c r="H74">
        <f>IF(AND(Table2[[#This Row],[STATES in numeric format]]=-1,F73=-1,F72=-1),1,0)</f>
        <v>0</v>
      </c>
      <c r="I74">
        <f>IF(AND(Table2[[#This Row],[STATES in numeric format]]=-1,F73=-1,F72=1),1,0)</f>
        <v>0</v>
      </c>
      <c r="J74">
        <f>IF(AND(Table2[[#This Row],[STATES in numeric format]]=-1,F73=1,F72=-1),1,0)</f>
        <v>0</v>
      </c>
      <c r="K74">
        <f>IF(AND(Table2[[#This Row],[STATES in numeric format]]=-1,F73=0,F72=0),1,0)</f>
        <v>0</v>
      </c>
      <c r="L74">
        <f>IF(AND(Table2[[#This Row],[STATES in numeric format]]=-1,F73=1,F72=0),1,0)</f>
        <v>0</v>
      </c>
      <c r="M74">
        <f>IF(AND(Table2[[#This Row],[STATES in numeric format]]=-1,F73=-1,F72=0),1,0)</f>
        <v>0</v>
      </c>
      <c r="N74">
        <f>IF(AND(Table2[[#This Row],[STATES in numeric format]]=-1,F73=0,F72=1),1,0)</f>
        <v>0</v>
      </c>
      <c r="O74">
        <f>IF(AND(Table2[[#This Row],[STATES in numeric format]]=-1,F73=0,F72=-1),1,0)</f>
        <v>0</v>
      </c>
      <c r="P74">
        <f>IF(AND(Table2[[#This Row],[STATES in numeric format]]=1,F73=1,F72=1),1,0)</f>
        <v>0</v>
      </c>
      <c r="Q74">
        <f>IF(AND(Table2[[#This Row],[STATES in numeric format]]=1,F73=-1,F72=-1),1,0)</f>
        <v>0</v>
      </c>
      <c r="R74">
        <f>IF(AND(Table2[[#This Row],[STATES in numeric format]]=1,F73=-1,F72=1),1,0)</f>
        <v>0</v>
      </c>
      <c r="S74">
        <f>IF(AND(Table2[[#This Row],[STATES in numeric format]]=1,F73=1,F72=-1),1,0)</f>
        <v>1</v>
      </c>
      <c r="T74">
        <f>IF(AND(Table2[[#This Row],[STATES in numeric format]]=1,F73=0,F72=0),1,0)</f>
        <v>0</v>
      </c>
      <c r="U74">
        <f>IF(AND(Table2[[#This Row],[STATES in numeric format]]=1,F73=1,F72=0),1,0)</f>
        <v>0</v>
      </c>
      <c r="V74">
        <f>IF(AND(Table2[[#This Row],[STATES in numeric format]]=1,F73=-1,F72=0),1,0)</f>
        <v>0</v>
      </c>
      <c r="W74">
        <f>IF(AND(Table2[[#This Row],[STATES in numeric format]]=1,F73=0,F72=1),1,0)</f>
        <v>0</v>
      </c>
      <c r="X74">
        <f>IF(AND(Table2[[#This Row],[STATES in numeric format]]=1,F73=0,F72=-1),1,0)</f>
        <v>0</v>
      </c>
      <c r="Y74">
        <f>IF(AND(Table2[[#This Row],[STATES in numeric format]]=0,F73=1,F72=1),1,0)</f>
        <v>0</v>
      </c>
      <c r="Z74">
        <f>IF(AND(Table2[[#This Row],[STATES in numeric format]]=0,F73=-1,F72=-1),1,0)</f>
        <v>0</v>
      </c>
      <c r="AA74">
        <f>IF(AND(Table2[[#This Row],[STATES in numeric format]]=0,F73=-1,F72=1),1,0)</f>
        <v>0</v>
      </c>
      <c r="AB74">
        <f>IF(AND(Table2[[#This Row],[STATES in numeric format]]=0,F73=1,F72=-1),1,0)</f>
        <v>0</v>
      </c>
      <c r="AC74">
        <f>IF(AND(Table2[[#This Row],[STATES in numeric format]]=0,F73=0,F72=0),1,0)</f>
        <v>0</v>
      </c>
      <c r="AD74">
        <f>IF(AND(Table2[[#This Row],[STATES in numeric format]]=0,F73=1,F72=0),1,0)</f>
        <v>0</v>
      </c>
      <c r="AE74">
        <f>IF(AND(Table2[[#This Row],[STATES in numeric format]]=0,F73=-1,F72=0),1,0)</f>
        <v>0</v>
      </c>
      <c r="AF74">
        <f>IF(AND(Table2[[#This Row],[STATES in numeric format]]=0,F73=0,F72=1),1,0)</f>
        <v>0</v>
      </c>
      <c r="AG74">
        <f>IF(AND(Table2[[#This Row],[STATES in numeric format]]=0,F73=0,F72=-1),1,0)</f>
        <v>0</v>
      </c>
    </row>
    <row r="75" spans="1:33" x14ac:dyDescent="0.3">
      <c r="A75" s="1">
        <v>43941</v>
      </c>
      <c r="B75">
        <v>31648</v>
      </c>
      <c r="C75">
        <f>Table2[[#This Row],[Close]]-0.001*Table2[[#This Row],[Close]]</f>
        <v>31616.351999999999</v>
      </c>
      <c r="D75">
        <f>Table2[[#This Row],[Close]]+0.001*Table2[[#This Row],[Close]]</f>
        <v>31679.648000000001</v>
      </c>
      <c r="E75" t="str">
        <f>IF(Table2[[#This Row],[Close]]&gt;D74,"up",IF(Table2[[#This Row],[Close]]&lt;C74,"down","constant"))</f>
        <v>up</v>
      </c>
      <c r="F75" s="3">
        <f>IF(Table2[[#This Row],[States]]="up",1,IF(Table2[[#This Row],[States]]="down",-1,0))</f>
        <v>1</v>
      </c>
      <c r="G75">
        <f>IF(AND(Table2[[#This Row],[STATES in numeric format]]=-1,F74=1,F73=1),1,0)</f>
        <v>0</v>
      </c>
      <c r="H75">
        <f>IF(AND(Table2[[#This Row],[STATES in numeric format]]=-1,F74=-1,F73=-1),1,0)</f>
        <v>0</v>
      </c>
      <c r="I75">
        <f>IF(AND(Table2[[#This Row],[STATES in numeric format]]=-1,F74=-1,F73=1),1,0)</f>
        <v>0</v>
      </c>
      <c r="J75">
        <f>IF(AND(Table2[[#This Row],[STATES in numeric format]]=-1,F74=1,F73=-1),1,0)</f>
        <v>0</v>
      </c>
      <c r="K75">
        <f>IF(AND(Table2[[#This Row],[STATES in numeric format]]=-1,F74=0,F73=0),1,0)</f>
        <v>0</v>
      </c>
      <c r="L75">
        <f>IF(AND(Table2[[#This Row],[STATES in numeric format]]=-1,F74=1,F73=0),1,0)</f>
        <v>0</v>
      </c>
      <c r="M75">
        <f>IF(AND(Table2[[#This Row],[STATES in numeric format]]=-1,F74=-1,F73=0),1,0)</f>
        <v>0</v>
      </c>
      <c r="N75">
        <f>IF(AND(Table2[[#This Row],[STATES in numeric format]]=-1,F74=0,F73=1),1,0)</f>
        <v>0</v>
      </c>
      <c r="O75">
        <f>IF(AND(Table2[[#This Row],[STATES in numeric format]]=-1,F74=0,F73=-1),1,0)</f>
        <v>0</v>
      </c>
      <c r="P75">
        <f>IF(AND(Table2[[#This Row],[STATES in numeric format]]=1,F74=1,F73=1),1,0)</f>
        <v>1</v>
      </c>
      <c r="Q75">
        <f>IF(AND(Table2[[#This Row],[STATES in numeric format]]=1,F74=-1,F73=-1),1,0)</f>
        <v>0</v>
      </c>
      <c r="R75">
        <f>IF(AND(Table2[[#This Row],[STATES in numeric format]]=1,F74=-1,F73=1),1,0)</f>
        <v>0</v>
      </c>
      <c r="S75">
        <f>IF(AND(Table2[[#This Row],[STATES in numeric format]]=1,F74=1,F73=-1),1,0)</f>
        <v>0</v>
      </c>
      <c r="T75">
        <f>IF(AND(Table2[[#This Row],[STATES in numeric format]]=1,F74=0,F73=0),1,0)</f>
        <v>0</v>
      </c>
      <c r="U75">
        <f>IF(AND(Table2[[#This Row],[STATES in numeric format]]=1,F74=1,F73=0),1,0)</f>
        <v>0</v>
      </c>
      <c r="V75">
        <f>IF(AND(Table2[[#This Row],[STATES in numeric format]]=1,F74=-1,F73=0),1,0)</f>
        <v>0</v>
      </c>
      <c r="W75">
        <f>IF(AND(Table2[[#This Row],[STATES in numeric format]]=1,F74=0,F73=1),1,0)</f>
        <v>0</v>
      </c>
      <c r="X75">
        <f>IF(AND(Table2[[#This Row],[STATES in numeric format]]=1,F74=0,F73=-1),1,0)</f>
        <v>0</v>
      </c>
      <c r="Y75">
        <f>IF(AND(Table2[[#This Row],[STATES in numeric format]]=0,F74=1,F73=1),1,0)</f>
        <v>0</v>
      </c>
      <c r="Z75">
        <f>IF(AND(Table2[[#This Row],[STATES in numeric format]]=0,F74=-1,F73=-1),1,0)</f>
        <v>0</v>
      </c>
      <c r="AA75">
        <f>IF(AND(Table2[[#This Row],[STATES in numeric format]]=0,F74=-1,F73=1),1,0)</f>
        <v>0</v>
      </c>
      <c r="AB75">
        <f>IF(AND(Table2[[#This Row],[STATES in numeric format]]=0,F74=1,F73=-1),1,0)</f>
        <v>0</v>
      </c>
      <c r="AC75">
        <f>IF(AND(Table2[[#This Row],[STATES in numeric format]]=0,F74=0,F73=0),1,0)</f>
        <v>0</v>
      </c>
      <c r="AD75">
        <f>IF(AND(Table2[[#This Row],[STATES in numeric format]]=0,F74=1,F73=0),1,0)</f>
        <v>0</v>
      </c>
      <c r="AE75">
        <f>IF(AND(Table2[[#This Row],[STATES in numeric format]]=0,F74=-1,F73=0),1,0)</f>
        <v>0</v>
      </c>
      <c r="AF75">
        <f>IF(AND(Table2[[#This Row],[STATES in numeric format]]=0,F74=0,F73=1),1,0)</f>
        <v>0</v>
      </c>
      <c r="AG75">
        <f>IF(AND(Table2[[#This Row],[STATES in numeric format]]=0,F74=0,F73=-1),1,0)</f>
        <v>0</v>
      </c>
    </row>
    <row r="76" spans="1:33" x14ac:dyDescent="0.3">
      <c r="A76" s="1">
        <v>43942</v>
      </c>
      <c r="B76">
        <v>30636.71</v>
      </c>
      <c r="C76">
        <f>Table2[[#This Row],[Close]]-0.001*Table2[[#This Row],[Close]]</f>
        <v>30606.07329</v>
      </c>
      <c r="D76">
        <f>Table2[[#This Row],[Close]]+0.001*Table2[[#This Row],[Close]]</f>
        <v>30667.346709999998</v>
      </c>
      <c r="E76" t="str">
        <f>IF(Table2[[#This Row],[Close]]&gt;D75,"up",IF(Table2[[#This Row],[Close]]&lt;C75,"down","constant"))</f>
        <v>down</v>
      </c>
      <c r="F76" s="3">
        <f>IF(Table2[[#This Row],[States]]="up",1,IF(Table2[[#This Row],[States]]="down",-1,0))</f>
        <v>-1</v>
      </c>
      <c r="G76">
        <f>IF(AND(Table2[[#This Row],[STATES in numeric format]]=-1,F75=1,F74=1),1,0)</f>
        <v>1</v>
      </c>
      <c r="H76">
        <f>IF(AND(Table2[[#This Row],[STATES in numeric format]]=-1,F75=-1,F74=-1),1,0)</f>
        <v>0</v>
      </c>
      <c r="I76">
        <f>IF(AND(Table2[[#This Row],[STATES in numeric format]]=-1,F75=-1,F74=1),1,0)</f>
        <v>0</v>
      </c>
      <c r="J76">
        <f>IF(AND(Table2[[#This Row],[STATES in numeric format]]=-1,F75=1,F74=-1),1,0)</f>
        <v>0</v>
      </c>
      <c r="K76">
        <f>IF(AND(Table2[[#This Row],[STATES in numeric format]]=-1,F75=0,F74=0),1,0)</f>
        <v>0</v>
      </c>
      <c r="L76">
        <f>IF(AND(Table2[[#This Row],[STATES in numeric format]]=-1,F75=1,F74=0),1,0)</f>
        <v>0</v>
      </c>
      <c r="M76">
        <f>IF(AND(Table2[[#This Row],[STATES in numeric format]]=-1,F75=-1,F74=0),1,0)</f>
        <v>0</v>
      </c>
      <c r="N76">
        <f>IF(AND(Table2[[#This Row],[STATES in numeric format]]=-1,F75=0,F74=1),1,0)</f>
        <v>0</v>
      </c>
      <c r="O76">
        <f>IF(AND(Table2[[#This Row],[STATES in numeric format]]=-1,F75=0,F74=-1),1,0)</f>
        <v>0</v>
      </c>
      <c r="P76">
        <f>IF(AND(Table2[[#This Row],[STATES in numeric format]]=1,F75=1,F74=1),1,0)</f>
        <v>0</v>
      </c>
      <c r="Q76">
        <f>IF(AND(Table2[[#This Row],[STATES in numeric format]]=1,F75=-1,F74=-1),1,0)</f>
        <v>0</v>
      </c>
      <c r="R76">
        <f>IF(AND(Table2[[#This Row],[STATES in numeric format]]=1,F75=-1,F74=1),1,0)</f>
        <v>0</v>
      </c>
      <c r="S76">
        <f>IF(AND(Table2[[#This Row],[STATES in numeric format]]=1,F75=1,F74=-1),1,0)</f>
        <v>0</v>
      </c>
      <c r="T76">
        <f>IF(AND(Table2[[#This Row],[STATES in numeric format]]=1,F75=0,F74=0),1,0)</f>
        <v>0</v>
      </c>
      <c r="U76">
        <f>IF(AND(Table2[[#This Row],[STATES in numeric format]]=1,F75=1,F74=0),1,0)</f>
        <v>0</v>
      </c>
      <c r="V76">
        <f>IF(AND(Table2[[#This Row],[STATES in numeric format]]=1,F75=-1,F74=0),1,0)</f>
        <v>0</v>
      </c>
      <c r="W76">
        <f>IF(AND(Table2[[#This Row],[STATES in numeric format]]=1,F75=0,F74=1),1,0)</f>
        <v>0</v>
      </c>
      <c r="X76">
        <f>IF(AND(Table2[[#This Row],[STATES in numeric format]]=1,F75=0,F74=-1),1,0)</f>
        <v>0</v>
      </c>
      <c r="Y76">
        <f>IF(AND(Table2[[#This Row],[STATES in numeric format]]=0,F75=1,F74=1),1,0)</f>
        <v>0</v>
      </c>
      <c r="Z76">
        <f>IF(AND(Table2[[#This Row],[STATES in numeric format]]=0,F75=-1,F74=-1),1,0)</f>
        <v>0</v>
      </c>
      <c r="AA76">
        <f>IF(AND(Table2[[#This Row],[STATES in numeric format]]=0,F75=-1,F74=1),1,0)</f>
        <v>0</v>
      </c>
      <c r="AB76">
        <f>IF(AND(Table2[[#This Row],[STATES in numeric format]]=0,F75=1,F74=-1),1,0)</f>
        <v>0</v>
      </c>
      <c r="AC76">
        <f>IF(AND(Table2[[#This Row],[STATES in numeric format]]=0,F75=0,F74=0),1,0)</f>
        <v>0</v>
      </c>
      <c r="AD76">
        <f>IF(AND(Table2[[#This Row],[STATES in numeric format]]=0,F75=1,F74=0),1,0)</f>
        <v>0</v>
      </c>
      <c r="AE76">
        <f>IF(AND(Table2[[#This Row],[STATES in numeric format]]=0,F75=-1,F74=0),1,0)</f>
        <v>0</v>
      </c>
      <c r="AF76">
        <f>IF(AND(Table2[[#This Row],[STATES in numeric format]]=0,F75=0,F74=1),1,0)</f>
        <v>0</v>
      </c>
      <c r="AG76">
        <f>IF(AND(Table2[[#This Row],[STATES in numeric format]]=0,F75=0,F74=-1),1,0)</f>
        <v>0</v>
      </c>
    </row>
    <row r="77" spans="1:33" x14ac:dyDescent="0.3">
      <c r="A77" s="1">
        <v>43943</v>
      </c>
      <c r="B77">
        <v>31379.55</v>
      </c>
      <c r="C77">
        <f>Table2[[#This Row],[Close]]-0.001*Table2[[#This Row],[Close]]</f>
        <v>31348.170449999998</v>
      </c>
      <c r="D77">
        <f>Table2[[#This Row],[Close]]+0.001*Table2[[#This Row],[Close]]</f>
        <v>31410.929550000001</v>
      </c>
      <c r="E77" t="str">
        <f>IF(Table2[[#This Row],[Close]]&gt;D76,"up",IF(Table2[[#This Row],[Close]]&lt;C76,"down","constant"))</f>
        <v>up</v>
      </c>
      <c r="F77" s="3">
        <f>IF(Table2[[#This Row],[States]]="up",1,IF(Table2[[#This Row],[States]]="down",-1,0))</f>
        <v>1</v>
      </c>
      <c r="G77">
        <f>IF(AND(Table2[[#This Row],[STATES in numeric format]]=-1,F76=1,F75=1),1,0)</f>
        <v>0</v>
      </c>
      <c r="H77">
        <f>IF(AND(Table2[[#This Row],[STATES in numeric format]]=-1,F76=-1,F75=-1),1,0)</f>
        <v>0</v>
      </c>
      <c r="I77">
        <f>IF(AND(Table2[[#This Row],[STATES in numeric format]]=-1,F76=-1,F75=1),1,0)</f>
        <v>0</v>
      </c>
      <c r="J77">
        <f>IF(AND(Table2[[#This Row],[STATES in numeric format]]=-1,F76=1,F75=-1),1,0)</f>
        <v>0</v>
      </c>
      <c r="K77">
        <f>IF(AND(Table2[[#This Row],[STATES in numeric format]]=-1,F76=0,F75=0),1,0)</f>
        <v>0</v>
      </c>
      <c r="L77">
        <f>IF(AND(Table2[[#This Row],[STATES in numeric format]]=-1,F76=1,F75=0),1,0)</f>
        <v>0</v>
      </c>
      <c r="M77">
        <f>IF(AND(Table2[[#This Row],[STATES in numeric format]]=-1,F76=-1,F75=0),1,0)</f>
        <v>0</v>
      </c>
      <c r="N77">
        <f>IF(AND(Table2[[#This Row],[STATES in numeric format]]=-1,F76=0,F75=1),1,0)</f>
        <v>0</v>
      </c>
      <c r="O77">
        <f>IF(AND(Table2[[#This Row],[STATES in numeric format]]=-1,F76=0,F75=-1),1,0)</f>
        <v>0</v>
      </c>
      <c r="P77">
        <f>IF(AND(Table2[[#This Row],[STATES in numeric format]]=1,F76=1,F75=1),1,0)</f>
        <v>0</v>
      </c>
      <c r="Q77">
        <f>IF(AND(Table2[[#This Row],[STATES in numeric format]]=1,F76=-1,F75=-1),1,0)</f>
        <v>0</v>
      </c>
      <c r="R77">
        <f>IF(AND(Table2[[#This Row],[STATES in numeric format]]=1,F76=-1,F75=1),1,0)</f>
        <v>1</v>
      </c>
      <c r="S77">
        <f>IF(AND(Table2[[#This Row],[STATES in numeric format]]=1,F76=1,F75=-1),1,0)</f>
        <v>0</v>
      </c>
      <c r="T77">
        <f>IF(AND(Table2[[#This Row],[STATES in numeric format]]=1,F76=0,F75=0),1,0)</f>
        <v>0</v>
      </c>
      <c r="U77">
        <f>IF(AND(Table2[[#This Row],[STATES in numeric format]]=1,F76=1,F75=0),1,0)</f>
        <v>0</v>
      </c>
      <c r="V77">
        <f>IF(AND(Table2[[#This Row],[STATES in numeric format]]=1,F76=-1,F75=0),1,0)</f>
        <v>0</v>
      </c>
      <c r="W77">
        <f>IF(AND(Table2[[#This Row],[STATES in numeric format]]=1,F76=0,F75=1),1,0)</f>
        <v>0</v>
      </c>
      <c r="X77">
        <f>IF(AND(Table2[[#This Row],[STATES in numeric format]]=1,F76=0,F75=-1),1,0)</f>
        <v>0</v>
      </c>
      <c r="Y77">
        <f>IF(AND(Table2[[#This Row],[STATES in numeric format]]=0,F76=1,F75=1),1,0)</f>
        <v>0</v>
      </c>
      <c r="Z77">
        <f>IF(AND(Table2[[#This Row],[STATES in numeric format]]=0,F76=-1,F75=-1),1,0)</f>
        <v>0</v>
      </c>
      <c r="AA77">
        <f>IF(AND(Table2[[#This Row],[STATES in numeric format]]=0,F76=-1,F75=1),1,0)</f>
        <v>0</v>
      </c>
      <c r="AB77">
        <f>IF(AND(Table2[[#This Row],[STATES in numeric format]]=0,F76=1,F75=-1),1,0)</f>
        <v>0</v>
      </c>
      <c r="AC77">
        <f>IF(AND(Table2[[#This Row],[STATES in numeric format]]=0,F76=0,F75=0),1,0)</f>
        <v>0</v>
      </c>
      <c r="AD77">
        <f>IF(AND(Table2[[#This Row],[STATES in numeric format]]=0,F76=1,F75=0),1,0)</f>
        <v>0</v>
      </c>
      <c r="AE77">
        <f>IF(AND(Table2[[#This Row],[STATES in numeric format]]=0,F76=-1,F75=0),1,0)</f>
        <v>0</v>
      </c>
      <c r="AF77">
        <f>IF(AND(Table2[[#This Row],[STATES in numeric format]]=0,F76=0,F75=1),1,0)</f>
        <v>0</v>
      </c>
      <c r="AG77">
        <f>IF(AND(Table2[[#This Row],[STATES in numeric format]]=0,F76=0,F75=-1),1,0)</f>
        <v>0</v>
      </c>
    </row>
    <row r="78" spans="1:33" x14ac:dyDescent="0.3">
      <c r="A78" s="1">
        <v>43944</v>
      </c>
      <c r="B78">
        <v>31863.08</v>
      </c>
      <c r="C78">
        <f>Table2[[#This Row],[Close]]-0.001*Table2[[#This Row],[Close]]</f>
        <v>31831.216920000003</v>
      </c>
      <c r="D78">
        <f>Table2[[#This Row],[Close]]+0.001*Table2[[#This Row],[Close]]</f>
        <v>31894.943080000001</v>
      </c>
      <c r="E78" t="str">
        <f>IF(Table2[[#This Row],[Close]]&gt;D77,"up",IF(Table2[[#This Row],[Close]]&lt;C77,"down","constant"))</f>
        <v>up</v>
      </c>
      <c r="F78" s="3">
        <f>IF(Table2[[#This Row],[States]]="up",1,IF(Table2[[#This Row],[States]]="down",-1,0))</f>
        <v>1</v>
      </c>
      <c r="G78">
        <f>IF(AND(Table2[[#This Row],[STATES in numeric format]]=-1,F77=1,F76=1),1,0)</f>
        <v>0</v>
      </c>
      <c r="H78">
        <f>IF(AND(Table2[[#This Row],[STATES in numeric format]]=-1,F77=-1,F76=-1),1,0)</f>
        <v>0</v>
      </c>
      <c r="I78">
        <f>IF(AND(Table2[[#This Row],[STATES in numeric format]]=-1,F77=-1,F76=1),1,0)</f>
        <v>0</v>
      </c>
      <c r="J78">
        <f>IF(AND(Table2[[#This Row],[STATES in numeric format]]=-1,F77=1,F76=-1),1,0)</f>
        <v>0</v>
      </c>
      <c r="K78">
        <f>IF(AND(Table2[[#This Row],[STATES in numeric format]]=-1,F77=0,F76=0),1,0)</f>
        <v>0</v>
      </c>
      <c r="L78">
        <f>IF(AND(Table2[[#This Row],[STATES in numeric format]]=-1,F77=1,F76=0),1,0)</f>
        <v>0</v>
      </c>
      <c r="M78">
        <f>IF(AND(Table2[[#This Row],[STATES in numeric format]]=-1,F77=-1,F76=0),1,0)</f>
        <v>0</v>
      </c>
      <c r="N78">
        <f>IF(AND(Table2[[#This Row],[STATES in numeric format]]=-1,F77=0,F76=1),1,0)</f>
        <v>0</v>
      </c>
      <c r="O78">
        <f>IF(AND(Table2[[#This Row],[STATES in numeric format]]=-1,F77=0,F76=-1),1,0)</f>
        <v>0</v>
      </c>
      <c r="P78">
        <f>IF(AND(Table2[[#This Row],[STATES in numeric format]]=1,F77=1,F76=1),1,0)</f>
        <v>0</v>
      </c>
      <c r="Q78">
        <f>IF(AND(Table2[[#This Row],[STATES in numeric format]]=1,F77=-1,F76=-1),1,0)</f>
        <v>0</v>
      </c>
      <c r="R78">
        <f>IF(AND(Table2[[#This Row],[STATES in numeric format]]=1,F77=-1,F76=1),1,0)</f>
        <v>0</v>
      </c>
      <c r="S78">
        <f>IF(AND(Table2[[#This Row],[STATES in numeric format]]=1,F77=1,F76=-1),1,0)</f>
        <v>1</v>
      </c>
      <c r="T78">
        <f>IF(AND(Table2[[#This Row],[STATES in numeric format]]=1,F77=0,F76=0),1,0)</f>
        <v>0</v>
      </c>
      <c r="U78">
        <f>IF(AND(Table2[[#This Row],[STATES in numeric format]]=1,F77=1,F76=0),1,0)</f>
        <v>0</v>
      </c>
      <c r="V78">
        <f>IF(AND(Table2[[#This Row],[STATES in numeric format]]=1,F77=-1,F76=0),1,0)</f>
        <v>0</v>
      </c>
      <c r="W78">
        <f>IF(AND(Table2[[#This Row],[STATES in numeric format]]=1,F77=0,F76=1),1,0)</f>
        <v>0</v>
      </c>
      <c r="X78">
        <f>IF(AND(Table2[[#This Row],[STATES in numeric format]]=1,F77=0,F76=-1),1,0)</f>
        <v>0</v>
      </c>
      <c r="Y78">
        <f>IF(AND(Table2[[#This Row],[STATES in numeric format]]=0,F77=1,F76=1),1,0)</f>
        <v>0</v>
      </c>
      <c r="Z78">
        <f>IF(AND(Table2[[#This Row],[STATES in numeric format]]=0,F77=-1,F76=-1),1,0)</f>
        <v>0</v>
      </c>
      <c r="AA78">
        <f>IF(AND(Table2[[#This Row],[STATES in numeric format]]=0,F77=-1,F76=1),1,0)</f>
        <v>0</v>
      </c>
      <c r="AB78">
        <f>IF(AND(Table2[[#This Row],[STATES in numeric format]]=0,F77=1,F76=-1),1,0)</f>
        <v>0</v>
      </c>
      <c r="AC78">
        <f>IF(AND(Table2[[#This Row],[STATES in numeric format]]=0,F77=0,F76=0),1,0)</f>
        <v>0</v>
      </c>
      <c r="AD78">
        <f>IF(AND(Table2[[#This Row],[STATES in numeric format]]=0,F77=1,F76=0),1,0)</f>
        <v>0</v>
      </c>
      <c r="AE78">
        <f>IF(AND(Table2[[#This Row],[STATES in numeric format]]=0,F77=-1,F76=0),1,0)</f>
        <v>0</v>
      </c>
      <c r="AF78">
        <f>IF(AND(Table2[[#This Row],[STATES in numeric format]]=0,F77=0,F76=1),1,0)</f>
        <v>0</v>
      </c>
      <c r="AG78">
        <f>IF(AND(Table2[[#This Row],[STATES in numeric format]]=0,F77=0,F76=-1),1,0)</f>
        <v>0</v>
      </c>
    </row>
    <row r="79" spans="1:33" x14ac:dyDescent="0.3">
      <c r="A79" s="1">
        <v>43945</v>
      </c>
      <c r="B79">
        <v>31327.22</v>
      </c>
      <c r="C79">
        <f>Table2[[#This Row],[Close]]-0.001*Table2[[#This Row],[Close]]</f>
        <v>31295.892780000002</v>
      </c>
      <c r="D79">
        <f>Table2[[#This Row],[Close]]+0.001*Table2[[#This Row],[Close]]</f>
        <v>31358.54722</v>
      </c>
      <c r="E79" t="str">
        <f>IF(Table2[[#This Row],[Close]]&gt;D78,"up",IF(Table2[[#This Row],[Close]]&lt;C78,"down","constant"))</f>
        <v>down</v>
      </c>
      <c r="F79" s="3">
        <f>IF(Table2[[#This Row],[States]]="up",1,IF(Table2[[#This Row],[States]]="down",-1,0))</f>
        <v>-1</v>
      </c>
      <c r="G79">
        <f>IF(AND(Table2[[#This Row],[STATES in numeric format]]=-1,F78=1,F77=1),1,0)</f>
        <v>1</v>
      </c>
      <c r="H79">
        <f>IF(AND(Table2[[#This Row],[STATES in numeric format]]=-1,F78=-1,F77=-1),1,0)</f>
        <v>0</v>
      </c>
      <c r="I79">
        <f>IF(AND(Table2[[#This Row],[STATES in numeric format]]=-1,F78=-1,F77=1),1,0)</f>
        <v>0</v>
      </c>
      <c r="J79">
        <f>IF(AND(Table2[[#This Row],[STATES in numeric format]]=-1,F78=1,F77=-1),1,0)</f>
        <v>0</v>
      </c>
      <c r="K79">
        <f>IF(AND(Table2[[#This Row],[STATES in numeric format]]=-1,F78=0,F77=0),1,0)</f>
        <v>0</v>
      </c>
      <c r="L79">
        <f>IF(AND(Table2[[#This Row],[STATES in numeric format]]=-1,F78=1,F77=0),1,0)</f>
        <v>0</v>
      </c>
      <c r="M79">
        <f>IF(AND(Table2[[#This Row],[STATES in numeric format]]=-1,F78=-1,F77=0),1,0)</f>
        <v>0</v>
      </c>
      <c r="N79">
        <f>IF(AND(Table2[[#This Row],[STATES in numeric format]]=-1,F78=0,F77=1),1,0)</f>
        <v>0</v>
      </c>
      <c r="O79">
        <f>IF(AND(Table2[[#This Row],[STATES in numeric format]]=-1,F78=0,F77=-1),1,0)</f>
        <v>0</v>
      </c>
      <c r="P79">
        <f>IF(AND(Table2[[#This Row],[STATES in numeric format]]=1,F78=1,F77=1),1,0)</f>
        <v>0</v>
      </c>
      <c r="Q79">
        <f>IF(AND(Table2[[#This Row],[STATES in numeric format]]=1,F78=-1,F77=-1),1,0)</f>
        <v>0</v>
      </c>
      <c r="R79">
        <f>IF(AND(Table2[[#This Row],[STATES in numeric format]]=1,F78=-1,F77=1),1,0)</f>
        <v>0</v>
      </c>
      <c r="S79">
        <f>IF(AND(Table2[[#This Row],[STATES in numeric format]]=1,F78=1,F77=-1),1,0)</f>
        <v>0</v>
      </c>
      <c r="T79">
        <f>IF(AND(Table2[[#This Row],[STATES in numeric format]]=1,F78=0,F77=0),1,0)</f>
        <v>0</v>
      </c>
      <c r="U79">
        <f>IF(AND(Table2[[#This Row],[STATES in numeric format]]=1,F78=1,F77=0),1,0)</f>
        <v>0</v>
      </c>
      <c r="V79">
        <f>IF(AND(Table2[[#This Row],[STATES in numeric format]]=1,F78=-1,F77=0),1,0)</f>
        <v>0</v>
      </c>
      <c r="W79">
        <f>IF(AND(Table2[[#This Row],[STATES in numeric format]]=1,F78=0,F77=1),1,0)</f>
        <v>0</v>
      </c>
      <c r="X79">
        <f>IF(AND(Table2[[#This Row],[STATES in numeric format]]=1,F78=0,F77=-1),1,0)</f>
        <v>0</v>
      </c>
      <c r="Y79">
        <f>IF(AND(Table2[[#This Row],[STATES in numeric format]]=0,F78=1,F77=1),1,0)</f>
        <v>0</v>
      </c>
      <c r="Z79">
        <f>IF(AND(Table2[[#This Row],[STATES in numeric format]]=0,F78=-1,F77=-1),1,0)</f>
        <v>0</v>
      </c>
      <c r="AA79">
        <f>IF(AND(Table2[[#This Row],[STATES in numeric format]]=0,F78=-1,F77=1),1,0)</f>
        <v>0</v>
      </c>
      <c r="AB79">
        <f>IF(AND(Table2[[#This Row],[STATES in numeric format]]=0,F78=1,F77=-1),1,0)</f>
        <v>0</v>
      </c>
      <c r="AC79">
        <f>IF(AND(Table2[[#This Row],[STATES in numeric format]]=0,F78=0,F77=0),1,0)</f>
        <v>0</v>
      </c>
      <c r="AD79">
        <f>IF(AND(Table2[[#This Row],[STATES in numeric format]]=0,F78=1,F77=0),1,0)</f>
        <v>0</v>
      </c>
      <c r="AE79">
        <f>IF(AND(Table2[[#This Row],[STATES in numeric format]]=0,F78=-1,F77=0),1,0)</f>
        <v>0</v>
      </c>
      <c r="AF79">
        <f>IF(AND(Table2[[#This Row],[STATES in numeric format]]=0,F78=0,F77=1),1,0)</f>
        <v>0</v>
      </c>
      <c r="AG79">
        <f>IF(AND(Table2[[#This Row],[STATES in numeric format]]=0,F78=0,F77=-1),1,0)</f>
        <v>0</v>
      </c>
    </row>
    <row r="80" spans="1:33" x14ac:dyDescent="0.3">
      <c r="A80" s="1">
        <v>43948</v>
      </c>
      <c r="B80">
        <v>31743.08</v>
      </c>
      <c r="C80">
        <f>Table2[[#This Row],[Close]]-0.001*Table2[[#This Row],[Close]]</f>
        <v>31711.336920000002</v>
      </c>
      <c r="D80">
        <f>Table2[[#This Row],[Close]]+0.001*Table2[[#This Row],[Close]]</f>
        <v>31774.823080000002</v>
      </c>
      <c r="E80" t="str">
        <f>IF(Table2[[#This Row],[Close]]&gt;D79,"up",IF(Table2[[#This Row],[Close]]&lt;C79,"down","constant"))</f>
        <v>up</v>
      </c>
      <c r="F80" s="3">
        <f>IF(Table2[[#This Row],[States]]="up",1,IF(Table2[[#This Row],[States]]="down",-1,0))</f>
        <v>1</v>
      </c>
      <c r="G80">
        <f>IF(AND(Table2[[#This Row],[STATES in numeric format]]=-1,F79=1,F78=1),1,0)</f>
        <v>0</v>
      </c>
      <c r="H80">
        <f>IF(AND(Table2[[#This Row],[STATES in numeric format]]=-1,F79=-1,F78=-1),1,0)</f>
        <v>0</v>
      </c>
      <c r="I80">
        <f>IF(AND(Table2[[#This Row],[STATES in numeric format]]=-1,F79=-1,F78=1),1,0)</f>
        <v>0</v>
      </c>
      <c r="J80">
        <f>IF(AND(Table2[[#This Row],[STATES in numeric format]]=-1,F79=1,F78=-1),1,0)</f>
        <v>0</v>
      </c>
      <c r="K80">
        <f>IF(AND(Table2[[#This Row],[STATES in numeric format]]=-1,F79=0,F78=0),1,0)</f>
        <v>0</v>
      </c>
      <c r="L80">
        <f>IF(AND(Table2[[#This Row],[STATES in numeric format]]=-1,F79=1,F78=0),1,0)</f>
        <v>0</v>
      </c>
      <c r="M80">
        <f>IF(AND(Table2[[#This Row],[STATES in numeric format]]=-1,F79=-1,F78=0),1,0)</f>
        <v>0</v>
      </c>
      <c r="N80">
        <f>IF(AND(Table2[[#This Row],[STATES in numeric format]]=-1,F79=0,F78=1),1,0)</f>
        <v>0</v>
      </c>
      <c r="O80">
        <f>IF(AND(Table2[[#This Row],[STATES in numeric format]]=-1,F79=0,F78=-1),1,0)</f>
        <v>0</v>
      </c>
      <c r="P80">
        <f>IF(AND(Table2[[#This Row],[STATES in numeric format]]=1,F79=1,F78=1),1,0)</f>
        <v>0</v>
      </c>
      <c r="Q80">
        <f>IF(AND(Table2[[#This Row],[STATES in numeric format]]=1,F79=-1,F78=-1),1,0)</f>
        <v>0</v>
      </c>
      <c r="R80">
        <f>IF(AND(Table2[[#This Row],[STATES in numeric format]]=1,F79=-1,F78=1),1,0)</f>
        <v>1</v>
      </c>
      <c r="S80">
        <f>IF(AND(Table2[[#This Row],[STATES in numeric format]]=1,F79=1,F78=-1),1,0)</f>
        <v>0</v>
      </c>
      <c r="T80">
        <f>IF(AND(Table2[[#This Row],[STATES in numeric format]]=1,F79=0,F78=0),1,0)</f>
        <v>0</v>
      </c>
      <c r="U80">
        <f>IF(AND(Table2[[#This Row],[STATES in numeric format]]=1,F79=1,F78=0),1,0)</f>
        <v>0</v>
      </c>
      <c r="V80">
        <f>IF(AND(Table2[[#This Row],[STATES in numeric format]]=1,F79=-1,F78=0),1,0)</f>
        <v>0</v>
      </c>
      <c r="W80">
        <f>IF(AND(Table2[[#This Row],[STATES in numeric format]]=1,F79=0,F78=1),1,0)</f>
        <v>0</v>
      </c>
      <c r="X80">
        <f>IF(AND(Table2[[#This Row],[STATES in numeric format]]=1,F79=0,F78=-1),1,0)</f>
        <v>0</v>
      </c>
      <c r="Y80">
        <f>IF(AND(Table2[[#This Row],[STATES in numeric format]]=0,F79=1,F78=1),1,0)</f>
        <v>0</v>
      </c>
      <c r="Z80">
        <f>IF(AND(Table2[[#This Row],[STATES in numeric format]]=0,F79=-1,F78=-1),1,0)</f>
        <v>0</v>
      </c>
      <c r="AA80">
        <f>IF(AND(Table2[[#This Row],[STATES in numeric format]]=0,F79=-1,F78=1),1,0)</f>
        <v>0</v>
      </c>
      <c r="AB80">
        <f>IF(AND(Table2[[#This Row],[STATES in numeric format]]=0,F79=1,F78=-1),1,0)</f>
        <v>0</v>
      </c>
      <c r="AC80">
        <f>IF(AND(Table2[[#This Row],[STATES in numeric format]]=0,F79=0,F78=0),1,0)</f>
        <v>0</v>
      </c>
      <c r="AD80">
        <f>IF(AND(Table2[[#This Row],[STATES in numeric format]]=0,F79=1,F78=0),1,0)</f>
        <v>0</v>
      </c>
      <c r="AE80">
        <f>IF(AND(Table2[[#This Row],[STATES in numeric format]]=0,F79=-1,F78=0),1,0)</f>
        <v>0</v>
      </c>
      <c r="AF80">
        <f>IF(AND(Table2[[#This Row],[STATES in numeric format]]=0,F79=0,F78=1),1,0)</f>
        <v>0</v>
      </c>
      <c r="AG80">
        <f>IF(AND(Table2[[#This Row],[STATES in numeric format]]=0,F79=0,F78=-1),1,0)</f>
        <v>0</v>
      </c>
    </row>
    <row r="81" spans="1:33" x14ac:dyDescent="0.3">
      <c r="A81" s="1">
        <v>43949</v>
      </c>
      <c r="B81">
        <v>32114.52</v>
      </c>
      <c r="C81">
        <f>Table2[[#This Row],[Close]]-0.001*Table2[[#This Row],[Close]]</f>
        <v>32082.405480000001</v>
      </c>
      <c r="D81">
        <f>Table2[[#This Row],[Close]]+0.001*Table2[[#This Row],[Close]]</f>
        <v>32146.63452</v>
      </c>
      <c r="E81" t="str">
        <f>IF(Table2[[#This Row],[Close]]&gt;D80,"up",IF(Table2[[#This Row],[Close]]&lt;C80,"down","constant"))</f>
        <v>up</v>
      </c>
      <c r="F81" s="3">
        <f>IF(Table2[[#This Row],[States]]="up",1,IF(Table2[[#This Row],[States]]="down",-1,0))</f>
        <v>1</v>
      </c>
      <c r="G81">
        <f>IF(AND(Table2[[#This Row],[STATES in numeric format]]=-1,F80=1,F79=1),1,0)</f>
        <v>0</v>
      </c>
      <c r="H81">
        <f>IF(AND(Table2[[#This Row],[STATES in numeric format]]=-1,F80=-1,F79=-1),1,0)</f>
        <v>0</v>
      </c>
      <c r="I81">
        <f>IF(AND(Table2[[#This Row],[STATES in numeric format]]=-1,F80=-1,F79=1),1,0)</f>
        <v>0</v>
      </c>
      <c r="J81">
        <f>IF(AND(Table2[[#This Row],[STATES in numeric format]]=-1,F80=1,F79=-1),1,0)</f>
        <v>0</v>
      </c>
      <c r="K81">
        <f>IF(AND(Table2[[#This Row],[STATES in numeric format]]=-1,F80=0,F79=0),1,0)</f>
        <v>0</v>
      </c>
      <c r="L81">
        <f>IF(AND(Table2[[#This Row],[STATES in numeric format]]=-1,F80=1,F79=0),1,0)</f>
        <v>0</v>
      </c>
      <c r="M81">
        <f>IF(AND(Table2[[#This Row],[STATES in numeric format]]=-1,F80=-1,F79=0),1,0)</f>
        <v>0</v>
      </c>
      <c r="N81">
        <f>IF(AND(Table2[[#This Row],[STATES in numeric format]]=-1,F80=0,F79=1),1,0)</f>
        <v>0</v>
      </c>
      <c r="O81">
        <f>IF(AND(Table2[[#This Row],[STATES in numeric format]]=-1,F80=0,F79=-1),1,0)</f>
        <v>0</v>
      </c>
      <c r="P81">
        <f>IF(AND(Table2[[#This Row],[STATES in numeric format]]=1,F80=1,F79=1),1,0)</f>
        <v>0</v>
      </c>
      <c r="Q81">
        <f>IF(AND(Table2[[#This Row],[STATES in numeric format]]=1,F80=-1,F79=-1),1,0)</f>
        <v>0</v>
      </c>
      <c r="R81">
        <f>IF(AND(Table2[[#This Row],[STATES in numeric format]]=1,F80=-1,F79=1),1,0)</f>
        <v>0</v>
      </c>
      <c r="S81">
        <f>IF(AND(Table2[[#This Row],[STATES in numeric format]]=1,F80=1,F79=-1),1,0)</f>
        <v>1</v>
      </c>
      <c r="T81">
        <f>IF(AND(Table2[[#This Row],[STATES in numeric format]]=1,F80=0,F79=0),1,0)</f>
        <v>0</v>
      </c>
      <c r="U81">
        <f>IF(AND(Table2[[#This Row],[STATES in numeric format]]=1,F80=1,F79=0),1,0)</f>
        <v>0</v>
      </c>
      <c r="V81">
        <f>IF(AND(Table2[[#This Row],[STATES in numeric format]]=1,F80=-1,F79=0),1,0)</f>
        <v>0</v>
      </c>
      <c r="W81">
        <f>IF(AND(Table2[[#This Row],[STATES in numeric format]]=1,F80=0,F79=1),1,0)</f>
        <v>0</v>
      </c>
      <c r="X81">
        <f>IF(AND(Table2[[#This Row],[STATES in numeric format]]=1,F80=0,F79=-1),1,0)</f>
        <v>0</v>
      </c>
      <c r="Y81">
        <f>IF(AND(Table2[[#This Row],[STATES in numeric format]]=0,F80=1,F79=1),1,0)</f>
        <v>0</v>
      </c>
      <c r="Z81">
        <f>IF(AND(Table2[[#This Row],[STATES in numeric format]]=0,F80=-1,F79=-1),1,0)</f>
        <v>0</v>
      </c>
      <c r="AA81">
        <f>IF(AND(Table2[[#This Row],[STATES in numeric format]]=0,F80=-1,F79=1),1,0)</f>
        <v>0</v>
      </c>
      <c r="AB81">
        <f>IF(AND(Table2[[#This Row],[STATES in numeric format]]=0,F80=1,F79=-1),1,0)</f>
        <v>0</v>
      </c>
      <c r="AC81">
        <f>IF(AND(Table2[[#This Row],[STATES in numeric format]]=0,F80=0,F79=0),1,0)</f>
        <v>0</v>
      </c>
      <c r="AD81">
        <f>IF(AND(Table2[[#This Row],[STATES in numeric format]]=0,F80=1,F79=0),1,0)</f>
        <v>0</v>
      </c>
      <c r="AE81">
        <f>IF(AND(Table2[[#This Row],[STATES in numeric format]]=0,F80=-1,F79=0),1,0)</f>
        <v>0</v>
      </c>
      <c r="AF81">
        <f>IF(AND(Table2[[#This Row],[STATES in numeric format]]=0,F80=0,F79=1),1,0)</f>
        <v>0</v>
      </c>
      <c r="AG81">
        <f>IF(AND(Table2[[#This Row],[STATES in numeric format]]=0,F80=0,F79=-1),1,0)</f>
        <v>0</v>
      </c>
    </row>
    <row r="82" spans="1:33" x14ac:dyDescent="0.3">
      <c r="A82" s="1">
        <v>43950</v>
      </c>
      <c r="B82">
        <v>32720.16</v>
      </c>
      <c r="C82">
        <f>Table2[[#This Row],[Close]]-0.001*Table2[[#This Row],[Close]]</f>
        <v>32687.439839999999</v>
      </c>
      <c r="D82">
        <f>Table2[[#This Row],[Close]]+0.001*Table2[[#This Row],[Close]]</f>
        <v>32752.880160000001</v>
      </c>
      <c r="E82" t="str">
        <f>IF(Table2[[#This Row],[Close]]&gt;D81,"up",IF(Table2[[#This Row],[Close]]&lt;C81,"down","constant"))</f>
        <v>up</v>
      </c>
      <c r="F82" s="3">
        <f>IF(Table2[[#This Row],[States]]="up",1,IF(Table2[[#This Row],[States]]="down",-1,0))</f>
        <v>1</v>
      </c>
      <c r="G82">
        <f>IF(AND(Table2[[#This Row],[STATES in numeric format]]=-1,F81=1,F80=1),1,0)</f>
        <v>0</v>
      </c>
      <c r="H82">
        <f>IF(AND(Table2[[#This Row],[STATES in numeric format]]=-1,F81=-1,F80=-1),1,0)</f>
        <v>0</v>
      </c>
      <c r="I82">
        <f>IF(AND(Table2[[#This Row],[STATES in numeric format]]=-1,F81=-1,F80=1),1,0)</f>
        <v>0</v>
      </c>
      <c r="J82">
        <f>IF(AND(Table2[[#This Row],[STATES in numeric format]]=-1,F81=1,F80=-1),1,0)</f>
        <v>0</v>
      </c>
      <c r="K82">
        <f>IF(AND(Table2[[#This Row],[STATES in numeric format]]=-1,F81=0,F80=0),1,0)</f>
        <v>0</v>
      </c>
      <c r="L82">
        <f>IF(AND(Table2[[#This Row],[STATES in numeric format]]=-1,F81=1,F80=0),1,0)</f>
        <v>0</v>
      </c>
      <c r="M82">
        <f>IF(AND(Table2[[#This Row],[STATES in numeric format]]=-1,F81=-1,F80=0),1,0)</f>
        <v>0</v>
      </c>
      <c r="N82">
        <f>IF(AND(Table2[[#This Row],[STATES in numeric format]]=-1,F81=0,F80=1),1,0)</f>
        <v>0</v>
      </c>
      <c r="O82">
        <f>IF(AND(Table2[[#This Row],[STATES in numeric format]]=-1,F81=0,F80=-1),1,0)</f>
        <v>0</v>
      </c>
      <c r="P82">
        <f>IF(AND(Table2[[#This Row],[STATES in numeric format]]=1,F81=1,F80=1),1,0)</f>
        <v>1</v>
      </c>
      <c r="Q82">
        <f>IF(AND(Table2[[#This Row],[STATES in numeric format]]=1,F81=-1,F80=-1),1,0)</f>
        <v>0</v>
      </c>
      <c r="R82">
        <f>IF(AND(Table2[[#This Row],[STATES in numeric format]]=1,F81=-1,F80=1),1,0)</f>
        <v>0</v>
      </c>
      <c r="S82">
        <f>IF(AND(Table2[[#This Row],[STATES in numeric format]]=1,F81=1,F80=-1),1,0)</f>
        <v>0</v>
      </c>
      <c r="T82">
        <f>IF(AND(Table2[[#This Row],[STATES in numeric format]]=1,F81=0,F80=0),1,0)</f>
        <v>0</v>
      </c>
      <c r="U82">
        <f>IF(AND(Table2[[#This Row],[STATES in numeric format]]=1,F81=1,F80=0),1,0)</f>
        <v>0</v>
      </c>
      <c r="V82">
        <f>IF(AND(Table2[[#This Row],[STATES in numeric format]]=1,F81=-1,F80=0),1,0)</f>
        <v>0</v>
      </c>
      <c r="W82">
        <f>IF(AND(Table2[[#This Row],[STATES in numeric format]]=1,F81=0,F80=1),1,0)</f>
        <v>0</v>
      </c>
      <c r="X82">
        <f>IF(AND(Table2[[#This Row],[STATES in numeric format]]=1,F81=0,F80=-1),1,0)</f>
        <v>0</v>
      </c>
      <c r="Y82">
        <f>IF(AND(Table2[[#This Row],[STATES in numeric format]]=0,F81=1,F80=1),1,0)</f>
        <v>0</v>
      </c>
      <c r="Z82">
        <f>IF(AND(Table2[[#This Row],[STATES in numeric format]]=0,F81=-1,F80=-1),1,0)</f>
        <v>0</v>
      </c>
      <c r="AA82">
        <f>IF(AND(Table2[[#This Row],[STATES in numeric format]]=0,F81=-1,F80=1),1,0)</f>
        <v>0</v>
      </c>
      <c r="AB82">
        <f>IF(AND(Table2[[#This Row],[STATES in numeric format]]=0,F81=1,F80=-1),1,0)</f>
        <v>0</v>
      </c>
      <c r="AC82">
        <f>IF(AND(Table2[[#This Row],[STATES in numeric format]]=0,F81=0,F80=0),1,0)</f>
        <v>0</v>
      </c>
      <c r="AD82">
        <f>IF(AND(Table2[[#This Row],[STATES in numeric format]]=0,F81=1,F80=0),1,0)</f>
        <v>0</v>
      </c>
      <c r="AE82">
        <f>IF(AND(Table2[[#This Row],[STATES in numeric format]]=0,F81=-1,F80=0),1,0)</f>
        <v>0</v>
      </c>
      <c r="AF82">
        <f>IF(AND(Table2[[#This Row],[STATES in numeric format]]=0,F81=0,F80=1),1,0)</f>
        <v>0</v>
      </c>
      <c r="AG82">
        <f>IF(AND(Table2[[#This Row],[STATES in numeric format]]=0,F81=0,F80=-1),1,0)</f>
        <v>0</v>
      </c>
    </row>
    <row r="83" spans="1:33" x14ac:dyDescent="0.3">
      <c r="A83" s="1">
        <v>43951</v>
      </c>
      <c r="B83">
        <v>33717.620000000003</v>
      </c>
      <c r="C83">
        <f>Table2[[#This Row],[Close]]-0.001*Table2[[#This Row],[Close]]</f>
        <v>33683.90238</v>
      </c>
      <c r="D83">
        <f>Table2[[#This Row],[Close]]+0.001*Table2[[#This Row],[Close]]</f>
        <v>33751.337620000006</v>
      </c>
      <c r="E83" t="str">
        <f>IF(Table2[[#This Row],[Close]]&gt;D82,"up",IF(Table2[[#This Row],[Close]]&lt;C82,"down","constant"))</f>
        <v>up</v>
      </c>
      <c r="F83" s="3">
        <f>IF(Table2[[#This Row],[States]]="up",1,IF(Table2[[#This Row],[States]]="down",-1,0))</f>
        <v>1</v>
      </c>
      <c r="G83">
        <f>IF(AND(Table2[[#This Row],[STATES in numeric format]]=-1,F82=1,F81=1),1,0)</f>
        <v>0</v>
      </c>
      <c r="H83">
        <f>IF(AND(Table2[[#This Row],[STATES in numeric format]]=-1,F82=-1,F81=-1),1,0)</f>
        <v>0</v>
      </c>
      <c r="I83">
        <f>IF(AND(Table2[[#This Row],[STATES in numeric format]]=-1,F82=-1,F81=1),1,0)</f>
        <v>0</v>
      </c>
      <c r="J83">
        <f>IF(AND(Table2[[#This Row],[STATES in numeric format]]=-1,F82=1,F81=-1),1,0)</f>
        <v>0</v>
      </c>
      <c r="K83">
        <f>IF(AND(Table2[[#This Row],[STATES in numeric format]]=-1,F82=0,F81=0),1,0)</f>
        <v>0</v>
      </c>
      <c r="L83">
        <f>IF(AND(Table2[[#This Row],[STATES in numeric format]]=-1,F82=1,F81=0),1,0)</f>
        <v>0</v>
      </c>
      <c r="M83">
        <f>IF(AND(Table2[[#This Row],[STATES in numeric format]]=-1,F82=-1,F81=0),1,0)</f>
        <v>0</v>
      </c>
      <c r="N83">
        <f>IF(AND(Table2[[#This Row],[STATES in numeric format]]=-1,F82=0,F81=1),1,0)</f>
        <v>0</v>
      </c>
      <c r="O83">
        <f>IF(AND(Table2[[#This Row],[STATES in numeric format]]=-1,F82=0,F81=-1),1,0)</f>
        <v>0</v>
      </c>
      <c r="P83">
        <f>IF(AND(Table2[[#This Row],[STATES in numeric format]]=1,F82=1,F81=1),1,0)</f>
        <v>1</v>
      </c>
      <c r="Q83">
        <f>IF(AND(Table2[[#This Row],[STATES in numeric format]]=1,F82=-1,F81=-1),1,0)</f>
        <v>0</v>
      </c>
      <c r="R83">
        <f>IF(AND(Table2[[#This Row],[STATES in numeric format]]=1,F82=-1,F81=1),1,0)</f>
        <v>0</v>
      </c>
      <c r="S83">
        <f>IF(AND(Table2[[#This Row],[STATES in numeric format]]=1,F82=1,F81=-1),1,0)</f>
        <v>0</v>
      </c>
      <c r="T83">
        <f>IF(AND(Table2[[#This Row],[STATES in numeric format]]=1,F82=0,F81=0),1,0)</f>
        <v>0</v>
      </c>
      <c r="U83">
        <f>IF(AND(Table2[[#This Row],[STATES in numeric format]]=1,F82=1,F81=0),1,0)</f>
        <v>0</v>
      </c>
      <c r="V83">
        <f>IF(AND(Table2[[#This Row],[STATES in numeric format]]=1,F82=-1,F81=0),1,0)</f>
        <v>0</v>
      </c>
      <c r="W83">
        <f>IF(AND(Table2[[#This Row],[STATES in numeric format]]=1,F82=0,F81=1),1,0)</f>
        <v>0</v>
      </c>
      <c r="X83">
        <f>IF(AND(Table2[[#This Row],[STATES in numeric format]]=1,F82=0,F81=-1),1,0)</f>
        <v>0</v>
      </c>
      <c r="Y83">
        <f>IF(AND(Table2[[#This Row],[STATES in numeric format]]=0,F82=1,F81=1),1,0)</f>
        <v>0</v>
      </c>
      <c r="Z83">
        <f>IF(AND(Table2[[#This Row],[STATES in numeric format]]=0,F82=-1,F81=-1),1,0)</f>
        <v>0</v>
      </c>
      <c r="AA83">
        <f>IF(AND(Table2[[#This Row],[STATES in numeric format]]=0,F82=-1,F81=1),1,0)</f>
        <v>0</v>
      </c>
      <c r="AB83">
        <f>IF(AND(Table2[[#This Row],[STATES in numeric format]]=0,F82=1,F81=-1),1,0)</f>
        <v>0</v>
      </c>
      <c r="AC83">
        <f>IF(AND(Table2[[#This Row],[STATES in numeric format]]=0,F82=0,F81=0),1,0)</f>
        <v>0</v>
      </c>
      <c r="AD83">
        <f>IF(AND(Table2[[#This Row],[STATES in numeric format]]=0,F82=1,F81=0),1,0)</f>
        <v>0</v>
      </c>
      <c r="AE83">
        <f>IF(AND(Table2[[#This Row],[STATES in numeric format]]=0,F82=-1,F81=0),1,0)</f>
        <v>0</v>
      </c>
      <c r="AF83">
        <f>IF(AND(Table2[[#This Row],[STATES in numeric format]]=0,F82=0,F81=1),1,0)</f>
        <v>0</v>
      </c>
      <c r="AG83">
        <f>IF(AND(Table2[[#This Row],[STATES in numeric format]]=0,F82=0,F81=-1),1,0)</f>
        <v>0</v>
      </c>
    </row>
    <row r="84" spans="1:33" x14ac:dyDescent="0.3">
      <c r="A84" s="1">
        <v>43955</v>
      </c>
      <c r="B84">
        <v>31715.35</v>
      </c>
      <c r="C84">
        <f>Table2[[#This Row],[Close]]-0.001*Table2[[#This Row],[Close]]</f>
        <v>31683.63465</v>
      </c>
      <c r="D84">
        <f>Table2[[#This Row],[Close]]+0.001*Table2[[#This Row],[Close]]</f>
        <v>31747.065349999997</v>
      </c>
      <c r="E84" t="str">
        <f>IF(Table2[[#This Row],[Close]]&gt;D83,"up",IF(Table2[[#This Row],[Close]]&lt;C83,"down","constant"))</f>
        <v>down</v>
      </c>
      <c r="F84" s="3">
        <f>IF(Table2[[#This Row],[States]]="up",1,IF(Table2[[#This Row],[States]]="down",-1,0))</f>
        <v>-1</v>
      </c>
      <c r="G84">
        <f>IF(AND(Table2[[#This Row],[STATES in numeric format]]=-1,F83=1,F82=1),1,0)</f>
        <v>1</v>
      </c>
      <c r="H84">
        <f>IF(AND(Table2[[#This Row],[STATES in numeric format]]=-1,F83=-1,F82=-1),1,0)</f>
        <v>0</v>
      </c>
      <c r="I84">
        <f>IF(AND(Table2[[#This Row],[STATES in numeric format]]=-1,F83=-1,F82=1),1,0)</f>
        <v>0</v>
      </c>
      <c r="J84">
        <f>IF(AND(Table2[[#This Row],[STATES in numeric format]]=-1,F83=1,F82=-1),1,0)</f>
        <v>0</v>
      </c>
      <c r="K84">
        <f>IF(AND(Table2[[#This Row],[STATES in numeric format]]=-1,F83=0,F82=0),1,0)</f>
        <v>0</v>
      </c>
      <c r="L84">
        <f>IF(AND(Table2[[#This Row],[STATES in numeric format]]=-1,F83=1,F82=0),1,0)</f>
        <v>0</v>
      </c>
      <c r="M84">
        <f>IF(AND(Table2[[#This Row],[STATES in numeric format]]=-1,F83=-1,F82=0),1,0)</f>
        <v>0</v>
      </c>
      <c r="N84">
        <f>IF(AND(Table2[[#This Row],[STATES in numeric format]]=-1,F83=0,F82=1),1,0)</f>
        <v>0</v>
      </c>
      <c r="O84">
        <f>IF(AND(Table2[[#This Row],[STATES in numeric format]]=-1,F83=0,F82=-1),1,0)</f>
        <v>0</v>
      </c>
      <c r="P84">
        <f>IF(AND(Table2[[#This Row],[STATES in numeric format]]=1,F83=1,F82=1),1,0)</f>
        <v>0</v>
      </c>
      <c r="Q84">
        <f>IF(AND(Table2[[#This Row],[STATES in numeric format]]=1,F83=-1,F82=-1),1,0)</f>
        <v>0</v>
      </c>
      <c r="R84">
        <f>IF(AND(Table2[[#This Row],[STATES in numeric format]]=1,F83=-1,F82=1),1,0)</f>
        <v>0</v>
      </c>
      <c r="S84">
        <f>IF(AND(Table2[[#This Row],[STATES in numeric format]]=1,F83=1,F82=-1),1,0)</f>
        <v>0</v>
      </c>
      <c r="T84">
        <f>IF(AND(Table2[[#This Row],[STATES in numeric format]]=1,F83=0,F82=0),1,0)</f>
        <v>0</v>
      </c>
      <c r="U84">
        <f>IF(AND(Table2[[#This Row],[STATES in numeric format]]=1,F83=1,F82=0),1,0)</f>
        <v>0</v>
      </c>
      <c r="V84">
        <f>IF(AND(Table2[[#This Row],[STATES in numeric format]]=1,F83=-1,F82=0),1,0)</f>
        <v>0</v>
      </c>
      <c r="W84">
        <f>IF(AND(Table2[[#This Row],[STATES in numeric format]]=1,F83=0,F82=1),1,0)</f>
        <v>0</v>
      </c>
      <c r="X84">
        <f>IF(AND(Table2[[#This Row],[STATES in numeric format]]=1,F83=0,F82=-1),1,0)</f>
        <v>0</v>
      </c>
      <c r="Y84">
        <f>IF(AND(Table2[[#This Row],[STATES in numeric format]]=0,F83=1,F82=1),1,0)</f>
        <v>0</v>
      </c>
      <c r="Z84">
        <f>IF(AND(Table2[[#This Row],[STATES in numeric format]]=0,F83=-1,F82=-1),1,0)</f>
        <v>0</v>
      </c>
      <c r="AA84">
        <f>IF(AND(Table2[[#This Row],[STATES in numeric format]]=0,F83=-1,F82=1),1,0)</f>
        <v>0</v>
      </c>
      <c r="AB84">
        <f>IF(AND(Table2[[#This Row],[STATES in numeric format]]=0,F83=1,F82=-1),1,0)</f>
        <v>0</v>
      </c>
      <c r="AC84">
        <f>IF(AND(Table2[[#This Row],[STATES in numeric format]]=0,F83=0,F82=0),1,0)</f>
        <v>0</v>
      </c>
      <c r="AD84">
        <f>IF(AND(Table2[[#This Row],[STATES in numeric format]]=0,F83=1,F82=0),1,0)</f>
        <v>0</v>
      </c>
      <c r="AE84">
        <f>IF(AND(Table2[[#This Row],[STATES in numeric format]]=0,F83=-1,F82=0),1,0)</f>
        <v>0</v>
      </c>
      <c r="AF84">
        <f>IF(AND(Table2[[#This Row],[STATES in numeric format]]=0,F83=0,F82=1),1,0)</f>
        <v>0</v>
      </c>
      <c r="AG84">
        <f>IF(AND(Table2[[#This Row],[STATES in numeric format]]=0,F83=0,F82=-1),1,0)</f>
        <v>0</v>
      </c>
    </row>
    <row r="85" spans="1:33" x14ac:dyDescent="0.3">
      <c r="A85" s="1">
        <v>43956</v>
      </c>
      <c r="B85">
        <v>31453.51</v>
      </c>
      <c r="C85">
        <f>Table2[[#This Row],[Close]]-0.001*Table2[[#This Row],[Close]]</f>
        <v>31422.056489999999</v>
      </c>
      <c r="D85">
        <f>Table2[[#This Row],[Close]]+0.001*Table2[[#This Row],[Close]]</f>
        <v>31484.963509999998</v>
      </c>
      <c r="E85" t="str">
        <f>IF(Table2[[#This Row],[Close]]&gt;D84,"up",IF(Table2[[#This Row],[Close]]&lt;C84,"down","constant"))</f>
        <v>down</v>
      </c>
      <c r="F85" s="3">
        <f>IF(Table2[[#This Row],[States]]="up",1,IF(Table2[[#This Row],[States]]="down",-1,0))</f>
        <v>-1</v>
      </c>
      <c r="G85">
        <f>IF(AND(Table2[[#This Row],[STATES in numeric format]]=-1,F84=1,F83=1),1,0)</f>
        <v>0</v>
      </c>
      <c r="H85">
        <f>IF(AND(Table2[[#This Row],[STATES in numeric format]]=-1,F84=-1,F83=-1),1,0)</f>
        <v>0</v>
      </c>
      <c r="I85">
        <f>IF(AND(Table2[[#This Row],[STATES in numeric format]]=-1,F84=-1,F83=1),1,0)</f>
        <v>1</v>
      </c>
      <c r="J85">
        <f>IF(AND(Table2[[#This Row],[STATES in numeric format]]=-1,F84=1,F83=-1),1,0)</f>
        <v>0</v>
      </c>
      <c r="K85">
        <f>IF(AND(Table2[[#This Row],[STATES in numeric format]]=-1,F84=0,F83=0),1,0)</f>
        <v>0</v>
      </c>
      <c r="L85">
        <f>IF(AND(Table2[[#This Row],[STATES in numeric format]]=-1,F84=1,F83=0),1,0)</f>
        <v>0</v>
      </c>
      <c r="M85">
        <f>IF(AND(Table2[[#This Row],[STATES in numeric format]]=-1,F84=-1,F83=0),1,0)</f>
        <v>0</v>
      </c>
      <c r="N85">
        <f>IF(AND(Table2[[#This Row],[STATES in numeric format]]=-1,F84=0,F83=1),1,0)</f>
        <v>0</v>
      </c>
      <c r="O85">
        <f>IF(AND(Table2[[#This Row],[STATES in numeric format]]=-1,F84=0,F83=-1),1,0)</f>
        <v>0</v>
      </c>
      <c r="P85">
        <f>IF(AND(Table2[[#This Row],[STATES in numeric format]]=1,F84=1,F83=1),1,0)</f>
        <v>0</v>
      </c>
      <c r="Q85">
        <f>IF(AND(Table2[[#This Row],[STATES in numeric format]]=1,F84=-1,F83=-1),1,0)</f>
        <v>0</v>
      </c>
      <c r="R85">
        <f>IF(AND(Table2[[#This Row],[STATES in numeric format]]=1,F84=-1,F83=1),1,0)</f>
        <v>0</v>
      </c>
      <c r="S85">
        <f>IF(AND(Table2[[#This Row],[STATES in numeric format]]=1,F84=1,F83=-1),1,0)</f>
        <v>0</v>
      </c>
      <c r="T85">
        <f>IF(AND(Table2[[#This Row],[STATES in numeric format]]=1,F84=0,F83=0),1,0)</f>
        <v>0</v>
      </c>
      <c r="U85">
        <f>IF(AND(Table2[[#This Row],[STATES in numeric format]]=1,F84=1,F83=0),1,0)</f>
        <v>0</v>
      </c>
      <c r="V85">
        <f>IF(AND(Table2[[#This Row],[STATES in numeric format]]=1,F84=-1,F83=0),1,0)</f>
        <v>0</v>
      </c>
      <c r="W85">
        <f>IF(AND(Table2[[#This Row],[STATES in numeric format]]=1,F84=0,F83=1),1,0)</f>
        <v>0</v>
      </c>
      <c r="X85">
        <f>IF(AND(Table2[[#This Row],[STATES in numeric format]]=1,F84=0,F83=-1),1,0)</f>
        <v>0</v>
      </c>
      <c r="Y85">
        <f>IF(AND(Table2[[#This Row],[STATES in numeric format]]=0,F84=1,F83=1),1,0)</f>
        <v>0</v>
      </c>
      <c r="Z85">
        <f>IF(AND(Table2[[#This Row],[STATES in numeric format]]=0,F84=-1,F83=-1),1,0)</f>
        <v>0</v>
      </c>
      <c r="AA85">
        <f>IF(AND(Table2[[#This Row],[STATES in numeric format]]=0,F84=-1,F83=1),1,0)</f>
        <v>0</v>
      </c>
      <c r="AB85">
        <f>IF(AND(Table2[[#This Row],[STATES in numeric format]]=0,F84=1,F83=-1),1,0)</f>
        <v>0</v>
      </c>
      <c r="AC85">
        <f>IF(AND(Table2[[#This Row],[STATES in numeric format]]=0,F84=0,F83=0),1,0)</f>
        <v>0</v>
      </c>
      <c r="AD85">
        <f>IF(AND(Table2[[#This Row],[STATES in numeric format]]=0,F84=1,F83=0),1,0)</f>
        <v>0</v>
      </c>
      <c r="AE85">
        <f>IF(AND(Table2[[#This Row],[STATES in numeric format]]=0,F84=-1,F83=0),1,0)</f>
        <v>0</v>
      </c>
      <c r="AF85">
        <f>IF(AND(Table2[[#This Row],[STATES in numeric format]]=0,F84=0,F83=1),1,0)</f>
        <v>0</v>
      </c>
      <c r="AG85">
        <f>IF(AND(Table2[[#This Row],[STATES in numeric format]]=0,F84=0,F83=-1),1,0)</f>
        <v>0</v>
      </c>
    </row>
    <row r="86" spans="1:33" x14ac:dyDescent="0.3">
      <c r="A86" s="1">
        <v>43957</v>
      </c>
      <c r="B86">
        <v>31685.75</v>
      </c>
      <c r="C86">
        <f>Table2[[#This Row],[Close]]-0.001*Table2[[#This Row],[Close]]</f>
        <v>31654.064249999999</v>
      </c>
      <c r="D86">
        <f>Table2[[#This Row],[Close]]+0.001*Table2[[#This Row],[Close]]</f>
        <v>31717.435750000001</v>
      </c>
      <c r="E86" t="str">
        <f>IF(Table2[[#This Row],[Close]]&gt;D85,"up",IF(Table2[[#This Row],[Close]]&lt;C85,"down","constant"))</f>
        <v>up</v>
      </c>
      <c r="F86" s="3">
        <f>IF(Table2[[#This Row],[States]]="up",1,IF(Table2[[#This Row],[States]]="down",-1,0))</f>
        <v>1</v>
      </c>
      <c r="G86">
        <f>IF(AND(Table2[[#This Row],[STATES in numeric format]]=-1,F85=1,F84=1),1,0)</f>
        <v>0</v>
      </c>
      <c r="H86">
        <f>IF(AND(Table2[[#This Row],[STATES in numeric format]]=-1,F85=-1,F84=-1),1,0)</f>
        <v>0</v>
      </c>
      <c r="I86">
        <f>IF(AND(Table2[[#This Row],[STATES in numeric format]]=-1,F85=-1,F84=1),1,0)</f>
        <v>0</v>
      </c>
      <c r="J86">
        <f>IF(AND(Table2[[#This Row],[STATES in numeric format]]=-1,F85=1,F84=-1),1,0)</f>
        <v>0</v>
      </c>
      <c r="K86">
        <f>IF(AND(Table2[[#This Row],[STATES in numeric format]]=-1,F85=0,F84=0),1,0)</f>
        <v>0</v>
      </c>
      <c r="L86">
        <f>IF(AND(Table2[[#This Row],[STATES in numeric format]]=-1,F85=1,F84=0),1,0)</f>
        <v>0</v>
      </c>
      <c r="M86">
        <f>IF(AND(Table2[[#This Row],[STATES in numeric format]]=-1,F85=-1,F84=0),1,0)</f>
        <v>0</v>
      </c>
      <c r="N86">
        <f>IF(AND(Table2[[#This Row],[STATES in numeric format]]=-1,F85=0,F84=1),1,0)</f>
        <v>0</v>
      </c>
      <c r="O86">
        <f>IF(AND(Table2[[#This Row],[STATES in numeric format]]=-1,F85=0,F84=-1),1,0)</f>
        <v>0</v>
      </c>
      <c r="P86">
        <f>IF(AND(Table2[[#This Row],[STATES in numeric format]]=1,F85=1,F84=1),1,0)</f>
        <v>0</v>
      </c>
      <c r="Q86">
        <f>IF(AND(Table2[[#This Row],[STATES in numeric format]]=1,F85=-1,F84=-1),1,0)</f>
        <v>1</v>
      </c>
      <c r="R86">
        <f>IF(AND(Table2[[#This Row],[STATES in numeric format]]=1,F85=-1,F84=1),1,0)</f>
        <v>0</v>
      </c>
      <c r="S86">
        <f>IF(AND(Table2[[#This Row],[STATES in numeric format]]=1,F85=1,F84=-1),1,0)</f>
        <v>0</v>
      </c>
      <c r="T86">
        <f>IF(AND(Table2[[#This Row],[STATES in numeric format]]=1,F85=0,F84=0),1,0)</f>
        <v>0</v>
      </c>
      <c r="U86">
        <f>IF(AND(Table2[[#This Row],[STATES in numeric format]]=1,F85=1,F84=0),1,0)</f>
        <v>0</v>
      </c>
      <c r="V86">
        <f>IF(AND(Table2[[#This Row],[STATES in numeric format]]=1,F85=-1,F84=0),1,0)</f>
        <v>0</v>
      </c>
      <c r="W86">
        <f>IF(AND(Table2[[#This Row],[STATES in numeric format]]=1,F85=0,F84=1),1,0)</f>
        <v>0</v>
      </c>
      <c r="X86">
        <f>IF(AND(Table2[[#This Row],[STATES in numeric format]]=1,F85=0,F84=-1),1,0)</f>
        <v>0</v>
      </c>
      <c r="Y86">
        <f>IF(AND(Table2[[#This Row],[STATES in numeric format]]=0,F85=1,F84=1),1,0)</f>
        <v>0</v>
      </c>
      <c r="Z86">
        <f>IF(AND(Table2[[#This Row],[STATES in numeric format]]=0,F85=-1,F84=-1),1,0)</f>
        <v>0</v>
      </c>
      <c r="AA86">
        <f>IF(AND(Table2[[#This Row],[STATES in numeric format]]=0,F85=-1,F84=1),1,0)</f>
        <v>0</v>
      </c>
      <c r="AB86">
        <f>IF(AND(Table2[[#This Row],[STATES in numeric format]]=0,F85=1,F84=-1),1,0)</f>
        <v>0</v>
      </c>
      <c r="AC86">
        <f>IF(AND(Table2[[#This Row],[STATES in numeric format]]=0,F85=0,F84=0),1,0)</f>
        <v>0</v>
      </c>
      <c r="AD86">
        <f>IF(AND(Table2[[#This Row],[STATES in numeric format]]=0,F85=1,F84=0),1,0)</f>
        <v>0</v>
      </c>
      <c r="AE86">
        <f>IF(AND(Table2[[#This Row],[STATES in numeric format]]=0,F85=-1,F84=0),1,0)</f>
        <v>0</v>
      </c>
      <c r="AF86">
        <f>IF(AND(Table2[[#This Row],[STATES in numeric format]]=0,F85=0,F84=1),1,0)</f>
        <v>0</v>
      </c>
      <c r="AG86">
        <f>IF(AND(Table2[[#This Row],[STATES in numeric format]]=0,F85=0,F84=-1),1,0)</f>
        <v>0</v>
      </c>
    </row>
    <row r="87" spans="1:33" x14ac:dyDescent="0.3">
      <c r="A87" s="1">
        <v>43958</v>
      </c>
      <c r="B87">
        <v>31443.38</v>
      </c>
      <c r="C87">
        <f>Table2[[#This Row],[Close]]-0.001*Table2[[#This Row],[Close]]</f>
        <v>31411.93662</v>
      </c>
      <c r="D87">
        <f>Table2[[#This Row],[Close]]+0.001*Table2[[#This Row],[Close]]</f>
        <v>31474.823380000002</v>
      </c>
      <c r="E87" t="str">
        <f>IF(Table2[[#This Row],[Close]]&gt;D86,"up",IF(Table2[[#This Row],[Close]]&lt;C86,"down","constant"))</f>
        <v>down</v>
      </c>
      <c r="F87" s="3">
        <f>IF(Table2[[#This Row],[States]]="up",1,IF(Table2[[#This Row],[States]]="down",-1,0))</f>
        <v>-1</v>
      </c>
      <c r="G87">
        <f>IF(AND(Table2[[#This Row],[STATES in numeric format]]=-1,F86=1,F85=1),1,0)</f>
        <v>0</v>
      </c>
      <c r="H87">
        <f>IF(AND(Table2[[#This Row],[STATES in numeric format]]=-1,F86=-1,F85=-1),1,0)</f>
        <v>0</v>
      </c>
      <c r="I87">
        <f>IF(AND(Table2[[#This Row],[STATES in numeric format]]=-1,F86=-1,F85=1),1,0)</f>
        <v>0</v>
      </c>
      <c r="J87">
        <f>IF(AND(Table2[[#This Row],[STATES in numeric format]]=-1,F86=1,F85=-1),1,0)</f>
        <v>1</v>
      </c>
      <c r="K87">
        <f>IF(AND(Table2[[#This Row],[STATES in numeric format]]=-1,F86=0,F85=0),1,0)</f>
        <v>0</v>
      </c>
      <c r="L87">
        <f>IF(AND(Table2[[#This Row],[STATES in numeric format]]=-1,F86=1,F85=0),1,0)</f>
        <v>0</v>
      </c>
      <c r="M87">
        <f>IF(AND(Table2[[#This Row],[STATES in numeric format]]=-1,F86=-1,F85=0),1,0)</f>
        <v>0</v>
      </c>
      <c r="N87">
        <f>IF(AND(Table2[[#This Row],[STATES in numeric format]]=-1,F86=0,F85=1),1,0)</f>
        <v>0</v>
      </c>
      <c r="O87">
        <f>IF(AND(Table2[[#This Row],[STATES in numeric format]]=-1,F86=0,F85=-1),1,0)</f>
        <v>0</v>
      </c>
      <c r="P87">
        <f>IF(AND(Table2[[#This Row],[STATES in numeric format]]=1,F86=1,F85=1),1,0)</f>
        <v>0</v>
      </c>
      <c r="Q87">
        <f>IF(AND(Table2[[#This Row],[STATES in numeric format]]=1,F86=-1,F85=-1),1,0)</f>
        <v>0</v>
      </c>
      <c r="R87">
        <f>IF(AND(Table2[[#This Row],[STATES in numeric format]]=1,F86=-1,F85=1),1,0)</f>
        <v>0</v>
      </c>
      <c r="S87">
        <f>IF(AND(Table2[[#This Row],[STATES in numeric format]]=1,F86=1,F85=-1),1,0)</f>
        <v>0</v>
      </c>
      <c r="T87">
        <f>IF(AND(Table2[[#This Row],[STATES in numeric format]]=1,F86=0,F85=0),1,0)</f>
        <v>0</v>
      </c>
      <c r="U87">
        <f>IF(AND(Table2[[#This Row],[STATES in numeric format]]=1,F86=1,F85=0),1,0)</f>
        <v>0</v>
      </c>
      <c r="V87">
        <f>IF(AND(Table2[[#This Row],[STATES in numeric format]]=1,F86=-1,F85=0),1,0)</f>
        <v>0</v>
      </c>
      <c r="W87">
        <f>IF(AND(Table2[[#This Row],[STATES in numeric format]]=1,F86=0,F85=1),1,0)</f>
        <v>0</v>
      </c>
      <c r="X87">
        <f>IF(AND(Table2[[#This Row],[STATES in numeric format]]=1,F86=0,F85=-1),1,0)</f>
        <v>0</v>
      </c>
      <c r="Y87">
        <f>IF(AND(Table2[[#This Row],[STATES in numeric format]]=0,F86=1,F85=1),1,0)</f>
        <v>0</v>
      </c>
      <c r="Z87">
        <f>IF(AND(Table2[[#This Row],[STATES in numeric format]]=0,F86=-1,F85=-1),1,0)</f>
        <v>0</v>
      </c>
      <c r="AA87">
        <f>IF(AND(Table2[[#This Row],[STATES in numeric format]]=0,F86=-1,F85=1),1,0)</f>
        <v>0</v>
      </c>
      <c r="AB87">
        <f>IF(AND(Table2[[#This Row],[STATES in numeric format]]=0,F86=1,F85=-1),1,0)</f>
        <v>0</v>
      </c>
      <c r="AC87">
        <f>IF(AND(Table2[[#This Row],[STATES in numeric format]]=0,F86=0,F85=0),1,0)</f>
        <v>0</v>
      </c>
      <c r="AD87">
        <f>IF(AND(Table2[[#This Row],[STATES in numeric format]]=0,F86=1,F85=0),1,0)</f>
        <v>0</v>
      </c>
      <c r="AE87">
        <f>IF(AND(Table2[[#This Row],[STATES in numeric format]]=0,F86=-1,F85=0),1,0)</f>
        <v>0</v>
      </c>
      <c r="AF87">
        <f>IF(AND(Table2[[#This Row],[STATES in numeric format]]=0,F86=0,F85=1),1,0)</f>
        <v>0</v>
      </c>
      <c r="AG87">
        <f>IF(AND(Table2[[#This Row],[STATES in numeric format]]=0,F86=0,F85=-1),1,0)</f>
        <v>0</v>
      </c>
    </row>
    <row r="88" spans="1:33" x14ac:dyDescent="0.3">
      <c r="A88" s="1">
        <v>43959</v>
      </c>
      <c r="B88">
        <v>31642.7</v>
      </c>
      <c r="C88">
        <f>Table2[[#This Row],[Close]]-0.001*Table2[[#This Row],[Close]]</f>
        <v>31611.0573</v>
      </c>
      <c r="D88">
        <f>Table2[[#This Row],[Close]]+0.001*Table2[[#This Row],[Close]]</f>
        <v>31674.342700000001</v>
      </c>
      <c r="E88" t="str">
        <f>IF(Table2[[#This Row],[Close]]&gt;D87,"up",IF(Table2[[#This Row],[Close]]&lt;C87,"down","constant"))</f>
        <v>up</v>
      </c>
      <c r="F88" s="3">
        <f>IF(Table2[[#This Row],[States]]="up",1,IF(Table2[[#This Row],[States]]="down",-1,0))</f>
        <v>1</v>
      </c>
      <c r="G88">
        <f>IF(AND(Table2[[#This Row],[STATES in numeric format]]=-1,F87=1,F86=1),1,0)</f>
        <v>0</v>
      </c>
      <c r="H88">
        <f>IF(AND(Table2[[#This Row],[STATES in numeric format]]=-1,F87=-1,F86=-1),1,0)</f>
        <v>0</v>
      </c>
      <c r="I88">
        <f>IF(AND(Table2[[#This Row],[STATES in numeric format]]=-1,F87=-1,F86=1),1,0)</f>
        <v>0</v>
      </c>
      <c r="J88">
        <f>IF(AND(Table2[[#This Row],[STATES in numeric format]]=-1,F87=1,F86=-1),1,0)</f>
        <v>0</v>
      </c>
      <c r="K88">
        <f>IF(AND(Table2[[#This Row],[STATES in numeric format]]=-1,F87=0,F86=0),1,0)</f>
        <v>0</v>
      </c>
      <c r="L88">
        <f>IF(AND(Table2[[#This Row],[STATES in numeric format]]=-1,F87=1,F86=0),1,0)</f>
        <v>0</v>
      </c>
      <c r="M88">
        <f>IF(AND(Table2[[#This Row],[STATES in numeric format]]=-1,F87=-1,F86=0),1,0)</f>
        <v>0</v>
      </c>
      <c r="N88">
        <f>IF(AND(Table2[[#This Row],[STATES in numeric format]]=-1,F87=0,F86=1),1,0)</f>
        <v>0</v>
      </c>
      <c r="O88">
        <f>IF(AND(Table2[[#This Row],[STATES in numeric format]]=-1,F87=0,F86=-1),1,0)</f>
        <v>0</v>
      </c>
      <c r="P88">
        <f>IF(AND(Table2[[#This Row],[STATES in numeric format]]=1,F87=1,F86=1),1,0)</f>
        <v>0</v>
      </c>
      <c r="Q88">
        <f>IF(AND(Table2[[#This Row],[STATES in numeric format]]=1,F87=-1,F86=-1),1,0)</f>
        <v>0</v>
      </c>
      <c r="R88">
        <f>IF(AND(Table2[[#This Row],[STATES in numeric format]]=1,F87=-1,F86=1),1,0)</f>
        <v>1</v>
      </c>
      <c r="S88">
        <f>IF(AND(Table2[[#This Row],[STATES in numeric format]]=1,F87=1,F86=-1),1,0)</f>
        <v>0</v>
      </c>
      <c r="T88">
        <f>IF(AND(Table2[[#This Row],[STATES in numeric format]]=1,F87=0,F86=0),1,0)</f>
        <v>0</v>
      </c>
      <c r="U88">
        <f>IF(AND(Table2[[#This Row],[STATES in numeric format]]=1,F87=1,F86=0),1,0)</f>
        <v>0</v>
      </c>
      <c r="V88">
        <f>IF(AND(Table2[[#This Row],[STATES in numeric format]]=1,F87=-1,F86=0),1,0)</f>
        <v>0</v>
      </c>
      <c r="W88">
        <f>IF(AND(Table2[[#This Row],[STATES in numeric format]]=1,F87=0,F86=1),1,0)</f>
        <v>0</v>
      </c>
      <c r="X88">
        <f>IF(AND(Table2[[#This Row],[STATES in numeric format]]=1,F87=0,F86=-1),1,0)</f>
        <v>0</v>
      </c>
      <c r="Y88">
        <f>IF(AND(Table2[[#This Row],[STATES in numeric format]]=0,F87=1,F86=1),1,0)</f>
        <v>0</v>
      </c>
      <c r="Z88">
        <f>IF(AND(Table2[[#This Row],[STATES in numeric format]]=0,F87=-1,F86=-1),1,0)</f>
        <v>0</v>
      </c>
      <c r="AA88">
        <f>IF(AND(Table2[[#This Row],[STATES in numeric format]]=0,F87=-1,F86=1),1,0)</f>
        <v>0</v>
      </c>
      <c r="AB88">
        <f>IF(AND(Table2[[#This Row],[STATES in numeric format]]=0,F87=1,F86=-1),1,0)</f>
        <v>0</v>
      </c>
      <c r="AC88">
        <f>IF(AND(Table2[[#This Row],[STATES in numeric format]]=0,F87=0,F86=0),1,0)</f>
        <v>0</v>
      </c>
      <c r="AD88">
        <f>IF(AND(Table2[[#This Row],[STATES in numeric format]]=0,F87=1,F86=0),1,0)</f>
        <v>0</v>
      </c>
      <c r="AE88">
        <f>IF(AND(Table2[[#This Row],[STATES in numeric format]]=0,F87=-1,F86=0),1,0)</f>
        <v>0</v>
      </c>
      <c r="AF88">
        <f>IF(AND(Table2[[#This Row],[STATES in numeric format]]=0,F87=0,F86=1),1,0)</f>
        <v>0</v>
      </c>
      <c r="AG88">
        <f>IF(AND(Table2[[#This Row],[STATES in numeric format]]=0,F87=0,F86=-1),1,0)</f>
        <v>0</v>
      </c>
    </row>
    <row r="89" spans="1:33" x14ac:dyDescent="0.3">
      <c r="A89" s="1">
        <v>43962</v>
      </c>
      <c r="B89">
        <v>31561.22</v>
      </c>
      <c r="C89">
        <f>Table2[[#This Row],[Close]]-0.001*Table2[[#This Row],[Close]]</f>
        <v>31529.658780000002</v>
      </c>
      <c r="D89">
        <f>Table2[[#This Row],[Close]]+0.001*Table2[[#This Row],[Close]]</f>
        <v>31592.781220000001</v>
      </c>
      <c r="E89" t="str">
        <f>IF(Table2[[#This Row],[Close]]&gt;D88,"up",IF(Table2[[#This Row],[Close]]&lt;C88,"down","constant"))</f>
        <v>down</v>
      </c>
      <c r="F89" s="3">
        <f>IF(Table2[[#This Row],[States]]="up",1,IF(Table2[[#This Row],[States]]="down",-1,0))</f>
        <v>-1</v>
      </c>
      <c r="G89">
        <f>IF(AND(Table2[[#This Row],[STATES in numeric format]]=-1,F88=1,F87=1),1,0)</f>
        <v>0</v>
      </c>
      <c r="H89">
        <f>IF(AND(Table2[[#This Row],[STATES in numeric format]]=-1,F88=-1,F87=-1),1,0)</f>
        <v>0</v>
      </c>
      <c r="I89">
        <f>IF(AND(Table2[[#This Row],[STATES in numeric format]]=-1,F88=-1,F87=1),1,0)</f>
        <v>0</v>
      </c>
      <c r="J89">
        <f>IF(AND(Table2[[#This Row],[STATES in numeric format]]=-1,F88=1,F87=-1),1,0)</f>
        <v>1</v>
      </c>
      <c r="K89">
        <f>IF(AND(Table2[[#This Row],[STATES in numeric format]]=-1,F88=0,F87=0),1,0)</f>
        <v>0</v>
      </c>
      <c r="L89">
        <f>IF(AND(Table2[[#This Row],[STATES in numeric format]]=-1,F88=1,F87=0),1,0)</f>
        <v>0</v>
      </c>
      <c r="M89">
        <f>IF(AND(Table2[[#This Row],[STATES in numeric format]]=-1,F88=-1,F87=0),1,0)</f>
        <v>0</v>
      </c>
      <c r="N89">
        <f>IF(AND(Table2[[#This Row],[STATES in numeric format]]=-1,F88=0,F87=1),1,0)</f>
        <v>0</v>
      </c>
      <c r="O89">
        <f>IF(AND(Table2[[#This Row],[STATES in numeric format]]=-1,F88=0,F87=-1),1,0)</f>
        <v>0</v>
      </c>
      <c r="P89">
        <f>IF(AND(Table2[[#This Row],[STATES in numeric format]]=1,F88=1,F87=1),1,0)</f>
        <v>0</v>
      </c>
      <c r="Q89">
        <f>IF(AND(Table2[[#This Row],[STATES in numeric format]]=1,F88=-1,F87=-1),1,0)</f>
        <v>0</v>
      </c>
      <c r="R89">
        <f>IF(AND(Table2[[#This Row],[STATES in numeric format]]=1,F88=-1,F87=1),1,0)</f>
        <v>0</v>
      </c>
      <c r="S89">
        <f>IF(AND(Table2[[#This Row],[STATES in numeric format]]=1,F88=1,F87=-1),1,0)</f>
        <v>0</v>
      </c>
      <c r="T89">
        <f>IF(AND(Table2[[#This Row],[STATES in numeric format]]=1,F88=0,F87=0),1,0)</f>
        <v>0</v>
      </c>
      <c r="U89">
        <f>IF(AND(Table2[[#This Row],[STATES in numeric format]]=1,F88=1,F87=0),1,0)</f>
        <v>0</v>
      </c>
      <c r="V89">
        <f>IF(AND(Table2[[#This Row],[STATES in numeric format]]=1,F88=-1,F87=0),1,0)</f>
        <v>0</v>
      </c>
      <c r="W89">
        <f>IF(AND(Table2[[#This Row],[STATES in numeric format]]=1,F88=0,F87=1),1,0)</f>
        <v>0</v>
      </c>
      <c r="X89">
        <f>IF(AND(Table2[[#This Row],[STATES in numeric format]]=1,F88=0,F87=-1),1,0)</f>
        <v>0</v>
      </c>
      <c r="Y89">
        <f>IF(AND(Table2[[#This Row],[STATES in numeric format]]=0,F88=1,F87=1),1,0)</f>
        <v>0</v>
      </c>
      <c r="Z89">
        <f>IF(AND(Table2[[#This Row],[STATES in numeric format]]=0,F88=-1,F87=-1),1,0)</f>
        <v>0</v>
      </c>
      <c r="AA89">
        <f>IF(AND(Table2[[#This Row],[STATES in numeric format]]=0,F88=-1,F87=1),1,0)</f>
        <v>0</v>
      </c>
      <c r="AB89">
        <f>IF(AND(Table2[[#This Row],[STATES in numeric format]]=0,F88=1,F87=-1),1,0)</f>
        <v>0</v>
      </c>
      <c r="AC89">
        <f>IF(AND(Table2[[#This Row],[STATES in numeric format]]=0,F88=0,F87=0),1,0)</f>
        <v>0</v>
      </c>
      <c r="AD89">
        <f>IF(AND(Table2[[#This Row],[STATES in numeric format]]=0,F88=1,F87=0),1,0)</f>
        <v>0</v>
      </c>
      <c r="AE89">
        <f>IF(AND(Table2[[#This Row],[STATES in numeric format]]=0,F88=-1,F87=0),1,0)</f>
        <v>0</v>
      </c>
      <c r="AF89">
        <f>IF(AND(Table2[[#This Row],[STATES in numeric format]]=0,F88=0,F87=1),1,0)</f>
        <v>0</v>
      </c>
      <c r="AG89">
        <f>IF(AND(Table2[[#This Row],[STATES in numeric format]]=0,F88=0,F87=-1),1,0)</f>
        <v>0</v>
      </c>
    </row>
    <row r="90" spans="1:33" x14ac:dyDescent="0.3">
      <c r="A90" s="1">
        <v>43963</v>
      </c>
      <c r="B90">
        <v>31371.119999999999</v>
      </c>
      <c r="C90">
        <f>Table2[[#This Row],[Close]]-0.001*Table2[[#This Row],[Close]]</f>
        <v>31339.748879999999</v>
      </c>
      <c r="D90">
        <f>Table2[[#This Row],[Close]]+0.001*Table2[[#This Row],[Close]]</f>
        <v>31402.491119999999</v>
      </c>
      <c r="E90" t="str">
        <f>IF(Table2[[#This Row],[Close]]&gt;D89,"up",IF(Table2[[#This Row],[Close]]&lt;C89,"down","constant"))</f>
        <v>down</v>
      </c>
      <c r="F90" s="3">
        <f>IF(Table2[[#This Row],[States]]="up",1,IF(Table2[[#This Row],[States]]="down",-1,0))</f>
        <v>-1</v>
      </c>
      <c r="G90">
        <f>IF(AND(Table2[[#This Row],[STATES in numeric format]]=-1,F89=1,F88=1),1,0)</f>
        <v>0</v>
      </c>
      <c r="H90">
        <f>IF(AND(Table2[[#This Row],[STATES in numeric format]]=-1,F89=-1,F88=-1),1,0)</f>
        <v>0</v>
      </c>
      <c r="I90">
        <f>IF(AND(Table2[[#This Row],[STATES in numeric format]]=-1,F89=-1,F88=1),1,0)</f>
        <v>1</v>
      </c>
      <c r="J90">
        <f>IF(AND(Table2[[#This Row],[STATES in numeric format]]=-1,F89=1,F88=-1),1,0)</f>
        <v>0</v>
      </c>
      <c r="K90">
        <f>IF(AND(Table2[[#This Row],[STATES in numeric format]]=-1,F89=0,F88=0),1,0)</f>
        <v>0</v>
      </c>
      <c r="L90">
        <f>IF(AND(Table2[[#This Row],[STATES in numeric format]]=-1,F89=1,F88=0),1,0)</f>
        <v>0</v>
      </c>
      <c r="M90">
        <f>IF(AND(Table2[[#This Row],[STATES in numeric format]]=-1,F89=-1,F88=0),1,0)</f>
        <v>0</v>
      </c>
      <c r="N90">
        <f>IF(AND(Table2[[#This Row],[STATES in numeric format]]=-1,F89=0,F88=1),1,0)</f>
        <v>0</v>
      </c>
      <c r="O90">
        <f>IF(AND(Table2[[#This Row],[STATES in numeric format]]=-1,F89=0,F88=-1),1,0)</f>
        <v>0</v>
      </c>
      <c r="P90">
        <f>IF(AND(Table2[[#This Row],[STATES in numeric format]]=1,F89=1,F88=1),1,0)</f>
        <v>0</v>
      </c>
      <c r="Q90">
        <f>IF(AND(Table2[[#This Row],[STATES in numeric format]]=1,F89=-1,F88=-1),1,0)</f>
        <v>0</v>
      </c>
      <c r="R90">
        <f>IF(AND(Table2[[#This Row],[STATES in numeric format]]=1,F89=-1,F88=1),1,0)</f>
        <v>0</v>
      </c>
      <c r="S90">
        <f>IF(AND(Table2[[#This Row],[STATES in numeric format]]=1,F89=1,F88=-1),1,0)</f>
        <v>0</v>
      </c>
      <c r="T90">
        <f>IF(AND(Table2[[#This Row],[STATES in numeric format]]=1,F89=0,F88=0),1,0)</f>
        <v>0</v>
      </c>
      <c r="U90">
        <f>IF(AND(Table2[[#This Row],[STATES in numeric format]]=1,F89=1,F88=0),1,0)</f>
        <v>0</v>
      </c>
      <c r="V90">
        <f>IF(AND(Table2[[#This Row],[STATES in numeric format]]=1,F89=-1,F88=0),1,0)</f>
        <v>0</v>
      </c>
      <c r="W90">
        <f>IF(AND(Table2[[#This Row],[STATES in numeric format]]=1,F89=0,F88=1),1,0)</f>
        <v>0</v>
      </c>
      <c r="X90">
        <f>IF(AND(Table2[[#This Row],[STATES in numeric format]]=1,F89=0,F88=-1),1,0)</f>
        <v>0</v>
      </c>
      <c r="Y90">
        <f>IF(AND(Table2[[#This Row],[STATES in numeric format]]=0,F89=1,F88=1),1,0)</f>
        <v>0</v>
      </c>
      <c r="Z90">
        <f>IF(AND(Table2[[#This Row],[STATES in numeric format]]=0,F89=-1,F88=-1),1,0)</f>
        <v>0</v>
      </c>
      <c r="AA90">
        <f>IF(AND(Table2[[#This Row],[STATES in numeric format]]=0,F89=-1,F88=1),1,0)</f>
        <v>0</v>
      </c>
      <c r="AB90">
        <f>IF(AND(Table2[[#This Row],[STATES in numeric format]]=0,F89=1,F88=-1),1,0)</f>
        <v>0</v>
      </c>
      <c r="AC90">
        <f>IF(AND(Table2[[#This Row],[STATES in numeric format]]=0,F89=0,F88=0),1,0)</f>
        <v>0</v>
      </c>
      <c r="AD90">
        <f>IF(AND(Table2[[#This Row],[STATES in numeric format]]=0,F89=1,F88=0),1,0)</f>
        <v>0</v>
      </c>
      <c r="AE90">
        <f>IF(AND(Table2[[#This Row],[STATES in numeric format]]=0,F89=-1,F88=0),1,0)</f>
        <v>0</v>
      </c>
      <c r="AF90">
        <f>IF(AND(Table2[[#This Row],[STATES in numeric format]]=0,F89=0,F88=1),1,0)</f>
        <v>0</v>
      </c>
      <c r="AG90">
        <f>IF(AND(Table2[[#This Row],[STATES in numeric format]]=0,F89=0,F88=-1),1,0)</f>
        <v>0</v>
      </c>
    </row>
    <row r="91" spans="1:33" x14ac:dyDescent="0.3">
      <c r="A91" s="1">
        <v>43964</v>
      </c>
      <c r="B91">
        <v>32008.61</v>
      </c>
      <c r="C91">
        <f>Table2[[#This Row],[Close]]-0.001*Table2[[#This Row],[Close]]</f>
        <v>31976.60139</v>
      </c>
      <c r="D91">
        <f>Table2[[#This Row],[Close]]+0.001*Table2[[#This Row],[Close]]</f>
        <v>32040.618610000001</v>
      </c>
      <c r="E91" t="str">
        <f>IF(Table2[[#This Row],[Close]]&gt;D90,"up",IF(Table2[[#This Row],[Close]]&lt;C90,"down","constant"))</f>
        <v>up</v>
      </c>
      <c r="F91" s="3">
        <f>IF(Table2[[#This Row],[States]]="up",1,IF(Table2[[#This Row],[States]]="down",-1,0))</f>
        <v>1</v>
      </c>
      <c r="G91">
        <f>IF(AND(Table2[[#This Row],[STATES in numeric format]]=-1,F90=1,F89=1),1,0)</f>
        <v>0</v>
      </c>
      <c r="H91">
        <f>IF(AND(Table2[[#This Row],[STATES in numeric format]]=-1,F90=-1,F89=-1),1,0)</f>
        <v>0</v>
      </c>
      <c r="I91">
        <f>IF(AND(Table2[[#This Row],[STATES in numeric format]]=-1,F90=-1,F89=1),1,0)</f>
        <v>0</v>
      </c>
      <c r="J91">
        <f>IF(AND(Table2[[#This Row],[STATES in numeric format]]=-1,F90=1,F89=-1),1,0)</f>
        <v>0</v>
      </c>
      <c r="K91">
        <f>IF(AND(Table2[[#This Row],[STATES in numeric format]]=-1,F90=0,F89=0),1,0)</f>
        <v>0</v>
      </c>
      <c r="L91">
        <f>IF(AND(Table2[[#This Row],[STATES in numeric format]]=-1,F90=1,F89=0),1,0)</f>
        <v>0</v>
      </c>
      <c r="M91">
        <f>IF(AND(Table2[[#This Row],[STATES in numeric format]]=-1,F90=-1,F89=0),1,0)</f>
        <v>0</v>
      </c>
      <c r="N91">
        <f>IF(AND(Table2[[#This Row],[STATES in numeric format]]=-1,F90=0,F89=1),1,0)</f>
        <v>0</v>
      </c>
      <c r="O91">
        <f>IF(AND(Table2[[#This Row],[STATES in numeric format]]=-1,F90=0,F89=-1),1,0)</f>
        <v>0</v>
      </c>
      <c r="P91">
        <f>IF(AND(Table2[[#This Row],[STATES in numeric format]]=1,F90=1,F89=1),1,0)</f>
        <v>0</v>
      </c>
      <c r="Q91">
        <f>IF(AND(Table2[[#This Row],[STATES in numeric format]]=1,F90=-1,F89=-1),1,0)</f>
        <v>1</v>
      </c>
      <c r="R91">
        <f>IF(AND(Table2[[#This Row],[STATES in numeric format]]=1,F90=-1,F89=1),1,0)</f>
        <v>0</v>
      </c>
      <c r="S91">
        <f>IF(AND(Table2[[#This Row],[STATES in numeric format]]=1,F90=1,F89=-1),1,0)</f>
        <v>0</v>
      </c>
      <c r="T91">
        <f>IF(AND(Table2[[#This Row],[STATES in numeric format]]=1,F90=0,F89=0),1,0)</f>
        <v>0</v>
      </c>
      <c r="U91">
        <f>IF(AND(Table2[[#This Row],[STATES in numeric format]]=1,F90=1,F89=0),1,0)</f>
        <v>0</v>
      </c>
      <c r="V91">
        <f>IF(AND(Table2[[#This Row],[STATES in numeric format]]=1,F90=-1,F89=0),1,0)</f>
        <v>0</v>
      </c>
      <c r="W91">
        <f>IF(AND(Table2[[#This Row],[STATES in numeric format]]=1,F90=0,F89=1),1,0)</f>
        <v>0</v>
      </c>
      <c r="X91">
        <f>IF(AND(Table2[[#This Row],[STATES in numeric format]]=1,F90=0,F89=-1),1,0)</f>
        <v>0</v>
      </c>
      <c r="Y91">
        <f>IF(AND(Table2[[#This Row],[STATES in numeric format]]=0,F90=1,F89=1),1,0)</f>
        <v>0</v>
      </c>
      <c r="Z91">
        <f>IF(AND(Table2[[#This Row],[STATES in numeric format]]=0,F90=-1,F89=-1),1,0)</f>
        <v>0</v>
      </c>
      <c r="AA91">
        <f>IF(AND(Table2[[#This Row],[STATES in numeric format]]=0,F90=-1,F89=1),1,0)</f>
        <v>0</v>
      </c>
      <c r="AB91">
        <f>IF(AND(Table2[[#This Row],[STATES in numeric format]]=0,F90=1,F89=-1),1,0)</f>
        <v>0</v>
      </c>
      <c r="AC91">
        <f>IF(AND(Table2[[#This Row],[STATES in numeric format]]=0,F90=0,F89=0),1,0)</f>
        <v>0</v>
      </c>
      <c r="AD91">
        <f>IF(AND(Table2[[#This Row],[STATES in numeric format]]=0,F90=1,F89=0),1,0)</f>
        <v>0</v>
      </c>
      <c r="AE91">
        <f>IF(AND(Table2[[#This Row],[STATES in numeric format]]=0,F90=-1,F89=0),1,0)</f>
        <v>0</v>
      </c>
      <c r="AF91">
        <f>IF(AND(Table2[[#This Row],[STATES in numeric format]]=0,F90=0,F89=1),1,0)</f>
        <v>0</v>
      </c>
      <c r="AG91">
        <f>IF(AND(Table2[[#This Row],[STATES in numeric format]]=0,F90=0,F89=-1),1,0)</f>
        <v>0</v>
      </c>
    </row>
    <row r="92" spans="1:33" x14ac:dyDescent="0.3">
      <c r="A92" s="1">
        <v>43965</v>
      </c>
      <c r="B92">
        <v>31122.89</v>
      </c>
      <c r="C92">
        <f>Table2[[#This Row],[Close]]-0.001*Table2[[#This Row],[Close]]</f>
        <v>31091.767110000001</v>
      </c>
      <c r="D92">
        <f>Table2[[#This Row],[Close]]+0.001*Table2[[#This Row],[Close]]</f>
        <v>31154.012889999998</v>
      </c>
      <c r="E92" t="str">
        <f>IF(Table2[[#This Row],[Close]]&gt;D91,"up",IF(Table2[[#This Row],[Close]]&lt;C91,"down","constant"))</f>
        <v>down</v>
      </c>
      <c r="F92" s="3">
        <f>IF(Table2[[#This Row],[States]]="up",1,IF(Table2[[#This Row],[States]]="down",-1,0))</f>
        <v>-1</v>
      </c>
      <c r="G92">
        <f>IF(AND(Table2[[#This Row],[STATES in numeric format]]=-1,F91=1,F90=1),1,0)</f>
        <v>0</v>
      </c>
      <c r="H92">
        <f>IF(AND(Table2[[#This Row],[STATES in numeric format]]=-1,F91=-1,F90=-1),1,0)</f>
        <v>0</v>
      </c>
      <c r="I92">
        <f>IF(AND(Table2[[#This Row],[STATES in numeric format]]=-1,F91=-1,F90=1),1,0)</f>
        <v>0</v>
      </c>
      <c r="J92">
        <f>IF(AND(Table2[[#This Row],[STATES in numeric format]]=-1,F91=1,F90=-1),1,0)</f>
        <v>1</v>
      </c>
      <c r="K92">
        <f>IF(AND(Table2[[#This Row],[STATES in numeric format]]=-1,F91=0,F90=0),1,0)</f>
        <v>0</v>
      </c>
      <c r="L92">
        <f>IF(AND(Table2[[#This Row],[STATES in numeric format]]=-1,F91=1,F90=0),1,0)</f>
        <v>0</v>
      </c>
      <c r="M92">
        <f>IF(AND(Table2[[#This Row],[STATES in numeric format]]=-1,F91=-1,F90=0),1,0)</f>
        <v>0</v>
      </c>
      <c r="N92">
        <f>IF(AND(Table2[[#This Row],[STATES in numeric format]]=-1,F91=0,F90=1),1,0)</f>
        <v>0</v>
      </c>
      <c r="O92">
        <f>IF(AND(Table2[[#This Row],[STATES in numeric format]]=-1,F91=0,F90=-1),1,0)</f>
        <v>0</v>
      </c>
      <c r="P92">
        <f>IF(AND(Table2[[#This Row],[STATES in numeric format]]=1,F91=1,F90=1),1,0)</f>
        <v>0</v>
      </c>
      <c r="Q92">
        <f>IF(AND(Table2[[#This Row],[STATES in numeric format]]=1,F91=-1,F90=-1),1,0)</f>
        <v>0</v>
      </c>
      <c r="R92">
        <f>IF(AND(Table2[[#This Row],[STATES in numeric format]]=1,F91=-1,F90=1),1,0)</f>
        <v>0</v>
      </c>
      <c r="S92">
        <f>IF(AND(Table2[[#This Row],[STATES in numeric format]]=1,F91=1,F90=-1),1,0)</f>
        <v>0</v>
      </c>
      <c r="T92">
        <f>IF(AND(Table2[[#This Row],[STATES in numeric format]]=1,F91=0,F90=0),1,0)</f>
        <v>0</v>
      </c>
      <c r="U92">
        <f>IF(AND(Table2[[#This Row],[STATES in numeric format]]=1,F91=1,F90=0),1,0)</f>
        <v>0</v>
      </c>
      <c r="V92">
        <f>IF(AND(Table2[[#This Row],[STATES in numeric format]]=1,F91=-1,F90=0),1,0)</f>
        <v>0</v>
      </c>
      <c r="W92">
        <f>IF(AND(Table2[[#This Row],[STATES in numeric format]]=1,F91=0,F90=1),1,0)</f>
        <v>0</v>
      </c>
      <c r="X92">
        <f>IF(AND(Table2[[#This Row],[STATES in numeric format]]=1,F91=0,F90=-1),1,0)</f>
        <v>0</v>
      </c>
      <c r="Y92">
        <f>IF(AND(Table2[[#This Row],[STATES in numeric format]]=0,F91=1,F90=1),1,0)</f>
        <v>0</v>
      </c>
      <c r="Z92">
        <f>IF(AND(Table2[[#This Row],[STATES in numeric format]]=0,F91=-1,F90=-1),1,0)</f>
        <v>0</v>
      </c>
      <c r="AA92">
        <f>IF(AND(Table2[[#This Row],[STATES in numeric format]]=0,F91=-1,F90=1),1,0)</f>
        <v>0</v>
      </c>
      <c r="AB92">
        <f>IF(AND(Table2[[#This Row],[STATES in numeric format]]=0,F91=1,F90=-1),1,0)</f>
        <v>0</v>
      </c>
      <c r="AC92">
        <f>IF(AND(Table2[[#This Row],[STATES in numeric format]]=0,F91=0,F90=0),1,0)</f>
        <v>0</v>
      </c>
      <c r="AD92">
        <f>IF(AND(Table2[[#This Row],[STATES in numeric format]]=0,F91=1,F90=0),1,0)</f>
        <v>0</v>
      </c>
      <c r="AE92">
        <f>IF(AND(Table2[[#This Row],[STATES in numeric format]]=0,F91=-1,F90=0),1,0)</f>
        <v>0</v>
      </c>
      <c r="AF92">
        <f>IF(AND(Table2[[#This Row],[STATES in numeric format]]=0,F91=0,F90=1),1,0)</f>
        <v>0</v>
      </c>
      <c r="AG92">
        <f>IF(AND(Table2[[#This Row],[STATES in numeric format]]=0,F91=0,F90=-1),1,0)</f>
        <v>0</v>
      </c>
    </row>
    <row r="93" spans="1:33" x14ac:dyDescent="0.3">
      <c r="A93" s="1">
        <v>43966</v>
      </c>
      <c r="B93">
        <v>31097.73</v>
      </c>
      <c r="C93">
        <f>Table2[[#This Row],[Close]]-0.001*Table2[[#This Row],[Close]]</f>
        <v>31066.632269999998</v>
      </c>
      <c r="D93">
        <f>Table2[[#This Row],[Close]]+0.001*Table2[[#This Row],[Close]]</f>
        <v>31128.827730000001</v>
      </c>
      <c r="E93" t="str">
        <f>IF(Table2[[#This Row],[Close]]&gt;D92,"up",IF(Table2[[#This Row],[Close]]&lt;C92,"down","constant"))</f>
        <v>constant</v>
      </c>
      <c r="F93" s="3">
        <f>IF(Table2[[#This Row],[States]]="up",1,IF(Table2[[#This Row],[States]]="down",-1,0))</f>
        <v>0</v>
      </c>
      <c r="G93">
        <f>IF(AND(Table2[[#This Row],[STATES in numeric format]]=-1,F92=1,F91=1),1,0)</f>
        <v>0</v>
      </c>
      <c r="H93">
        <f>IF(AND(Table2[[#This Row],[STATES in numeric format]]=-1,F92=-1,F91=-1),1,0)</f>
        <v>0</v>
      </c>
      <c r="I93">
        <f>IF(AND(Table2[[#This Row],[STATES in numeric format]]=-1,F92=-1,F91=1),1,0)</f>
        <v>0</v>
      </c>
      <c r="J93">
        <f>IF(AND(Table2[[#This Row],[STATES in numeric format]]=-1,F92=1,F91=-1),1,0)</f>
        <v>0</v>
      </c>
      <c r="K93">
        <f>IF(AND(Table2[[#This Row],[STATES in numeric format]]=-1,F92=0,F91=0),1,0)</f>
        <v>0</v>
      </c>
      <c r="L93">
        <f>IF(AND(Table2[[#This Row],[STATES in numeric format]]=-1,F92=1,F91=0),1,0)</f>
        <v>0</v>
      </c>
      <c r="M93">
        <f>IF(AND(Table2[[#This Row],[STATES in numeric format]]=-1,F92=-1,F91=0),1,0)</f>
        <v>0</v>
      </c>
      <c r="N93">
        <f>IF(AND(Table2[[#This Row],[STATES in numeric format]]=-1,F92=0,F91=1),1,0)</f>
        <v>0</v>
      </c>
      <c r="O93">
        <f>IF(AND(Table2[[#This Row],[STATES in numeric format]]=-1,F92=0,F91=-1),1,0)</f>
        <v>0</v>
      </c>
      <c r="P93">
        <f>IF(AND(Table2[[#This Row],[STATES in numeric format]]=1,F92=1,F91=1),1,0)</f>
        <v>0</v>
      </c>
      <c r="Q93">
        <f>IF(AND(Table2[[#This Row],[STATES in numeric format]]=1,F92=-1,F91=-1),1,0)</f>
        <v>0</v>
      </c>
      <c r="R93">
        <f>IF(AND(Table2[[#This Row],[STATES in numeric format]]=1,F92=-1,F91=1),1,0)</f>
        <v>0</v>
      </c>
      <c r="S93">
        <f>IF(AND(Table2[[#This Row],[STATES in numeric format]]=1,F92=1,F91=-1),1,0)</f>
        <v>0</v>
      </c>
      <c r="T93">
        <f>IF(AND(Table2[[#This Row],[STATES in numeric format]]=1,F92=0,F91=0),1,0)</f>
        <v>0</v>
      </c>
      <c r="U93">
        <f>IF(AND(Table2[[#This Row],[STATES in numeric format]]=1,F92=1,F91=0),1,0)</f>
        <v>0</v>
      </c>
      <c r="V93">
        <f>IF(AND(Table2[[#This Row],[STATES in numeric format]]=1,F92=-1,F91=0),1,0)</f>
        <v>0</v>
      </c>
      <c r="W93">
        <f>IF(AND(Table2[[#This Row],[STATES in numeric format]]=1,F92=0,F91=1),1,0)</f>
        <v>0</v>
      </c>
      <c r="X93">
        <f>IF(AND(Table2[[#This Row],[STATES in numeric format]]=1,F92=0,F91=-1),1,0)</f>
        <v>0</v>
      </c>
      <c r="Y93">
        <f>IF(AND(Table2[[#This Row],[STATES in numeric format]]=0,F92=1,F91=1),1,0)</f>
        <v>0</v>
      </c>
      <c r="Z93">
        <f>IF(AND(Table2[[#This Row],[STATES in numeric format]]=0,F92=-1,F91=-1),1,0)</f>
        <v>0</v>
      </c>
      <c r="AA93">
        <f>IF(AND(Table2[[#This Row],[STATES in numeric format]]=0,F92=-1,F91=1),1,0)</f>
        <v>1</v>
      </c>
      <c r="AB93">
        <f>IF(AND(Table2[[#This Row],[STATES in numeric format]]=0,F92=1,F91=-1),1,0)</f>
        <v>0</v>
      </c>
      <c r="AC93">
        <f>IF(AND(Table2[[#This Row],[STATES in numeric format]]=0,F92=0,F91=0),1,0)</f>
        <v>0</v>
      </c>
      <c r="AD93">
        <f>IF(AND(Table2[[#This Row],[STATES in numeric format]]=0,F92=1,F91=0),1,0)</f>
        <v>0</v>
      </c>
      <c r="AE93">
        <f>IF(AND(Table2[[#This Row],[STATES in numeric format]]=0,F92=-1,F91=0),1,0)</f>
        <v>0</v>
      </c>
      <c r="AF93">
        <f>IF(AND(Table2[[#This Row],[STATES in numeric format]]=0,F92=0,F91=1),1,0)</f>
        <v>0</v>
      </c>
      <c r="AG93">
        <f>IF(AND(Table2[[#This Row],[STATES in numeric format]]=0,F92=0,F91=-1),1,0)</f>
        <v>0</v>
      </c>
    </row>
    <row r="94" spans="1:33" x14ac:dyDescent="0.3">
      <c r="A94" s="1">
        <v>43969</v>
      </c>
      <c r="B94">
        <v>30028.98</v>
      </c>
      <c r="C94">
        <f>Table2[[#This Row],[Close]]-0.001*Table2[[#This Row],[Close]]</f>
        <v>29998.95102</v>
      </c>
      <c r="D94">
        <f>Table2[[#This Row],[Close]]+0.001*Table2[[#This Row],[Close]]</f>
        <v>30059.008979999999</v>
      </c>
      <c r="E94" t="str">
        <f>IF(Table2[[#This Row],[Close]]&gt;D93,"up",IF(Table2[[#This Row],[Close]]&lt;C93,"down","constant"))</f>
        <v>down</v>
      </c>
      <c r="F94" s="3">
        <f>IF(Table2[[#This Row],[States]]="up",1,IF(Table2[[#This Row],[States]]="down",-1,0))</f>
        <v>-1</v>
      </c>
      <c r="G94">
        <f>IF(AND(Table2[[#This Row],[STATES in numeric format]]=-1,F93=1,F92=1),1,0)</f>
        <v>0</v>
      </c>
      <c r="H94">
        <f>IF(AND(Table2[[#This Row],[STATES in numeric format]]=-1,F93=-1,F92=-1),1,0)</f>
        <v>0</v>
      </c>
      <c r="I94">
        <f>IF(AND(Table2[[#This Row],[STATES in numeric format]]=-1,F93=-1,F92=1),1,0)</f>
        <v>0</v>
      </c>
      <c r="J94">
        <f>IF(AND(Table2[[#This Row],[STATES in numeric format]]=-1,F93=1,F92=-1),1,0)</f>
        <v>0</v>
      </c>
      <c r="K94">
        <f>IF(AND(Table2[[#This Row],[STATES in numeric format]]=-1,F93=0,F92=0),1,0)</f>
        <v>0</v>
      </c>
      <c r="L94">
        <f>IF(AND(Table2[[#This Row],[STATES in numeric format]]=-1,F93=1,F92=0),1,0)</f>
        <v>0</v>
      </c>
      <c r="M94">
        <f>IF(AND(Table2[[#This Row],[STATES in numeric format]]=-1,F93=-1,F92=0),1,0)</f>
        <v>0</v>
      </c>
      <c r="N94">
        <f>IF(AND(Table2[[#This Row],[STATES in numeric format]]=-1,F93=0,F92=1),1,0)</f>
        <v>0</v>
      </c>
      <c r="O94">
        <f>IF(AND(Table2[[#This Row],[STATES in numeric format]]=-1,F93=0,F92=-1),1,0)</f>
        <v>1</v>
      </c>
      <c r="P94">
        <f>IF(AND(Table2[[#This Row],[STATES in numeric format]]=1,F93=1,F92=1),1,0)</f>
        <v>0</v>
      </c>
      <c r="Q94">
        <f>IF(AND(Table2[[#This Row],[STATES in numeric format]]=1,F93=-1,F92=-1),1,0)</f>
        <v>0</v>
      </c>
      <c r="R94">
        <f>IF(AND(Table2[[#This Row],[STATES in numeric format]]=1,F93=-1,F92=1),1,0)</f>
        <v>0</v>
      </c>
      <c r="S94">
        <f>IF(AND(Table2[[#This Row],[STATES in numeric format]]=1,F93=1,F92=-1),1,0)</f>
        <v>0</v>
      </c>
      <c r="T94">
        <f>IF(AND(Table2[[#This Row],[STATES in numeric format]]=1,F93=0,F92=0),1,0)</f>
        <v>0</v>
      </c>
      <c r="U94">
        <f>IF(AND(Table2[[#This Row],[STATES in numeric format]]=1,F93=1,F92=0),1,0)</f>
        <v>0</v>
      </c>
      <c r="V94">
        <f>IF(AND(Table2[[#This Row],[STATES in numeric format]]=1,F93=-1,F92=0),1,0)</f>
        <v>0</v>
      </c>
      <c r="W94">
        <f>IF(AND(Table2[[#This Row],[STATES in numeric format]]=1,F93=0,F92=1),1,0)</f>
        <v>0</v>
      </c>
      <c r="X94">
        <f>IF(AND(Table2[[#This Row],[STATES in numeric format]]=1,F93=0,F92=-1),1,0)</f>
        <v>0</v>
      </c>
      <c r="Y94">
        <f>IF(AND(Table2[[#This Row],[STATES in numeric format]]=0,F93=1,F92=1),1,0)</f>
        <v>0</v>
      </c>
      <c r="Z94">
        <f>IF(AND(Table2[[#This Row],[STATES in numeric format]]=0,F93=-1,F92=-1),1,0)</f>
        <v>0</v>
      </c>
      <c r="AA94">
        <f>IF(AND(Table2[[#This Row],[STATES in numeric format]]=0,F93=-1,F92=1),1,0)</f>
        <v>0</v>
      </c>
      <c r="AB94">
        <f>IF(AND(Table2[[#This Row],[STATES in numeric format]]=0,F93=1,F92=-1),1,0)</f>
        <v>0</v>
      </c>
      <c r="AC94">
        <f>IF(AND(Table2[[#This Row],[STATES in numeric format]]=0,F93=0,F92=0),1,0)</f>
        <v>0</v>
      </c>
      <c r="AD94">
        <f>IF(AND(Table2[[#This Row],[STATES in numeric format]]=0,F93=1,F92=0),1,0)</f>
        <v>0</v>
      </c>
      <c r="AE94">
        <f>IF(AND(Table2[[#This Row],[STATES in numeric format]]=0,F93=-1,F92=0),1,0)</f>
        <v>0</v>
      </c>
      <c r="AF94">
        <f>IF(AND(Table2[[#This Row],[STATES in numeric format]]=0,F93=0,F92=1),1,0)</f>
        <v>0</v>
      </c>
      <c r="AG94">
        <f>IF(AND(Table2[[#This Row],[STATES in numeric format]]=0,F93=0,F92=-1),1,0)</f>
        <v>0</v>
      </c>
    </row>
    <row r="95" spans="1:33" x14ac:dyDescent="0.3">
      <c r="A95" s="1">
        <v>43970</v>
      </c>
      <c r="B95">
        <v>30196.17</v>
      </c>
      <c r="C95">
        <f>Table2[[#This Row],[Close]]-0.001*Table2[[#This Row],[Close]]</f>
        <v>30165.973829999999</v>
      </c>
      <c r="D95">
        <f>Table2[[#This Row],[Close]]+0.001*Table2[[#This Row],[Close]]</f>
        <v>30226.366169999998</v>
      </c>
      <c r="E95" t="str">
        <f>IF(Table2[[#This Row],[Close]]&gt;D94,"up",IF(Table2[[#This Row],[Close]]&lt;C94,"down","constant"))</f>
        <v>up</v>
      </c>
      <c r="F95" s="3">
        <f>IF(Table2[[#This Row],[States]]="up",1,IF(Table2[[#This Row],[States]]="down",-1,0))</f>
        <v>1</v>
      </c>
      <c r="G95">
        <f>IF(AND(Table2[[#This Row],[STATES in numeric format]]=-1,F94=1,F93=1),1,0)</f>
        <v>0</v>
      </c>
      <c r="H95">
        <f>IF(AND(Table2[[#This Row],[STATES in numeric format]]=-1,F94=-1,F93=-1),1,0)</f>
        <v>0</v>
      </c>
      <c r="I95">
        <f>IF(AND(Table2[[#This Row],[STATES in numeric format]]=-1,F94=-1,F93=1),1,0)</f>
        <v>0</v>
      </c>
      <c r="J95">
        <f>IF(AND(Table2[[#This Row],[STATES in numeric format]]=-1,F94=1,F93=-1),1,0)</f>
        <v>0</v>
      </c>
      <c r="K95">
        <f>IF(AND(Table2[[#This Row],[STATES in numeric format]]=-1,F94=0,F93=0),1,0)</f>
        <v>0</v>
      </c>
      <c r="L95">
        <f>IF(AND(Table2[[#This Row],[STATES in numeric format]]=-1,F94=1,F93=0),1,0)</f>
        <v>0</v>
      </c>
      <c r="M95">
        <f>IF(AND(Table2[[#This Row],[STATES in numeric format]]=-1,F94=-1,F93=0),1,0)</f>
        <v>0</v>
      </c>
      <c r="N95">
        <f>IF(AND(Table2[[#This Row],[STATES in numeric format]]=-1,F94=0,F93=1),1,0)</f>
        <v>0</v>
      </c>
      <c r="O95">
        <f>IF(AND(Table2[[#This Row],[STATES in numeric format]]=-1,F94=0,F93=-1),1,0)</f>
        <v>0</v>
      </c>
      <c r="P95">
        <f>IF(AND(Table2[[#This Row],[STATES in numeric format]]=1,F94=1,F93=1),1,0)</f>
        <v>0</v>
      </c>
      <c r="Q95">
        <f>IF(AND(Table2[[#This Row],[STATES in numeric format]]=1,F94=-1,F93=-1),1,0)</f>
        <v>0</v>
      </c>
      <c r="R95">
        <f>IF(AND(Table2[[#This Row],[STATES in numeric format]]=1,F94=-1,F93=1),1,0)</f>
        <v>0</v>
      </c>
      <c r="S95">
        <f>IF(AND(Table2[[#This Row],[STATES in numeric format]]=1,F94=1,F93=-1),1,0)</f>
        <v>0</v>
      </c>
      <c r="T95">
        <f>IF(AND(Table2[[#This Row],[STATES in numeric format]]=1,F94=0,F93=0),1,0)</f>
        <v>0</v>
      </c>
      <c r="U95">
        <f>IF(AND(Table2[[#This Row],[STATES in numeric format]]=1,F94=1,F93=0),1,0)</f>
        <v>0</v>
      </c>
      <c r="V95">
        <f>IF(AND(Table2[[#This Row],[STATES in numeric format]]=1,F94=-1,F93=0),1,0)</f>
        <v>1</v>
      </c>
      <c r="W95">
        <f>IF(AND(Table2[[#This Row],[STATES in numeric format]]=1,F94=0,F93=1),1,0)</f>
        <v>0</v>
      </c>
      <c r="X95">
        <f>IF(AND(Table2[[#This Row],[STATES in numeric format]]=1,F94=0,F93=-1),1,0)</f>
        <v>0</v>
      </c>
      <c r="Y95">
        <f>IF(AND(Table2[[#This Row],[STATES in numeric format]]=0,F94=1,F93=1),1,0)</f>
        <v>0</v>
      </c>
      <c r="Z95">
        <f>IF(AND(Table2[[#This Row],[STATES in numeric format]]=0,F94=-1,F93=-1),1,0)</f>
        <v>0</v>
      </c>
      <c r="AA95">
        <f>IF(AND(Table2[[#This Row],[STATES in numeric format]]=0,F94=-1,F93=1),1,0)</f>
        <v>0</v>
      </c>
      <c r="AB95">
        <f>IF(AND(Table2[[#This Row],[STATES in numeric format]]=0,F94=1,F93=-1),1,0)</f>
        <v>0</v>
      </c>
      <c r="AC95">
        <f>IF(AND(Table2[[#This Row],[STATES in numeric format]]=0,F94=0,F93=0),1,0)</f>
        <v>0</v>
      </c>
      <c r="AD95">
        <f>IF(AND(Table2[[#This Row],[STATES in numeric format]]=0,F94=1,F93=0),1,0)</f>
        <v>0</v>
      </c>
      <c r="AE95">
        <f>IF(AND(Table2[[#This Row],[STATES in numeric format]]=0,F94=-1,F93=0),1,0)</f>
        <v>0</v>
      </c>
      <c r="AF95">
        <f>IF(AND(Table2[[#This Row],[STATES in numeric format]]=0,F94=0,F93=1),1,0)</f>
        <v>0</v>
      </c>
      <c r="AG95">
        <f>IF(AND(Table2[[#This Row],[STATES in numeric format]]=0,F94=0,F93=-1),1,0)</f>
        <v>0</v>
      </c>
    </row>
    <row r="96" spans="1:33" x14ac:dyDescent="0.3">
      <c r="A96" s="1">
        <v>43971</v>
      </c>
      <c r="B96">
        <v>30818.61</v>
      </c>
      <c r="C96">
        <f>Table2[[#This Row],[Close]]-0.001*Table2[[#This Row],[Close]]</f>
        <v>30787.791390000002</v>
      </c>
      <c r="D96">
        <f>Table2[[#This Row],[Close]]+0.001*Table2[[#This Row],[Close]]</f>
        <v>30849.428609999999</v>
      </c>
      <c r="E96" t="str">
        <f>IF(Table2[[#This Row],[Close]]&gt;D95,"up",IF(Table2[[#This Row],[Close]]&lt;C95,"down","constant"))</f>
        <v>up</v>
      </c>
      <c r="F96" s="3">
        <f>IF(Table2[[#This Row],[States]]="up",1,IF(Table2[[#This Row],[States]]="down",-1,0))</f>
        <v>1</v>
      </c>
      <c r="G96">
        <f>IF(AND(Table2[[#This Row],[STATES in numeric format]]=-1,F95=1,F94=1),1,0)</f>
        <v>0</v>
      </c>
      <c r="H96">
        <f>IF(AND(Table2[[#This Row],[STATES in numeric format]]=-1,F95=-1,F94=-1),1,0)</f>
        <v>0</v>
      </c>
      <c r="I96">
        <f>IF(AND(Table2[[#This Row],[STATES in numeric format]]=-1,F95=-1,F94=1),1,0)</f>
        <v>0</v>
      </c>
      <c r="J96">
        <f>IF(AND(Table2[[#This Row],[STATES in numeric format]]=-1,F95=1,F94=-1),1,0)</f>
        <v>0</v>
      </c>
      <c r="K96">
        <f>IF(AND(Table2[[#This Row],[STATES in numeric format]]=-1,F95=0,F94=0),1,0)</f>
        <v>0</v>
      </c>
      <c r="L96">
        <f>IF(AND(Table2[[#This Row],[STATES in numeric format]]=-1,F95=1,F94=0),1,0)</f>
        <v>0</v>
      </c>
      <c r="M96">
        <f>IF(AND(Table2[[#This Row],[STATES in numeric format]]=-1,F95=-1,F94=0),1,0)</f>
        <v>0</v>
      </c>
      <c r="N96">
        <f>IF(AND(Table2[[#This Row],[STATES in numeric format]]=-1,F95=0,F94=1),1,0)</f>
        <v>0</v>
      </c>
      <c r="O96">
        <f>IF(AND(Table2[[#This Row],[STATES in numeric format]]=-1,F95=0,F94=-1),1,0)</f>
        <v>0</v>
      </c>
      <c r="P96">
        <f>IF(AND(Table2[[#This Row],[STATES in numeric format]]=1,F95=1,F94=1),1,0)</f>
        <v>0</v>
      </c>
      <c r="Q96">
        <f>IF(AND(Table2[[#This Row],[STATES in numeric format]]=1,F95=-1,F94=-1),1,0)</f>
        <v>0</v>
      </c>
      <c r="R96">
        <f>IF(AND(Table2[[#This Row],[STATES in numeric format]]=1,F95=-1,F94=1),1,0)</f>
        <v>0</v>
      </c>
      <c r="S96">
        <f>IF(AND(Table2[[#This Row],[STATES in numeric format]]=1,F95=1,F94=-1),1,0)</f>
        <v>1</v>
      </c>
      <c r="T96">
        <f>IF(AND(Table2[[#This Row],[STATES in numeric format]]=1,F95=0,F94=0),1,0)</f>
        <v>0</v>
      </c>
      <c r="U96">
        <f>IF(AND(Table2[[#This Row],[STATES in numeric format]]=1,F95=1,F94=0),1,0)</f>
        <v>0</v>
      </c>
      <c r="V96">
        <f>IF(AND(Table2[[#This Row],[STATES in numeric format]]=1,F95=-1,F94=0),1,0)</f>
        <v>0</v>
      </c>
      <c r="W96">
        <f>IF(AND(Table2[[#This Row],[STATES in numeric format]]=1,F95=0,F94=1),1,0)</f>
        <v>0</v>
      </c>
      <c r="X96">
        <f>IF(AND(Table2[[#This Row],[STATES in numeric format]]=1,F95=0,F94=-1),1,0)</f>
        <v>0</v>
      </c>
      <c r="Y96">
        <f>IF(AND(Table2[[#This Row],[STATES in numeric format]]=0,F95=1,F94=1),1,0)</f>
        <v>0</v>
      </c>
      <c r="Z96">
        <f>IF(AND(Table2[[#This Row],[STATES in numeric format]]=0,F95=-1,F94=-1),1,0)</f>
        <v>0</v>
      </c>
      <c r="AA96">
        <f>IF(AND(Table2[[#This Row],[STATES in numeric format]]=0,F95=-1,F94=1),1,0)</f>
        <v>0</v>
      </c>
      <c r="AB96">
        <f>IF(AND(Table2[[#This Row],[STATES in numeric format]]=0,F95=1,F94=-1),1,0)</f>
        <v>0</v>
      </c>
      <c r="AC96">
        <f>IF(AND(Table2[[#This Row],[STATES in numeric format]]=0,F95=0,F94=0),1,0)</f>
        <v>0</v>
      </c>
      <c r="AD96">
        <f>IF(AND(Table2[[#This Row],[STATES in numeric format]]=0,F95=1,F94=0),1,0)</f>
        <v>0</v>
      </c>
      <c r="AE96">
        <f>IF(AND(Table2[[#This Row],[STATES in numeric format]]=0,F95=-1,F94=0),1,0)</f>
        <v>0</v>
      </c>
      <c r="AF96">
        <f>IF(AND(Table2[[#This Row],[STATES in numeric format]]=0,F95=0,F94=1),1,0)</f>
        <v>0</v>
      </c>
      <c r="AG96">
        <f>IF(AND(Table2[[#This Row],[STATES in numeric format]]=0,F95=0,F94=-1),1,0)</f>
        <v>0</v>
      </c>
    </row>
    <row r="97" spans="1:33" x14ac:dyDescent="0.3">
      <c r="A97" s="1">
        <v>43972</v>
      </c>
      <c r="B97">
        <v>30932.9</v>
      </c>
      <c r="C97">
        <f>Table2[[#This Row],[Close]]-0.001*Table2[[#This Row],[Close]]</f>
        <v>30901.967100000002</v>
      </c>
      <c r="D97">
        <f>Table2[[#This Row],[Close]]+0.001*Table2[[#This Row],[Close]]</f>
        <v>30963.832900000001</v>
      </c>
      <c r="E97" t="str">
        <f>IF(Table2[[#This Row],[Close]]&gt;D96,"up",IF(Table2[[#This Row],[Close]]&lt;C96,"down","constant"))</f>
        <v>up</v>
      </c>
      <c r="F97" s="3">
        <f>IF(Table2[[#This Row],[States]]="up",1,IF(Table2[[#This Row],[States]]="down",-1,0))</f>
        <v>1</v>
      </c>
      <c r="G97">
        <f>IF(AND(Table2[[#This Row],[STATES in numeric format]]=-1,F96=1,F95=1),1,0)</f>
        <v>0</v>
      </c>
      <c r="H97">
        <f>IF(AND(Table2[[#This Row],[STATES in numeric format]]=-1,F96=-1,F95=-1),1,0)</f>
        <v>0</v>
      </c>
      <c r="I97">
        <f>IF(AND(Table2[[#This Row],[STATES in numeric format]]=-1,F96=-1,F95=1),1,0)</f>
        <v>0</v>
      </c>
      <c r="J97">
        <f>IF(AND(Table2[[#This Row],[STATES in numeric format]]=-1,F96=1,F95=-1),1,0)</f>
        <v>0</v>
      </c>
      <c r="K97">
        <f>IF(AND(Table2[[#This Row],[STATES in numeric format]]=-1,F96=0,F95=0),1,0)</f>
        <v>0</v>
      </c>
      <c r="L97">
        <f>IF(AND(Table2[[#This Row],[STATES in numeric format]]=-1,F96=1,F95=0),1,0)</f>
        <v>0</v>
      </c>
      <c r="M97">
        <f>IF(AND(Table2[[#This Row],[STATES in numeric format]]=-1,F96=-1,F95=0),1,0)</f>
        <v>0</v>
      </c>
      <c r="N97">
        <f>IF(AND(Table2[[#This Row],[STATES in numeric format]]=-1,F96=0,F95=1),1,0)</f>
        <v>0</v>
      </c>
      <c r="O97">
        <f>IF(AND(Table2[[#This Row],[STATES in numeric format]]=-1,F96=0,F95=-1),1,0)</f>
        <v>0</v>
      </c>
      <c r="P97">
        <f>IF(AND(Table2[[#This Row],[STATES in numeric format]]=1,F96=1,F95=1),1,0)</f>
        <v>1</v>
      </c>
      <c r="Q97">
        <f>IF(AND(Table2[[#This Row],[STATES in numeric format]]=1,F96=-1,F95=-1),1,0)</f>
        <v>0</v>
      </c>
      <c r="R97">
        <f>IF(AND(Table2[[#This Row],[STATES in numeric format]]=1,F96=-1,F95=1),1,0)</f>
        <v>0</v>
      </c>
      <c r="S97">
        <f>IF(AND(Table2[[#This Row],[STATES in numeric format]]=1,F96=1,F95=-1),1,0)</f>
        <v>0</v>
      </c>
      <c r="T97">
        <f>IF(AND(Table2[[#This Row],[STATES in numeric format]]=1,F96=0,F95=0),1,0)</f>
        <v>0</v>
      </c>
      <c r="U97">
        <f>IF(AND(Table2[[#This Row],[STATES in numeric format]]=1,F96=1,F95=0),1,0)</f>
        <v>0</v>
      </c>
      <c r="V97">
        <f>IF(AND(Table2[[#This Row],[STATES in numeric format]]=1,F96=-1,F95=0),1,0)</f>
        <v>0</v>
      </c>
      <c r="W97">
        <f>IF(AND(Table2[[#This Row],[STATES in numeric format]]=1,F96=0,F95=1),1,0)</f>
        <v>0</v>
      </c>
      <c r="X97">
        <f>IF(AND(Table2[[#This Row],[STATES in numeric format]]=1,F96=0,F95=-1),1,0)</f>
        <v>0</v>
      </c>
      <c r="Y97">
        <f>IF(AND(Table2[[#This Row],[STATES in numeric format]]=0,F96=1,F95=1),1,0)</f>
        <v>0</v>
      </c>
      <c r="Z97">
        <f>IF(AND(Table2[[#This Row],[STATES in numeric format]]=0,F96=-1,F95=-1),1,0)</f>
        <v>0</v>
      </c>
      <c r="AA97">
        <f>IF(AND(Table2[[#This Row],[STATES in numeric format]]=0,F96=-1,F95=1),1,0)</f>
        <v>0</v>
      </c>
      <c r="AB97">
        <f>IF(AND(Table2[[#This Row],[STATES in numeric format]]=0,F96=1,F95=-1),1,0)</f>
        <v>0</v>
      </c>
      <c r="AC97">
        <f>IF(AND(Table2[[#This Row],[STATES in numeric format]]=0,F96=0,F95=0),1,0)</f>
        <v>0</v>
      </c>
      <c r="AD97">
        <f>IF(AND(Table2[[#This Row],[STATES in numeric format]]=0,F96=1,F95=0),1,0)</f>
        <v>0</v>
      </c>
      <c r="AE97">
        <f>IF(AND(Table2[[#This Row],[STATES in numeric format]]=0,F96=-1,F95=0),1,0)</f>
        <v>0</v>
      </c>
      <c r="AF97">
        <f>IF(AND(Table2[[#This Row],[STATES in numeric format]]=0,F96=0,F95=1),1,0)</f>
        <v>0</v>
      </c>
      <c r="AG97">
        <f>IF(AND(Table2[[#This Row],[STATES in numeric format]]=0,F96=0,F95=-1),1,0)</f>
        <v>0</v>
      </c>
    </row>
    <row r="98" spans="1:33" x14ac:dyDescent="0.3">
      <c r="A98" s="1">
        <v>43973</v>
      </c>
      <c r="B98">
        <v>30672.59</v>
      </c>
      <c r="C98">
        <f>Table2[[#This Row],[Close]]-0.001*Table2[[#This Row],[Close]]</f>
        <v>30641.917410000002</v>
      </c>
      <c r="D98">
        <f>Table2[[#This Row],[Close]]+0.001*Table2[[#This Row],[Close]]</f>
        <v>30703.262589999998</v>
      </c>
      <c r="E98" t="str">
        <f>IF(Table2[[#This Row],[Close]]&gt;D97,"up",IF(Table2[[#This Row],[Close]]&lt;C97,"down","constant"))</f>
        <v>down</v>
      </c>
      <c r="F98" s="3">
        <f>IF(Table2[[#This Row],[States]]="up",1,IF(Table2[[#This Row],[States]]="down",-1,0))</f>
        <v>-1</v>
      </c>
      <c r="G98">
        <f>IF(AND(Table2[[#This Row],[STATES in numeric format]]=-1,F97=1,F96=1),1,0)</f>
        <v>1</v>
      </c>
      <c r="H98">
        <f>IF(AND(Table2[[#This Row],[STATES in numeric format]]=-1,F97=-1,F96=-1),1,0)</f>
        <v>0</v>
      </c>
      <c r="I98">
        <f>IF(AND(Table2[[#This Row],[STATES in numeric format]]=-1,F97=-1,F96=1),1,0)</f>
        <v>0</v>
      </c>
      <c r="J98">
        <f>IF(AND(Table2[[#This Row],[STATES in numeric format]]=-1,F97=1,F96=-1),1,0)</f>
        <v>0</v>
      </c>
      <c r="K98">
        <f>IF(AND(Table2[[#This Row],[STATES in numeric format]]=-1,F97=0,F96=0),1,0)</f>
        <v>0</v>
      </c>
      <c r="L98">
        <f>IF(AND(Table2[[#This Row],[STATES in numeric format]]=-1,F97=1,F96=0),1,0)</f>
        <v>0</v>
      </c>
      <c r="M98">
        <f>IF(AND(Table2[[#This Row],[STATES in numeric format]]=-1,F97=-1,F96=0),1,0)</f>
        <v>0</v>
      </c>
      <c r="N98">
        <f>IF(AND(Table2[[#This Row],[STATES in numeric format]]=-1,F97=0,F96=1),1,0)</f>
        <v>0</v>
      </c>
      <c r="O98">
        <f>IF(AND(Table2[[#This Row],[STATES in numeric format]]=-1,F97=0,F96=-1),1,0)</f>
        <v>0</v>
      </c>
      <c r="P98">
        <f>IF(AND(Table2[[#This Row],[STATES in numeric format]]=1,F97=1,F96=1),1,0)</f>
        <v>0</v>
      </c>
      <c r="Q98">
        <f>IF(AND(Table2[[#This Row],[STATES in numeric format]]=1,F97=-1,F96=-1),1,0)</f>
        <v>0</v>
      </c>
      <c r="R98">
        <f>IF(AND(Table2[[#This Row],[STATES in numeric format]]=1,F97=-1,F96=1),1,0)</f>
        <v>0</v>
      </c>
      <c r="S98">
        <f>IF(AND(Table2[[#This Row],[STATES in numeric format]]=1,F97=1,F96=-1),1,0)</f>
        <v>0</v>
      </c>
      <c r="T98">
        <f>IF(AND(Table2[[#This Row],[STATES in numeric format]]=1,F97=0,F96=0),1,0)</f>
        <v>0</v>
      </c>
      <c r="U98">
        <f>IF(AND(Table2[[#This Row],[STATES in numeric format]]=1,F97=1,F96=0),1,0)</f>
        <v>0</v>
      </c>
      <c r="V98">
        <f>IF(AND(Table2[[#This Row],[STATES in numeric format]]=1,F97=-1,F96=0),1,0)</f>
        <v>0</v>
      </c>
      <c r="W98">
        <f>IF(AND(Table2[[#This Row],[STATES in numeric format]]=1,F97=0,F96=1),1,0)</f>
        <v>0</v>
      </c>
      <c r="X98">
        <f>IF(AND(Table2[[#This Row],[STATES in numeric format]]=1,F97=0,F96=-1),1,0)</f>
        <v>0</v>
      </c>
      <c r="Y98">
        <f>IF(AND(Table2[[#This Row],[STATES in numeric format]]=0,F97=1,F96=1),1,0)</f>
        <v>0</v>
      </c>
      <c r="Z98">
        <f>IF(AND(Table2[[#This Row],[STATES in numeric format]]=0,F97=-1,F96=-1),1,0)</f>
        <v>0</v>
      </c>
      <c r="AA98">
        <f>IF(AND(Table2[[#This Row],[STATES in numeric format]]=0,F97=-1,F96=1),1,0)</f>
        <v>0</v>
      </c>
      <c r="AB98">
        <f>IF(AND(Table2[[#This Row],[STATES in numeric format]]=0,F97=1,F96=-1),1,0)</f>
        <v>0</v>
      </c>
      <c r="AC98">
        <f>IF(AND(Table2[[#This Row],[STATES in numeric format]]=0,F97=0,F96=0),1,0)</f>
        <v>0</v>
      </c>
      <c r="AD98">
        <f>IF(AND(Table2[[#This Row],[STATES in numeric format]]=0,F97=1,F96=0),1,0)</f>
        <v>0</v>
      </c>
      <c r="AE98">
        <f>IF(AND(Table2[[#This Row],[STATES in numeric format]]=0,F97=-1,F96=0),1,0)</f>
        <v>0</v>
      </c>
      <c r="AF98">
        <f>IF(AND(Table2[[#This Row],[STATES in numeric format]]=0,F97=0,F96=1),1,0)</f>
        <v>0</v>
      </c>
      <c r="AG98">
        <f>IF(AND(Table2[[#This Row],[STATES in numeric format]]=0,F97=0,F96=-1),1,0)</f>
        <v>0</v>
      </c>
    </row>
    <row r="99" spans="1:33" x14ac:dyDescent="0.3">
      <c r="A99" s="1">
        <v>43977</v>
      </c>
      <c r="B99">
        <v>30609.3</v>
      </c>
      <c r="C99">
        <f>Table2[[#This Row],[Close]]-0.001*Table2[[#This Row],[Close]]</f>
        <v>30578.690699999999</v>
      </c>
      <c r="D99">
        <f>Table2[[#This Row],[Close]]+0.001*Table2[[#This Row],[Close]]</f>
        <v>30639.909299999999</v>
      </c>
      <c r="E99" t="str">
        <f>IF(Table2[[#This Row],[Close]]&gt;D98,"up",IF(Table2[[#This Row],[Close]]&lt;C98,"down","constant"))</f>
        <v>down</v>
      </c>
      <c r="F99" s="3">
        <f>IF(Table2[[#This Row],[States]]="up",1,IF(Table2[[#This Row],[States]]="down",-1,0))</f>
        <v>-1</v>
      </c>
      <c r="G99">
        <f>IF(AND(Table2[[#This Row],[STATES in numeric format]]=-1,F98=1,F97=1),1,0)</f>
        <v>0</v>
      </c>
      <c r="H99">
        <f>IF(AND(Table2[[#This Row],[STATES in numeric format]]=-1,F98=-1,F97=-1),1,0)</f>
        <v>0</v>
      </c>
      <c r="I99">
        <f>IF(AND(Table2[[#This Row],[STATES in numeric format]]=-1,F98=-1,F97=1),1,0)</f>
        <v>1</v>
      </c>
      <c r="J99">
        <f>IF(AND(Table2[[#This Row],[STATES in numeric format]]=-1,F98=1,F97=-1),1,0)</f>
        <v>0</v>
      </c>
      <c r="K99">
        <f>IF(AND(Table2[[#This Row],[STATES in numeric format]]=-1,F98=0,F97=0),1,0)</f>
        <v>0</v>
      </c>
      <c r="L99">
        <f>IF(AND(Table2[[#This Row],[STATES in numeric format]]=-1,F98=1,F97=0),1,0)</f>
        <v>0</v>
      </c>
      <c r="M99">
        <f>IF(AND(Table2[[#This Row],[STATES in numeric format]]=-1,F98=-1,F97=0),1,0)</f>
        <v>0</v>
      </c>
      <c r="N99">
        <f>IF(AND(Table2[[#This Row],[STATES in numeric format]]=-1,F98=0,F97=1),1,0)</f>
        <v>0</v>
      </c>
      <c r="O99">
        <f>IF(AND(Table2[[#This Row],[STATES in numeric format]]=-1,F98=0,F97=-1),1,0)</f>
        <v>0</v>
      </c>
      <c r="P99">
        <f>IF(AND(Table2[[#This Row],[STATES in numeric format]]=1,F98=1,F97=1),1,0)</f>
        <v>0</v>
      </c>
      <c r="Q99">
        <f>IF(AND(Table2[[#This Row],[STATES in numeric format]]=1,F98=-1,F97=-1),1,0)</f>
        <v>0</v>
      </c>
      <c r="R99">
        <f>IF(AND(Table2[[#This Row],[STATES in numeric format]]=1,F98=-1,F97=1),1,0)</f>
        <v>0</v>
      </c>
      <c r="S99">
        <f>IF(AND(Table2[[#This Row],[STATES in numeric format]]=1,F98=1,F97=-1),1,0)</f>
        <v>0</v>
      </c>
      <c r="T99">
        <f>IF(AND(Table2[[#This Row],[STATES in numeric format]]=1,F98=0,F97=0),1,0)</f>
        <v>0</v>
      </c>
      <c r="U99">
        <f>IF(AND(Table2[[#This Row],[STATES in numeric format]]=1,F98=1,F97=0),1,0)</f>
        <v>0</v>
      </c>
      <c r="V99">
        <f>IF(AND(Table2[[#This Row],[STATES in numeric format]]=1,F98=-1,F97=0),1,0)</f>
        <v>0</v>
      </c>
      <c r="W99">
        <f>IF(AND(Table2[[#This Row],[STATES in numeric format]]=1,F98=0,F97=1),1,0)</f>
        <v>0</v>
      </c>
      <c r="X99">
        <f>IF(AND(Table2[[#This Row],[STATES in numeric format]]=1,F98=0,F97=-1),1,0)</f>
        <v>0</v>
      </c>
      <c r="Y99">
        <f>IF(AND(Table2[[#This Row],[STATES in numeric format]]=0,F98=1,F97=1),1,0)</f>
        <v>0</v>
      </c>
      <c r="Z99">
        <f>IF(AND(Table2[[#This Row],[STATES in numeric format]]=0,F98=-1,F97=-1),1,0)</f>
        <v>0</v>
      </c>
      <c r="AA99">
        <f>IF(AND(Table2[[#This Row],[STATES in numeric format]]=0,F98=-1,F97=1),1,0)</f>
        <v>0</v>
      </c>
      <c r="AB99">
        <f>IF(AND(Table2[[#This Row],[STATES in numeric format]]=0,F98=1,F97=-1),1,0)</f>
        <v>0</v>
      </c>
      <c r="AC99">
        <f>IF(AND(Table2[[#This Row],[STATES in numeric format]]=0,F98=0,F97=0),1,0)</f>
        <v>0</v>
      </c>
      <c r="AD99">
        <f>IF(AND(Table2[[#This Row],[STATES in numeric format]]=0,F98=1,F97=0),1,0)</f>
        <v>0</v>
      </c>
      <c r="AE99">
        <f>IF(AND(Table2[[#This Row],[STATES in numeric format]]=0,F98=-1,F97=0),1,0)</f>
        <v>0</v>
      </c>
      <c r="AF99">
        <f>IF(AND(Table2[[#This Row],[STATES in numeric format]]=0,F98=0,F97=1),1,0)</f>
        <v>0</v>
      </c>
      <c r="AG99">
        <f>IF(AND(Table2[[#This Row],[STATES in numeric format]]=0,F98=0,F97=-1),1,0)</f>
        <v>0</v>
      </c>
    </row>
    <row r="100" spans="1:33" x14ac:dyDescent="0.3">
      <c r="A100" s="1">
        <v>43978</v>
      </c>
      <c r="B100">
        <v>31605.22</v>
      </c>
      <c r="C100">
        <f>Table2[[#This Row],[Close]]-0.001*Table2[[#This Row],[Close]]</f>
        <v>31573.61478</v>
      </c>
      <c r="D100">
        <f>Table2[[#This Row],[Close]]+0.001*Table2[[#This Row],[Close]]</f>
        <v>31636.825220000002</v>
      </c>
      <c r="E100" t="str">
        <f>IF(Table2[[#This Row],[Close]]&gt;D99,"up",IF(Table2[[#This Row],[Close]]&lt;C99,"down","constant"))</f>
        <v>up</v>
      </c>
      <c r="F100" s="3">
        <f>IF(Table2[[#This Row],[States]]="up",1,IF(Table2[[#This Row],[States]]="down",-1,0))</f>
        <v>1</v>
      </c>
      <c r="G100">
        <f>IF(AND(Table2[[#This Row],[STATES in numeric format]]=-1,F99=1,F98=1),1,0)</f>
        <v>0</v>
      </c>
      <c r="H100">
        <f>IF(AND(Table2[[#This Row],[STATES in numeric format]]=-1,F99=-1,F98=-1),1,0)</f>
        <v>0</v>
      </c>
      <c r="I100">
        <f>IF(AND(Table2[[#This Row],[STATES in numeric format]]=-1,F99=-1,F98=1),1,0)</f>
        <v>0</v>
      </c>
      <c r="J100">
        <f>IF(AND(Table2[[#This Row],[STATES in numeric format]]=-1,F99=1,F98=-1),1,0)</f>
        <v>0</v>
      </c>
      <c r="K100">
        <f>IF(AND(Table2[[#This Row],[STATES in numeric format]]=-1,F99=0,F98=0),1,0)</f>
        <v>0</v>
      </c>
      <c r="L100">
        <f>IF(AND(Table2[[#This Row],[STATES in numeric format]]=-1,F99=1,F98=0),1,0)</f>
        <v>0</v>
      </c>
      <c r="M100">
        <f>IF(AND(Table2[[#This Row],[STATES in numeric format]]=-1,F99=-1,F98=0),1,0)</f>
        <v>0</v>
      </c>
      <c r="N100">
        <f>IF(AND(Table2[[#This Row],[STATES in numeric format]]=-1,F99=0,F98=1),1,0)</f>
        <v>0</v>
      </c>
      <c r="O100">
        <f>IF(AND(Table2[[#This Row],[STATES in numeric format]]=-1,F99=0,F98=-1),1,0)</f>
        <v>0</v>
      </c>
      <c r="P100">
        <f>IF(AND(Table2[[#This Row],[STATES in numeric format]]=1,F99=1,F98=1),1,0)</f>
        <v>0</v>
      </c>
      <c r="Q100">
        <f>IF(AND(Table2[[#This Row],[STATES in numeric format]]=1,F99=-1,F98=-1),1,0)</f>
        <v>1</v>
      </c>
      <c r="R100">
        <f>IF(AND(Table2[[#This Row],[STATES in numeric format]]=1,F99=-1,F98=1),1,0)</f>
        <v>0</v>
      </c>
      <c r="S100">
        <f>IF(AND(Table2[[#This Row],[STATES in numeric format]]=1,F99=1,F98=-1),1,0)</f>
        <v>0</v>
      </c>
      <c r="T100">
        <f>IF(AND(Table2[[#This Row],[STATES in numeric format]]=1,F99=0,F98=0),1,0)</f>
        <v>0</v>
      </c>
      <c r="U100">
        <f>IF(AND(Table2[[#This Row],[STATES in numeric format]]=1,F99=1,F98=0),1,0)</f>
        <v>0</v>
      </c>
      <c r="V100">
        <f>IF(AND(Table2[[#This Row],[STATES in numeric format]]=1,F99=-1,F98=0),1,0)</f>
        <v>0</v>
      </c>
      <c r="W100">
        <f>IF(AND(Table2[[#This Row],[STATES in numeric format]]=1,F99=0,F98=1),1,0)</f>
        <v>0</v>
      </c>
      <c r="X100">
        <f>IF(AND(Table2[[#This Row],[STATES in numeric format]]=1,F99=0,F98=-1),1,0)</f>
        <v>0</v>
      </c>
      <c r="Y100">
        <f>IF(AND(Table2[[#This Row],[STATES in numeric format]]=0,F99=1,F98=1),1,0)</f>
        <v>0</v>
      </c>
      <c r="Z100">
        <f>IF(AND(Table2[[#This Row],[STATES in numeric format]]=0,F99=-1,F98=-1),1,0)</f>
        <v>0</v>
      </c>
      <c r="AA100">
        <f>IF(AND(Table2[[#This Row],[STATES in numeric format]]=0,F99=-1,F98=1),1,0)</f>
        <v>0</v>
      </c>
      <c r="AB100">
        <f>IF(AND(Table2[[#This Row],[STATES in numeric format]]=0,F99=1,F98=-1),1,0)</f>
        <v>0</v>
      </c>
      <c r="AC100">
        <f>IF(AND(Table2[[#This Row],[STATES in numeric format]]=0,F99=0,F98=0),1,0)</f>
        <v>0</v>
      </c>
      <c r="AD100">
        <f>IF(AND(Table2[[#This Row],[STATES in numeric format]]=0,F99=1,F98=0),1,0)</f>
        <v>0</v>
      </c>
      <c r="AE100">
        <f>IF(AND(Table2[[#This Row],[STATES in numeric format]]=0,F99=-1,F98=0),1,0)</f>
        <v>0</v>
      </c>
      <c r="AF100">
        <f>IF(AND(Table2[[#This Row],[STATES in numeric format]]=0,F99=0,F98=1),1,0)</f>
        <v>0</v>
      </c>
      <c r="AG100">
        <f>IF(AND(Table2[[#This Row],[STATES in numeric format]]=0,F99=0,F98=-1),1,0)</f>
        <v>0</v>
      </c>
    </row>
    <row r="101" spans="1:33" x14ac:dyDescent="0.3">
      <c r="A101" s="1">
        <v>43979</v>
      </c>
      <c r="B101">
        <v>32200.59</v>
      </c>
      <c r="C101">
        <f>Table2[[#This Row],[Close]]-0.001*Table2[[#This Row],[Close]]</f>
        <v>32168.38941</v>
      </c>
      <c r="D101">
        <f>Table2[[#This Row],[Close]]+0.001*Table2[[#This Row],[Close]]</f>
        <v>32232.790590000001</v>
      </c>
      <c r="E101" t="str">
        <f>IF(Table2[[#This Row],[Close]]&gt;D100,"up",IF(Table2[[#This Row],[Close]]&lt;C100,"down","constant"))</f>
        <v>up</v>
      </c>
      <c r="F101" s="3">
        <f>IF(Table2[[#This Row],[States]]="up",1,IF(Table2[[#This Row],[States]]="down",-1,0))</f>
        <v>1</v>
      </c>
      <c r="G101">
        <f>IF(AND(Table2[[#This Row],[STATES in numeric format]]=-1,F100=1,F99=1),1,0)</f>
        <v>0</v>
      </c>
      <c r="H101">
        <f>IF(AND(Table2[[#This Row],[STATES in numeric format]]=-1,F100=-1,F99=-1),1,0)</f>
        <v>0</v>
      </c>
      <c r="I101">
        <f>IF(AND(Table2[[#This Row],[STATES in numeric format]]=-1,F100=-1,F99=1),1,0)</f>
        <v>0</v>
      </c>
      <c r="J101">
        <f>IF(AND(Table2[[#This Row],[STATES in numeric format]]=-1,F100=1,F99=-1),1,0)</f>
        <v>0</v>
      </c>
      <c r="K101">
        <f>IF(AND(Table2[[#This Row],[STATES in numeric format]]=-1,F100=0,F99=0),1,0)</f>
        <v>0</v>
      </c>
      <c r="L101">
        <f>IF(AND(Table2[[#This Row],[STATES in numeric format]]=-1,F100=1,F99=0),1,0)</f>
        <v>0</v>
      </c>
      <c r="M101">
        <f>IF(AND(Table2[[#This Row],[STATES in numeric format]]=-1,F100=-1,F99=0),1,0)</f>
        <v>0</v>
      </c>
      <c r="N101">
        <f>IF(AND(Table2[[#This Row],[STATES in numeric format]]=-1,F100=0,F99=1),1,0)</f>
        <v>0</v>
      </c>
      <c r="O101">
        <f>IF(AND(Table2[[#This Row],[STATES in numeric format]]=-1,F100=0,F99=-1),1,0)</f>
        <v>0</v>
      </c>
      <c r="P101">
        <f>IF(AND(Table2[[#This Row],[STATES in numeric format]]=1,F100=1,F99=1),1,0)</f>
        <v>0</v>
      </c>
      <c r="Q101">
        <f>IF(AND(Table2[[#This Row],[STATES in numeric format]]=1,F100=-1,F99=-1),1,0)</f>
        <v>0</v>
      </c>
      <c r="R101">
        <f>IF(AND(Table2[[#This Row],[STATES in numeric format]]=1,F100=-1,F99=1),1,0)</f>
        <v>0</v>
      </c>
      <c r="S101">
        <f>IF(AND(Table2[[#This Row],[STATES in numeric format]]=1,F100=1,F99=-1),1,0)</f>
        <v>1</v>
      </c>
      <c r="T101">
        <f>IF(AND(Table2[[#This Row],[STATES in numeric format]]=1,F100=0,F99=0),1,0)</f>
        <v>0</v>
      </c>
      <c r="U101">
        <f>IF(AND(Table2[[#This Row],[STATES in numeric format]]=1,F100=1,F99=0),1,0)</f>
        <v>0</v>
      </c>
      <c r="V101">
        <f>IF(AND(Table2[[#This Row],[STATES in numeric format]]=1,F100=-1,F99=0),1,0)</f>
        <v>0</v>
      </c>
      <c r="W101">
        <f>IF(AND(Table2[[#This Row],[STATES in numeric format]]=1,F100=0,F99=1),1,0)</f>
        <v>0</v>
      </c>
      <c r="X101">
        <f>IF(AND(Table2[[#This Row],[STATES in numeric format]]=1,F100=0,F99=-1),1,0)</f>
        <v>0</v>
      </c>
      <c r="Y101">
        <f>IF(AND(Table2[[#This Row],[STATES in numeric format]]=0,F100=1,F99=1),1,0)</f>
        <v>0</v>
      </c>
      <c r="Z101">
        <f>IF(AND(Table2[[#This Row],[STATES in numeric format]]=0,F100=-1,F99=-1),1,0)</f>
        <v>0</v>
      </c>
      <c r="AA101">
        <f>IF(AND(Table2[[#This Row],[STATES in numeric format]]=0,F100=-1,F99=1),1,0)</f>
        <v>0</v>
      </c>
      <c r="AB101">
        <f>IF(AND(Table2[[#This Row],[STATES in numeric format]]=0,F100=1,F99=-1),1,0)</f>
        <v>0</v>
      </c>
      <c r="AC101">
        <f>IF(AND(Table2[[#This Row],[STATES in numeric format]]=0,F100=0,F99=0),1,0)</f>
        <v>0</v>
      </c>
      <c r="AD101">
        <f>IF(AND(Table2[[#This Row],[STATES in numeric format]]=0,F100=1,F99=0),1,0)</f>
        <v>0</v>
      </c>
      <c r="AE101">
        <f>IF(AND(Table2[[#This Row],[STATES in numeric format]]=0,F100=-1,F99=0),1,0)</f>
        <v>0</v>
      </c>
      <c r="AF101">
        <f>IF(AND(Table2[[#This Row],[STATES in numeric format]]=0,F100=0,F99=1),1,0)</f>
        <v>0</v>
      </c>
      <c r="AG101">
        <f>IF(AND(Table2[[#This Row],[STATES in numeric format]]=0,F100=0,F99=-1),1,0)</f>
        <v>0</v>
      </c>
    </row>
    <row r="102" spans="1:33" x14ac:dyDescent="0.3">
      <c r="A102" s="1">
        <v>43980</v>
      </c>
      <c r="B102">
        <v>32424.1</v>
      </c>
      <c r="C102">
        <f>Table2[[#This Row],[Close]]-0.001*Table2[[#This Row],[Close]]</f>
        <v>32391.675899999998</v>
      </c>
      <c r="D102">
        <f>Table2[[#This Row],[Close]]+0.001*Table2[[#This Row],[Close]]</f>
        <v>32456.524099999999</v>
      </c>
      <c r="E102" t="str">
        <f>IF(Table2[[#This Row],[Close]]&gt;D101,"up",IF(Table2[[#This Row],[Close]]&lt;C101,"down","constant"))</f>
        <v>up</v>
      </c>
      <c r="F102" s="3">
        <f>IF(Table2[[#This Row],[States]]="up",1,IF(Table2[[#This Row],[States]]="down",-1,0))</f>
        <v>1</v>
      </c>
      <c r="G102">
        <f>IF(AND(Table2[[#This Row],[STATES in numeric format]]=-1,F101=1,F100=1),1,0)</f>
        <v>0</v>
      </c>
      <c r="H102">
        <f>IF(AND(Table2[[#This Row],[STATES in numeric format]]=-1,F101=-1,F100=-1),1,0)</f>
        <v>0</v>
      </c>
      <c r="I102">
        <f>IF(AND(Table2[[#This Row],[STATES in numeric format]]=-1,F101=-1,F100=1),1,0)</f>
        <v>0</v>
      </c>
      <c r="J102">
        <f>IF(AND(Table2[[#This Row],[STATES in numeric format]]=-1,F101=1,F100=-1),1,0)</f>
        <v>0</v>
      </c>
      <c r="K102">
        <f>IF(AND(Table2[[#This Row],[STATES in numeric format]]=-1,F101=0,F100=0),1,0)</f>
        <v>0</v>
      </c>
      <c r="L102">
        <f>IF(AND(Table2[[#This Row],[STATES in numeric format]]=-1,F101=1,F100=0),1,0)</f>
        <v>0</v>
      </c>
      <c r="M102">
        <f>IF(AND(Table2[[#This Row],[STATES in numeric format]]=-1,F101=-1,F100=0),1,0)</f>
        <v>0</v>
      </c>
      <c r="N102">
        <f>IF(AND(Table2[[#This Row],[STATES in numeric format]]=-1,F101=0,F100=1),1,0)</f>
        <v>0</v>
      </c>
      <c r="O102">
        <f>IF(AND(Table2[[#This Row],[STATES in numeric format]]=-1,F101=0,F100=-1),1,0)</f>
        <v>0</v>
      </c>
      <c r="P102">
        <f>IF(AND(Table2[[#This Row],[STATES in numeric format]]=1,F101=1,F100=1),1,0)</f>
        <v>1</v>
      </c>
      <c r="Q102">
        <f>IF(AND(Table2[[#This Row],[STATES in numeric format]]=1,F101=-1,F100=-1),1,0)</f>
        <v>0</v>
      </c>
      <c r="R102">
        <f>IF(AND(Table2[[#This Row],[STATES in numeric format]]=1,F101=-1,F100=1),1,0)</f>
        <v>0</v>
      </c>
      <c r="S102">
        <f>IF(AND(Table2[[#This Row],[STATES in numeric format]]=1,F101=1,F100=-1),1,0)</f>
        <v>0</v>
      </c>
      <c r="T102">
        <f>IF(AND(Table2[[#This Row],[STATES in numeric format]]=1,F101=0,F100=0),1,0)</f>
        <v>0</v>
      </c>
      <c r="U102">
        <f>IF(AND(Table2[[#This Row],[STATES in numeric format]]=1,F101=1,F100=0),1,0)</f>
        <v>0</v>
      </c>
      <c r="V102">
        <f>IF(AND(Table2[[#This Row],[STATES in numeric format]]=1,F101=-1,F100=0),1,0)</f>
        <v>0</v>
      </c>
      <c r="W102">
        <f>IF(AND(Table2[[#This Row],[STATES in numeric format]]=1,F101=0,F100=1),1,0)</f>
        <v>0</v>
      </c>
      <c r="X102">
        <f>IF(AND(Table2[[#This Row],[STATES in numeric format]]=1,F101=0,F100=-1),1,0)</f>
        <v>0</v>
      </c>
      <c r="Y102">
        <f>IF(AND(Table2[[#This Row],[STATES in numeric format]]=0,F101=1,F100=1),1,0)</f>
        <v>0</v>
      </c>
      <c r="Z102">
        <f>IF(AND(Table2[[#This Row],[STATES in numeric format]]=0,F101=-1,F100=-1),1,0)</f>
        <v>0</v>
      </c>
      <c r="AA102">
        <f>IF(AND(Table2[[#This Row],[STATES in numeric format]]=0,F101=-1,F100=1),1,0)</f>
        <v>0</v>
      </c>
      <c r="AB102">
        <f>IF(AND(Table2[[#This Row],[STATES in numeric format]]=0,F101=1,F100=-1),1,0)</f>
        <v>0</v>
      </c>
      <c r="AC102">
        <f>IF(AND(Table2[[#This Row],[STATES in numeric format]]=0,F101=0,F100=0),1,0)</f>
        <v>0</v>
      </c>
      <c r="AD102">
        <f>IF(AND(Table2[[#This Row],[STATES in numeric format]]=0,F101=1,F100=0),1,0)</f>
        <v>0</v>
      </c>
      <c r="AE102">
        <f>IF(AND(Table2[[#This Row],[STATES in numeric format]]=0,F101=-1,F100=0),1,0)</f>
        <v>0</v>
      </c>
      <c r="AF102">
        <f>IF(AND(Table2[[#This Row],[STATES in numeric format]]=0,F101=0,F100=1),1,0)</f>
        <v>0</v>
      </c>
      <c r="AG102">
        <f>IF(AND(Table2[[#This Row],[STATES in numeric format]]=0,F101=0,F100=-1),1,0)</f>
        <v>0</v>
      </c>
    </row>
    <row r="103" spans="1:33" x14ac:dyDescent="0.3">
      <c r="A103" s="1">
        <v>43983</v>
      </c>
      <c r="B103">
        <v>33303.519999999997</v>
      </c>
      <c r="C103">
        <f>Table2[[#This Row],[Close]]-0.001*Table2[[#This Row],[Close]]</f>
        <v>33270.216479999995</v>
      </c>
      <c r="D103">
        <f>Table2[[#This Row],[Close]]+0.001*Table2[[#This Row],[Close]]</f>
        <v>33336.823519999998</v>
      </c>
      <c r="E103" t="str">
        <f>IF(Table2[[#This Row],[Close]]&gt;D102,"up",IF(Table2[[#This Row],[Close]]&lt;C102,"down","constant"))</f>
        <v>up</v>
      </c>
      <c r="F103" s="3">
        <f>IF(Table2[[#This Row],[States]]="up",1,IF(Table2[[#This Row],[States]]="down",-1,0))</f>
        <v>1</v>
      </c>
      <c r="G103">
        <f>IF(AND(Table2[[#This Row],[STATES in numeric format]]=-1,F102=1,F101=1),1,0)</f>
        <v>0</v>
      </c>
      <c r="H103">
        <f>IF(AND(Table2[[#This Row],[STATES in numeric format]]=-1,F102=-1,F101=-1),1,0)</f>
        <v>0</v>
      </c>
      <c r="I103">
        <f>IF(AND(Table2[[#This Row],[STATES in numeric format]]=-1,F102=-1,F101=1),1,0)</f>
        <v>0</v>
      </c>
      <c r="J103">
        <f>IF(AND(Table2[[#This Row],[STATES in numeric format]]=-1,F102=1,F101=-1),1,0)</f>
        <v>0</v>
      </c>
      <c r="K103">
        <f>IF(AND(Table2[[#This Row],[STATES in numeric format]]=-1,F102=0,F101=0),1,0)</f>
        <v>0</v>
      </c>
      <c r="L103">
        <f>IF(AND(Table2[[#This Row],[STATES in numeric format]]=-1,F102=1,F101=0),1,0)</f>
        <v>0</v>
      </c>
      <c r="M103">
        <f>IF(AND(Table2[[#This Row],[STATES in numeric format]]=-1,F102=-1,F101=0),1,0)</f>
        <v>0</v>
      </c>
      <c r="N103">
        <f>IF(AND(Table2[[#This Row],[STATES in numeric format]]=-1,F102=0,F101=1),1,0)</f>
        <v>0</v>
      </c>
      <c r="O103">
        <f>IF(AND(Table2[[#This Row],[STATES in numeric format]]=-1,F102=0,F101=-1),1,0)</f>
        <v>0</v>
      </c>
      <c r="P103">
        <f>IF(AND(Table2[[#This Row],[STATES in numeric format]]=1,F102=1,F101=1),1,0)</f>
        <v>1</v>
      </c>
      <c r="Q103">
        <f>IF(AND(Table2[[#This Row],[STATES in numeric format]]=1,F102=-1,F101=-1),1,0)</f>
        <v>0</v>
      </c>
      <c r="R103">
        <f>IF(AND(Table2[[#This Row],[STATES in numeric format]]=1,F102=-1,F101=1),1,0)</f>
        <v>0</v>
      </c>
      <c r="S103">
        <f>IF(AND(Table2[[#This Row],[STATES in numeric format]]=1,F102=1,F101=-1),1,0)</f>
        <v>0</v>
      </c>
      <c r="T103">
        <f>IF(AND(Table2[[#This Row],[STATES in numeric format]]=1,F102=0,F101=0),1,0)</f>
        <v>0</v>
      </c>
      <c r="U103">
        <f>IF(AND(Table2[[#This Row],[STATES in numeric format]]=1,F102=1,F101=0),1,0)</f>
        <v>0</v>
      </c>
      <c r="V103">
        <f>IF(AND(Table2[[#This Row],[STATES in numeric format]]=1,F102=-1,F101=0),1,0)</f>
        <v>0</v>
      </c>
      <c r="W103">
        <f>IF(AND(Table2[[#This Row],[STATES in numeric format]]=1,F102=0,F101=1),1,0)</f>
        <v>0</v>
      </c>
      <c r="X103">
        <f>IF(AND(Table2[[#This Row],[STATES in numeric format]]=1,F102=0,F101=-1),1,0)</f>
        <v>0</v>
      </c>
      <c r="Y103">
        <f>IF(AND(Table2[[#This Row],[STATES in numeric format]]=0,F102=1,F101=1),1,0)</f>
        <v>0</v>
      </c>
      <c r="Z103">
        <f>IF(AND(Table2[[#This Row],[STATES in numeric format]]=0,F102=-1,F101=-1),1,0)</f>
        <v>0</v>
      </c>
      <c r="AA103">
        <f>IF(AND(Table2[[#This Row],[STATES in numeric format]]=0,F102=-1,F101=1),1,0)</f>
        <v>0</v>
      </c>
      <c r="AB103">
        <f>IF(AND(Table2[[#This Row],[STATES in numeric format]]=0,F102=1,F101=-1),1,0)</f>
        <v>0</v>
      </c>
      <c r="AC103">
        <f>IF(AND(Table2[[#This Row],[STATES in numeric format]]=0,F102=0,F101=0),1,0)</f>
        <v>0</v>
      </c>
      <c r="AD103">
        <f>IF(AND(Table2[[#This Row],[STATES in numeric format]]=0,F102=1,F101=0),1,0)</f>
        <v>0</v>
      </c>
      <c r="AE103">
        <f>IF(AND(Table2[[#This Row],[STATES in numeric format]]=0,F102=-1,F101=0),1,0)</f>
        <v>0</v>
      </c>
      <c r="AF103">
        <f>IF(AND(Table2[[#This Row],[STATES in numeric format]]=0,F102=0,F101=1),1,0)</f>
        <v>0</v>
      </c>
      <c r="AG103">
        <f>IF(AND(Table2[[#This Row],[STATES in numeric format]]=0,F102=0,F101=-1),1,0)</f>
        <v>0</v>
      </c>
    </row>
    <row r="104" spans="1:33" x14ac:dyDescent="0.3">
      <c r="A104" s="1">
        <v>43984</v>
      </c>
      <c r="B104">
        <v>33825.53</v>
      </c>
      <c r="C104">
        <f>Table2[[#This Row],[Close]]-0.001*Table2[[#This Row],[Close]]</f>
        <v>33791.704469999997</v>
      </c>
      <c r="D104">
        <f>Table2[[#This Row],[Close]]+0.001*Table2[[#This Row],[Close]]</f>
        <v>33859.355530000001</v>
      </c>
      <c r="E104" t="str">
        <f>IF(Table2[[#This Row],[Close]]&gt;D103,"up",IF(Table2[[#This Row],[Close]]&lt;C103,"down","constant"))</f>
        <v>up</v>
      </c>
      <c r="F104" s="3">
        <f>IF(Table2[[#This Row],[States]]="up",1,IF(Table2[[#This Row],[States]]="down",-1,0))</f>
        <v>1</v>
      </c>
      <c r="G104">
        <f>IF(AND(Table2[[#This Row],[STATES in numeric format]]=-1,F103=1,F102=1),1,0)</f>
        <v>0</v>
      </c>
      <c r="H104">
        <f>IF(AND(Table2[[#This Row],[STATES in numeric format]]=-1,F103=-1,F102=-1),1,0)</f>
        <v>0</v>
      </c>
      <c r="I104">
        <f>IF(AND(Table2[[#This Row],[STATES in numeric format]]=-1,F103=-1,F102=1),1,0)</f>
        <v>0</v>
      </c>
      <c r="J104">
        <f>IF(AND(Table2[[#This Row],[STATES in numeric format]]=-1,F103=1,F102=-1),1,0)</f>
        <v>0</v>
      </c>
      <c r="K104">
        <f>IF(AND(Table2[[#This Row],[STATES in numeric format]]=-1,F103=0,F102=0),1,0)</f>
        <v>0</v>
      </c>
      <c r="L104">
        <f>IF(AND(Table2[[#This Row],[STATES in numeric format]]=-1,F103=1,F102=0),1,0)</f>
        <v>0</v>
      </c>
      <c r="M104">
        <f>IF(AND(Table2[[#This Row],[STATES in numeric format]]=-1,F103=-1,F102=0),1,0)</f>
        <v>0</v>
      </c>
      <c r="N104">
        <f>IF(AND(Table2[[#This Row],[STATES in numeric format]]=-1,F103=0,F102=1),1,0)</f>
        <v>0</v>
      </c>
      <c r="O104">
        <f>IF(AND(Table2[[#This Row],[STATES in numeric format]]=-1,F103=0,F102=-1),1,0)</f>
        <v>0</v>
      </c>
      <c r="P104">
        <f>IF(AND(Table2[[#This Row],[STATES in numeric format]]=1,F103=1,F102=1),1,0)</f>
        <v>1</v>
      </c>
      <c r="Q104">
        <f>IF(AND(Table2[[#This Row],[STATES in numeric format]]=1,F103=-1,F102=-1),1,0)</f>
        <v>0</v>
      </c>
      <c r="R104">
        <f>IF(AND(Table2[[#This Row],[STATES in numeric format]]=1,F103=-1,F102=1),1,0)</f>
        <v>0</v>
      </c>
      <c r="S104">
        <f>IF(AND(Table2[[#This Row],[STATES in numeric format]]=1,F103=1,F102=-1),1,0)</f>
        <v>0</v>
      </c>
      <c r="T104">
        <f>IF(AND(Table2[[#This Row],[STATES in numeric format]]=1,F103=0,F102=0),1,0)</f>
        <v>0</v>
      </c>
      <c r="U104">
        <f>IF(AND(Table2[[#This Row],[STATES in numeric format]]=1,F103=1,F102=0),1,0)</f>
        <v>0</v>
      </c>
      <c r="V104">
        <f>IF(AND(Table2[[#This Row],[STATES in numeric format]]=1,F103=-1,F102=0),1,0)</f>
        <v>0</v>
      </c>
      <c r="W104">
        <f>IF(AND(Table2[[#This Row],[STATES in numeric format]]=1,F103=0,F102=1),1,0)</f>
        <v>0</v>
      </c>
      <c r="X104">
        <f>IF(AND(Table2[[#This Row],[STATES in numeric format]]=1,F103=0,F102=-1),1,0)</f>
        <v>0</v>
      </c>
      <c r="Y104">
        <f>IF(AND(Table2[[#This Row],[STATES in numeric format]]=0,F103=1,F102=1),1,0)</f>
        <v>0</v>
      </c>
      <c r="Z104">
        <f>IF(AND(Table2[[#This Row],[STATES in numeric format]]=0,F103=-1,F102=-1),1,0)</f>
        <v>0</v>
      </c>
      <c r="AA104">
        <f>IF(AND(Table2[[#This Row],[STATES in numeric format]]=0,F103=-1,F102=1),1,0)</f>
        <v>0</v>
      </c>
      <c r="AB104">
        <f>IF(AND(Table2[[#This Row],[STATES in numeric format]]=0,F103=1,F102=-1),1,0)</f>
        <v>0</v>
      </c>
      <c r="AC104">
        <f>IF(AND(Table2[[#This Row],[STATES in numeric format]]=0,F103=0,F102=0),1,0)</f>
        <v>0</v>
      </c>
      <c r="AD104">
        <f>IF(AND(Table2[[#This Row],[STATES in numeric format]]=0,F103=1,F102=0),1,0)</f>
        <v>0</v>
      </c>
      <c r="AE104">
        <f>IF(AND(Table2[[#This Row],[STATES in numeric format]]=0,F103=-1,F102=0),1,0)</f>
        <v>0</v>
      </c>
      <c r="AF104">
        <f>IF(AND(Table2[[#This Row],[STATES in numeric format]]=0,F103=0,F102=1),1,0)</f>
        <v>0</v>
      </c>
      <c r="AG104">
        <f>IF(AND(Table2[[#This Row],[STATES in numeric format]]=0,F103=0,F102=-1),1,0)</f>
        <v>0</v>
      </c>
    </row>
    <row r="105" spans="1:33" x14ac:dyDescent="0.3">
      <c r="A105" s="1">
        <v>43985</v>
      </c>
      <c r="B105">
        <v>34109.54</v>
      </c>
      <c r="C105">
        <f>Table2[[#This Row],[Close]]-0.001*Table2[[#This Row],[Close]]</f>
        <v>34075.430460000003</v>
      </c>
      <c r="D105">
        <f>Table2[[#This Row],[Close]]+0.001*Table2[[#This Row],[Close]]</f>
        <v>34143.649539999999</v>
      </c>
      <c r="E105" t="str">
        <f>IF(Table2[[#This Row],[Close]]&gt;D104,"up",IF(Table2[[#This Row],[Close]]&lt;C104,"down","constant"))</f>
        <v>up</v>
      </c>
      <c r="F105" s="3">
        <f>IF(Table2[[#This Row],[States]]="up",1,IF(Table2[[#This Row],[States]]="down",-1,0))</f>
        <v>1</v>
      </c>
      <c r="G105">
        <f>IF(AND(Table2[[#This Row],[STATES in numeric format]]=-1,F104=1,F103=1),1,0)</f>
        <v>0</v>
      </c>
      <c r="H105">
        <f>IF(AND(Table2[[#This Row],[STATES in numeric format]]=-1,F104=-1,F103=-1),1,0)</f>
        <v>0</v>
      </c>
      <c r="I105">
        <f>IF(AND(Table2[[#This Row],[STATES in numeric format]]=-1,F104=-1,F103=1),1,0)</f>
        <v>0</v>
      </c>
      <c r="J105">
        <f>IF(AND(Table2[[#This Row],[STATES in numeric format]]=-1,F104=1,F103=-1),1,0)</f>
        <v>0</v>
      </c>
      <c r="K105">
        <f>IF(AND(Table2[[#This Row],[STATES in numeric format]]=-1,F104=0,F103=0),1,0)</f>
        <v>0</v>
      </c>
      <c r="L105">
        <f>IF(AND(Table2[[#This Row],[STATES in numeric format]]=-1,F104=1,F103=0),1,0)</f>
        <v>0</v>
      </c>
      <c r="M105">
        <f>IF(AND(Table2[[#This Row],[STATES in numeric format]]=-1,F104=-1,F103=0),1,0)</f>
        <v>0</v>
      </c>
      <c r="N105">
        <f>IF(AND(Table2[[#This Row],[STATES in numeric format]]=-1,F104=0,F103=1),1,0)</f>
        <v>0</v>
      </c>
      <c r="O105">
        <f>IF(AND(Table2[[#This Row],[STATES in numeric format]]=-1,F104=0,F103=-1),1,0)</f>
        <v>0</v>
      </c>
      <c r="P105">
        <f>IF(AND(Table2[[#This Row],[STATES in numeric format]]=1,F104=1,F103=1),1,0)</f>
        <v>1</v>
      </c>
      <c r="Q105">
        <f>IF(AND(Table2[[#This Row],[STATES in numeric format]]=1,F104=-1,F103=-1),1,0)</f>
        <v>0</v>
      </c>
      <c r="R105">
        <f>IF(AND(Table2[[#This Row],[STATES in numeric format]]=1,F104=-1,F103=1),1,0)</f>
        <v>0</v>
      </c>
      <c r="S105">
        <f>IF(AND(Table2[[#This Row],[STATES in numeric format]]=1,F104=1,F103=-1),1,0)</f>
        <v>0</v>
      </c>
      <c r="T105">
        <f>IF(AND(Table2[[#This Row],[STATES in numeric format]]=1,F104=0,F103=0),1,0)</f>
        <v>0</v>
      </c>
      <c r="U105">
        <f>IF(AND(Table2[[#This Row],[STATES in numeric format]]=1,F104=1,F103=0),1,0)</f>
        <v>0</v>
      </c>
      <c r="V105">
        <f>IF(AND(Table2[[#This Row],[STATES in numeric format]]=1,F104=-1,F103=0),1,0)</f>
        <v>0</v>
      </c>
      <c r="W105">
        <f>IF(AND(Table2[[#This Row],[STATES in numeric format]]=1,F104=0,F103=1),1,0)</f>
        <v>0</v>
      </c>
      <c r="X105">
        <f>IF(AND(Table2[[#This Row],[STATES in numeric format]]=1,F104=0,F103=-1),1,0)</f>
        <v>0</v>
      </c>
      <c r="Y105">
        <f>IF(AND(Table2[[#This Row],[STATES in numeric format]]=0,F104=1,F103=1),1,0)</f>
        <v>0</v>
      </c>
      <c r="Z105">
        <f>IF(AND(Table2[[#This Row],[STATES in numeric format]]=0,F104=-1,F103=-1),1,0)</f>
        <v>0</v>
      </c>
      <c r="AA105">
        <f>IF(AND(Table2[[#This Row],[STATES in numeric format]]=0,F104=-1,F103=1),1,0)</f>
        <v>0</v>
      </c>
      <c r="AB105">
        <f>IF(AND(Table2[[#This Row],[STATES in numeric format]]=0,F104=1,F103=-1),1,0)</f>
        <v>0</v>
      </c>
      <c r="AC105">
        <f>IF(AND(Table2[[#This Row],[STATES in numeric format]]=0,F104=0,F103=0),1,0)</f>
        <v>0</v>
      </c>
      <c r="AD105">
        <f>IF(AND(Table2[[#This Row],[STATES in numeric format]]=0,F104=1,F103=0),1,0)</f>
        <v>0</v>
      </c>
      <c r="AE105">
        <f>IF(AND(Table2[[#This Row],[STATES in numeric format]]=0,F104=-1,F103=0),1,0)</f>
        <v>0</v>
      </c>
      <c r="AF105">
        <f>IF(AND(Table2[[#This Row],[STATES in numeric format]]=0,F104=0,F103=1),1,0)</f>
        <v>0</v>
      </c>
      <c r="AG105">
        <f>IF(AND(Table2[[#This Row],[STATES in numeric format]]=0,F104=0,F103=-1),1,0)</f>
        <v>0</v>
      </c>
    </row>
    <row r="106" spans="1:33" x14ac:dyDescent="0.3">
      <c r="A106" s="1">
        <v>43986</v>
      </c>
      <c r="B106">
        <v>33980.699999999997</v>
      </c>
      <c r="C106">
        <f>Table2[[#This Row],[Close]]-0.001*Table2[[#This Row],[Close]]</f>
        <v>33946.719299999997</v>
      </c>
      <c r="D106">
        <f>Table2[[#This Row],[Close]]+0.001*Table2[[#This Row],[Close]]</f>
        <v>34014.680699999997</v>
      </c>
      <c r="E106" t="str">
        <f>IF(Table2[[#This Row],[Close]]&gt;D105,"up",IF(Table2[[#This Row],[Close]]&lt;C105,"down","constant"))</f>
        <v>down</v>
      </c>
      <c r="F106" s="3">
        <f>IF(Table2[[#This Row],[States]]="up",1,IF(Table2[[#This Row],[States]]="down",-1,0))</f>
        <v>-1</v>
      </c>
      <c r="G106">
        <f>IF(AND(Table2[[#This Row],[STATES in numeric format]]=-1,F105=1,F104=1),1,0)</f>
        <v>1</v>
      </c>
      <c r="H106">
        <f>IF(AND(Table2[[#This Row],[STATES in numeric format]]=-1,F105=-1,F104=-1),1,0)</f>
        <v>0</v>
      </c>
      <c r="I106">
        <f>IF(AND(Table2[[#This Row],[STATES in numeric format]]=-1,F105=-1,F104=1),1,0)</f>
        <v>0</v>
      </c>
      <c r="J106">
        <f>IF(AND(Table2[[#This Row],[STATES in numeric format]]=-1,F105=1,F104=-1),1,0)</f>
        <v>0</v>
      </c>
      <c r="K106">
        <f>IF(AND(Table2[[#This Row],[STATES in numeric format]]=-1,F105=0,F104=0),1,0)</f>
        <v>0</v>
      </c>
      <c r="L106">
        <f>IF(AND(Table2[[#This Row],[STATES in numeric format]]=-1,F105=1,F104=0),1,0)</f>
        <v>0</v>
      </c>
      <c r="M106">
        <f>IF(AND(Table2[[#This Row],[STATES in numeric format]]=-1,F105=-1,F104=0),1,0)</f>
        <v>0</v>
      </c>
      <c r="N106">
        <f>IF(AND(Table2[[#This Row],[STATES in numeric format]]=-1,F105=0,F104=1),1,0)</f>
        <v>0</v>
      </c>
      <c r="O106">
        <f>IF(AND(Table2[[#This Row],[STATES in numeric format]]=-1,F105=0,F104=-1),1,0)</f>
        <v>0</v>
      </c>
      <c r="P106">
        <f>IF(AND(Table2[[#This Row],[STATES in numeric format]]=1,F105=1,F104=1),1,0)</f>
        <v>0</v>
      </c>
      <c r="Q106">
        <f>IF(AND(Table2[[#This Row],[STATES in numeric format]]=1,F105=-1,F104=-1),1,0)</f>
        <v>0</v>
      </c>
      <c r="R106">
        <f>IF(AND(Table2[[#This Row],[STATES in numeric format]]=1,F105=-1,F104=1),1,0)</f>
        <v>0</v>
      </c>
      <c r="S106">
        <f>IF(AND(Table2[[#This Row],[STATES in numeric format]]=1,F105=1,F104=-1),1,0)</f>
        <v>0</v>
      </c>
      <c r="T106">
        <f>IF(AND(Table2[[#This Row],[STATES in numeric format]]=1,F105=0,F104=0),1,0)</f>
        <v>0</v>
      </c>
      <c r="U106">
        <f>IF(AND(Table2[[#This Row],[STATES in numeric format]]=1,F105=1,F104=0),1,0)</f>
        <v>0</v>
      </c>
      <c r="V106">
        <f>IF(AND(Table2[[#This Row],[STATES in numeric format]]=1,F105=-1,F104=0),1,0)</f>
        <v>0</v>
      </c>
      <c r="W106">
        <f>IF(AND(Table2[[#This Row],[STATES in numeric format]]=1,F105=0,F104=1),1,0)</f>
        <v>0</v>
      </c>
      <c r="X106">
        <f>IF(AND(Table2[[#This Row],[STATES in numeric format]]=1,F105=0,F104=-1),1,0)</f>
        <v>0</v>
      </c>
      <c r="Y106">
        <f>IF(AND(Table2[[#This Row],[STATES in numeric format]]=0,F105=1,F104=1),1,0)</f>
        <v>0</v>
      </c>
      <c r="Z106">
        <f>IF(AND(Table2[[#This Row],[STATES in numeric format]]=0,F105=-1,F104=-1),1,0)</f>
        <v>0</v>
      </c>
      <c r="AA106">
        <f>IF(AND(Table2[[#This Row],[STATES in numeric format]]=0,F105=-1,F104=1),1,0)</f>
        <v>0</v>
      </c>
      <c r="AB106">
        <f>IF(AND(Table2[[#This Row],[STATES in numeric format]]=0,F105=1,F104=-1),1,0)</f>
        <v>0</v>
      </c>
      <c r="AC106">
        <f>IF(AND(Table2[[#This Row],[STATES in numeric format]]=0,F105=0,F104=0),1,0)</f>
        <v>0</v>
      </c>
      <c r="AD106">
        <f>IF(AND(Table2[[#This Row],[STATES in numeric format]]=0,F105=1,F104=0),1,0)</f>
        <v>0</v>
      </c>
      <c r="AE106">
        <f>IF(AND(Table2[[#This Row],[STATES in numeric format]]=0,F105=-1,F104=0),1,0)</f>
        <v>0</v>
      </c>
      <c r="AF106">
        <f>IF(AND(Table2[[#This Row],[STATES in numeric format]]=0,F105=0,F104=1),1,0)</f>
        <v>0</v>
      </c>
      <c r="AG106">
        <f>IF(AND(Table2[[#This Row],[STATES in numeric format]]=0,F105=0,F104=-1),1,0)</f>
        <v>0</v>
      </c>
    </row>
    <row r="107" spans="1:33" x14ac:dyDescent="0.3">
      <c r="A107" s="1">
        <v>43987</v>
      </c>
      <c r="B107">
        <v>34287.24</v>
      </c>
      <c r="C107">
        <f>Table2[[#This Row],[Close]]-0.001*Table2[[#This Row],[Close]]</f>
        <v>34252.95276</v>
      </c>
      <c r="D107">
        <f>Table2[[#This Row],[Close]]+0.001*Table2[[#This Row],[Close]]</f>
        <v>34321.527239999996</v>
      </c>
      <c r="E107" t="str">
        <f>IF(Table2[[#This Row],[Close]]&gt;D106,"up",IF(Table2[[#This Row],[Close]]&lt;C106,"down","constant"))</f>
        <v>up</v>
      </c>
      <c r="F107" s="3">
        <f>IF(Table2[[#This Row],[States]]="up",1,IF(Table2[[#This Row],[States]]="down",-1,0))</f>
        <v>1</v>
      </c>
      <c r="G107">
        <f>IF(AND(Table2[[#This Row],[STATES in numeric format]]=-1,F106=1,F105=1),1,0)</f>
        <v>0</v>
      </c>
      <c r="H107">
        <f>IF(AND(Table2[[#This Row],[STATES in numeric format]]=-1,F106=-1,F105=-1),1,0)</f>
        <v>0</v>
      </c>
      <c r="I107">
        <f>IF(AND(Table2[[#This Row],[STATES in numeric format]]=-1,F106=-1,F105=1),1,0)</f>
        <v>0</v>
      </c>
      <c r="J107">
        <f>IF(AND(Table2[[#This Row],[STATES in numeric format]]=-1,F106=1,F105=-1),1,0)</f>
        <v>0</v>
      </c>
      <c r="K107">
        <f>IF(AND(Table2[[#This Row],[STATES in numeric format]]=-1,F106=0,F105=0),1,0)</f>
        <v>0</v>
      </c>
      <c r="L107">
        <f>IF(AND(Table2[[#This Row],[STATES in numeric format]]=-1,F106=1,F105=0),1,0)</f>
        <v>0</v>
      </c>
      <c r="M107">
        <f>IF(AND(Table2[[#This Row],[STATES in numeric format]]=-1,F106=-1,F105=0),1,0)</f>
        <v>0</v>
      </c>
      <c r="N107">
        <f>IF(AND(Table2[[#This Row],[STATES in numeric format]]=-1,F106=0,F105=1),1,0)</f>
        <v>0</v>
      </c>
      <c r="O107">
        <f>IF(AND(Table2[[#This Row],[STATES in numeric format]]=-1,F106=0,F105=-1),1,0)</f>
        <v>0</v>
      </c>
      <c r="P107">
        <f>IF(AND(Table2[[#This Row],[STATES in numeric format]]=1,F106=1,F105=1),1,0)</f>
        <v>0</v>
      </c>
      <c r="Q107">
        <f>IF(AND(Table2[[#This Row],[STATES in numeric format]]=1,F106=-1,F105=-1),1,0)</f>
        <v>0</v>
      </c>
      <c r="R107">
        <f>IF(AND(Table2[[#This Row],[STATES in numeric format]]=1,F106=-1,F105=1),1,0)</f>
        <v>1</v>
      </c>
      <c r="S107">
        <f>IF(AND(Table2[[#This Row],[STATES in numeric format]]=1,F106=1,F105=-1),1,0)</f>
        <v>0</v>
      </c>
      <c r="T107">
        <f>IF(AND(Table2[[#This Row],[STATES in numeric format]]=1,F106=0,F105=0),1,0)</f>
        <v>0</v>
      </c>
      <c r="U107">
        <f>IF(AND(Table2[[#This Row],[STATES in numeric format]]=1,F106=1,F105=0),1,0)</f>
        <v>0</v>
      </c>
      <c r="V107">
        <f>IF(AND(Table2[[#This Row],[STATES in numeric format]]=1,F106=-1,F105=0),1,0)</f>
        <v>0</v>
      </c>
      <c r="W107">
        <f>IF(AND(Table2[[#This Row],[STATES in numeric format]]=1,F106=0,F105=1),1,0)</f>
        <v>0</v>
      </c>
      <c r="X107">
        <f>IF(AND(Table2[[#This Row],[STATES in numeric format]]=1,F106=0,F105=-1),1,0)</f>
        <v>0</v>
      </c>
      <c r="Y107">
        <f>IF(AND(Table2[[#This Row],[STATES in numeric format]]=0,F106=1,F105=1),1,0)</f>
        <v>0</v>
      </c>
      <c r="Z107">
        <f>IF(AND(Table2[[#This Row],[STATES in numeric format]]=0,F106=-1,F105=-1),1,0)</f>
        <v>0</v>
      </c>
      <c r="AA107">
        <f>IF(AND(Table2[[#This Row],[STATES in numeric format]]=0,F106=-1,F105=1),1,0)</f>
        <v>0</v>
      </c>
      <c r="AB107">
        <f>IF(AND(Table2[[#This Row],[STATES in numeric format]]=0,F106=1,F105=-1),1,0)</f>
        <v>0</v>
      </c>
      <c r="AC107">
        <f>IF(AND(Table2[[#This Row],[STATES in numeric format]]=0,F106=0,F105=0),1,0)</f>
        <v>0</v>
      </c>
      <c r="AD107">
        <f>IF(AND(Table2[[#This Row],[STATES in numeric format]]=0,F106=1,F105=0),1,0)</f>
        <v>0</v>
      </c>
      <c r="AE107">
        <f>IF(AND(Table2[[#This Row],[STATES in numeric format]]=0,F106=-1,F105=0),1,0)</f>
        <v>0</v>
      </c>
      <c r="AF107">
        <f>IF(AND(Table2[[#This Row],[STATES in numeric format]]=0,F106=0,F105=1),1,0)</f>
        <v>0</v>
      </c>
      <c r="AG107">
        <f>IF(AND(Table2[[#This Row],[STATES in numeric format]]=0,F106=0,F105=-1),1,0)</f>
        <v>0</v>
      </c>
    </row>
    <row r="108" spans="1:33" x14ac:dyDescent="0.3">
      <c r="A108" s="1">
        <v>43990</v>
      </c>
      <c r="B108">
        <v>34370.58</v>
      </c>
      <c r="C108">
        <f>Table2[[#This Row],[Close]]-0.001*Table2[[#This Row],[Close]]</f>
        <v>34336.209419999999</v>
      </c>
      <c r="D108">
        <f>Table2[[#This Row],[Close]]+0.001*Table2[[#This Row],[Close]]</f>
        <v>34404.950580000004</v>
      </c>
      <c r="E108" t="str">
        <f>IF(Table2[[#This Row],[Close]]&gt;D107,"up",IF(Table2[[#This Row],[Close]]&lt;C107,"down","constant"))</f>
        <v>up</v>
      </c>
      <c r="F108" s="3">
        <f>IF(Table2[[#This Row],[States]]="up",1,IF(Table2[[#This Row],[States]]="down",-1,0))</f>
        <v>1</v>
      </c>
      <c r="G108">
        <f>IF(AND(Table2[[#This Row],[STATES in numeric format]]=-1,F107=1,F106=1),1,0)</f>
        <v>0</v>
      </c>
      <c r="H108">
        <f>IF(AND(Table2[[#This Row],[STATES in numeric format]]=-1,F107=-1,F106=-1),1,0)</f>
        <v>0</v>
      </c>
      <c r="I108">
        <f>IF(AND(Table2[[#This Row],[STATES in numeric format]]=-1,F107=-1,F106=1),1,0)</f>
        <v>0</v>
      </c>
      <c r="J108">
        <f>IF(AND(Table2[[#This Row],[STATES in numeric format]]=-1,F107=1,F106=-1),1,0)</f>
        <v>0</v>
      </c>
      <c r="K108">
        <f>IF(AND(Table2[[#This Row],[STATES in numeric format]]=-1,F107=0,F106=0),1,0)</f>
        <v>0</v>
      </c>
      <c r="L108">
        <f>IF(AND(Table2[[#This Row],[STATES in numeric format]]=-1,F107=1,F106=0),1,0)</f>
        <v>0</v>
      </c>
      <c r="M108">
        <f>IF(AND(Table2[[#This Row],[STATES in numeric format]]=-1,F107=-1,F106=0),1,0)</f>
        <v>0</v>
      </c>
      <c r="N108">
        <f>IF(AND(Table2[[#This Row],[STATES in numeric format]]=-1,F107=0,F106=1),1,0)</f>
        <v>0</v>
      </c>
      <c r="O108">
        <f>IF(AND(Table2[[#This Row],[STATES in numeric format]]=-1,F107=0,F106=-1),1,0)</f>
        <v>0</v>
      </c>
      <c r="P108">
        <f>IF(AND(Table2[[#This Row],[STATES in numeric format]]=1,F107=1,F106=1),1,0)</f>
        <v>0</v>
      </c>
      <c r="Q108">
        <f>IF(AND(Table2[[#This Row],[STATES in numeric format]]=1,F107=-1,F106=-1),1,0)</f>
        <v>0</v>
      </c>
      <c r="R108">
        <f>IF(AND(Table2[[#This Row],[STATES in numeric format]]=1,F107=-1,F106=1),1,0)</f>
        <v>0</v>
      </c>
      <c r="S108">
        <f>IF(AND(Table2[[#This Row],[STATES in numeric format]]=1,F107=1,F106=-1),1,0)</f>
        <v>1</v>
      </c>
      <c r="T108">
        <f>IF(AND(Table2[[#This Row],[STATES in numeric format]]=1,F107=0,F106=0),1,0)</f>
        <v>0</v>
      </c>
      <c r="U108">
        <f>IF(AND(Table2[[#This Row],[STATES in numeric format]]=1,F107=1,F106=0),1,0)</f>
        <v>0</v>
      </c>
      <c r="V108">
        <f>IF(AND(Table2[[#This Row],[STATES in numeric format]]=1,F107=-1,F106=0),1,0)</f>
        <v>0</v>
      </c>
      <c r="W108">
        <f>IF(AND(Table2[[#This Row],[STATES in numeric format]]=1,F107=0,F106=1),1,0)</f>
        <v>0</v>
      </c>
      <c r="X108">
        <f>IF(AND(Table2[[#This Row],[STATES in numeric format]]=1,F107=0,F106=-1),1,0)</f>
        <v>0</v>
      </c>
      <c r="Y108">
        <f>IF(AND(Table2[[#This Row],[STATES in numeric format]]=0,F107=1,F106=1),1,0)</f>
        <v>0</v>
      </c>
      <c r="Z108">
        <f>IF(AND(Table2[[#This Row],[STATES in numeric format]]=0,F107=-1,F106=-1),1,0)</f>
        <v>0</v>
      </c>
      <c r="AA108">
        <f>IF(AND(Table2[[#This Row],[STATES in numeric format]]=0,F107=-1,F106=1),1,0)</f>
        <v>0</v>
      </c>
      <c r="AB108">
        <f>IF(AND(Table2[[#This Row],[STATES in numeric format]]=0,F107=1,F106=-1),1,0)</f>
        <v>0</v>
      </c>
      <c r="AC108">
        <f>IF(AND(Table2[[#This Row],[STATES in numeric format]]=0,F107=0,F106=0),1,0)</f>
        <v>0</v>
      </c>
      <c r="AD108">
        <f>IF(AND(Table2[[#This Row],[STATES in numeric format]]=0,F107=1,F106=0),1,0)</f>
        <v>0</v>
      </c>
      <c r="AE108">
        <f>IF(AND(Table2[[#This Row],[STATES in numeric format]]=0,F107=-1,F106=0),1,0)</f>
        <v>0</v>
      </c>
      <c r="AF108">
        <f>IF(AND(Table2[[#This Row],[STATES in numeric format]]=0,F107=0,F106=1),1,0)</f>
        <v>0</v>
      </c>
      <c r="AG108">
        <f>IF(AND(Table2[[#This Row],[STATES in numeric format]]=0,F107=0,F106=-1),1,0)</f>
        <v>0</v>
      </c>
    </row>
    <row r="109" spans="1:33" x14ac:dyDescent="0.3">
      <c r="A109" s="1">
        <v>43991</v>
      </c>
      <c r="B109">
        <v>33956.69</v>
      </c>
      <c r="C109">
        <f>Table2[[#This Row],[Close]]-0.001*Table2[[#This Row],[Close]]</f>
        <v>33922.733310000003</v>
      </c>
      <c r="D109">
        <f>Table2[[#This Row],[Close]]+0.001*Table2[[#This Row],[Close]]</f>
        <v>33990.646690000001</v>
      </c>
      <c r="E109" t="str">
        <f>IF(Table2[[#This Row],[Close]]&gt;D108,"up",IF(Table2[[#This Row],[Close]]&lt;C108,"down","constant"))</f>
        <v>down</v>
      </c>
      <c r="F109" s="3">
        <f>IF(Table2[[#This Row],[States]]="up",1,IF(Table2[[#This Row],[States]]="down",-1,0))</f>
        <v>-1</v>
      </c>
      <c r="G109">
        <f>IF(AND(Table2[[#This Row],[STATES in numeric format]]=-1,F108=1,F107=1),1,0)</f>
        <v>1</v>
      </c>
      <c r="H109">
        <f>IF(AND(Table2[[#This Row],[STATES in numeric format]]=-1,F108=-1,F107=-1),1,0)</f>
        <v>0</v>
      </c>
      <c r="I109">
        <f>IF(AND(Table2[[#This Row],[STATES in numeric format]]=-1,F108=-1,F107=1),1,0)</f>
        <v>0</v>
      </c>
      <c r="J109">
        <f>IF(AND(Table2[[#This Row],[STATES in numeric format]]=-1,F108=1,F107=-1),1,0)</f>
        <v>0</v>
      </c>
      <c r="K109">
        <f>IF(AND(Table2[[#This Row],[STATES in numeric format]]=-1,F108=0,F107=0),1,0)</f>
        <v>0</v>
      </c>
      <c r="L109">
        <f>IF(AND(Table2[[#This Row],[STATES in numeric format]]=-1,F108=1,F107=0),1,0)</f>
        <v>0</v>
      </c>
      <c r="M109">
        <f>IF(AND(Table2[[#This Row],[STATES in numeric format]]=-1,F108=-1,F107=0),1,0)</f>
        <v>0</v>
      </c>
      <c r="N109">
        <f>IF(AND(Table2[[#This Row],[STATES in numeric format]]=-1,F108=0,F107=1),1,0)</f>
        <v>0</v>
      </c>
      <c r="O109">
        <f>IF(AND(Table2[[#This Row],[STATES in numeric format]]=-1,F108=0,F107=-1),1,0)</f>
        <v>0</v>
      </c>
      <c r="P109">
        <f>IF(AND(Table2[[#This Row],[STATES in numeric format]]=1,F108=1,F107=1),1,0)</f>
        <v>0</v>
      </c>
      <c r="Q109">
        <f>IF(AND(Table2[[#This Row],[STATES in numeric format]]=1,F108=-1,F107=-1),1,0)</f>
        <v>0</v>
      </c>
      <c r="R109">
        <f>IF(AND(Table2[[#This Row],[STATES in numeric format]]=1,F108=-1,F107=1),1,0)</f>
        <v>0</v>
      </c>
      <c r="S109">
        <f>IF(AND(Table2[[#This Row],[STATES in numeric format]]=1,F108=1,F107=-1),1,0)</f>
        <v>0</v>
      </c>
      <c r="T109">
        <f>IF(AND(Table2[[#This Row],[STATES in numeric format]]=1,F108=0,F107=0),1,0)</f>
        <v>0</v>
      </c>
      <c r="U109">
        <f>IF(AND(Table2[[#This Row],[STATES in numeric format]]=1,F108=1,F107=0),1,0)</f>
        <v>0</v>
      </c>
      <c r="V109">
        <f>IF(AND(Table2[[#This Row],[STATES in numeric format]]=1,F108=-1,F107=0),1,0)</f>
        <v>0</v>
      </c>
      <c r="W109">
        <f>IF(AND(Table2[[#This Row],[STATES in numeric format]]=1,F108=0,F107=1),1,0)</f>
        <v>0</v>
      </c>
      <c r="X109">
        <f>IF(AND(Table2[[#This Row],[STATES in numeric format]]=1,F108=0,F107=-1),1,0)</f>
        <v>0</v>
      </c>
      <c r="Y109">
        <f>IF(AND(Table2[[#This Row],[STATES in numeric format]]=0,F108=1,F107=1),1,0)</f>
        <v>0</v>
      </c>
      <c r="Z109">
        <f>IF(AND(Table2[[#This Row],[STATES in numeric format]]=0,F108=-1,F107=-1),1,0)</f>
        <v>0</v>
      </c>
      <c r="AA109">
        <f>IF(AND(Table2[[#This Row],[STATES in numeric format]]=0,F108=-1,F107=1),1,0)</f>
        <v>0</v>
      </c>
      <c r="AB109">
        <f>IF(AND(Table2[[#This Row],[STATES in numeric format]]=0,F108=1,F107=-1),1,0)</f>
        <v>0</v>
      </c>
      <c r="AC109">
        <f>IF(AND(Table2[[#This Row],[STATES in numeric format]]=0,F108=0,F107=0),1,0)</f>
        <v>0</v>
      </c>
      <c r="AD109">
        <f>IF(AND(Table2[[#This Row],[STATES in numeric format]]=0,F108=1,F107=0),1,0)</f>
        <v>0</v>
      </c>
      <c r="AE109">
        <f>IF(AND(Table2[[#This Row],[STATES in numeric format]]=0,F108=-1,F107=0),1,0)</f>
        <v>0</v>
      </c>
      <c r="AF109">
        <f>IF(AND(Table2[[#This Row],[STATES in numeric format]]=0,F108=0,F107=1),1,0)</f>
        <v>0</v>
      </c>
      <c r="AG109">
        <f>IF(AND(Table2[[#This Row],[STATES in numeric format]]=0,F108=0,F107=-1),1,0)</f>
        <v>0</v>
      </c>
    </row>
    <row r="110" spans="1:33" x14ac:dyDescent="0.3">
      <c r="A110" s="1">
        <v>43992</v>
      </c>
      <c r="B110">
        <v>34247.050000000003</v>
      </c>
      <c r="C110">
        <f>Table2[[#This Row],[Close]]-0.001*Table2[[#This Row],[Close]]</f>
        <v>34212.802950000005</v>
      </c>
      <c r="D110">
        <f>Table2[[#This Row],[Close]]+0.001*Table2[[#This Row],[Close]]</f>
        <v>34281.297050000001</v>
      </c>
      <c r="E110" t="str">
        <f>IF(Table2[[#This Row],[Close]]&gt;D109,"up",IF(Table2[[#This Row],[Close]]&lt;C109,"down","constant"))</f>
        <v>up</v>
      </c>
      <c r="F110" s="3">
        <f>IF(Table2[[#This Row],[States]]="up",1,IF(Table2[[#This Row],[States]]="down",-1,0))</f>
        <v>1</v>
      </c>
      <c r="G110">
        <f>IF(AND(Table2[[#This Row],[STATES in numeric format]]=-1,F109=1,F108=1),1,0)</f>
        <v>0</v>
      </c>
      <c r="H110">
        <f>IF(AND(Table2[[#This Row],[STATES in numeric format]]=-1,F109=-1,F108=-1),1,0)</f>
        <v>0</v>
      </c>
      <c r="I110">
        <f>IF(AND(Table2[[#This Row],[STATES in numeric format]]=-1,F109=-1,F108=1),1,0)</f>
        <v>0</v>
      </c>
      <c r="J110">
        <f>IF(AND(Table2[[#This Row],[STATES in numeric format]]=-1,F109=1,F108=-1),1,0)</f>
        <v>0</v>
      </c>
      <c r="K110">
        <f>IF(AND(Table2[[#This Row],[STATES in numeric format]]=-1,F109=0,F108=0),1,0)</f>
        <v>0</v>
      </c>
      <c r="L110">
        <f>IF(AND(Table2[[#This Row],[STATES in numeric format]]=-1,F109=1,F108=0),1,0)</f>
        <v>0</v>
      </c>
      <c r="M110">
        <f>IF(AND(Table2[[#This Row],[STATES in numeric format]]=-1,F109=-1,F108=0),1,0)</f>
        <v>0</v>
      </c>
      <c r="N110">
        <f>IF(AND(Table2[[#This Row],[STATES in numeric format]]=-1,F109=0,F108=1),1,0)</f>
        <v>0</v>
      </c>
      <c r="O110">
        <f>IF(AND(Table2[[#This Row],[STATES in numeric format]]=-1,F109=0,F108=-1),1,0)</f>
        <v>0</v>
      </c>
      <c r="P110">
        <f>IF(AND(Table2[[#This Row],[STATES in numeric format]]=1,F109=1,F108=1),1,0)</f>
        <v>0</v>
      </c>
      <c r="Q110">
        <f>IF(AND(Table2[[#This Row],[STATES in numeric format]]=1,F109=-1,F108=-1),1,0)</f>
        <v>0</v>
      </c>
      <c r="R110">
        <f>IF(AND(Table2[[#This Row],[STATES in numeric format]]=1,F109=-1,F108=1),1,0)</f>
        <v>1</v>
      </c>
      <c r="S110">
        <f>IF(AND(Table2[[#This Row],[STATES in numeric format]]=1,F109=1,F108=-1),1,0)</f>
        <v>0</v>
      </c>
      <c r="T110">
        <f>IF(AND(Table2[[#This Row],[STATES in numeric format]]=1,F109=0,F108=0),1,0)</f>
        <v>0</v>
      </c>
      <c r="U110">
        <f>IF(AND(Table2[[#This Row],[STATES in numeric format]]=1,F109=1,F108=0),1,0)</f>
        <v>0</v>
      </c>
      <c r="V110">
        <f>IF(AND(Table2[[#This Row],[STATES in numeric format]]=1,F109=-1,F108=0),1,0)</f>
        <v>0</v>
      </c>
      <c r="W110">
        <f>IF(AND(Table2[[#This Row],[STATES in numeric format]]=1,F109=0,F108=1),1,0)</f>
        <v>0</v>
      </c>
      <c r="X110">
        <f>IF(AND(Table2[[#This Row],[STATES in numeric format]]=1,F109=0,F108=-1),1,0)</f>
        <v>0</v>
      </c>
      <c r="Y110">
        <f>IF(AND(Table2[[#This Row],[STATES in numeric format]]=0,F109=1,F108=1),1,0)</f>
        <v>0</v>
      </c>
      <c r="Z110">
        <f>IF(AND(Table2[[#This Row],[STATES in numeric format]]=0,F109=-1,F108=-1),1,0)</f>
        <v>0</v>
      </c>
      <c r="AA110">
        <f>IF(AND(Table2[[#This Row],[STATES in numeric format]]=0,F109=-1,F108=1),1,0)</f>
        <v>0</v>
      </c>
      <c r="AB110">
        <f>IF(AND(Table2[[#This Row],[STATES in numeric format]]=0,F109=1,F108=-1),1,0)</f>
        <v>0</v>
      </c>
      <c r="AC110">
        <f>IF(AND(Table2[[#This Row],[STATES in numeric format]]=0,F109=0,F108=0),1,0)</f>
        <v>0</v>
      </c>
      <c r="AD110">
        <f>IF(AND(Table2[[#This Row],[STATES in numeric format]]=0,F109=1,F108=0),1,0)</f>
        <v>0</v>
      </c>
      <c r="AE110">
        <f>IF(AND(Table2[[#This Row],[STATES in numeric format]]=0,F109=-1,F108=0),1,0)</f>
        <v>0</v>
      </c>
      <c r="AF110">
        <f>IF(AND(Table2[[#This Row],[STATES in numeric format]]=0,F109=0,F108=1),1,0)</f>
        <v>0</v>
      </c>
      <c r="AG110">
        <f>IF(AND(Table2[[#This Row],[STATES in numeric format]]=0,F109=0,F108=-1),1,0)</f>
        <v>0</v>
      </c>
    </row>
    <row r="111" spans="1:33" x14ac:dyDescent="0.3">
      <c r="A111" s="1">
        <v>43993</v>
      </c>
      <c r="B111">
        <v>33538.370000000003</v>
      </c>
      <c r="C111">
        <f>Table2[[#This Row],[Close]]-0.001*Table2[[#This Row],[Close]]</f>
        <v>33504.831630000001</v>
      </c>
      <c r="D111">
        <f>Table2[[#This Row],[Close]]+0.001*Table2[[#This Row],[Close]]</f>
        <v>33571.908370000005</v>
      </c>
      <c r="E111" t="str">
        <f>IF(Table2[[#This Row],[Close]]&gt;D110,"up",IF(Table2[[#This Row],[Close]]&lt;C110,"down","constant"))</f>
        <v>down</v>
      </c>
      <c r="F111" s="3">
        <f>IF(Table2[[#This Row],[States]]="up",1,IF(Table2[[#This Row],[States]]="down",-1,0))</f>
        <v>-1</v>
      </c>
      <c r="G111">
        <f>IF(AND(Table2[[#This Row],[STATES in numeric format]]=-1,F110=1,F109=1),1,0)</f>
        <v>0</v>
      </c>
      <c r="H111">
        <f>IF(AND(Table2[[#This Row],[STATES in numeric format]]=-1,F110=-1,F109=-1),1,0)</f>
        <v>0</v>
      </c>
      <c r="I111">
        <f>IF(AND(Table2[[#This Row],[STATES in numeric format]]=-1,F110=-1,F109=1),1,0)</f>
        <v>0</v>
      </c>
      <c r="J111">
        <f>IF(AND(Table2[[#This Row],[STATES in numeric format]]=-1,F110=1,F109=-1),1,0)</f>
        <v>1</v>
      </c>
      <c r="K111">
        <f>IF(AND(Table2[[#This Row],[STATES in numeric format]]=-1,F110=0,F109=0),1,0)</f>
        <v>0</v>
      </c>
      <c r="L111">
        <f>IF(AND(Table2[[#This Row],[STATES in numeric format]]=-1,F110=1,F109=0),1,0)</f>
        <v>0</v>
      </c>
      <c r="M111">
        <f>IF(AND(Table2[[#This Row],[STATES in numeric format]]=-1,F110=-1,F109=0),1,0)</f>
        <v>0</v>
      </c>
      <c r="N111">
        <f>IF(AND(Table2[[#This Row],[STATES in numeric format]]=-1,F110=0,F109=1),1,0)</f>
        <v>0</v>
      </c>
      <c r="O111">
        <f>IF(AND(Table2[[#This Row],[STATES in numeric format]]=-1,F110=0,F109=-1),1,0)</f>
        <v>0</v>
      </c>
      <c r="P111">
        <f>IF(AND(Table2[[#This Row],[STATES in numeric format]]=1,F110=1,F109=1),1,0)</f>
        <v>0</v>
      </c>
      <c r="Q111">
        <f>IF(AND(Table2[[#This Row],[STATES in numeric format]]=1,F110=-1,F109=-1),1,0)</f>
        <v>0</v>
      </c>
      <c r="R111">
        <f>IF(AND(Table2[[#This Row],[STATES in numeric format]]=1,F110=-1,F109=1),1,0)</f>
        <v>0</v>
      </c>
      <c r="S111">
        <f>IF(AND(Table2[[#This Row],[STATES in numeric format]]=1,F110=1,F109=-1),1,0)</f>
        <v>0</v>
      </c>
      <c r="T111">
        <f>IF(AND(Table2[[#This Row],[STATES in numeric format]]=1,F110=0,F109=0),1,0)</f>
        <v>0</v>
      </c>
      <c r="U111">
        <f>IF(AND(Table2[[#This Row],[STATES in numeric format]]=1,F110=1,F109=0),1,0)</f>
        <v>0</v>
      </c>
      <c r="V111">
        <f>IF(AND(Table2[[#This Row],[STATES in numeric format]]=1,F110=-1,F109=0),1,0)</f>
        <v>0</v>
      </c>
      <c r="W111">
        <f>IF(AND(Table2[[#This Row],[STATES in numeric format]]=1,F110=0,F109=1),1,0)</f>
        <v>0</v>
      </c>
      <c r="X111">
        <f>IF(AND(Table2[[#This Row],[STATES in numeric format]]=1,F110=0,F109=-1),1,0)</f>
        <v>0</v>
      </c>
      <c r="Y111">
        <f>IF(AND(Table2[[#This Row],[STATES in numeric format]]=0,F110=1,F109=1),1,0)</f>
        <v>0</v>
      </c>
      <c r="Z111">
        <f>IF(AND(Table2[[#This Row],[STATES in numeric format]]=0,F110=-1,F109=-1),1,0)</f>
        <v>0</v>
      </c>
      <c r="AA111">
        <f>IF(AND(Table2[[#This Row],[STATES in numeric format]]=0,F110=-1,F109=1),1,0)</f>
        <v>0</v>
      </c>
      <c r="AB111">
        <f>IF(AND(Table2[[#This Row],[STATES in numeric format]]=0,F110=1,F109=-1),1,0)</f>
        <v>0</v>
      </c>
      <c r="AC111">
        <f>IF(AND(Table2[[#This Row],[STATES in numeric format]]=0,F110=0,F109=0),1,0)</f>
        <v>0</v>
      </c>
      <c r="AD111">
        <f>IF(AND(Table2[[#This Row],[STATES in numeric format]]=0,F110=1,F109=0),1,0)</f>
        <v>0</v>
      </c>
      <c r="AE111">
        <f>IF(AND(Table2[[#This Row],[STATES in numeric format]]=0,F110=-1,F109=0),1,0)</f>
        <v>0</v>
      </c>
      <c r="AF111">
        <f>IF(AND(Table2[[#This Row],[STATES in numeric format]]=0,F110=0,F109=1),1,0)</f>
        <v>0</v>
      </c>
      <c r="AG111">
        <f>IF(AND(Table2[[#This Row],[STATES in numeric format]]=0,F110=0,F109=-1),1,0)</f>
        <v>0</v>
      </c>
    </row>
    <row r="112" spans="1:33" x14ac:dyDescent="0.3">
      <c r="A112" s="1">
        <v>43994</v>
      </c>
      <c r="B112">
        <v>33780.89</v>
      </c>
      <c r="C112">
        <f>Table2[[#This Row],[Close]]-0.001*Table2[[#This Row],[Close]]</f>
        <v>33747.109109999998</v>
      </c>
      <c r="D112">
        <f>Table2[[#This Row],[Close]]+0.001*Table2[[#This Row],[Close]]</f>
        <v>33814.670890000001</v>
      </c>
      <c r="E112" t="str">
        <f>IF(Table2[[#This Row],[Close]]&gt;D111,"up",IF(Table2[[#This Row],[Close]]&lt;C111,"down","constant"))</f>
        <v>up</v>
      </c>
      <c r="F112" s="3">
        <f>IF(Table2[[#This Row],[States]]="up",1,IF(Table2[[#This Row],[States]]="down",-1,0))</f>
        <v>1</v>
      </c>
      <c r="G112">
        <f>IF(AND(Table2[[#This Row],[STATES in numeric format]]=-1,F111=1,F110=1),1,0)</f>
        <v>0</v>
      </c>
      <c r="H112">
        <f>IF(AND(Table2[[#This Row],[STATES in numeric format]]=-1,F111=-1,F110=-1),1,0)</f>
        <v>0</v>
      </c>
      <c r="I112">
        <f>IF(AND(Table2[[#This Row],[STATES in numeric format]]=-1,F111=-1,F110=1),1,0)</f>
        <v>0</v>
      </c>
      <c r="J112">
        <f>IF(AND(Table2[[#This Row],[STATES in numeric format]]=-1,F111=1,F110=-1),1,0)</f>
        <v>0</v>
      </c>
      <c r="K112">
        <f>IF(AND(Table2[[#This Row],[STATES in numeric format]]=-1,F111=0,F110=0),1,0)</f>
        <v>0</v>
      </c>
      <c r="L112">
        <f>IF(AND(Table2[[#This Row],[STATES in numeric format]]=-1,F111=1,F110=0),1,0)</f>
        <v>0</v>
      </c>
      <c r="M112">
        <f>IF(AND(Table2[[#This Row],[STATES in numeric format]]=-1,F111=-1,F110=0),1,0)</f>
        <v>0</v>
      </c>
      <c r="N112">
        <f>IF(AND(Table2[[#This Row],[STATES in numeric format]]=-1,F111=0,F110=1),1,0)</f>
        <v>0</v>
      </c>
      <c r="O112">
        <f>IF(AND(Table2[[#This Row],[STATES in numeric format]]=-1,F111=0,F110=-1),1,0)</f>
        <v>0</v>
      </c>
      <c r="P112">
        <f>IF(AND(Table2[[#This Row],[STATES in numeric format]]=1,F111=1,F110=1),1,0)</f>
        <v>0</v>
      </c>
      <c r="Q112">
        <f>IF(AND(Table2[[#This Row],[STATES in numeric format]]=1,F111=-1,F110=-1),1,0)</f>
        <v>0</v>
      </c>
      <c r="R112">
        <f>IF(AND(Table2[[#This Row],[STATES in numeric format]]=1,F111=-1,F110=1),1,0)</f>
        <v>1</v>
      </c>
      <c r="S112">
        <f>IF(AND(Table2[[#This Row],[STATES in numeric format]]=1,F111=1,F110=-1),1,0)</f>
        <v>0</v>
      </c>
      <c r="T112">
        <f>IF(AND(Table2[[#This Row],[STATES in numeric format]]=1,F111=0,F110=0),1,0)</f>
        <v>0</v>
      </c>
      <c r="U112">
        <f>IF(AND(Table2[[#This Row],[STATES in numeric format]]=1,F111=1,F110=0),1,0)</f>
        <v>0</v>
      </c>
      <c r="V112">
        <f>IF(AND(Table2[[#This Row],[STATES in numeric format]]=1,F111=-1,F110=0),1,0)</f>
        <v>0</v>
      </c>
      <c r="W112">
        <f>IF(AND(Table2[[#This Row],[STATES in numeric format]]=1,F111=0,F110=1),1,0)</f>
        <v>0</v>
      </c>
      <c r="X112">
        <f>IF(AND(Table2[[#This Row],[STATES in numeric format]]=1,F111=0,F110=-1),1,0)</f>
        <v>0</v>
      </c>
      <c r="Y112">
        <f>IF(AND(Table2[[#This Row],[STATES in numeric format]]=0,F111=1,F110=1),1,0)</f>
        <v>0</v>
      </c>
      <c r="Z112">
        <f>IF(AND(Table2[[#This Row],[STATES in numeric format]]=0,F111=-1,F110=-1),1,0)</f>
        <v>0</v>
      </c>
      <c r="AA112">
        <f>IF(AND(Table2[[#This Row],[STATES in numeric format]]=0,F111=-1,F110=1),1,0)</f>
        <v>0</v>
      </c>
      <c r="AB112">
        <f>IF(AND(Table2[[#This Row],[STATES in numeric format]]=0,F111=1,F110=-1),1,0)</f>
        <v>0</v>
      </c>
      <c r="AC112">
        <f>IF(AND(Table2[[#This Row],[STATES in numeric format]]=0,F111=0,F110=0),1,0)</f>
        <v>0</v>
      </c>
      <c r="AD112">
        <f>IF(AND(Table2[[#This Row],[STATES in numeric format]]=0,F111=1,F110=0),1,0)</f>
        <v>0</v>
      </c>
      <c r="AE112">
        <f>IF(AND(Table2[[#This Row],[STATES in numeric format]]=0,F111=-1,F110=0),1,0)</f>
        <v>0</v>
      </c>
      <c r="AF112">
        <f>IF(AND(Table2[[#This Row],[STATES in numeric format]]=0,F111=0,F110=1),1,0)</f>
        <v>0</v>
      </c>
      <c r="AG112">
        <f>IF(AND(Table2[[#This Row],[STATES in numeric format]]=0,F111=0,F110=-1),1,0)</f>
        <v>0</v>
      </c>
    </row>
    <row r="113" spans="1:33" x14ac:dyDescent="0.3">
      <c r="A113" s="1">
        <v>43997</v>
      </c>
      <c r="B113">
        <v>33228.800000000003</v>
      </c>
      <c r="C113">
        <f>Table2[[#This Row],[Close]]-0.001*Table2[[#This Row],[Close]]</f>
        <v>33195.571200000006</v>
      </c>
      <c r="D113">
        <f>Table2[[#This Row],[Close]]+0.001*Table2[[#This Row],[Close]]</f>
        <v>33262.0288</v>
      </c>
      <c r="E113" t="str">
        <f>IF(Table2[[#This Row],[Close]]&gt;D112,"up",IF(Table2[[#This Row],[Close]]&lt;C112,"down","constant"))</f>
        <v>down</v>
      </c>
      <c r="F113" s="3">
        <f>IF(Table2[[#This Row],[States]]="up",1,IF(Table2[[#This Row],[States]]="down",-1,0))</f>
        <v>-1</v>
      </c>
      <c r="G113">
        <f>IF(AND(Table2[[#This Row],[STATES in numeric format]]=-1,F112=1,F111=1),1,0)</f>
        <v>0</v>
      </c>
      <c r="H113">
        <f>IF(AND(Table2[[#This Row],[STATES in numeric format]]=-1,F112=-1,F111=-1),1,0)</f>
        <v>0</v>
      </c>
      <c r="I113">
        <f>IF(AND(Table2[[#This Row],[STATES in numeric format]]=-1,F112=-1,F111=1),1,0)</f>
        <v>0</v>
      </c>
      <c r="J113">
        <f>IF(AND(Table2[[#This Row],[STATES in numeric format]]=-1,F112=1,F111=-1),1,0)</f>
        <v>1</v>
      </c>
      <c r="K113">
        <f>IF(AND(Table2[[#This Row],[STATES in numeric format]]=-1,F112=0,F111=0),1,0)</f>
        <v>0</v>
      </c>
      <c r="L113">
        <f>IF(AND(Table2[[#This Row],[STATES in numeric format]]=-1,F112=1,F111=0),1,0)</f>
        <v>0</v>
      </c>
      <c r="M113">
        <f>IF(AND(Table2[[#This Row],[STATES in numeric format]]=-1,F112=-1,F111=0),1,0)</f>
        <v>0</v>
      </c>
      <c r="N113">
        <f>IF(AND(Table2[[#This Row],[STATES in numeric format]]=-1,F112=0,F111=1),1,0)</f>
        <v>0</v>
      </c>
      <c r="O113">
        <f>IF(AND(Table2[[#This Row],[STATES in numeric format]]=-1,F112=0,F111=-1),1,0)</f>
        <v>0</v>
      </c>
      <c r="P113">
        <f>IF(AND(Table2[[#This Row],[STATES in numeric format]]=1,F112=1,F111=1),1,0)</f>
        <v>0</v>
      </c>
      <c r="Q113">
        <f>IF(AND(Table2[[#This Row],[STATES in numeric format]]=1,F112=-1,F111=-1),1,0)</f>
        <v>0</v>
      </c>
      <c r="R113">
        <f>IF(AND(Table2[[#This Row],[STATES in numeric format]]=1,F112=-1,F111=1),1,0)</f>
        <v>0</v>
      </c>
      <c r="S113">
        <f>IF(AND(Table2[[#This Row],[STATES in numeric format]]=1,F112=1,F111=-1),1,0)</f>
        <v>0</v>
      </c>
      <c r="T113">
        <f>IF(AND(Table2[[#This Row],[STATES in numeric format]]=1,F112=0,F111=0),1,0)</f>
        <v>0</v>
      </c>
      <c r="U113">
        <f>IF(AND(Table2[[#This Row],[STATES in numeric format]]=1,F112=1,F111=0),1,0)</f>
        <v>0</v>
      </c>
      <c r="V113">
        <f>IF(AND(Table2[[#This Row],[STATES in numeric format]]=1,F112=-1,F111=0),1,0)</f>
        <v>0</v>
      </c>
      <c r="W113">
        <f>IF(AND(Table2[[#This Row],[STATES in numeric format]]=1,F112=0,F111=1),1,0)</f>
        <v>0</v>
      </c>
      <c r="X113">
        <f>IF(AND(Table2[[#This Row],[STATES in numeric format]]=1,F112=0,F111=-1),1,0)</f>
        <v>0</v>
      </c>
      <c r="Y113">
        <f>IF(AND(Table2[[#This Row],[STATES in numeric format]]=0,F112=1,F111=1),1,0)</f>
        <v>0</v>
      </c>
      <c r="Z113">
        <f>IF(AND(Table2[[#This Row],[STATES in numeric format]]=0,F112=-1,F111=-1),1,0)</f>
        <v>0</v>
      </c>
      <c r="AA113">
        <f>IF(AND(Table2[[#This Row],[STATES in numeric format]]=0,F112=-1,F111=1),1,0)</f>
        <v>0</v>
      </c>
      <c r="AB113">
        <f>IF(AND(Table2[[#This Row],[STATES in numeric format]]=0,F112=1,F111=-1),1,0)</f>
        <v>0</v>
      </c>
      <c r="AC113">
        <f>IF(AND(Table2[[#This Row],[STATES in numeric format]]=0,F112=0,F111=0),1,0)</f>
        <v>0</v>
      </c>
      <c r="AD113">
        <f>IF(AND(Table2[[#This Row],[STATES in numeric format]]=0,F112=1,F111=0),1,0)</f>
        <v>0</v>
      </c>
      <c r="AE113">
        <f>IF(AND(Table2[[#This Row],[STATES in numeric format]]=0,F112=-1,F111=0),1,0)</f>
        <v>0</v>
      </c>
      <c r="AF113">
        <f>IF(AND(Table2[[#This Row],[STATES in numeric format]]=0,F112=0,F111=1),1,0)</f>
        <v>0</v>
      </c>
      <c r="AG113">
        <f>IF(AND(Table2[[#This Row],[STATES in numeric format]]=0,F112=0,F111=-1),1,0)</f>
        <v>0</v>
      </c>
    </row>
    <row r="114" spans="1:33" x14ac:dyDescent="0.3">
      <c r="A114" s="1">
        <v>43998</v>
      </c>
      <c r="B114">
        <v>33605.22</v>
      </c>
      <c r="C114">
        <f>Table2[[#This Row],[Close]]-0.001*Table2[[#This Row],[Close]]</f>
        <v>33571.614780000004</v>
      </c>
      <c r="D114">
        <f>Table2[[#This Row],[Close]]+0.001*Table2[[#This Row],[Close]]</f>
        <v>33638.825219999999</v>
      </c>
      <c r="E114" t="str">
        <f>IF(Table2[[#This Row],[Close]]&gt;D113,"up",IF(Table2[[#This Row],[Close]]&lt;C113,"down","constant"))</f>
        <v>up</v>
      </c>
      <c r="F114" s="3">
        <f>IF(Table2[[#This Row],[States]]="up",1,IF(Table2[[#This Row],[States]]="down",-1,0))</f>
        <v>1</v>
      </c>
      <c r="G114">
        <f>IF(AND(Table2[[#This Row],[STATES in numeric format]]=-1,F113=1,F112=1),1,0)</f>
        <v>0</v>
      </c>
      <c r="H114">
        <f>IF(AND(Table2[[#This Row],[STATES in numeric format]]=-1,F113=-1,F112=-1),1,0)</f>
        <v>0</v>
      </c>
      <c r="I114">
        <f>IF(AND(Table2[[#This Row],[STATES in numeric format]]=-1,F113=-1,F112=1),1,0)</f>
        <v>0</v>
      </c>
      <c r="J114">
        <f>IF(AND(Table2[[#This Row],[STATES in numeric format]]=-1,F113=1,F112=-1),1,0)</f>
        <v>0</v>
      </c>
      <c r="K114">
        <f>IF(AND(Table2[[#This Row],[STATES in numeric format]]=-1,F113=0,F112=0),1,0)</f>
        <v>0</v>
      </c>
      <c r="L114">
        <f>IF(AND(Table2[[#This Row],[STATES in numeric format]]=-1,F113=1,F112=0),1,0)</f>
        <v>0</v>
      </c>
      <c r="M114">
        <f>IF(AND(Table2[[#This Row],[STATES in numeric format]]=-1,F113=-1,F112=0),1,0)</f>
        <v>0</v>
      </c>
      <c r="N114">
        <f>IF(AND(Table2[[#This Row],[STATES in numeric format]]=-1,F113=0,F112=1),1,0)</f>
        <v>0</v>
      </c>
      <c r="O114">
        <f>IF(AND(Table2[[#This Row],[STATES in numeric format]]=-1,F113=0,F112=-1),1,0)</f>
        <v>0</v>
      </c>
      <c r="P114">
        <f>IF(AND(Table2[[#This Row],[STATES in numeric format]]=1,F113=1,F112=1),1,0)</f>
        <v>0</v>
      </c>
      <c r="Q114">
        <f>IF(AND(Table2[[#This Row],[STATES in numeric format]]=1,F113=-1,F112=-1),1,0)</f>
        <v>0</v>
      </c>
      <c r="R114">
        <f>IF(AND(Table2[[#This Row],[STATES in numeric format]]=1,F113=-1,F112=1),1,0)</f>
        <v>1</v>
      </c>
      <c r="S114">
        <f>IF(AND(Table2[[#This Row],[STATES in numeric format]]=1,F113=1,F112=-1),1,0)</f>
        <v>0</v>
      </c>
      <c r="T114">
        <f>IF(AND(Table2[[#This Row],[STATES in numeric format]]=1,F113=0,F112=0),1,0)</f>
        <v>0</v>
      </c>
      <c r="U114">
        <f>IF(AND(Table2[[#This Row],[STATES in numeric format]]=1,F113=1,F112=0),1,0)</f>
        <v>0</v>
      </c>
      <c r="V114">
        <f>IF(AND(Table2[[#This Row],[STATES in numeric format]]=1,F113=-1,F112=0),1,0)</f>
        <v>0</v>
      </c>
      <c r="W114">
        <f>IF(AND(Table2[[#This Row],[STATES in numeric format]]=1,F113=0,F112=1),1,0)</f>
        <v>0</v>
      </c>
      <c r="X114">
        <f>IF(AND(Table2[[#This Row],[STATES in numeric format]]=1,F113=0,F112=-1),1,0)</f>
        <v>0</v>
      </c>
      <c r="Y114">
        <f>IF(AND(Table2[[#This Row],[STATES in numeric format]]=0,F113=1,F112=1),1,0)</f>
        <v>0</v>
      </c>
      <c r="Z114">
        <f>IF(AND(Table2[[#This Row],[STATES in numeric format]]=0,F113=-1,F112=-1),1,0)</f>
        <v>0</v>
      </c>
      <c r="AA114">
        <f>IF(AND(Table2[[#This Row],[STATES in numeric format]]=0,F113=-1,F112=1),1,0)</f>
        <v>0</v>
      </c>
      <c r="AB114">
        <f>IF(AND(Table2[[#This Row],[STATES in numeric format]]=0,F113=1,F112=-1),1,0)</f>
        <v>0</v>
      </c>
      <c r="AC114">
        <f>IF(AND(Table2[[#This Row],[STATES in numeric format]]=0,F113=0,F112=0),1,0)</f>
        <v>0</v>
      </c>
      <c r="AD114">
        <f>IF(AND(Table2[[#This Row],[STATES in numeric format]]=0,F113=1,F112=0),1,0)</f>
        <v>0</v>
      </c>
      <c r="AE114">
        <f>IF(AND(Table2[[#This Row],[STATES in numeric format]]=0,F113=-1,F112=0),1,0)</f>
        <v>0</v>
      </c>
      <c r="AF114">
        <f>IF(AND(Table2[[#This Row],[STATES in numeric format]]=0,F113=0,F112=1),1,0)</f>
        <v>0</v>
      </c>
      <c r="AG114">
        <f>IF(AND(Table2[[#This Row],[STATES in numeric format]]=0,F113=0,F112=-1),1,0)</f>
        <v>0</v>
      </c>
    </row>
    <row r="115" spans="1:33" x14ac:dyDescent="0.3">
      <c r="A115" s="1">
        <v>43999</v>
      </c>
      <c r="B115">
        <v>33507.919999999998</v>
      </c>
      <c r="C115">
        <f>Table2[[#This Row],[Close]]-0.001*Table2[[#This Row],[Close]]</f>
        <v>33474.412080000002</v>
      </c>
      <c r="D115">
        <f>Table2[[#This Row],[Close]]+0.001*Table2[[#This Row],[Close]]</f>
        <v>33541.427919999995</v>
      </c>
      <c r="E115" t="str">
        <f>IF(Table2[[#This Row],[Close]]&gt;D114,"up",IF(Table2[[#This Row],[Close]]&lt;C114,"down","constant"))</f>
        <v>down</v>
      </c>
      <c r="F115" s="3">
        <f>IF(Table2[[#This Row],[States]]="up",1,IF(Table2[[#This Row],[States]]="down",-1,0))</f>
        <v>-1</v>
      </c>
      <c r="G115">
        <f>IF(AND(Table2[[#This Row],[STATES in numeric format]]=-1,F114=1,F113=1),1,0)</f>
        <v>0</v>
      </c>
      <c r="H115">
        <f>IF(AND(Table2[[#This Row],[STATES in numeric format]]=-1,F114=-1,F113=-1),1,0)</f>
        <v>0</v>
      </c>
      <c r="I115">
        <f>IF(AND(Table2[[#This Row],[STATES in numeric format]]=-1,F114=-1,F113=1),1,0)</f>
        <v>0</v>
      </c>
      <c r="J115">
        <f>IF(AND(Table2[[#This Row],[STATES in numeric format]]=-1,F114=1,F113=-1),1,0)</f>
        <v>1</v>
      </c>
      <c r="K115">
        <f>IF(AND(Table2[[#This Row],[STATES in numeric format]]=-1,F114=0,F113=0),1,0)</f>
        <v>0</v>
      </c>
      <c r="L115">
        <f>IF(AND(Table2[[#This Row],[STATES in numeric format]]=-1,F114=1,F113=0),1,0)</f>
        <v>0</v>
      </c>
      <c r="M115">
        <f>IF(AND(Table2[[#This Row],[STATES in numeric format]]=-1,F114=-1,F113=0),1,0)</f>
        <v>0</v>
      </c>
      <c r="N115">
        <f>IF(AND(Table2[[#This Row],[STATES in numeric format]]=-1,F114=0,F113=1),1,0)</f>
        <v>0</v>
      </c>
      <c r="O115">
        <f>IF(AND(Table2[[#This Row],[STATES in numeric format]]=-1,F114=0,F113=-1),1,0)</f>
        <v>0</v>
      </c>
      <c r="P115">
        <f>IF(AND(Table2[[#This Row],[STATES in numeric format]]=1,F114=1,F113=1),1,0)</f>
        <v>0</v>
      </c>
      <c r="Q115">
        <f>IF(AND(Table2[[#This Row],[STATES in numeric format]]=1,F114=-1,F113=-1),1,0)</f>
        <v>0</v>
      </c>
      <c r="R115">
        <f>IF(AND(Table2[[#This Row],[STATES in numeric format]]=1,F114=-1,F113=1),1,0)</f>
        <v>0</v>
      </c>
      <c r="S115">
        <f>IF(AND(Table2[[#This Row],[STATES in numeric format]]=1,F114=1,F113=-1),1,0)</f>
        <v>0</v>
      </c>
      <c r="T115">
        <f>IF(AND(Table2[[#This Row],[STATES in numeric format]]=1,F114=0,F113=0),1,0)</f>
        <v>0</v>
      </c>
      <c r="U115">
        <f>IF(AND(Table2[[#This Row],[STATES in numeric format]]=1,F114=1,F113=0),1,0)</f>
        <v>0</v>
      </c>
      <c r="V115">
        <f>IF(AND(Table2[[#This Row],[STATES in numeric format]]=1,F114=-1,F113=0),1,0)</f>
        <v>0</v>
      </c>
      <c r="W115">
        <f>IF(AND(Table2[[#This Row],[STATES in numeric format]]=1,F114=0,F113=1),1,0)</f>
        <v>0</v>
      </c>
      <c r="X115">
        <f>IF(AND(Table2[[#This Row],[STATES in numeric format]]=1,F114=0,F113=-1),1,0)</f>
        <v>0</v>
      </c>
      <c r="Y115">
        <f>IF(AND(Table2[[#This Row],[STATES in numeric format]]=0,F114=1,F113=1),1,0)</f>
        <v>0</v>
      </c>
      <c r="Z115">
        <f>IF(AND(Table2[[#This Row],[STATES in numeric format]]=0,F114=-1,F113=-1),1,0)</f>
        <v>0</v>
      </c>
      <c r="AA115">
        <f>IF(AND(Table2[[#This Row],[STATES in numeric format]]=0,F114=-1,F113=1),1,0)</f>
        <v>0</v>
      </c>
      <c r="AB115">
        <f>IF(AND(Table2[[#This Row],[STATES in numeric format]]=0,F114=1,F113=-1),1,0)</f>
        <v>0</v>
      </c>
      <c r="AC115">
        <f>IF(AND(Table2[[#This Row],[STATES in numeric format]]=0,F114=0,F113=0),1,0)</f>
        <v>0</v>
      </c>
      <c r="AD115">
        <f>IF(AND(Table2[[#This Row],[STATES in numeric format]]=0,F114=1,F113=0),1,0)</f>
        <v>0</v>
      </c>
      <c r="AE115">
        <f>IF(AND(Table2[[#This Row],[STATES in numeric format]]=0,F114=-1,F113=0),1,0)</f>
        <v>0</v>
      </c>
      <c r="AF115">
        <f>IF(AND(Table2[[#This Row],[STATES in numeric format]]=0,F114=0,F113=1),1,0)</f>
        <v>0</v>
      </c>
      <c r="AG115">
        <f>IF(AND(Table2[[#This Row],[STATES in numeric format]]=0,F114=0,F113=-1),1,0)</f>
        <v>0</v>
      </c>
    </row>
    <row r="116" spans="1:33" x14ac:dyDescent="0.3">
      <c r="A116" s="1">
        <v>44000</v>
      </c>
      <c r="B116">
        <v>34208.050000000003</v>
      </c>
      <c r="C116">
        <f>Table2[[#This Row],[Close]]-0.001*Table2[[#This Row],[Close]]</f>
        <v>34173.841950000002</v>
      </c>
      <c r="D116">
        <f>Table2[[#This Row],[Close]]+0.001*Table2[[#This Row],[Close]]</f>
        <v>34242.258050000004</v>
      </c>
      <c r="E116" t="str">
        <f>IF(Table2[[#This Row],[Close]]&gt;D115,"up",IF(Table2[[#This Row],[Close]]&lt;C115,"down","constant"))</f>
        <v>up</v>
      </c>
      <c r="F116" s="3">
        <f>IF(Table2[[#This Row],[States]]="up",1,IF(Table2[[#This Row],[States]]="down",-1,0))</f>
        <v>1</v>
      </c>
      <c r="G116">
        <f>IF(AND(Table2[[#This Row],[STATES in numeric format]]=-1,F115=1,F114=1),1,0)</f>
        <v>0</v>
      </c>
      <c r="H116">
        <f>IF(AND(Table2[[#This Row],[STATES in numeric format]]=-1,F115=-1,F114=-1),1,0)</f>
        <v>0</v>
      </c>
      <c r="I116">
        <f>IF(AND(Table2[[#This Row],[STATES in numeric format]]=-1,F115=-1,F114=1),1,0)</f>
        <v>0</v>
      </c>
      <c r="J116">
        <f>IF(AND(Table2[[#This Row],[STATES in numeric format]]=-1,F115=1,F114=-1),1,0)</f>
        <v>0</v>
      </c>
      <c r="K116">
        <f>IF(AND(Table2[[#This Row],[STATES in numeric format]]=-1,F115=0,F114=0),1,0)</f>
        <v>0</v>
      </c>
      <c r="L116">
        <f>IF(AND(Table2[[#This Row],[STATES in numeric format]]=-1,F115=1,F114=0),1,0)</f>
        <v>0</v>
      </c>
      <c r="M116">
        <f>IF(AND(Table2[[#This Row],[STATES in numeric format]]=-1,F115=-1,F114=0),1,0)</f>
        <v>0</v>
      </c>
      <c r="N116">
        <f>IF(AND(Table2[[#This Row],[STATES in numeric format]]=-1,F115=0,F114=1),1,0)</f>
        <v>0</v>
      </c>
      <c r="O116">
        <f>IF(AND(Table2[[#This Row],[STATES in numeric format]]=-1,F115=0,F114=-1),1,0)</f>
        <v>0</v>
      </c>
      <c r="P116">
        <f>IF(AND(Table2[[#This Row],[STATES in numeric format]]=1,F115=1,F114=1),1,0)</f>
        <v>0</v>
      </c>
      <c r="Q116">
        <f>IF(AND(Table2[[#This Row],[STATES in numeric format]]=1,F115=-1,F114=-1),1,0)</f>
        <v>0</v>
      </c>
      <c r="R116">
        <f>IF(AND(Table2[[#This Row],[STATES in numeric format]]=1,F115=-1,F114=1),1,0)</f>
        <v>1</v>
      </c>
      <c r="S116">
        <f>IF(AND(Table2[[#This Row],[STATES in numeric format]]=1,F115=1,F114=-1),1,0)</f>
        <v>0</v>
      </c>
      <c r="T116">
        <f>IF(AND(Table2[[#This Row],[STATES in numeric format]]=1,F115=0,F114=0),1,0)</f>
        <v>0</v>
      </c>
      <c r="U116">
        <f>IF(AND(Table2[[#This Row],[STATES in numeric format]]=1,F115=1,F114=0),1,0)</f>
        <v>0</v>
      </c>
      <c r="V116">
        <f>IF(AND(Table2[[#This Row],[STATES in numeric format]]=1,F115=-1,F114=0),1,0)</f>
        <v>0</v>
      </c>
      <c r="W116">
        <f>IF(AND(Table2[[#This Row],[STATES in numeric format]]=1,F115=0,F114=1),1,0)</f>
        <v>0</v>
      </c>
      <c r="X116">
        <f>IF(AND(Table2[[#This Row],[STATES in numeric format]]=1,F115=0,F114=-1),1,0)</f>
        <v>0</v>
      </c>
      <c r="Y116">
        <f>IF(AND(Table2[[#This Row],[STATES in numeric format]]=0,F115=1,F114=1),1,0)</f>
        <v>0</v>
      </c>
      <c r="Z116">
        <f>IF(AND(Table2[[#This Row],[STATES in numeric format]]=0,F115=-1,F114=-1),1,0)</f>
        <v>0</v>
      </c>
      <c r="AA116">
        <f>IF(AND(Table2[[#This Row],[STATES in numeric format]]=0,F115=-1,F114=1),1,0)</f>
        <v>0</v>
      </c>
      <c r="AB116">
        <f>IF(AND(Table2[[#This Row],[STATES in numeric format]]=0,F115=1,F114=-1),1,0)</f>
        <v>0</v>
      </c>
      <c r="AC116">
        <f>IF(AND(Table2[[#This Row],[STATES in numeric format]]=0,F115=0,F114=0),1,0)</f>
        <v>0</v>
      </c>
      <c r="AD116">
        <f>IF(AND(Table2[[#This Row],[STATES in numeric format]]=0,F115=1,F114=0),1,0)</f>
        <v>0</v>
      </c>
      <c r="AE116">
        <f>IF(AND(Table2[[#This Row],[STATES in numeric format]]=0,F115=-1,F114=0),1,0)</f>
        <v>0</v>
      </c>
      <c r="AF116">
        <f>IF(AND(Table2[[#This Row],[STATES in numeric format]]=0,F115=0,F114=1),1,0)</f>
        <v>0</v>
      </c>
      <c r="AG116">
        <f>IF(AND(Table2[[#This Row],[STATES in numeric format]]=0,F115=0,F114=-1),1,0)</f>
        <v>0</v>
      </c>
    </row>
    <row r="117" spans="1:33" x14ac:dyDescent="0.3">
      <c r="A117" s="1">
        <v>44001</v>
      </c>
      <c r="B117">
        <v>34731.730000000003</v>
      </c>
      <c r="C117">
        <f>Table2[[#This Row],[Close]]-0.001*Table2[[#This Row],[Close]]</f>
        <v>34696.998270000004</v>
      </c>
      <c r="D117">
        <f>Table2[[#This Row],[Close]]+0.001*Table2[[#This Row],[Close]]</f>
        <v>34766.461730000003</v>
      </c>
      <c r="E117" t="str">
        <f>IF(Table2[[#This Row],[Close]]&gt;D116,"up",IF(Table2[[#This Row],[Close]]&lt;C116,"down","constant"))</f>
        <v>up</v>
      </c>
      <c r="F117" s="3">
        <f>IF(Table2[[#This Row],[States]]="up",1,IF(Table2[[#This Row],[States]]="down",-1,0))</f>
        <v>1</v>
      </c>
      <c r="G117">
        <f>IF(AND(Table2[[#This Row],[STATES in numeric format]]=-1,F116=1,F115=1),1,0)</f>
        <v>0</v>
      </c>
      <c r="H117">
        <f>IF(AND(Table2[[#This Row],[STATES in numeric format]]=-1,F116=-1,F115=-1),1,0)</f>
        <v>0</v>
      </c>
      <c r="I117">
        <f>IF(AND(Table2[[#This Row],[STATES in numeric format]]=-1,F116=-1,F115=1),1,0)</f>
        <v>0</v>
      </c>
      <c r="J117">
        <f>IF(AND(Table2[[#This Row],[STATES in numeric format]]=-1,F116=1,F115=-1),1,0)</f>
        <v>0</v>
      </c>
      <c r="K117">
        <f>IF(AND(Table2[[#This Row],[STATES in numeric format]]=-1,F116=0,F115=0),1,0)</f>
        <v>0</v>
      </c>
      <c r="L117">
        <f>IF(AND(Table2[[#This Row],[STATES in numeric format]]=-1,F116=1,F115=0),1,0)</f>
        <v>0</v>
      </c>
      <c r="M117">
        <f>IF(AND(Table2[[#This Row],[STATES in numeric format]]=-1,F116=-1,F115=0),1,0)</f>
        <v>0</v>
      </c>
      <c r="N117">
        <f>IF(AND(Table2[[#This Row],[STATES in numeric format]]=-1,F116=0,F115=1),1,0)</f>
        <v>0</v>
      </c>
      <c r="O117">
        <f>IF(AND(Table2[[#This Row],[STATES in numeric format]]=-1,F116=0,F115=-1),1,0)</f>
        <v>0</v>
      </c>
      <c r="P117">
        <f>IF(AND(Table2[[#This Row],[STATES in numeric format]]=1,F116=1,F115=1),1,0)</f>
        <v>0</v>
      </c>
      <c r="Q117">
        <f>IF(AND(Table2[[#This Row],[STATES in numeric format]]=1,F116=-1,F115=-1),1,0)</f>
        <v>0</v>
      </c>
      <c r="R117">
        <f>IF(AND(Table2[[#This Row],[STATES in numeric format]]=1,F116=-1,F115=1),1,0)</f>
        <v>0</v>
      </c>
      <c r="S117">
        <f>IF(AND(Table2[[#This Row],[STATES in numeric format]]=1,F116=1,F115=-1),1,0)</f>
        <v>1</v>
      </c>
      <c r="T117">
        <f>IF(AND(Table2[[#This Row],[STATES in numeric format]]=1,F116=0,F115=0),1,0)</f>
        <v>0</v>
      </c>
      <c r="U117">
        <f>IF(AND(Table2[[#This Row],[STATES in numeric format]]=1,F116=1,F115=0),1,0)</f>
        <v>0</v>
      </c>
      <c r="V117">
        <f>IF(AND(Table2[[#This Row],[STATES in numeric format]]=1,F116=-1,F115=0),1,0)</f>
        <v>0</v>
      </c>
      <c r="W117">
        <f>IF(AND(Table2[[#This Row],[STATES in numeric format]]=1,F116=0,F115=1),1,0)</f>
        <v>0</v>
      </c>
      <c r="X117">
        <f>IF(AND(Table2[[#This Row],[STATES in numeric format]]=1,F116=0,F115=-1),1,0)</f>
        <v>0</v>
      </c>
      <c r="Y117">
        <f>IF(AND(Table2[[#This Row],[STATES in numeric format]]=0,F116=1,F115=1),1,0)</f>
        <v>0</v>
      </c>
      <c r="Z117">
        <f>IF(AND(Table2[[#This Row],[STATES in numeric format]]=0,F116=-1,F115=-1),1,0)</f>
        <v>0</v>
      </c>
      <c r="AA117">
        <f>IF(AND(Table2[[#This Row],[STATES in numeric format]]=0,F116=-1,F115=1),1,0)</f>
        <v>0</v>
      </c>
      <c r="AB117">
        <f>IF(AND(Table2[[#This Row],[STATES in numeric format]]=0,F116=1,F115=-1),1,0)</f>
        <v>0</v>
      </c>
      <c r="AC117">
        <f>IF(AND(Table2[[#This Row],[STATES in numeric format]]=0,F116=0,F115=0),1,0)</f>
        <v>0</v>
      </c>
      <c r="AD117">
        <f>IF(AND(Table2[[#This Row],[STATES in numeric format]]=0,F116=1,F115=0),1,0)</f>
        <v>0</v>
      </c>
      <c r="AE117">
        <f>IF(AND(Table2[[#This Row],[STATES in numeric format]]=0,F116=-1,F115=0),1,0)</f>
        <v>0</v>
      </c>
      <c r="AF117">
        <f>IF(AND(Table2[[#This Row],[STATES in numeric format]]=0,F116=0,F115=1),1,0)</f>
        <v>0</v>
      </c>
      <c r="AG117">
        <f>IF(AND(Table2[[#This Row],[STATES in numeric format]]=0,F116=0,F115=-1),1,0)</f>
        <v>0</v>
      </c>
    </row>
    <row r="118" spans="1:33" x14ac:dyDescent="0.3">
      <c r="A118" s="1">
        <v>44004</v>
      </c>
      <c r="B118">
        <v>34911.32</v>
      </c>
      <c r="C118">
        <f>Table2[[#This Row],[Close]]-0.001*Table2[[#This Row],[Close]]</f>
        <v>34876.40868</v>
      </c>
      <c r="D118">
        <f>Table2[[#This Row],[Close]]+0.001*Table2[[#This Row],[Close]]</f>
        <v>34946.231319999999</v>
      </c>
      <c r="E118" t="str">
        <f>IF(Table2[[#This Row],[Close]]&gt;D117,"up",IF(Table2[[#This Row],[Close]]&lt;C117,"down","constant"))</f>
        <v>up</v>
      </c>
      <c r="F118" s="3">
        <f>IF(Table2[[#This Row],[States]]="up",1,IF(Table2[[#This Row],[States]]="down",-1,0))</f>
        <v>1</v>
      </c>
      <c r="G118">
        <f>IF(AND(Table2[[#This Row],[STATES in numeric format]]=-1,F117=1,F116=1),1,0)</f>
        <v>0</v>
      </c>
      <c r="H118">
        <f>IF(AND(Table2[[#This Row],[STATES in numeric format]]=-1,F117=-1,F116=-1),1,0)</f>
        <v>0</v>
      </c>
      <c r="I118">
        <f>IF(AND(Table2[[#This Row],[STATES in numeric format]]=-1,F117=-1,F116=1),1,0)</f>
        <v>0</v>
      </c>
      <c r="J118">
        <f>IF(AND(Table2[[#This Row],[STATES in numeric format]]=-1,F117=1,F116=-1),1,0)</f>
        <v>0</v>
      </c>
      <c r="K118">
        <f>IF(AND(Table2[[#This Row],[STATES in numeric format]]=-1,F117=0,F116=0),1,0)</f>
        <v>0</v>
      </c>
      <c r="L118">
        <f>IF(AND(Table2[[#This Row],[STATES in numeric format]]=-1,F117=1,F116=0),1,0)</f>
        <v>0</v>
      </c>
      <c r="M118">
        <f>IF(AND(Table2[[#This Row],[STATES in numeric format]]=-1,F117=-1,F116=0),1,0)</f>
        <v>0</v>
      </c>
      <c r="N118">
        <f>IF(AND(Table2[[#This Row],[STATES in numeric format]]=-1,F117=0,F116=1),1,0)</f>
        <v>0</v>
      </c>
      <c r="O118">
        <f>IF(AND(Table2[[#This Row],[STATES in numeric format]]=-1,F117=0,F116=-1),1,0)</f>
        <v>0</v>
      </c>
      <c r="P118">
        <f>IF(AND(Table2[[#This Row],[STATES in numeric format]]=1,F117=1,F116=1),1,0)</f>
        <v>1</v>
      </c>
      <c r="Q118">
        <f>IF(AND(Table2[[#This Row],[STATES in numeric format]]=1,F117=-1,F116=-1),1,0)</f>
        <v>0</v>
      </c>
      <c r="R118">
        <f>IF(AND(Table2[[#This Row],[STATES in numeric format]]=1,F117=-1,F116=1),1,0)</f>
        <v>0</v>
      </c>
      <c r="S118">
        <f>IF(AND(Table2[[#This Row],[STATES in numeric format]]=1,F117=1,F116=-1),1,0)</f>
        <v>0</v>
      </c>
      <c r="T118">
        <f>IF(AND(Table2[[#This Row],[STATES in numeric format]]=1,F117=0,F116=0),1,0)</f>
        <v>0</v>
      </c>
      <c r="U118">
        <f>IF(AND(Table2[[#This Row],[STATES in numeric format]]=1,F117=1,F116=0),1,0)</f>
        <v>0</v>
      </c>
      <c r="V118">
        <f>IF(AND(Table2[[#This Row],[STATES in numeric format]]=1,F117=-1,F116=0),1,0)</f>
        <v>0</v>
      </c>
      <c r="W118">
        <f>IF(AND(Table2[[#This Row],[STATES in numeric format]]=1,F117=0,F116=1),1,0)</f>
        <v>0</v>
      </c>
      <c r="X118">
        <f>IF(AND(Table2[[#This Row],[STATES in numeric format]]=1,F117=0,F116=-1),1,0)</f>
        <v>0</v>
      </c>
      <c r="Y118">
        <f>IF(AND(Table2[[#This Row],[STATES in numeric format]]=0,F117=1,F116=1),1,0)</f>
        <v>0</v>
      </c>
      <c r="Z118">
        <f>IF(AND(Table2[[#This Row],[STATES in numeric format]]=0,F117=-1,F116=-1),1,0)</f>
        <v>0</v>
      </c>
      <c r="AA118">
        <f>IF(AND(Table2[[#This Row],[STATES in numeric format]]=0,F117=-1,F116=1),1,0)</f>
        <v>0</v>
      </c>
      <c r="AB118">
        <f>IF(AND(Table2[[#This Row],[STATES in numeric format]]=0,F117=1,F116=-1),1,0)</f>
        <v>0</v>
      </c>
      <c r="AC118">
        <f>IF(AND(Table2[[#This Row],[STATES in numeric format]]=0,F117=0,F116=0),1,0)</f>
        <v>0</v>
      </c>
      <c r="AD118">
        <f>IF(AND(Table2[[#This Row],[STATES in numeric format]]=0,F117=1,F116=0),1,0)</f>
        <v>0</v>
      </c>
      <c r="AE118">
        <f>IF(AND(Table2[[#This Row],[STATES in numeric format]]=0,F117=-1,F116=0),1,0)</f>
        <v>0</v>
      </c>
      <c r="AF118">
        <f>IF(AND(Table2[[#This Row],[STATES in numeric format]]=0,F117=0,F116=1),1,0)</f>
        <v>0</v>
      </c>
      <c r="AG118">
        <f>IF(AND(Table2[[#This Row],[STATES in numeric format]]=0,F117=0,F116=-1),1,0)</f>
        <v>0</v>
      </c>
    </row>
    <row r="119" spans="1:33" x14ac:dyDescent="0.3">
      <c r="A119" s="1">
        <v>44005</v>
      </c>
      <c r="B119">
        <v>35430.43</v>
      </c>
      <c r="C119">
        <f>Table2[[#This Row],[Close]]-0.001*Table2[[#This Row],[Close]]</f>
        <v>35394.99957</v>
      </c>
      <c r="D119">
        <f>Table2[[#This Row],[Close]]+0.001*Table2[[#This Row],[Close]]</f>
        <v>35465.860430000001</v>
      </c>
      <c r="E119" t="str">
        <f>IF(Table2[[#This Row],[Close]]&gt;D118,"up",IF(Table2[[#This Row],[Close]]&lt;C118,"down","constant"))</f>
        <v>up</v>
      </c>
      <c r="F119" s="3">
        <f>IF(Table2[[#This Row],[States]]="up",1,IF(Table2[[#This Row],[States]]="down",-1,0))</f>
        <v>1</v>
      </c>
      <c r="G119">
        <f>IF(AND(Table2[[#This Row],[STATES in numeric format]]=-1,F118=1,F117=1),1,0)</f>
        <v>0</v>
      </c>
      <c r="H119">
        <f>IF(AND(Table2[[#This Row],[STATES in numeric format]]=-1,F118=-1,F117=-1),1,0)</f>
        <v>0</v>
      </c>
      <c r="I119">
        <f>IF(AND(Table2[[#This Row],[STATES in numeric format]]=-1,F118=-1,F117=1),1,0)</f>
        <v>0</v>
      </c>
      <c r="J119">
        <f>IF(AND(Table2[[#This Row],[STATES in numeric format]]=-1,F118=1,F117=-1),1,0)</f>
        <v>0</v>
      </c>
      <c r="K119">
        <f>IF(AND(Table2[[#This Row],[STATES in numeric format]]=-1,F118=0,F117=0),1,0)</f>
        <v>0</v>
      </c>
      <c r="L119">
        <f>IF(AND(Table2[[#This Row],[STATES in numeric format]]=-1,F118=1,F117=0),1,0)</f>
        <v>0</v>
      </c>
      <c r="M119">
        <f>IF(AND(Table2[[#This Row],[STATES in numeric format]]=-1,F118=-1,F117=0),1,0)</f>
        <v>0</v>
      </c>
      <c r="N119">
        <f>IF(AND(Table2[[#This Row],[STATES in numeric format]]=-1,F118=0,F117=1),1,0)</f>
        <v>0</v>
      </c>
      <c r="O119">
        <f>IF(AND(Table2[[#This Row],[STATES in numeric format]]=-1,F118=0,F117=-1),1,0)</f>
        <v>0</v>
      </c>
      <c r="P119">
        <f>IF(AND(Table2[[#This Row],[STATES in numeric format]]=1,F118=1,F117=1),1,0)</f>
        <v>1</v>
      </c>
      <c r="Q119">
        <f>IF(AND(Table2[[#This Row],[STATES in numeric format]]=1,F118=-1,F117=-1),1,0)</f>
        <v>0</v>
      </c>
      <c r="R119">
        <f>IF(AND(Table2[[#This Row],[STATES in numeric format]]=1,F118=-1,F117=1),1,0)</f>
        <v>0</v>
      </c>
      <c r="S119">
        <f>IF(AND(Table2[[#This Row],[STATES in numeric format]]=1,F118=1,F117=-1),1,0)</f>
        <v>0</v>
      </c>
      <c r="T119">
        <f>IF(AND(Table2[[#This Row],[STATES in numeric format]]=1,F118=0,F117=0),1,0)</f>
        <v>0</v>
      </c>
      <c r="U119">
        <f>IF(AND(Table2[[#This Row],[STATES in numeric format]]=1,F118=1,F117=0),1,0)</f>
        <v>0</v>
      </c>
      <c r="V119">
        <f>IF(AND(Table2[[#This Row],[STATES in numeric format]]=1,F118=-1,F117=0),1,0)</f>
        <v>0</v>
      </c>
      <c r="W119">
        <f>IF(AND(Table2[[#This Row],[STATES in numeric format]]=1,F118=0,F117=1),1,0)</f>
        <v>0</v>
      </c>
      <c r="X119">
        <f>IF(AND(Table2[[#This Row],[STATES in numeric format]]=1,F118=0,F117=-1),1,0)</f>
        <v>0</v>
      </c>
      <c r="Y119">
        <f>IF(AND(Table2[[#This Row],[STATES in numeric format]]=0,F118=1,F117=1),1,0)</f>
        <v>0</v>
      </c>
      <c r="Z119">
        <f>IF(AND(Table2[[#This Row],[STATES in numeric format]]=0,F118=-1,F117=-1),1,0)</f>
        <v>0</v>
      </c>
      <c r="AA119">
        <f>IF(AND(Table2[[#This Row],[STATES in numeric format]]=0,F118=-1,F117=1),1,0)</f>
        <v>0</v>
      </c>
      <c r="AB119">
        <f>IF(AND(Table2[[#This Row],[STATES in numeric format]]=0,F118=1,F117=-1),1,0)</f>
        <v>0</v>
      </c>
      <c r="AC119">
        <f>IF(AND(Table2[[#This Row],[STATES in numeric format]]=0,F118=0,F117=0),1,0)</f>
        <v>0</v>
      </c>
      <c r="AD119">
        <f>IF(AND(Table2[[#This Row],[STATES in numeric format]]=0,F118=1,F117=0),1,0)</f>
        <v>0</v>
      </c>
      <c r="AE119">
        <f>IF(AND(Table2[[#This Row],[STATES in numeric format]]=0,F118=-1,F117=0),1,0)</f>
        <v>0</v>
      </c>
      <c r="AF119">
        <f>IF(AND(Table2[[#This Row],[STATES in numeric format]]=0,F118=0,F117=1),1,0)</f>
        <v>0</v>
      </c>
      <c r="AG119">
        <f>IF(AND(Table2[[#This Row],[STATES in numeric format]]=0,F118=0,F117=-1),1,0)</f>
        <v>0</v>
      </c>
    </row>
    <row r="120" spans="1:33" x14ac:dyDescent="0.3">
      <c r="A120" s="1">
        <v>44006</v>
      </c>
      <c r="B120">
        <v>34868.980000000003</v>
      </c>
      <c r="C120">
        <f>Table2[[#This Row],[Close]]-0.001*Table2[[#This Row],[Close]]</f>
        <v>34834.111020000004</v>
      </c>
      <c r="D120">
        <f>Table2[[#This Row],[Close]]+0.001*Table2[[#This Row],[Close]]</f>
        <v>34903.848980000002</v>
      </c>
      <c r="E120" t="str">
        <f>IF(Table2[[#This Row],[Close]]&gt;D119,"up",IF(Table2[[#This Row],[Close]]&lt;C119,"down","constant"))</f>
        <v>down</v>
      </c>
      <c r="F120" s="3">
        <f>IF(Table2[[#This Row],[States]]="up",1,IF(Table2[[#This Row],[States]]="down",-1,0))</f>
        <v>-1</v>
      </c>
      <c r="G120">
        <f>IF(AND(Table2[[#This Row],[STATES in numeric format]]=-1,F119=1,F118=1),1,0)</f>
        <v>1</v>
      </c>
      <c r="H120">
        <f>IF(AND(Table2[[#This Row],[STATES in numeric format]]=-1,F119=-1,F118=-1),1,0)</f>
        <v>0</v>
      </c>
      <c r="I120">
        <f>IF(AND(Table2[[#This Row],[STATES in numeric format]]=-1,F119=-1,F118=1),1,0)</f>
        <v>0</v>
      </c>
      <c r="J120">
        <f>IF(AND(Table2[[#This Row],[STATES in numeric format]]=-1,F119=1,F118=-1),1,0)</f>
        <v>0</v>
      </c>
      <c r="K120">
        <f>IF(AND(Table2[[#This Row],[STATES in numeric format]]=-1,F119=0,F118=0),1,0)</f>
        <v>0</v>
      </c>
      <c r="L120">
        <f>IF(AND(Table2[[#This Row],[STATES in numeric format]]=-1,F119=1,F118=0),1,0)</f>
        <v>0</v>
      </c>
      <c r="M120">
        <f>IF(AND(Table2[[#This Row],[STATES in numeric format]]=-1,F119=-1,F118=0),1,0)</f>
        <v>0</v>
      </c>
      <c r="N120">
        <f>IF(AND(Table2[[#This Row],[STATES in numeric format]]=-1,F119=0,F118=1),1,0)</f>
        <v>0</v>
      </c>
      <c r="O120">
        <f>IF(AND(Table2[[#This Row],[STATES in numeric format]]=-1,F119=0,F118=-1),1,0)</f>
        <v>0</v>
      </c>
      <c r="P120">
        <f>IF(AND(Table2[[#This Row],[STATES in numeric format]]=1,F119=1,F118=1),1,0)</f>
        <v>0</v>
      </c>
      <c r="Q120">
        <f>IF(AND(Table2[[#This Row],[STATES in numeric format]]=1,F119=-1,F118=-1),1,0)</f>
        <v>0</v>
      </c>
      <c r="R120">
        <f>IF(AND(Table2[[#This Row],[STATES in numeric format]]=1,F119=-1,F118=1),1,0)</f>
        <v>0</v>
      </c>
      <c r="S120">
        <f>IF(AND(Table2[[#This Row],[STATES in numeric format]]=1,F119=1,F118=-1),1,0)</f>
        <v>0</v>
      </c>
      <c r="T120">
        <f>IF(AND(Table2[[#This Row],[STATES in numeric format]]=1,F119=0,F118=0),1,0)</f>
        <v>0</v>
      </c>
      <c r="U120">
        <f>IF(AND(Table2[[#This Row],[STATES in numeric format]]=1,F119=1,F118=0),1,0)</f>
        <v>0</v>
      </c>
      <c r="V120">
        <f>IF(AND(Table2[[#This Row],[STATES in numeric format]]=1,F119=-1,F118=0),1,0)</f>
        <v>0</v>
      </c>
      <c r="W120">
        <f>IF(AND(Table2[[#This Row],[STATES in numeric format]]=1,F119=0,F118=1),1,0)</f>
        <v>0</v>
      </c>
      <c r="X120">
        <f>IF(AND(Table2[[#This Row],[STATES in numeric format]]=1,F119=0,F118=-1),1,0)</f>
        <v>0</v>
      </c>
      <c r="Y120">
        <f>IF(AND(Table2[[#This Row],[STATES in numeric format]]=0,F119=1,F118=1),1,0)</f>
        <v>0</v>
      </c>
      <c r="Z120">
        <f>IF(AND(Table2[[#This Row],[STATES in numeric format]]=0,F119=-1,F118=-1),1,0)</f>
        <v>0</v>
      </c>
      <c r="AA120">
        <f>IF(AND(Table2[[#This Row],[STATES in numeric format]]=0,F119=-1,F118=1),1,0)</f>
        <v>0</v>
      </c>
      <c r="AB120">
        <f>IF(AND(Table2[[#This Row],[STATES in numeric format]]=0,F119=1,F118=-1),1,0)</f>
        <v>0</v>
      </c>
      <c r="AC120">
        <f>IF(AND(Table2[[#This Row],[STATES in numeric format]]=0,F119=0,F118=0),1,0)</f>
        <v>0</v>
      </c>
      <c r="AD120">
        <f>IF(AND(Table2[[#This Row],[STATES in numeric format]]=0,F119=1,F118=0),1,0)</f>
        <v>0</v>
      </c>
      <c r="AE120">
        <f>IF(AND(Table2[[#This Row],[STATES in numeric format]]=0,F119=-1,F118=0),1,0)</f>
        <v>0</v>
      </c>
      <c r="AF120">
        <f>IF(AND(Table2[[#This Row],[STATES in numeric format]]=0,F119=0,F118=1),1,0)</f>
        <v>0</v>
      </c>
      <c r="AG120">
        <f>IF(AND(Table2[[#This Row],[STATES in numeric format]]=0,F119=0,F118=-1),1,0)</f>
        <v>0</v>
      </c>
    </row>
    <row r="121" spans="1:33" x14ac:dyDescent="0.3">
      <c r="A121" s="1">
        <v>44007</v>
      </c>
      <c r="B121">
        <v>34842.1</v>
      </c>
      <c r="C121">
        <f>Table2[[#This Row],[Close]]-0.001*Table2[[#This Row],[Close]]</f>
        <v>34807.257899999997</v>
      </c>
      <c r="D121">
        <f>Table2[[#This Row],[Close]]+0.001*Table2[[#This Row],[Close]]</f>
        <v>34876.9421</v>
      </c>
      <c r="E121" t="str">
        <f>IF(Table2[[#This Row],[Close]]&gt;D120,"up",IF(Table2[[#This Row],[Close]]&lt;C120,"down","constant"))</f>
        <v>constant</v>
      </c>
      <c r="F121" s="3">
        <f>IF(Table2[[#This Row],[States]]="up",1,IF(Table2[[#This Row],[States]]="down",-1,0))</f>
        <v>0</v>
      </c>
      <c r="G121">
        <f>IF(AND(Table2[[#This Row],[STATES in numeric format]]=-1,F120=1,F119=1),1,0)</f>
        <v>0</v>
      </c>
      <c r="H121">
        <f>IF(AND(Table2[[#This Row],[STATES in numeric format]]=-1,F120=-1,F119=-1),1,0)</f>
        <v>0</v>
      </c>
      <c r="I121">
        <f>IF(AND(Table2[[#This Row],[STATES in numeric format]]=-1,F120=-1,F119=1),1,0)</f>
        <v>0</v>
      </c>
      <c r="J121">
        <f>IF(AND(Table2[[#This Row],[STATES in numeric format]]=-1,F120=1,F119=-1),1,0)</f>
        <v>0</v>
      </c>
      <c r="K121">
        <f>IF(AND(Table2[[#This Row],[STATES in numeric format]]=-1,F120=0,F119=0),1,0)</f>
        <v>0</v>
      </c>
      <c r="L121">
        <f>IF(AND(Table2[[#This Row],[STATES in numeric format]]=-1,F120=1,F119=0),1,0)</f>
        <v>0</v>
      </c>
      <c r="M121">
        <f>IF(AND(Table2[[#This Row],[STATES in numeric format]]=-1,F120=-1,F119=0),1,0)</f>
        <v>0</v>
      </c>
      <c r="N121">
        <f>IF(AND(Table2[[#This Row],[STATES in numeric format]]=-1,F120=0,F119=1),1,0)</f>
        <v>0</v>
      </c>
      <c r="O121">
        <f>IF(AND(Table2[[#This Row],[STATES in numeric format]]=-1,F120=0,F119=-1),1,0)</f>
        <v>0</v>
      </c>
      <c r="P121">
        <f>IF(AND(Table2[[#This Row],[STATES in numeric format]]=1,F120=1,F119=1),1,0)</f>
        <v>0</v>
      </c>
      <c r="Q121">
        <f>IF(AND(Table2[[#This Row],[STATES in numeric format]]=1,F120=-1,F119=-1),1,0)</f>
        <v>0</v>
      </c>
      <c r="R121">
        <f>IF(AND(Table2[[#This Row],[STATES in numeric format]]=1,F120=-1,F119=1),1,0)</f>
        <v>0</v>
      </c>
      <c r="S121">
        <f>IF(AND(Table2[[#This Row],[STATES in numeric format]]=1,F120=1,F119=-1),1,0)</f>
        <v>0</v>
      </c>
      <c r="T121">
        <f>IF(AND(Table2[[#This Row],[STATES in numeric format]]=1,F120=0,F119=0),1,0)</f>
        <v>0</v>
      </c>
      <c r="U121">
        <f>IF(AND(Table2[[#This Row],[STATES in numeric format]]=1,F120=1,F119=0),1,0)</f>
        <v>0</v>
      </c>
      <c r="V121">
        <f>IF(AND(Table2[[#This Row],[STATES in numeric format]]=1,F120=-1,F119=0),1,0)</f>
        <v>0</v>
      </c>
      <c r="W121">
        <f>IF(AND(Table2[[#This Row],[STATES in numeric format]]=1,F120=0,F119=1),1,0)</f>
        <v>0</v>
      </c>
      <c r="X121">
        <f>IF(AND(Table2[[#This Row],[STATES in numeric format]]=1,F120=0,F119=-1),1,0)</f>
        <v>0</v>
      </c>
      <c r="Y121">
        <f>IF(AND(Table2[[#This Row],[STATES in numeric format]]=0,F120=1,F119=1),1,0)</f>
        <v>0</v>
      </c>
      <c r="Z121">
        <f>IF(AND(Table2[[#This Row],[STATES in numeric format]]=0,F120=-1,F119=-1),1,0)</f>
        <v>0</v>
      </c>
      <c r="AA121">
        <f>IF(AND(Table2[[#This Row],[STATES in numeric format]]=0,F120=-1,F119=1),1,0)</f>
        <v>1</v>
      </c>
      <c r="AB121">
        <f>IF(AND(Table2[[#This Row],[STATES in numeric format]]=0,F120=1,F119=-1),1,0)</f>
        <v>0</v>
      </c>
      <c r="AC121">
        <f>IF(AND(Table2[[#This Row],[STATES in numeric format]]=0,F120=0,F119=0),1,0)</f>
        <v>0</v>
      </c>
      <c r="AD121">
        <f>IF(AND(Table2[[#This Row],[STATES in numeric format]]=0,F120=1,F119=0),1,0)</f>
        <v>0</v>
      </c>
      <c r="AE121">
        <f>IF(AND(Table2[[#This Row],[STATES in numeric format]]=0,F120=-1,F119=0),1,0)</f>
        <v>0</v>
      </c>
      <c r="AF121">
        <f>IF(AND(Table2[[#This Row],[STATES in numeric format]]=0,F120=0,F119=1),1,0)</f>
        <v>0</v>
      </c>
      <c r="AG121">
        <f>IF(AND(Table2[[#This Row],[STATES in numeric format]]=0,F120=0,F119=-1),1,0)</f>
        <v>0</v>
      </c>
    </row>
    <row r="122" spans="1:33" x14ac:dyDescent="0.3">
      <c r="A122" s="1">
        <v>44008</v>
      </c>
      <c r="B122">
        <v>35171.269999999997</v>
      </c>
      <c r="C122">
        <f>Table2[[#This Row],[Close]]-0.001*Table2[[#This Row],[Close]]</f>
        <v>35136.098729999998</v>
      </c>
      <c r="D122">
        <f>Table2[[#This Row],[Close]]+0.001*Table2[[#This Row],[Close]]</f>
        <v>35206.441269999996</v>
      </c>
      <c r="E122" t="str">
        <f>IF(Table2[[#This Row],[Close]]&gt;D121,"up",IF(Table2[[#This Row],[Close]]&lt;C121,"down","constant"))</f>
        <v>up</v>
      </c>
      <c r="F122" s="3">
        <f>IF(Table2[[#This Row],[States]]="up",1,IF(Table2[[#This Row],[States]]="down",-1,0))</f>
        <v>1</v>
      </c>
      <c r="G122">
        <f>IF(AND(Table2[[#This Row],[STATES in numeric format]]=-1,F121=1,F120=1),1,0)</f>
        <v>0</v>
      </c>
      <c r="H122">
        <f>IF(AND(Table2[[#This Row],[STATES in numeric format]]=-1,F121=-1,F120=-1),1,0)</f>
        <v>0</v>
      </c>
      <c r="I122">
        <f>IF(AND(Table2[[#This Row],[STATES in numeric format]]=-1,F121=-1,F120=1),1,0)</f>
        <v>0</v>
      </c>
      <c r="J122">
        <f>IF(AND(Table2[[#This Row],[STATES in numeric format]]=-1,F121=1,F120=-1),1,0)</f>
        <v>0</v>
      </c>
      <c r="K122">
        <f>IF(AND(Table2[[#This Row],[STATES in numeric format]]=-1,F121=0,F120=0),1,0)</f>
        <v>0</v>
      </c>
      <c r="L122">
        <f>IF(AND(Table2[[#This Row],[STATES in numeric format]]=-1,F121=1,F120=0),1,0)</f>
        <v>0</v>
      </c>
      <c r="M122">
        <f>IF(AND(Table2[[#This Row],[STATES in numeric format]]=-1,F121=-1,F120=0),1,0)</f>
        <v>0</v>
      </c>
      <c r="N122">
        <f>IF(AND(Table2[[#This Row],[STATES in numeric format]]=-1,F121=0,F120=1),1,0)</f>
        <v>0</v>
      </c>
      <c r="O122">
        <f>IF(AND(Table2[[#This Row],[STATES in numeric format]]=-1,F121=0,F120=-1),1,0)</f>
        <v>0</v>
      </c>
      <c r="P122">
        <f>IF(AND(Table2[[#This Row],[STATES in numeric format]]=1,F121=1,F120=1),1,0)</f>
        <v>0</v>
      </c>
      <c r="Q122">
        <f>IF(AND(Table2[[#This Row],[STATES in numeric format]]=1,F121=-1,F120=-1),1,0)</f>
        <v>0</v>
      </c>
      <c r="R122">
        <f>IF(AND(Table2[[#This Row],[STATES in numeric format]]=1,F121=-1,F120=1),1,0)</f>
        <v>0</v>
      </c>
      <c r="S122">
        <f>IF(AND(Table2[[#This Row],[STATES in numeric format]]=1,F121=1,F120=-1),1,0)</f>
        <v>0</v>
      </c>
      <c r="T122">
        <f>IF(AND(Table2[[#This Row],[STATES in numeric format]]=1,F121=0,F120=0),1,0)</f>
        <v>0</v>
      </c>
      <c r="U122">
        <f>IF(AND(Table2[[#This Row],[STATES in numeric format]]=1,F121=1,F120=0),1,0)</f>
        <v>0</v>
      </c>
      <c r="V122">
        <f>IF(AND(Table2[[#This Row],[STATES in numeric format]]=1,F121=-1,F120=0),1,0)</f>
        <v>0</v>
      </c>
      <c r="W122">
        <f>IF(AND(Table2[[#This Row],[STATES in numeric format]]=1,F121=0,F120=1),1,0)</f>
        <v>0</v>
      </c>
      <c r="X122">
        <f>IF(AND(Table2[[#This Row],[STATES in numeric format]]=1,F121=0,F120=-1),1,0)</f>
        <v>1</v>
      </c>
      <c r="Y122">
        <f>IF(AND(Table2[[#This Row],[STATES in numeric format]]=0,F121=1,F120=1),1,0)</f>
        <v>0</v>
      </c>
      <c r="Z122">
        <f>IF(AND(Table2[[#This Row],[STATES in numeric format]]=0,F121=-1,F120=-1),1,0)</f>
        <v>0</v>
      </c>
      <c r="AA122">
        <f>IF(AND(Table2[[#This Row],[STATES in numeric format]]=0,F121=-1,F120=1),1,0)</f>
        <v>0</v>
      </c>
      <c r="AB122">
        <f>IF(AND(Table2[[#This Row],[STATES in numeric format]]=0,F121=1,F120=-1),1,0)</f>
        <v>0</v>
      </c>
      <c r="AC122">
        <f>IF(AND(Table2[[#This Row],[STATES in numeric format]]=0,F121=0,F120=0),1,0)</f>
        <v>0</v>
      </c>
      <c r="AD122">
        <f>IF(AND(Table2[[#This Row],[STATES in numeric format]]=0,F121=1,F120=0),1,0)</f>
        <v>0</v>
      </c>
      <c r="AE122">
        <f>IF(AND(Table2[[#This Row],[STATES in numeric format]]=0,F121=-1,F120=0),1,0)</f>
        <v>0</v>
      </c>
      <c r="AF122">
        <f>IF(AND(Table2[[#This Row],[STATES in numeric format]]=0,F121=0,F120=1),1,0)</f>
        <v>0</v>
      </c>
      <c r="AG122">
        <f>IF(AND(Table2[[#This Row],[STATES in numeric format]]=0,F121=0,F120=-1),1,0)</f>
        <v>0</v>
      </c>
    </row>
    <row r="123" spans="1:33" x14ac:dyDescent="0.3">
      <c r="A123" s="1">
        <v>44011</v>
      </c>
      <c r="B123">
        <v>34961.519999999997</v>
      </c>
      <c r="C123">
        <f>Table2[[#This Row],[Close]]-0.001*Table2[[#This Row],[Close]]</f>
        <v>34926.55848</v>
      </c>
      <c r="D123">
        <f>Table2[[#This Row],[Close]]+0.001*Table2[[#This Row],[Close]]</f>
        <v>34996.481519999994</v>
      </c>
      <c r="E123" t="str">
        <f>IF(Table2[[#This Row],[Close]]&gt;D122,"up",IF(Table2[[#This Row],[Close]]&lt;C122,"down","constant"))</f>
        <v>down</v>
      </c>
      <c r="F123" s="3">
        <f>IF(Table2[[#This Row],[States]]="up",1,IF(Table2[[#This Row],[States]]="down",-1,0))</f>
        <v>-1</v>
      </c>
      <c r="G123">
        <f>IF(AND(Table2[[#This Row],[STATES in numeric format]]=-1,F122=1,F121=1),1,0)</f>
        <v>0</v>
      </c>
      <c r="H123">
        <f>IF(AND(Table2[[#This Row],[STATES in numeric format]]=-1,F122=-1,F121=-1),1,0)</f>
        <v>0</v>
      </c>
      <c r="I123">
        <f>IF(AND(Table2[[#This Row],[STATES in numeric format]]=-1,F122=-1,F121=1),1,0)</f>
        <v>0</v>
      </c>
      <c r="J123">
        <f>IF(AND(Table2[[#This Row],[STATES in numeric format]]=-1,F122=1,F121=-1),1,0)</f>
        <v>0</v>
      </c>
      <c r="K123">
        <f>IF(AND(Table2[[#This Row],[STATES in numeric format]]=-1,F122=0,F121=0),1,0)</f>
        <v>0</v>
      </c>
      <c r="L123">
        <f>IF(AND(Table2[[#This Row],[STATES in numeric format]]=-1,F122=1,F121=0),1,0)</f>
        <v>1</v>
      </c>
      <c r="M123">
        <f>IF(AND(Table2[[#This Row],[STATES in numeric format]]=-1,F122=-1,F121=0),1,0)</f>
        <v>0</v>
      </c>
      <c r="N123">
        <f>IF(AND(Table2[[#This Row],[STATES in numeric format]]=-1,F122=0,F121=1),1,0)</f>
        <v>0</v>
      </c>
      <c r="O123">
        <f>IF(AND(Table2[[#This Row],[STATES in numeric format]]=-1,F122=0,F121=-1),1,0)</f>
        <v>0</v>
      </c>
      <c r="P123">
        <f>IF(AND(Table2[[#This Row],[STATES in numeric format]]=1,F122=1,F121=1),1,0)</f>
        <v>0</v>
      </c>
      <c r="Q123">
        <f>IF(AND(Table2[[#This Row],[STATES in numeric format]]=1,F122=-1,F121=-1),1,0)</f>
        <v>0</v>
      </c>
      <c r="R123">
        <f>IF(AND(Table2[[#This Row],[STATES in numeric format]]=1,F122=-1,F121=1),1,0)</f>
        <v>0</v>
      </c>
      <c r="S123">
        <f>IF(AND(Table2[[#This Row],[STATES in numeric format]]=1,F122=1,F121=-1),1,0)</f>
        <v>0</v>
      </c>
      <c r="T123">
        <f>IF(AND(Table2[[#This Row],[STATES in numeric format]]=1,F122=0,F121=0),1,0)</f>
        <v>0</v>
      </c>
      <c r="U123">
        <f>IF(AND(Table2[[#This Row],[STATES in numeric format]]=1,F122=1,F121=0),1,0)</f>
        <v>0</v>
      </c>
      <c r="V123">
        <f>IF(AND(Table2[[#This Row],[STATES in numeric format]]=1,F122=-1,F121=0),1,0)</f>
        <v>0</v>
      </c>
      <c r="W123">
        <f>IF(AND(Table2[[#This Row],[STATES in numeric format]]=1,F122=0,F121=1),1,0)</f>
        <v>0</v>
      </c>
      <c r="X123">
        <f>IF(AND(Table2[[#This Row],[STATES in numeric format]]=1,F122=0,F121=-1),1,0)</f>
        <v>0</v>
      </c>
      <c r="Y123">
        <f>IF(AND(Table2[[#This Row],[STATES in numeric format]]=0,F122=1,F121=1),1,0)</f>
        <v>0</v>
      </c>
      <c r="Z123">
        <f>IF(AND(Table2[[#This Row],[STATES in numeric format]]=0,F122=-1,F121=-1),1,0)</f>
        <v>0</v>
      </c>
      <c r="AA123">
        <f>IF(AND(Table2[[#This Row],[STATES in numeric format]]=0,F122=-1,F121=1),1,0)</f>
        <v>0</v>
      </c>
      <c r="AB123">
        <f>IF(AND(Table2[[#This Row],[STATES in numeric format]]=0,F122=1,F121=-1),1,0)</f>
        <v>0</v>
      </c>
      <c r="AC123">
        <f>IF(AND(Table2[[#This Row],[STATES in numeric format]]=0,F122=0,F121=0),1,0)</f>
        <v>0</v>
      </c>
      <c r="AD123">
        <f>IF(AND(Table2[[#This Row],[STATES in numeric format]]=0,F122=1,F121=0),1,0)</f>
        <v>0</v>
      </c>
      <c r="AE123">
        <f>IF(AND(Table2[[#This Row],[STATES in numeric format]]=0,F122=-1,F121=0),1,0)</f>
        <v>0</v>
      </c>
      <c r="AF123">
        <f>IF(AND(Table2[[#This Row],[STATES in numeric format]]=0,F122=0,F121=1),1,0)</f>
        <v>0</v>
      </c>
      <c r="AG123">
        <f>IF(AND(Table2[[#This Row],[STATES in numeric format]]=0,F122=0,F121=-1),1,0)</f>
        <v>0</v>
      </c>
    </row>
    <row r="124" spans="1:33" x14ac:dyDescent="0.3">
      <c r="A124" s="1">
        <v>44012</v>
      </c>
      <c r="B124">
        <v>34915.800000000003</v>
      </c>
      <c r="C124">
        <f>Table2[[#This Row],[Close]]-0.001*Table2[[#This Row],[Close]]</f>
        <v>34880.8842</v>
      </c>
      <c r="D124">
        <f>Table2[[#This Row],[Close]]+0.001*Table2[[#This Row],[Close]]</f>
        <v>34950.715800000005</v>
      </c>
      <c r="E124" t="str">
        <f>IF(Table2[[#This Row],[Close]]&gt;D123,"up",IF(Table2[[#This Row],[Close]]&lt;C123,"down","constant"))</f>
        <v>down</v>
      </c>
      <c r="F124" s="3">
        <f>IF(Table2[[#This Row],[States]]="up",1,IF(Table2[[#This Row],[States]]="down",-1,0))</f>
        <v>-1</v>
      </c>
      <c r="G124">
        <f>IF(AND(Table2[[#This Row],[STATES in numeric format]]=-1,F123=1,F122=1),1,0)</f>
        <v>0</v>
      </c>
      <c r="H124">
        <f>IF(AND(Table2[[#This Row],[STATES in numeric format]]=-1,F123=-1,F122=-1),1,0)</f>
        <v>0</v>
      </c>
      <c r="I124">
        <f>IF(AND(Table2[[#This Row],[STATES in numeric format]]=-1,F123=-1,F122=1),1,0)</f>
        <v>1</v>
      </c>
      <c r="J124">
        <f>IF(AND(Table2[[#This Row],[STATES in numeric format]]=-1,F123=1,F122=-1),1,0)</f>
        <v>0</v>
      </c>
      <c r="K124">
        <f>IF(AND(Table2[[#This Row],[STATES in numeric format]]=-1,F123=0,F122=0),1,0)</f>
        <v>0</v>
      </c>
      <c r="L124">
        <f>IF(AND(Table2[[#This Row],[STATES in numeric format]]=-1,F123=1,F122=0),1,0)</f>
        <v>0</v>
      </c>
      <c r="M124">
        <f>IF(AND(Table2[[#This Row],[STATES in numeric format]]=-1,F123=-1,F122=0),1,0)</f>
        <v>0</v>
      </c>
      <c r="N124">
        <f>IF(AND(Table2[[#This Row],[STATES in numeric format]]=-1,F123=0,F122=1),1,0)</f>
        <v>0</v>
      </c>
      <c r="O124">
        <f>IF(AND(Table2[[#This Row],[STATES in numeric format]]=-1,F123=0,F122=-1),1,0)</f>
        <v>0</v>
      </c>
      <c r="P124">
        <f>IF(AND(Table2[[#This Row],[STATES in numeric format]]=1,F123=1,F122=1),1,0)</f>
        <v>0</v>
      </c>
      <c r="Q124">
        <f>IF(AND(Table2[[#This Row],[STATES in numeric format]]=1,F123=-1,F122=-1),1,0)</f>
        <v>0</v>
      </c>
      <c r="R124">
        <f>IF(AND(Table2[[#This Row],[STATES in numeric format]]=1,F123=-1,F122=1),1,0)</f>
        <v>0</v>
      </c>
      <c r="S124">
        <f>IF(AND(Table2[[#This Row],[STATES in numeric format]]=1,F123=1,F122=-1),1,0)</f>
        <v>0</v>
      </c>
      <c r="T124">
        <f>IF(AND(Table2[[#This Row],[STATES in numeric format]]=1,F123=0,F122=0),1,0)</f>
        <v>0</v>
      </c>
      <c r="U124">
        <f>IF(AND(Table2[[#This Row],[STATES in numeric format]]=1,F123=1,F122=0),1,0)</f>
        <v>0</v>
      </c>
      <c r="V124">
        <f>IF(AND(Table2[[#This Row],[STATES in numeric format]]=1,F123=-1,F122=0),1,0)</f>
        <v>0</v>
      </c>
      <c r="W124">
        <f>IF(AND(Table2[[#This Row],[STATES in numeric format]]=1,F123=0,F122=1),1,0)</f>
        <v>0</v>
      </c>
      <c r="X124">
        <f>IF(AND(Table2[[#This Row],[STATES in numeric format]]=1,F123=0,F122=-1),1,0)</f>
        <v>0</v>
      </c>
      <c r="Y124">
        <f>IF(AND(Table2[[#This Row],[STATES in numeric format]]=0,F123=1,F122=1),1,0)</f>
        <v>0</v>
      </c>
      <c r="Z124">
        <f>IF(AND(Table2[[#This Row],[STATES in numeric format]]=0,F123=-1,F122=-1),1,0)</f>
        <v>0</v>
      </c>
      <c r="AA124">
        <f>IF(AND(Table2[[#This Row],[STATES in numeric format]]=0,F123=-1,F122=1),1,0)</f>
        <v>0</v>
      </c>
      <c r="AB124">
        <f>IF(AND(Table2[[#This Row],[STATES in numeric format]]=0,F123=1,F122=-1),1,0)</f>
        <v>0</v>
      </c>
      <c r="AC124">
        <f>IF(AND(Table2[[#This Row],[STATES in numeric format]]=0,F123=0,F122=0),1,0)</f>
        <v>0</v>
      </c>
      <c r="AD124">
        <f>IF(AND(Table2[[#This Row],[STATES in numeric format]]=0,F123=1,F122=0),1,0)</f>
        <v>0</v>
      </c>
      <c r="AE124">
        <f>IF(AND(Table2[[#This Row],[STATES in numeric format]]=0,F123=-1,F122=0),1,0)</f>
        <v>0</v>
      </c>
      <c r="AF124">
        <f>IF(AND(Table2[[#This Row],[STATES in numeric format]]=0,F123=0,F122=1),1,0)</f>
        <v>0</v>
      </c>
      <c r="AG124">
        <f>IF(AND(Table2[[#This Row],[STATES in numeric format]]=0,F123=0,F122=-1),1,0)</f>
        <v>0</v>
      </c>
    </row>
    <row r="125" spans="1:33" x14ac:dyDescent="0.3">
      <c r="A125" s="1">
        <v>44013</v>
      </c>
      <c r="B125">
        <v>35414.449999999997</v>
      </c>
      <c r="C125">
        <f>Table2[[#This Row],[Close]]-0.001*Table2[[#This Row],[Close]]</f>
        <v>35379.035550000001</v>
      </c>
      <c r="D125">
        <f>Table2[[#This Row],[Close]]+0.001*Table2[[#This Row],[Close]]</f>
        <v>35449.864449999994</v>
      </c>
      <c r="E125" t="str">
        <f>IF(Table2[[#This Row],[Close]]&gt;D124,"up",IF(Table2[[#This Row],[Close]]&lt;C124,"down","constant"))</f>
        <v>up</v>
      </c>
      <c r="F125" s="3">
        <f>IF(Table2[[#This Row],[States]]="up",1,IF(Table2[[#This Row],[States]]="down",-1,0))</f>
        <v>1</v>
      </c>
      <c r="G125">
        <f>IF(AND(Table2[[#This Row],[STATES in numeric format]]=-1,F124=1,F123=1),1,0)</f>
        <v>0</v>
      </c>
      <c r="H125">
        <f>IF(AND(Table2[[#This Row],[STATES in numeric format]]=-1,F124=-1,F123=-1),1,0)</f>
        <v>0</v>
      </c>
      <c r="I125">
        <f>IF(AND(Table2[[#This Row],[STATES in numeric format]]=-1,F124=-1,F123=1),1,0)</f>
        <v>0</v>
      </c>
      <c r="J125">
        <f>IF(AND(Table2[[#This Row],[STATES in numeric format]]=-1,F124=1,F123=-1),1,0)</f>
        <v>0</v>
      </c>
      <c r="K125">
        <f>IF(AND(Table2[[#This Row],[STATES in numeric format]]=-1,F124=0,F123=0),1,0)</f>
        <v>0</v>
      </c>
      <c r="L125">
        <f>IF(AND(Table2[[#This Row],[STATES in numeric format]]=-1,F124=1,F123=0),1,0)</f>
        <v>0</v>
      </c>
      <c r="M125">
        <f>IF(AND(Table2[[#This Row],[STATES in numeric format]]=-1,F124=-1,F123=0),1,0)</f>
        <v>0</v>
      </c>
      <c r="N125">
        <f>IF(AND(Table2[[#This Row],[STATES in numeric format]]=-1,F124=0,F123=1),1,0)</f>
        <v>0</v>
      </c>
      <c r="O125">
        <f>IF(AND(Table2[[#This Row],[STATES in numeric format]]=-1,F124=0,F123=-1),1,0)</f>
        <v>0</v>
      </c>
      <c r="P125">
        <f>IF(AND(Table2[[#This Row],[STATES in numeric format]]=1,F124=1,F123=1),1,0)</f>
        <v>0</v>
      </c>
      <c r="Q125">
        <f>IF(AND(Table2[[#This Row],[STATES in numeric format]]=1,F124=-1,F123=-1),1,0)</f>
        <v>1</v>
      </c>
      <c r="R125">
        <f>IF(AND(Table2[[#This Row],[STATES in numeric format]]=1,F124=-1,F123=1),1,0)</f>
        <v>0</v>
      </c>
      <c r="S125">
        <f>IF(AND(Table2[[#This Row],[STATES in numeric format]]=1,F124=1,F123=-1),1,0)</f>
        <v>0</v>
      </c>
      <c r="T125">
        <f>IF(AND(Table2[[#This Row],[STATES in numeric format]]=1,F124=0,F123=0),1,0)</f>
        <v>0</v>
      </c>
      <c r="U125">
        <f>IF(AND(Table2[[#This Row],[STATES in numeric format]]=1,F124=1,F123=0),1,0)</f>
        <v>0</v>
      </c>
      <c r="V125">
        <f>IF(AND(Table2[[#This Row],[STATES in numeric format]]=1,F124=-1,F123=0),1,0)</f>
        <v>0</v>
      </c>
      <c r="W125">
        <f>IF(AND(Table2[[#This Row],[STATES in numeric format]]=1,F124=0,F123=1),1,0)</f>
        <v>0</v>
      </c>
      <c r="X125">
        <f>IF(AND(Table2[[#This Row],[STATES in numeric format]]=1,F124=0,F123=-1),1,0)</f>
        <v>0</v>
      </c>
      <c r="Y125">
        <f>IF(AND(Table2[[#This Row],[STATES in numeric format]]=0,F124=1,F123=1),1,0)</f>
        <v>0</v>
      </c>
      <c r="Z125">
        <f>IF(AND(Table2[[#This Row],[STATES in numeric format]]=0,F124=-1,F123=-1),1,0)</f>
        <v>0</v>
      </c>
      <c r="AA125">
        <f>IF(AND(Table2[[#This Row],[STATES in numeric format]]=0,F124=-1,F123=1),1,0)</f>
        <v>0</v>
      </c>
      <c r="AB125">
        <f>IF(AND(Table2[[#This Row],[STATES in numeric format]]=0,F124=1,F123=-1),1,0)</f>
        <v>0</v>
      </c>
      <c r="AC125">
        <f>IF(AND(Table2[[#This Row],[STATES in numeric format]]=0,F124=0,F123=0),1,0)</f>
        <v>0</v>
      </c>
      <c r="AD125">
        <f>IF(AND(Table2[[#This Row],[STATES in numeric format]]=0,F124=1,F123=0),1,0)</f>
        <v>0</v>
      </c>
      <c r="AE125">
        <f>IF(AND(Table2[[#This Row],[STATES in numeric format]]=0,F124=-1,F123=0),1,0)</f>
        <v>0</v>
      </c>
      <c r="AF125">
        <f>IF(AND(Table2[[#This Row],[STATES in numeric format]]=0,F124=0,F123=1),1,0)</f>
        <v>0</v>
      </c>
      <c r="AG125">
        <f>IF(AND(Table2[[#This Row],[STATES in numeric format]]=0,F124=0,F123=-1),1,0)</f>
        <v>0</v>
      </c>
    </row>
    <row r="126" spans="1:33" x14ac:dyDescent="0.3">
      <c r="A126" s="1">
        <v>44014</v>
      </c>
      <c r="B126">
        <v>35843.699999999997</v>
      </c>
      <c r="C126">
        <f>Table2[[#This Row],[Close]]-0.001*Table2[[#This Row],[Close]]</f>
        <v>35807.856299999999</v>
      </c>
      <c r="D126">
        <f>Table2[[#This Row],[Close]]+0.001*Table2[[#This Row],[Close]]</f>
        <v>35879.543699999995</v>
      </c>
      <c r="E126" t="str">
        <f>IF(Table2[[#This Row],[Close]]&gt;D125,"up",IF(Table2[[#This Row],[Close]]&lt;C125,"down","constant"))</f>
        <v>up</v>
      </c>
      <c r="F126" s="3">
        <f>IF(Table2[[#This Row],[States]]="up",1,IF(Table2[[#This Row],[States]]="down",-1,0))</f>
        <v>1</v>
      </c>
      <c r="G126">
        <f>IF(AND(Table2[[#This Row],[STATES in numeric format]]=-1,F125=1,F124=1),1,0)</f>
        <v>0</v>
      </c>
      <c r="H126">
        <f>IF(AND(Table2[[#This Row],[STATES in numeric format]]=-1,F125=-1,F124=-1),1,0)</f>
        <v>0</v>
      </c>
      <c r="I126">
        <f>IF(AND(Table2[[#This Row],[STATES in numeric format]]=-1,F125=-1,F124=1),1,0)</f>
        <v>0</v>
      </c>
      <c r="J126">
        <f>IF(AND(Table2[[#This Row],[STATES in numeric format]]=-1,F125=1,F124=-1),1,0)</f>
        <v>0</v>
      </c>
      <c r="K126">
        <f>IF(AND(Table2[[#This Row],[STATES in numeric format]]=-1,F125=0,F124=0),1,0)</f>
        <v>0</v>
      </c>
      <c r="L126">
        <f>IF(AND(Table2[[#This Row],[STATES in numeric format]]=-1,F125=1,F124=0),1,0)</f>
        <v>0</v>
      </c>
      <c r="M126">
        <f>IF(AND(Table2[[#This Row],[STATES in numeric format]]=-1,F125=-1,F124=0),1,0)</f>
        <v>0</v>
      </c>
      <c r="N126">
        <f>IF(AND(Table2[[#This Row],[STATES in numeric format]]=-1,F125=0,F124=1),1,0)</f>
        <v>0</v>
      </c>
      <c r="O126">
        <f>IF(AND(Table2[[#This Row],[STATES in numeric format]]=-1,F125=0,F124=-1),1,0)</f>
        <v>0</v>
      </c>
      <c r="P126">
        <f>IF(AND(Table2[[#This Row],[STATES in numeric format]]=1,F125=1,F124=1),1,0)</f>
        <v>0</v>
      </c>
      <c r="Q126">
        <f>IF(AND(Table2[[#This Row],[STATES in numeric format]]=1,F125=-1,F124=-1),1,0)</f>
        <v>0</v>
      </c>
      <c r="R126">
        <f>IF(AND(Table2[[#This Row],[STATES in numeric format]]=1,F125=-1,F124=1),1,0)</f>
        <v>0</v>
      </c>
      <c r="S126">
        <f>IF(AND(Table2[[#This Row],[STATES in numeric format]]=1,F125=1,F124=-1),1,0)</f>
        <v>1</v>
      </c>
      <c r="T126">
        <f>IF(AND(Table2[[#This Row],[STATES in numeric format]]=1,F125=0,F124=0),1,0)</f>
        <v>0</v>
      </c>
      <c r="U126">
        <f>IF(AND(Table2[[#This Row],[STATES in numeric format]]=1,F125=1,F124=0),1,0)</f>
        <v>0</v>
      </c>
      <c r="V126">
        <f>IF(AND(Table2[[#This Row],[STATES in numeric format]]=1,F125=-1,F124=0),1,0)</f>
        <v>0</v>
      </c>
      <c r="W126">
        <f>IF(AND(Table2[[#This Row],[STATES in numeric format]]=1,F125=0,F124=1),1,0)</f>
        <v>0</v>
      </c>
      <c r="X126">
        <f>IF(AND(Table2[[#This Row],[STATES in numeric format]]=1,F125=0,F124=-1),1,0)</f>
        <v>0</v>
      </c>
      <c r="Y126">
        <f>IF(AND(Table2[[#This Row],[STATES in numeric format]]=0,F125=1,F124=1),1,0)</f>
        <v>0</v>
      </c>
      <c r="Z126">
        <f>IF(AND(Table2[[#This Row],[STATES in numeric format]]=0,F125=-1,F124=-1),1,0)</f>
        <v>0</v>
      </c>
      <c r="AA126">
        <f>IF(AND(Table2[[#This Row],[STATES in numeric format]]=0,F125=-1,F124=1),1,0)</f>
        <v>0</v>
      </c>
      <c r="AB126">
        <f>IF(AND(Table2[[#This Row],[STATES in numeric format]]=0,F125=1,F124=-1),1,0)</f>
        <v>0</v>
      </c>
      <c r="AC126">
        <f>IF(AND(Table2[[#This Row],[STATES in numeric format]]=0,F125=0,F124=0),1,0)</f>
        <v>0</v>
      </c>
      <c r="AD126">
        <f>IF(AND(Table2[[#This Row],[STATES in numeric format]]=0,F125=1,F124=0),1,0)</f>
        <v>0</v>
      </c>
      <c r="AE126">
        <f>IF(AND(Table2[[#This Row],[STATES in numeric format]]=0,F125=-1,F124=0),1,0)</f>
        <v>0</v>
      </c>
      <c r="AF126">
        <f>IF(AND(Table2[[#This Row],[STATES in numeric format]]=0,F125=0,F124=1),1,0)</f>
        <v>0</v>
      </c>
      <c r="AG126">
        <f>IF(AND(Table2[[#This Row],[STATES in numeric format]]=0,F125=0,F124=-1),1,0)</f>
        <v>0</v>
      </c>
    </row>
    <row r="127" spans="1:33" x14ac:dyDescent="0.3">
      <c r="A127" s="1">
        <v>44015</v>
      </c>
      <c r="B127">
        <v>36021.42</v>
      </c>
      <c r="C127">
        <f>Table2[[#This Row],[Close]]-0.001*Table2[[#This Row],[Close]]</f>
        <v>35985.398580000001</v>
      </c>
      <c r="D127">
        <f>Table2[[#This Row],[Close]]+0.001*Table2[[#This Row],[Close]]</f>
        <v>36057.441419999996</v>
      </c>
      <c r="E127" t="str">
        <f>IF(Table2[[#This Row],[Close]]&gt;D126,"up",IF(Table2[[#This Row],[Close]]&lt;C126,"down","constant"))</f>
        <v>up</v>
      </c>
      <c r="F127" s="3">
        <f>IF(Table2[[#This Row],[States]]="up",1,IF(Table2[[#This Row],[States]]="down",-1,0))</f>
        <v>1</v>
      </c>
      <c r="G127">
        <f>IF(AND(Table2[[#This Row],[STATES in numeric format]]=-1,F126=1,F125=1),1,0)</f>
        <v>0</v>
      </c>
      <c r="H127">
        <f>IF(AND(Table2[[#This Row],[STATES in numeric format]]=-1,F126=-1,F125=-1),1,0)</f>
        <v>0</v>
      </c>
      <c r="I127">
        <f>IF(AND(Table2[[#This Row],[STATES in numeric format]]=-1,F126=-1,F125=1),1,0)</f>
        <v>0</v>
      </c>
      <c r="J127">
        <f>IF(AND(Table2[[#This Row],[STATES in numeric format]]=-1,F126=1,F125=-1),1,0)</f>
        <v>0</v>
      </c>
      <c r="K127">
        <f>IF(AND(Table2[[#This Row],[STATES in numeric format]]=-1,F126=0,F125=0),1,0)</f>
        <v>0</v>
      </c>
      <c r="L127">
        <f>IF(AND(Table2[[#This Row],[STATES in numeric format]]=-1,F126=1,F125=0),1,0)</f>
        <v>0</v>
      </c>
      <c r="M127">
        <f>IF(AND(Table2[[#This Row],[STATES in numeric format]]=-1,F126=-1,F125=0),1,0)</f>
        <v>0</v>
      </c>
      <c r="N127">
        <f>IF(AND(Table2[[#This Row],[STATES in numeric format]]=-1,F126=0,F125=1),1,0)</f>
        <v>0</v>
      </c>
      <c r="O127">
        <f>IF(AND(Table2[[#This Row],[STATES in numeric format]]=-1,F126=0,F125=-1),1,0)</f>
        <v>0</v>
      </c>
      <c r="P127">
        <f>IF(AND(Table2[[#This Row],[STATES in numeric format]]=1,F126=1,F125=1),1,0)</f>
        <v>1</v>
      </c>
      <c r="Q127">
        <f>IF(AND(Table2[[#This Row],[STATES in numeric format]]=1,F126=-1,F125=-1),1,0)</f>
        <v>0</v>
      </c>
      <c r="R127">
        <f>IF(AND(Table2[[#This Row],[STATES in numeric format]]=1,F126=-1,F125=1),1,0)</f>
        <v>0</v>
      </c>
      <c r="S127">
        <f>IF(AND(Table2[[#This Row],[STATES in numeric format]]=1,F126=1,F125=-1),1,0)</f>
        <v>0</v>
      </c>
      <c r="T127">
        <f>IF(AND(Table2[[#This Row],[STATES in numeric format]]=1,F126=0,F125=0),1,0)</f>
        <v>0</v>
      </c>
      <c r="U127">
        <f>IF(AND(Table2[[#This Row],[STATES in numeric format]]=1,F126=1,F125=0),1,0)</f>
        <v>0</v>
      </c>
      <c r="V127">
        <f>IF(AND(Table2[[#This Row],[STATES in numeric format]]=1,F126=-1,F125=0),1,0)</f>
        <v>0</v>
      </c>
      <c r="W127">
        <f>IF(AND(Table2[[#This Row],[STATES in numeric format]]=1,F126=0,F125=1),1,0)</f>
        <v>0</v>
      </c>
      <c r="X127">
        <f>IF(AND(Table2[[#This Row],[STATES in numeric format]]=1,F126=0,F125=-1),1,0)</f>
        <v>0</v>
      </c>
      <c r="Y127">
        <f>IF(AND(Table2[[#This Row],[STATES in numeric format]]=0,F126=1,F125=1),1,0)</f>
        <v>0</v>
      </c>
      <c r="Z127">
        <f>IF(AND(Table2[[#This Row],[STATES in numeric format]]=0,F126=-1,F125=-1),1,0)</f>
        <v>0</v>
      </c>
      <c r="AA127">
        <f>IF(AND(Table2[[#This Row],[STATES in numeric format]]=0,F126=-1,F125=1),1,0)</f>
        <v>0</v>
      </c>
      <c r="AB127">
        <f>IF(AND(Table2[[#This Row],[STATES in numeric format]]=0,F126=1,F125=-1),1,0)</f>
        <v>0</v>
      </c>
      <c r="AC127">
        <f>IF(AND(Table2[[#This Row],[STATES in numeric format]]=0,F126=0,F125=0),1,0)</f>
        <v>0</v>
      </c>
      <c r="AD127">
        <f>IF(AND(Table2[[#This Row],[STATES in numeric format]]=0,F126=1,F125=0),1,0)</f>
        <v>0</v>
      </c>
      <c r="AE127">
        <f>IF(AND(Table2[[#This Row],[STATES in numeric format]]=0,F126=-1,F125=0),1,0)</f>
        <v>0</v>
      </c>
      <c r="AF127">
        <f>IF(AND(Table2[[#This Row],[STATES in numeric format]]=0,F126=0,F125=1),1,0)</f>
        <v>0</v>
      </c>
      <c r="AG127">
        <f>IF(AND(Table2[[#This Row],[STATES in numeric format]]=0,F126=0,F125=-1),1,0)</f>
        <v>0</v>
      </c>
    </row>
    <row r="128" spans="1:33" x14ac:dyDescent="0.3">
      <c r="A128" s="1">
        <v>44018</v>
      </c>
      <c r="B128">
        <v>36487.279999999999</v>
      </c>
      <c r="C128">
        <f>Table2[[#This Row],[Close]]-0.001*Table2[[#This Row],[Close]]</f>
        <v>36450.792719999998</v>
      </c>
      <c r="D128">
        <f>Table2[[#This Row],[Close]]+0.001*Table2[[#This Row],[Close]]</f>
        <v>36523.76728</v>
      </c>
      <c r="E128" t="str">
        <f>IF(Table2[[#This Row],[Close]]&gt;D127,"up",IF(Table2[[#This Row],[Close]]&lt;C127,"down","constant"))</f>
        <v>up</v>
      </c>
      <c r="F128" s="3">
        <f>IF(Table2[[#This Row],[States]]="up",1,IF(Table2[[#This Row],[States]]="down",-1,0))</f>
        <v>1</v>
      </c>
      <c r="G128">
        <f>IF(AND(Table2[[#This Row],[STATES in numeric format]]=-1,F127=1,F126=1),1,0)</f>
        <v>0</v>
      </c>
      <c r="H128">
        <f>IF(AND(Table2[[#This Row],[STATES in numeric format]]=-1,F127=-1,F126=-1),1,0)</f>
        <v>0</v>
      </c>
      <c r="I128">
        <f>IF(AND(Table2[[#This Row],[STATES in numeric format]]=-1,F127=-1,F126=1),1,0)</f>
        <v>0</v>
      </c>
      <c r="J128">
        <f>IF(AND(Table2[[#This Row],[STATES in numeric format]]=-1,F127=1,F126=-1),1,0)</f>
        <v>0</v>
      </c>
      <c r="K128">
        <f>IF(AND(Table2[[#This Row],[STATES in numeric format]]=-1,F127=0,F126=0),1,0)</f>
        <v>0</v>
      </c>
      <c r="L128">
        <f>IF(AND(Table2[[#This Row],[STATES in numeric format]]=-1,F127=1,F126=0),1,0)</f>
        <v>0</v>
      </c>
      <c r="M128">
        <f>IF(AND(Table2[[#This Row],[STATES in numeric format]]=-1,F127=-1,F126=0),1,0)</f>
        <v>0</v>
      </c>
      <c r="N128">
        <f>IF(AND(Table2[[#This Row],[STATES in numeric format]]=-1,F127=0,F126=1),1,0)</f>
        <v>0</v>
      </c>
      <c r="O128">
        <f>IF(AND(Table2[[#This Row],[STATES in numeric format]]=-1,F127=0,F126=-1),1,0)</f>
        <v>0</v>
      </c>
      <c r="P128">
        <f>IF(AND(Table2[[#This Row],[STATES in numeric format]]=1,F127=1,F126=1),1,0)</f>
        <v>1</v>
      </c>
      <c r="Q128">
        <f>IF(AND(Table2[[#This Row],[STATES in numeric format]]=1,F127=-1,F126=-1),1,0)</f>
        <v>0</v>
      </c>
      <c r="R128">
        <f>IF(AND(Table2[[#This Row],[STATES in numeric format]]=1,F127=-1,F126=1),1,0)</f>
        <v>0</v>
      </c>
      <c r="S128">
        <f>IF(AND(Table2[[#This Row],[STATES in numeric format]]=1,F127=1,F126=-1),1,0)</f>
        <v>0</v>
      </c>
      <c r="T128">
        <f>IF(AND(Table2[[#This Row],[STATES in numeric format]]=1,F127=0,F126=0),1,0)</f>
        <v>0</v>
      </c>
      <c r="U128">
        <f>IF(AND(Table2[[#This Row],[STATES in numeric format]]=1,F127=1,F126=0),1,0)</f>
        <v>0</v>
      </c>
      <c r="V128">
        <f>IF(AND(Table2[[#This Row],[STATES in numeric format]]=1,F127=-1,F126=0),1,0)</f>
        <v>0</v>
      </c>
      <c r="W128">
        <f>IF(AND(Table2[[#This Row],[STATES in numeric format]]=1,F127=0,F126=1),1,0)</f>
        <v>0</v>
      </c>
      <c r="X128">
        <f>IF(AND(Table2[[#This Row],[STATES in numeric format]]=1,F127=0,F126=-1),1,0)</f>
        <v>0</v>
      </c>
      <c r="Y128">
        <f>IF(AND(Table2[[#This Row],[STATES in numeric format]]=0,F127=1,F126=1),1,0)</f>
        <v>0</v>
      </c>
      <c r="Z128">
        <f>IF(AND(Table2[[#This Row],[STATES in numeric format]]=0,F127=-1,F126=-1),1,0)</f>
        <v>0</v>
      </c>
      <c r="AA128">
        <f>IF(AND(Table2[[#This Row],[STATES in numeric format]]=0,F127=-1,F126=1),1,0)</f>
        <v>0</v>
      </c>
      <c r="AB128">
        <f>IF(AND(Table2[[#This Row],[STATES in numeric format]]=0,F127=1,F126=-1),1,0)</f>
        <v>0</v>
      </c>
      <c r="AC128">
        <f>IF(AND(Table2[[#This Row],[STATES in numeric format]]=0,F127=0,F126=0),1,0)</f>
        <v>0</v>
      </c>
      <c r="AD128">
        <f>IF(AND(Table2[[#This Row],[STATES in numeric format]]=0,F127=1,F126=0),1,0)</f>
        <v>0</v>
      </c>
      <c r="AE128">
        <f>IF(AND(Table2[[#This Row],[STATES in numeric format]]=0,F127=-1,F126=0),1,0)</f>
        <v>0</v>
      </c>
      <c r="AF128">
        <f>IF(AND(Table2[[#This Row],[STATES in numeric format]]=0,F127=0,F126=1),1,0)</f>
        <v>0</v>
      </c>
      <c r="AG128">
        <f>IF(AND(Table2[[#This Row],[STATES in numeric format]]=0,F127=0,F126=-1),1,0)</f>
        <v>0</v>
      </c>
    </row>
    <row r="129" spans="1:33" x14ac:dyDescent="0.3">
      <c r="A129" s="1">
        <v>44019</v>
      </c>
      <c r="B129">
        <v>36674.519999999997</v>
      </c>
      <c r="C129">
        <f>Table2[[#This Row],[Close]]-0.001*Table2[[#This Row],[Close]]</f>
        <v>36637.845479999996</v>
      </c>
      <c r="D129">
        <f>Table2[[#This Row],[Close]]+0.001*Table2[[#This Row],[Close]]</f>
        <v>36711.194519999997</v>
      </c>
      <c r="E129" t="str">
        <f>IF(Table2[[#This Row],[Close]]&gt;D128,"up",IF(Table2[[#This Row],[Close]]&lt;C128,"down","constant"))</f>
        <v>up</v>
      </c>
      <c r="F129" s="3">
        <f>IF(Table2[[#This Row],[States]]="up",1,IF(Table2[[#This Row],[States]]="down",-1,0))</f>
        <v>1</v>
      </c>
      <c r="G129">
        <f>IF(AND(Table2[[#This Row],[STATES in numeric format]]=-1,F128=1,F127=1),1,0)</f>
        <v>0</v>
      </c>
      <c r="H129">
        <f>IF(AND(Table2[[#This Row],[STATES in numeric format]]=-1,F128=-1,F127=-1),1,0)</f>
        <v>0</v>
      </c>
      <c r="I129">
        <f>IF(AND(Table2[[#This Row],[STATES in numeric format]]=-1,F128=-1,F127=1),1,0)</f>
        <v>0</v>
      </c>
      <c r="J129">
        <f>IF(AND(Table2[[#This Row],[STATES in numeric format]]=-1,F128=1,F127=-1),1,0)</f>
        <v>0</v>
      </c>
      <c r="K129">
        <f>IF(AND(Table2[[#This Row],[STATES in numeric format]]=-1,F128=0,F127=0),1,0)</f>
        <v>0</v>
      </c>
      <c r="L129">
        <f>IF(AND(Table2[[#This Row],[STATES in numeric format]]=-1,F128=1,F127=0),1,0)</f>
        <v>0</v>
      </c>
      <c r="M129">
        <f>IF(AND(Table2[[#This Row],[STATES in numeric format]]=-1,F128=-1,F127=0),1,0)</f>
        <v>0</v>
      </c>
      <c r="N129">
        <f>IF(AND(Table2[[#This Row],[STATES in numeric format]]=-1,F128=0,F127=1),1,0)</f>
        <v>0</v>
      </c>
      <c r="O129">
        <f>IF(AND(Table2[[#This Row],[STATES in numeric format]]=-1,F128=0,F127=-1),1,0)</f>
        <v>0</v>
      </c>
      <c r="P129">
        <f>IF(AND(Table2[[#This Row],[STATES in numeric format]]=1,F128=1,F127=1),1,0)</f>
        <v>1</v>
      </c>
      <c r="Q129">
        <f>IF(AND(Table2[[#This Row],[STATES in numeric format]]=1,F128=-1,F127=-1),1,0)</f>
        <v>0</v>
      </c>
      <c r="R129">
        <f>IF(AND(Table2[[#This Row],[STATES in numeric format]]=1,F128=-1,F127=1),1,0)</f>
        <v>0</v>
      </c>
      <c r="S129">
        <f>IF(AND(Table2[[#This Row],[STATES in numeric format]]=1,F128=1,F127=-1),1,0)</f>
        <v>0</v>
      </c>
      <c r="T129">
        <f>IF(AND(Table2[[#This Row],[STATES in numeric format]]=1,F128=0,F127=0),1,0)</f>
        <v>0</v>
      </c>
      <c r="U129">
        <f>IF(AND(Table2[[#This Row],[STATES in numeric format]]=1,F128=1,F127=0),1,0)</f>
        <v>0</v>
      </c>
      <c r="V129">
        <f>IF(AND(Table2[[#This Row],[STATES in numeric format]]=1,F128=-1,F127=0),1,0)</f>
        <v>0</v>
      </c>
      <c r="W129">
        <f>IF(AND(Table2[[#This Row],[STATES in numeric format]]=1,F128=0,F127=1),1,0)</f>
        <v>0</v>
      </c>
      <c r="X129">
        <f>IF(AND(Table2[[#This Row],[STATES in numeric format]]=1,F128=0,F127=-1),1,0)</f>
        <v>0</v>
      </c>
      <c r="Y129">
        <f>IF(AND(Table2[[#This Row],[STATES in numeric format]]=0,F128=1,F127=1),1,0)</f>
        <v>0</v>
      </c>
      <c r="Z129">
        <f>IF(AND(Table2[[#This Row],[STATES in numeric format]]=0,F128=-1,F127=-1),1,0)</f>
        <v>0</v>
      </c>
      <c r="AA129">
        <f>IF(AND(Table2[[#This Row],[STATES in numeric format]]=0,F128=-1,F127=1),1,0)</f>
        <v>0</v>
      </c>
      <c r="AB129">
        <f>IF(AND(Table2[[#This Row],[STATES in numeric format]]=0,F128=1,F127=-1),1,0)</f>
        <v>0</v>
      </c>
      <c r="AC129">
        <f>IF(AND(Table2[[#This Row],[STATES in numeric format]]=0,F128=0,F127=0),1,0)</f>
        <v>0</v>
      </c>
      <c r="AD129">
        <f>IF(AND(Table2[[#This Row],[STATES in numeric format]]=0,F128=1,F127=0),1,0)</f>
        <v>0</v>
      </c>
      <c r="AE129">
        <f>IF(AND(Table2[[#This Row],[STATES in numeric format]]=0,F128=-1,F127=0),1,0)</f>
        <v>0</v>
      </c>
      <c r="AF129">
        <f>IF(AND(Table2[[#This Row],[STATES in numeric format]]=0,F128=0,F127=1),1,0)</f>
        <v>0</v>
      </c>
      <c r="AG129">
        <f>IF(AND(Table2[[#This Row],[STATES in numeric format]]=0,F128=0,F127=-1),1,0)</f>
        <v>0</v>
      </c>
    </row>
    <row r="130" spans="1:33" x14ac:dyDescent="0.3">
      <c r="A130" s="1">
        <v>44020</v>
      </c>
      <c r="B130">
        <v>36329.01</v>
      </c>
      <c r="C130">
        <f>Table2[[#This Row],[Close]]-0.001*Table2[[#This Row],[Close]]</f>
        <v>36292.680990000001</v>
      </c>
      <c r="D130">
        <f>Table2[[#This Row],[Close]]+0.001*Table2[[#This Row],[Close]]</f>
        <v>36365.339010000003</v>
      </c>
      <c r="E130" t="str">
        <f>IF(Table2[[#This Row],[Close]]&gt;D129,"up",IF(Table2[[#This Row],[Close]]&lt;C129,"down","constant"))</f>
        <v>down</v>
      </c>
      <c r="F130" s="3">
        <f>IF(Table2[[#This Row],[States]]="up",1,IF(Table2[[#This Row],[States]]="down",-1,0))</f>
        <v>-1</v>
      </c>
      <c r="G130">
        <f>IF(AND(Table2[[#This Row],[STATES in numeric format]]=-1,F129=1,F128=1),1,0)</f>
        <v>1</v>
      </c>
      <c r="H130">
        <f>IF(AND(Table2[[#This Row],[STATES in numeric format]]=-1,F129=-1,F128=-1),1,0)</f>
        <v>0</v>
      </c>
      <c r="I130">
        <f>IF(AND(Table2[[#This Row],[STATES in numeric format]]=-1,F129=-1,F128=1),1,0)</f>
        <v>0</v>
      </c>
      <c r="J130">
        <f>IF(AND(Table2[[#This Row],[STATES in numeric format]]=-1,F129=1,F128=-1),1,0)</f>
        <v>0</v>
      </c>
      <c r="K130">
        <f>IF(AND(Table2[[#This Row],[STATES in numeric format]]=-1,F129=0,F128=0),1,0)</f>
        <v>0</v>
      </c>
      <c r="L130">
        <f>IF(AND(Table2[[#This Row],[STATES in numeric format]]=-1,F129=1,F128=0),1,0)</f>
        <v>0</v>
      </c>
      <c r="M130">
        <f>IF(AND(Table2[[#This Row],[STATES in numeric format]]=-1,F129=-1,F128=0),1,0)</f>
        <v>0</v>
      </c>
      <c r="N130">
        <f>IF(AND(Table2[[#This Row],[STATES in numeric format]]=-1,F129=0,F128=1),1,0)</f>
        <v>0</v>
      </c>
      <c r="O130">
        <f>IF(AND(Table2[[#This Row],[STATES in numeric format]]=-1,F129=0,F128=-1),1,0)</f>
        <v>0</v>
      </c>
      <c r="P130">
        <f>IF(AND(Table2[[#This Row],[STATES in numeric format]]=1,F129=1,F128=1),1,0)</f>
        <v>0</v>
      </c>
      <c r="Q130">
        <f>IF(AND(Table2[[#This Row],[STATES in numeric format]]=1,F129=-1,F128=-1),1,0)</f>
        <v>0</v>
      </c>
      <c r="R130">
        <f>IF(AND(Table2[[#This Row],[STATES in numeric format]]=1,F129=-1,F128=1),1,0)</f>
        <v>0</v>
      </c>
      <c r="S130">
        <f>IF(AND(Table2[[#This Row],[STATES in numeric format]]=1,F129=1,F128=-1),1,0)</f>
        <v>0</v>
      </c>
      <c r="T130">
        <f>IF(AND(Table2[[#This Row],[STATES in numeric format]]=1,F129=0,F128=0),1,0)</f>
        <v>0</v>
      </c>
      <c r="U130">
        <f>IF(AND(Table2[[#This Row],[STATES in numeric format]]=1,F129=1,F128=0),1,0)</f>
        <v>0</v>
      </c>
      <c r="V130">
        <f>IF(AND(Table2[[#This Row],[STATES in numeric format]]=1,F129=-1,F128=0),1,0)</f>
        <v>0</v>
      </c>
      <c r="W130">
        <f>IF(AND(Table2[[#This Row],[STATES in numeric format]]=1,F129=0,F128=1),1,0)</f>
        <v>0</v>
      </c>
      <c r="X130">
        <f>IF(AND(Table2[[#This Row],[STATES in numeric format]]=1,F129=0,F128=-1),1,0)</f>
        <v>0</v>
      </c>
      <c r="Y130">
        <f>IF(AND(Table2[[#This Row],[STATES in numeric format]]=0,F129=1,F128=1),1,0)</f>
        <v>0</v>
      </c>
      <c r="Z130">
        <f>IF(AND(Table2[[#This Row],[STATES in numeric format]]=0,F129=-1,F128=-1),1,0)</f>
        <v>0</v>
      </c>
      <c r="AA130">
        <f>IF(AND(Table2[[#This Row],[STATES in numeric format]]=0,F129=-1,F128=1),1,0)</f>
        <v>0</v>
      </c>
      <c r="AB130">
        <f>IF(AND(Table2[[#This Row],[STATES in numeric format]]=0,F129=1,F128=-1),1,0)</f>
        <v>0</v>
      </c>
      <c r="AC130">
        <f>IF(AND(Table2[[#This Row],[STATES in numeric format]]=0,F129=0,F128=0),1,0)</f>
        <v>0</v>
      </c>
      <c r="AD130">
        <f>IF(AND(Table2[[#This Row],[STATES in numeric format]]=0,F129=1,F128=0),1,0)</f>
        <v>0</v>
      </c>
      <c r="AE130">
        <f>IF(AND(Table2[[#This Row],[STATES in numeric format]]=0,F129=-1,F128=0),1,0)</f>
        <v>0</v>
      </c>
      <c r="AF130">
        <f>IF(AND(Table2[[#This Row],[STATES in numeric format]]=0,F129=0,F128=1),1,0)</f>
        <v>0</v>
      </c>
      <c r="AG130">
        <f>IF(AND(Table2[[#This Row],[STATES in numeric format]]=0,F129=0,F128=-1),1,0)</f>
        <v>0</v>
      </c>
    </row>
    <row r="131" spans="1:33" x14ac:dyDescent="0.3">
      <c r="A131" s="1">
        <v>44021</v>
      </c>
      <c r="B131">
        <v>36737.69</v>
      </c>
      <c r="C131">
        <f>Table2[[#This Row],[Close]]-0.001*Table2[[#This Row],[Close]]</f>
        <v>36700.952310000001</v>
      </c>
      <c r="D131">
        <f>Table2[[#This Row],[Close]]+0.001*Table2[[#This Row],[Close]]</f>
        <v>36774.427690000004</v>
      </c>
      <c r="E131" t="str">
        <f>IF(Table2[[#This Row],[Close]]&gt;D130,"up",IF(Table2[[#This Row],[Close]]&lt;C130,"down","constant"))</f>
        <v>up</v>
      </c>
      <c r="F131" s="3">
        <f>IF(Table2[[#This Row],[States]]="up",1,IF(Table2[[#This Row],[States]]="down",-1,0))</f>
        <v>1</v>
      </c>
      <c r="G131">
        <f>IF(AND(Table2[[#This Row],[STATES in numeric format]]=-1,F130=1,F129=1),1,0)</f>
        <v>0</v>
      </c>
      <c r="H131">
        <f>IF(AND(Table2[[#This Row],[STATES in numeric format]]=-1,F130=-1,F129=-1),1,0)</f>
        <v>0</v>
      </c>
      <c r="I131">
        <f>IF(AND(Table2[[#This Row],[STATES in numeric format]]=-1,F130=-1,F129=1),1,0)</f>
        <v>0</v>
      </c>
      <c r="J131">
        <f>IF(AND(Table2[[#This Row],[STATES in numeric format]]=-1,F130=1,F129=-1),1,0)</f>
        <v>0</v>
      </c>
      <c r="K131">
        <f>IF(AND(Table2[[#This Row],[STATES in numeric format]]=-1,F130=0,F129=0),1,0)</f>
        <v>0</v>
      </c>
      <c r="L131">
        <f>IF(AND(Table2[[#This Row],[STATES in numeric format]]=-1,F130=1,F129=0),1,0)</f>
        <v>0</v>
      </c>
      <c r="M131">
        <f>IF(AND(Table2[[#This Row],[STATES in numeric format]]=-1,F130=-1,F129=0),1,0)</f>
        <v>0</v>
      </c>
      <c r="N131">
        <f>IF(AND(Table2[[#This Row],[STATES in numeric format]]=-1,F130=0,F129=1),1,0)</f>
        <v>0</v>
      </c>
      <c r="O131">
        <f>IF(AND(Table2[[#This Row],[STATES in numeric format]]=-1,F130=0,F129=-1),1,0)</f>
        <v>0</v>
      </c>
      <c r="P131">
        <f>IF(AND(Table2[[#This Row],[STATES in numeric format]]=1,F130=1,F129=1),1,0)</f>
        <v>0</v>
      </c>
      <c r="Q131">
        <f>IF(AND(Table2[[#This Row],[STATES in numeric format]]=1,F130=-1,F129=-1),1,0)</f>
        <v>0</v>
      </c>
      <c r="R131">
        <f>IF(AND(Table2[[#This Row],[STATES in numeric format]]=1,F130=-1,F129=1),1,0)</f>
        <v>1</v>
      </c>
      <c r="S131">
        <f>IF(AND(Table2[[#This Row],[STATES in numeric format]]=1,F130=1,F129=-1),1,0)</f>
        <v>0</v>
      </c>
      <c r="T131">
        <f>IF(AND(Table2[[#This Row],[STATES in numeric format]]=1,F130=0,F129=0),1,0)</f>
        <v>0</v>
      </c>
      <c r="U131">
        <f>IF(AND(Table2[[#This Row],[STATES in numeric format]]=1,F130=1,F129=0),1,0)</f>
        <v>0</v>
      </c>
      <c r="V131">
        <f>IF(AND(Table2[[#This Row],[STATES in numeric format]]=1,F130=-1,F129=0),1,0)</f>
        <v>0</v>
      </c>
      <c r="W131">
        <f>IF(AND(Table2[[#This Row],[STATES in numeric format]]=1,F130=0,F129=1),1,0)</f>
        <v>0</v>
      </c>
      <c r="X131">
        <f>IF(AND(Table2[[#This Row],[STATES in numeric format]]=1,F130=0,F129=-1),1,0)</f>
        <v>0</v>
      </c>
      <c r="Y131">
        <f>IF(AND(Table2[[#This Row],[STATES in numeric format]]=0,F130=1,F129=1),1,0)</f>
        <v>0</v>
      </c>
      <c r="Z131">
        <f>IF(AND(Table2[[#This Row],[STATES in numeric format]]=0,F130=-1,F129=-1),1,0)</f>
        <v>0</v>
      </c>
      <c r="AA131">
        <f>IF(AND(Table2[[#This Row],[STATES in numeric format]]=0,F130=-1,F129=1),1,0)</f>
        <v>0</v>
      </c>
      <c r="AB131">
        <f>IF(AND(Table2[[#This Row],[STATES in numeric format]]=0,F130=1,F129=-1),1,0)</f>
        <v>0</v>
      </c>
      <c r="AC131">
        <f>IF(AND(Table2[[#This Row],[STATES in numeric format]]=0,F130=0,F129=0),1,0)</f>
        <v>0</v>
      </c>
      <c r="AD131">
        <f>IF(AND(Table2[[#This Row],[STATES in numeric format]]=0,F130=1,F129=0),1,0)</f>
        <v>0</v>
      </c>
      <c r="AE131">
        <f>IF(AND(Table2[[#This Row],[STATES in numeric format]]=0,F130=-1,F129=0),1,0)</f>
        <v>0</v>
      </c>
      <c r="AF131">
        <f>IF(AND(Table2[[#This Row],[STATES in numeric format]]=0,F130=0,F129=1),1,0)</f>
        <v>0</v>
      </c>
      <c r="AG131">
        <f>IF(AND(Table2[[#This Row],[STATES in numeric format]]=0,F130=0,F129=-1),1,0)</f>
        <v>0</v>
      </c>
    </row>
    <row r="132" spans="1:33" x14ac:dyDescent="0.3">
      <c r="A132" s="1">
        <v>44022</v>
      </c>
      <c r="B132">
        <v>36594.33</v>
      </c>
      <c r="C132">
        <f>Table2[[#This Row],[Close]]-0.001*Table2[[#This Row],[Close]]</f>
        <v>36557.735670000002</v>
      </c>
      <c r="D132">
        <f>Table2[[#This Row],[Close]]+0.001*Table2[[#This Row],[Close]]</f>
        <v>36630.924330000002</v>
      </c>
      <c r="E132" t="str">
        <f>IF(Table2[[#This Row],[Close]]&gt;D131,"up",IF(Table2[[#This Row],[Close]]&lt;C131,"down","constant"))</f>
        <v>down</v>
      </c>
      <c r="F132" s="3">
        <f>IF(Table2[[#This Row],[States]]="up",1,IF(Table2[[#This Row],[States]]="down",-1,0))</f>
        <v>-1</v>
      </c>
      <c r="G132">
        <f>IF(AND(Table2[[#This Row],[STATES in numeric format]]=-1,F131=1,F130=1),1,0)</f>
        <v>0</v>
      </c>
      <c r="H132">
        <f>IF(AND(Table2[[#This Row],[STATES in numeric format]]=-1,F131=-1,F130=-1),1,0)</f>
        <v>0</v>
      </c>
      <c r="I132">
        <f>IF(AND(Table2[[#This Row],[STATES in numeric format]]=-1,F131=-1,F130=1),1,0)</f>
        <v>0</v>
      </c>
      <c r="J132">
        <f>IF(AND(Table2[[#This Row],[STATES in numeric format]]=-1,F131=1,F130=-1),1,0)</f>
        <v>1</v>
      </c>
      <c r="K132">
        <f>IF(AND(Table2[[#This Row],[STATES in numeric format]]=-1,F131=0,F130=0),1,0)</f>
        <v>0</v>
      </c>
      <c r="L132">
        <f>IF(AND(Table2[[#This Row],[STATES in numeric format]]=-1,F131=1,F130=0),1,0)</f>
        <v>0</v>
      </c>
      <c r="M132">
        <f>IF(AND(Table2[[#This Row],[STATES in numeric format]]=-1,F131=-1,F130=0),1,0)</f>
        <v>0</v>
      </c>
      <c r="N132">
        <f>IF(AND(Table2[[#This Row],[STATES in numeric format]]=-1,F131=0,F130=1),1,0)</f>
        <v>0</v>
      </c>
      <c r="O132">
        <f>IF(AND(Table2[[#This Row],[STATES in numeric format]]=-1,F131=0,F130=-1),1,0)</f>
        <v>0</v>
      </c>
      <c r="P132">
        <f>IF(AND(Table2[[#This Row],[STATES in numeric format]]=1,F131=1,F130=1),1,0)</f>
        <v>0</v>
      </c>
      <c r="Q132">
        <f>IF(AND(Table2[[#This Row],[STATES in numeric format]]=1,F131=-1,F130=-1),1,0)</f>
        <v>0</v>
      </c>
      <c r="R132">
        <f>IF(AND(Table2[[#This Row],[STATES in numeric format]]=1,F131=-1,F130=1),1,0)</f>
        <v>0</v>
      </c>
      <c r="S132">
        <f>IF(AND(Table2[[#This Row],[STATES in numeric format]]=1,F131=1,F130=-1),1,0)</f>
        <v>0</v>
      </c>
      <c r="T132">
        <f>IF(AND(Table2[[#This Row],[STATES in numeric format]]=1,F131=0,F130=0),1,0)</f>
        <v>0</v>
      </c>
      <c r="U132">
        <f>IF(AND(Table2[[#This Row],[STATES in numeric format]]=1,F131=1,F130=0),1,0)</f>
        <v>0</v>
      </c>
      <c r="V132">
        <f>IF(AND(Table2[[#This Row],[STATES in numeric format]]=1,F131=-1,F130=0),1,0)</f>
        <v>0</v>
      </c>
      <c r="W132">
        <f>IF(AND(Table2[[#This Row],[STATES in numeric format]]=1,F131=0,F130=1),1,0)</f>
        <v>0</v>
      </c>
      <c r="X132">
        <f>IF(AND(Table2[[#This Row],[STATES in numeric format]]=1,F131=0,F130=-1),1,0)</f>
        <v>0</v>
      </c>
      <c r="Y132">
        <f>IF(AND(Table2[[#This Row],[STATES in numeric format]]=0,F131=1,F130=1),1,0)</f>
        <v>0</v>
      </c>
      <c r="Z132">
        <f>IF(AND(Table2[[#This Row],[STATES in numeric format]]=0,F131=-1,F130=-1),1,0)</f>
        <v>0</v>
      </c>
      <c r="AA132">
        <f>IF(AND(Table2[[#This Row],[STATES in numeric format]]=0,F131=-1,F130=1),1,0)</f>
        <v>0</v>
      </c>
      <c r="AB132">
        <f>IF(AND(Table2[[#This Row],[STATES in numeric format]]=0,F131=1,F130=-1),1,0)</f>
        <v>0</v>
      </c>
      <c r="AC132">
        <f>IF(AND(Table2[[#This Row],[STATES in numeric format]]=0,F131=0,F130=0),1,0)</f>
        <v>0</v>
      </c>
      <c r="AD132">
        <f>IF(AND(Table2[[#This Row],[STATES in numeric format]]=0,F131=1,F130=0),1,0)</f>
        <v>0</v>
      </c>
      <c r="AE132">
        <f>IF(AND(Table2[[#This Row],[STATES in numeric format]]=0,F131=-1,F130=0),1,0)</f>
        <v>0</v>
      </c>
      <c r="AF132">
        <f>IF(AND(Table2[[#This Row],[STATES in numeric format]]=0,F131=0,F130=1),1,0)</f>
        <v>0</v>
      </c>
      <c r="AG132">
        <f>IF(AND(Table2[[#This Row],[STATES in numeric format]]=0,F131=0,F130=-1),1,0)</f>
        <v>0</v>
      </c>
    </row>
    <row r="133" spans="1:33" x14ac:dyDescent="0.3">
      <c r="A133" s="1">
        <v>44025</v>
      </c>
      <c r="B133">
        <v>36693.69</v>
      </c>
      <c r="C133">
        <f>Table2[[#This Row],[Close]]-0.001*Table2[[#This Row],[Close]]</f>
        <v>36656.996310000002</v>
      </c>
      <c r="D133">
        <f>Table2[[#This Row],[Close]]+0.001*Table2[[#This Row],[Close]]</f>
        <v>36730.383690000002</v>
      </c>
      <c r="E133" t="str">
        <f>IF(Table2[[#This Row],[Close]]&gt;D132,"up",IF(Table2[[#This Row],[Close]]&lt;C132,"down","constant"))</f>
        <v>up</v>
      </c>
      <c r="F133" s="3">
        <f>IF(Table2[[#This Row],[States]]="up",1,IF(Table2[[#This Row],[States]]="down",-1,0))</f>
        <v>1</v>
      </c>
      <c r="G133">
        <f>IF(AND(Table2[[#This Row],[STATES in numeric format]]=-1,F132=1,F131=1),1,0)</f>
        <v>0</v>
      </c>
      <c r="H133">
        <f>IF(AND(Table2[[#This Row],[STATES in numeric format]]=-1,F132=-1,F131=-1),1,0)</f>
        <v>0</v>
      </c>
      <c r="I133">
        <f>IF(AND(Table2[[#This Row],[STATES in numeric format]]=-1,F132=-1,F131=1),1,0)</f>
        <v>0</v>
      </c>
      <c r="J133">
        <f>IF(AND(Table2[[#This Row],[STATES in numeric format]]=-1,F132=1,F131=-1),1,0)</f>
        <v>0</v>
      </c>
      <c r="K133">
        <f>IF(AND(Table2[[#This Row],[STATES in numeric format]]=-1,F132=0,F131=0),1,0)</f>
        <v>0</v>
      </c>
      <c r="L133">
        <f>IF(AND(Table2[[#This Row],[STATES in numeric format]]=-1,F132=1,F131=0),1,0)</f>
        <v>0</v>
      </c>
      <c r="M133">
        <f>IF(AND(Table2[[#This Row],[STATES in numeric format]]=-1,F132=-1,F131=0),1,0)</f>
        <v>0</v>
      </c>
      <c r="N133">
        <f>IF(AND(Table2[[#This Row],[STATES in numeric format]]=-1,F132=0,F131=1),1,0)</f>
        <v>0</v>
      </c>
      <c r="O133">
        <f>IF(AND(Table2[[#This Row],[STATES in numeric format]]=-1,F132=0,F131=-1),1,0)</f>
        <v>0</v>
      </c>
      <c r="P133">
        <f>IF(AND(Table2[[#This Row],[STATES in numeric format]]=1,F132=1,F131=1),1,0)</f>
        <v>0</v>
      </c>
      <c r="Q133">
        <f>IF(AND(Table2[[#This Row],[STATES in numeric format]]=1,F132=-1,F131=-1),1,0)</f>
        <v>0</v>
      </c>
      <c r="R133">
        <f>IF(AND(Table2[[#This Row],[STATES in numeric format]]=1,F132=-1,F131=1),1,0)</f>
        <v>1</v>
      </c>
      <c r="S133">
        <f>IF(AND(Table2[[#This Row],[STATES in numeric format]]=1,F132=1,F131=-1),1,0)</f>
        <v>0</v>
      </c>
      <c r="T133">
        <f>IF(AND(Table2[[#This Row],[STATES in numeric format]]=1,F132=0,F131=0),1,0)</f>
        <v>0</v>
      </c>
      <c r="U133">
        <f>IF(AND(Table2[[#This Row],[STATES in numeric format]]=1,F132=1,F131=0),1,0)</f>
        <v>0</v>
      </c>
      <c r="V133">
        <f>IF(AND(Table2[[#This Row],[STATES in numeric format]]=1,F132=-1,F131=0),1,0)</f>
        <v>0</v>
      </c>
      <c r="W133">
        <f>IF(AND(Table2[[#This Row],[STATES in numeric format]]=1,F132=0,F131=1),1,0)</f>
        <v>0</v>
      </c>
      <c r="X133">
        <f>IF(AND(Table2[[#This Row],[STATES in numeric format]]=1,F132=0,F131=-1),1,0)</f>
        <v>0</v>
      </c>
      <c r="Y133">
        <f>IF(AND(Table2[[#This Row],[STATES in numeric format]]=0,F132=1,F131=1),1,0)</f>
        <v>0</v>
      </c>
      <c r="Z133">
        <f>IF(AND(Table2[[#This Row],[STATES in numeric format]]=0,F132=-1,F131=-1),1,0)</f>
        <v>0</v>
      </c>
      <c r="AA133">
        <f>IF(AND(Table2[[#This Row],[STATES in numeric format]]=0,F132=-1,F131=1),1,0)</f>
        <v>0</v>
      </c>
      <c r="AB133">
        <f>IF(AND(Table2[[#This Row],[STATES in numeric format]]=0,F132=1,F131=-1),1,0)</f>
        <v>0</v>
      </c>
      <c r="AC133">
        <f>IF(AND(Table2[[#This Row],[STATES in numeric format]]=0,F132=0,F131=0),1,0)</f>
        <v>0</v>
      </c>
      <c r="AD133">
        <f>IF(AND(Table2[[#This Row],[STATES in numeric format]]=0,F132=1,F131=0),1,0)</f>
        <v>0</v>
      </c>
      <c r="AE133">
        <f>IF(AND(Table2[[#This Row],[STATES in numeric format]]=0,F132=-1,F131=0),1,0)</f>
        <v>0</v>
      </c>
      <c r="AF133">
        <f>IF(AND(Table2[[#This Row],[STATES in numeric format]]=0,F132=0,F131=1),1,0)</f>
        <v>0</v>
      </c>
      <c r="AG133">
        <f>IF(AND(Table2[[#This Row],[STATES in numeric format]]=0,F132=0,F131=-1),1,0)</f>
        <v>0</v>
      </c>
    </row>
    <row r="134" spans="1:33" x14ac:dyDescent="0.3">
      <c r="A134" s="1">
        <v>44026</v>
      </c>
      <c r="B134">
        <v>36033.06</v>
      </c>
      <c r="C134">
        <f>Table2[[#This Row],[Close]]-0.001*Table2[[#This Row],[Close]]</f>
        <v>35997.026939999996</v>
      </c>
      <c r="D134">
        <f>Table2[[#This Row],[Close]]+0.001*Table2[[#This Row],[Close]]</f>
        <v>36069.093059999999</v>
      </c>
      <c r="E134" t="str">
        <f>IF(Table2[[#This Row],[Close]]&gt;D133,"up",IF(Table2[[#This Row],[Close]]&lt;C133,"down","constant"))</f>
        <v>down</v>
      </c>
      <c r="F134" s="3">
        <f>IF(Table2[[#This Row],[States]]="up",1,IF(Table2[[#This Row],[States]]="down",-1,0))</f>
        <v>-1</v>
      </c>
      <c r="G134">
        <f>IF(AND(Table2[[#This Row],[STATES in numeric format]]=-1,F133=1,F132=1),1,0)</f>
        <v>0</v>
      </c>
      <c r="H134">
        <f>IF(AND(Table2[[#This Row],[STATES in numeric format]]=-1,F133=-1,F132=-1),1,0)</f>
        <v>0</v>
      </c>
      <c r="I134">
        <f>IF(AND(Table2[[#This Row],[STATES in numeric format]]=-1,F133=-1,F132=1),1,0)</f>
        <v>0</v>
      </c>
      <c r="J134">
        <f>IF(AND(Table2[[#This Row],[STATES in numeric format]]=-1,F133=1,F132=-1),1,0)</f>
        <v>1</v>
      </c>
      <c r="K134">
        <f>IF(AND(Table2[[#This Row],[STATES in numeric format]]=-1,F133=0,F132=0),1,0)</f>
        <v>0</v>
      </c>
      <c r="L134">
        <f>IF(AND(Table2[[#This Row],[STATES in numeric format]]=-1,F133=1,F132=0),1,0)</f>
        <v>0</v>
      </c>
      <c r="M134">
        <f>IF(AND(Table2[[#This Row],[STATES in numeric format]]=-1,F133=-1,F132=0),1,0)</f>
        <v>0</v>
      </c>
      <c r="N134">
        <f>IF(AND(Table2[[#This Row],[STATES in numeric format]]=-1,F133=0,F132=1),1,0)</f>
        <v>0</v>
      </c>
      <c r="O134">
        <f>IF(AND(Table2[[#This Row],[STATES in numeric format]]=-1,F133=0,F132=-1),1,0)</f>
        <v>0</v>
      </c>
      <c r="P134">
        <f>IF(AND(Table2[[#This Row],[STATES in numeric format]]=1,F133=1,F132=1),1,0)</f>
        <v>0</v>
      </c>
      <c r="Q134">
        <f>IF(AND(Table2[[#This Row],[STATES in numeric format]]=1,F133=-1,F132=-1),1,0)</f>
        <v>0</v>
      </c>
      <c r="R134">
        <f>IF(AND(Table2[[#This Row],[STATES in numeric format]]=1,F133=-1,F132=1),1,0)</f>
        <v>0</v>
      </c>
      <c r="S134">
        <f>IF(AND(Table2[[#This Row],[STATES in numeric format]]=1,F133=1,F132=-1),1,0)</f>
        <v>0</v>
      </c>
      <c r="T134">
        <f>IF(AND(Table2[[#This Row],[STATES in numeric format]]=1,F133=0,F132=0),1,0)</f>
        <v>0</v>
      </c>
      <c r="U134">
        <f>IF(AND(Table2[[#This Row],[STATES in numeric format]]=1,F133=1,F132=0),1,0)</f>
        <v>0</v>
      </c>
      <c r="V134">
        <f>IF(AND(Table2[[#This Row],[STATES in numeric format]]=1,F133=-1,F132=0),1,0)</f>
        <v>0</v>
      </c>
      <c r="W134">
        <f>IF(AND(Table2[[#This Row],[STATES in numeric format]]=1,F133=0,F132=1),1,0)</f>
        <v>0</v>
      </c>
      <c r="X134">
        <f>IF(AND(Table2[[#This Row],[STATES in numeric format]]=1,F133=0,F132=-1),1,0)</f>
        <v>0</v>
      </c>
      <c r="Y134">
        <f>IF(AND(Table2[[#This Row],[STATES in numeric format]]=0,F133=1,F132=1),1,0)</f>
        <v>0</v>
      </c>
      <c r="Z134">
        <f>IF(AND(Table2[[#This Row],[STATES in numeric format]]=0,F133=-1,F132=-1),1,0)</f>
        <v>0</v>
      </c>
      <c r="AA134">
        <f>IF(AND(Table2[[#This Row],[STATES in numeric format]]=0,F133=-1,F132=1),1,0)</f>
        <v>0</v>
      </c>
      <c r="AB134">
        <f>IF(AND(Table2[[#This Row],[STATES in numeric format]]=0,F133=1,F132=-1),1,0)</f>
        <v>0</v>
      </c>
      <c r="AC134">
        <f>IF(AND(Table2[[#This Row],[STATES in numeric format]]=0,F133=0,F132=0),1,0)</f>
        <v>0</v>
      </c>
      <c r="AD134">
        <f>IF(AND(Table2[[#This Row],[STATES in numeric format]]=0,F133=1,F132=0),1,0)</f>
        <v>0</v>
      </c>
      <c r="AE134">
        <f>IF(AND(Table2[[#This Row],[STATES in numeric format]]=0,F133=-1,F132=0),1,0)</f>
        <v>0</v>
      </c>
      <c r="AF134">
        <f>IF(AND(Table2[[#This Row],[STATES in numeric format]]=0,F133=0,F132=1),1,0)</f>
        <v>0</v>
      </c>
      <c r="AG134">
        <f>IF(AND(Table2[[#This Row],[STATES in numeric format]]=0,F133=0,F132=-1),1,0)</f>
        <v>0</v>
      </c>
    </row>
    <row r="135" spans="1:33" x14ac:dyDescent="0.3">
      <c r="A135" s="1">
        <v>44027</v>
      </c>
      <c r="B135">
        <v>36051.81</v>
      </c>
      <c r="C135">
        <f>Table2[[#This Row],[Close]]-0.001*Table2[[#This Row],[Close]]</f>
        <v>36015.75819</v>
      </c>
      <c r="D135">
        <f>Table2[[#This Row],[Close]]+0.001*Table2[[#This Row],[Close]]</f>
        <v>36087.861809999995</v>
      </c>
      <c r="E135" t="str">
        <f>IF(Table2[[#This Row],[Close]]&gt;D134,"up",IF(Table2[[#This Row],[Close]]&lt;C134,"down","constant"))</f>
        <v>constant</v>
      </c>
      <c r="F135" s="3">
        <f>IF(Table2[[#This Row],[States]]="up",1,IF(Table2[[#This Row],[States]]="down",-1,0))</f>
        <v>0</v>
      </c>
      <c r="G135">
        <f>IF(AND(Table2[[#This Row],[STATES in numeric format]]=-1,F134=1,F133=1),1,0)</f>
        <v>0</v>
      </c>
      <c r="H135">
        <f>IF(AND(Table2[[#This Row],[STATES in numeric format]]=-1,F134=-1,F133=-1),1,0)</f>
        <v>0</v>
      </c>
      <c r="I135">
        <f>IF(AND(Table2[[#This Row],[STATES in numeric format]]=-1,F134=-1,F133=1),1,0)</f>
        <v>0</v>
      </c>
      <c r="J135">
        <f>IF(AND(Table2[[#This Row],[STATES in numeric format]]=-1,F134=1,F133=-1),1,0)</f>
        <v>0</v>
      </c>
      <c r="K135">
        <f>IF(AND(Table2[[#This Row],[STATES in numeric format]]=-1,F134=0,F133=0),1,0)</f>
        <v>0</v>
      </c>
      <c r="L135">
        <f>IF(AND(Table2[[#This Row],[STATES in numeric format]]=-1,F134=1,F133=0),1,0)</f>
        <v>0</v>
      </c>
      <c r="M135">
        <f>IF(AND(Table2[[#This Row],[STATES in numeric format]]=-1,F134=-1,F133=0),1,0)</f>
        <v>0</v>
      </c>
      <c r="N135">
        <f>IF(AND(Table2[[#This Row],[STATES in numeric format]]=-1,F134=0,F133=1),1,0)</f>
        <v>0</v>
      </c>
      <c r="O135">
        <f>IF(AND(Table2[[#This Row],[STATES in numeric format]]=-1,F134=0,F133=-1),1,0)</f>
        <v>0</v>
      </c>
      <c r="P135">
        <f>IF(AND(Table2[[#This Row],[STATES in numeric format]]=1,F134=1,F133=1),1,0)</f>
        <v>0</v>
      </c>
      <c r="Q135">
        <f>IF(AND(Table2[[#This Row],[STATES in numeric format]]=1,F134=-1,F133=-1),1,0)</f>
        <v>0</v>
      </c>
      <c r="R135">
        <f>IF(AND(Table2[[#This Row],[STATES in numeric format]]=1,F134=-1,F133=1),1,0)</f>
        <v>0</v>
      </c>
      <c r="S135">
        <f>IF(AND(Table2[[#This Row],[STATES in numeric format]]=1,F134=1,F133=-1),1,0)</f>
        <v>0</v>
      </c>
      <c r="T135">
        <f>IF(AND(Table2[[#This Row],[STATES in numeric format]]=1,F134=0,F133=0),1,0)</f>
        <v>0</v>
      </c>
      <c r="U135">
        <f>IF(AND(Table2[[#This Row],[STATES in numeric format]]=1,F134=1,F133=0),1,0)</f>
        <v>0</v>
      </c>
      <c r="V135">
        <f>IF(AND(Table2[[#This Row],[STATES in numeric format]]=1,F134=-1,F133=0),1,0)</f>
        <v>0</v>
      </c>
      <c r="W135">
        <f>IF(AND(Table2[[#This Row],[STATES in numeric format]]=1,F134=0,F133=1),1,0)</f>
        <v>0</v>
      </c>
      <c r="X135">
        <f>IF(AND(Table2[[#This Row],[STATES in numeric format]]=1,F134=0,F133=-1),1,0)</f>
        <v>0</v>
      </c>
      <c r="Y135">
        <f>IF(AND(Table2[[#This Row],[STATES in numeric format]]=0,F134=1,F133=1),1,0)</f>
        <v>0</v>
      </c>
      <c r="Z135">
        <f>IF(AND(Table2[[#This Row],[STATES in numeric format]]=0,F134=-1,F133=-1),1,0)</f>
        <v>0</v>
      </c>
      <c r="AA135">
        <f>IF(AND(Table2[[#This Row],[STATES in numeric format]]=0,F134=-1,F133=1),1,0)</f>
        <v>1</v>
      </c>
      <c r="AB135">
        <f>IF(AND(Table2[[#This Row],[STATES in numeric format]]=0,F134=1,F133=-1),1,0)</f>
        <v>0</v>
      </c>
      <c r="AC135">
        <f>IF(AND(Table2[[#This Row],[STATES in numeric format]]=0,F134=0,F133=0),1,0)</f>
        <v>0</v>
      </c>
      <c r="AD135">
        <f>IF(AND(Table2[[#This Row],[STATES in numeric format]]=0,F134=1,F133=0),1,0)</f>
        <v>0</v>
      </c>
      <c r="AE135">
        <f>IF(AND(Table2[[#This Row],[STATES in numeric format]]=0,F134=-1,F133=0),1,0)</f>
        <v>0</v>
      </c>
      <c r="AF135">
        <f>IF(AND(Table2[[#This Row],[STATES in numeric format]]=0,F134=0,F133=1),1,0)</f>
        <v>0</v>
      </c>
      <c r="AG135">
        <f>IF(AND(Table2[[#This Row],[STATES in numeric format]]=0,F134=0,F133=-1),1,0)</f>
        <v>0</v>
      </c>
    </row>
    <row r="136" spans="1:33" x14ac:dyDescent="0.3">
      <c r="A136" s="1">
        <v>44028</v>
      </c>
      <c r="B136">
        <v>36471.68</v>
      </c>
      <c r="C136">
        <f>Table2[[#This Row],[Close]]-0.001*Table2[[#This Row],[Close]]</f>
        <v>36435.208319999998</v>
      </c>
      <c r="D136">
        <f>Table2[[#This Row],[Close]]+0.001*Table2[[#This Row],[Close]]</f>
        <v>36508.151680000003</v>
      </c>
      <c r="E136" t="str">
        <f>IF(Table2[[#This Row],[Close]]&gt;D135,"up",IF(Table2[[#This Row],[Close]]&lt;C135,"down","constant"))</f>
        <v>up</v>
      </c>
      <c r="F136" s="3">
        <f>IF(Table2[[#This Row],[States]]="up",1,IF(Table2[[#This Row],[States]]="down",-1,0))</f>
        <v>1</v>
      </c>
      <c r="G136">
        <f>IF(AND(Table2[[#This Row],[STATES in numeric format]]=-1,F135=1,F134=1),1,0)</f>
        <v>0</v>
      </c>
      <c r="H136">
        <f>IF(AND(Table2[[#This Row],[STATES in numeric format]]=-1,F135=-1,F134=-1),1,0)</f>
        <v>0</v>
      </c>
      <c r="I136">
        <f>IF(AND(Table2[[#This Row],[STATES in numeric format]]=-1,F135=-1,F134=1),1,0)</f>
        <v>0</v>
      </c>
      <c r="J136">
        <f>IF(AND(Table2[[#This Row],[STATES in numeric format]]=-1,F135=1,F134=-1),1,0)</f>
        <v>0</v>
      </c>
      <c r="K136">
        <f>IF(AND(Table2[[#This Row],[STATES in numeric format]]=-1,F135=0,F134=0),1,0)</f>
        <v>0</v>
      </c>
      <c r="L136">
        <f>IF(AND(Table2[[#This Row],[STATES in numeric format]]=-1,F135=1,F134=0),1,0)</f>
        <v>0</v>
      </c>
      <c r="M136">
        <f>IF(AND(Table2[[#This Row],[STATES in numeric format]]=-1,F135=-1,F134=0),1,0)</f>
        <v>0</v>
      </c>
      <c r="N136">
        <f>IF(AND(Table2[[#This Row],[STATES in numeric format]]=-1,F135=0,F134=1),1,0)</f>
        <v>0</v>
      </c>
      <c r="O136">
        <f>IF(AND(Table2[[#This Row],[STATES in numeric format]]=-1,F135=0,F134=-1),1,0)</f>
        <v>0</v>
      </c>
      <c r="P136">
        <f>IF(AND(Table2[[#This Row],[STATES in numeric format]]=1,F135=1,F134=1),1,0)</f>
        <v>0</v>
      </c>
      <c r="Q136">
        <f>IF(AND(Table2[[#This Row],[STATES in numeric format]]=1,F135=-1,F134=-1),1,0)</f>
        <v>0</v>
      </c>
      <c r="R136">
        <f>IF(AND(Table2[[#This Row],[STATES in numeric format]]=1,F135=-1,F134=1),1,0)</f>
        <v>0</v>
      </c>
      <c r="S136">
        <f>IF(AND(Table2[[#This Row],[STATES in numeric format]]=1,F135=1,F134=-1),1,0)</f>
        <v>0</v>
      </c>
      <c r="T136">
        <f>IF(AND(Table2[[#This Row],[STATES in numeric format]]=1,F135=0,F134=0),1,0)</f>
        <v>0</v>
      </c>
      <c r="U136">
        <f>IF(AND(Table2[[#This Row],[STATES in numeric format]]=1,F135=1,F134=0),1,0)</f>
        <v>0</v>
      </c>
      <c r="V136">
        <f>IF(AND(Table2[[#This Row],[STATES in numeric format]]=1,F135=-1,F134=0),1,0)</f>
        <v>0</v>
      </c>
      <c r="W136">
        <f>IF(AND(Table2[[#This Row],[STATES in numeric format]]=1,F135=0,F134=1),1,0)</f>
        <v>0</v>
      </c>
      <c r="X136">
        <f>IF(AND(Table2[[#This Row],[STATES in numeric format]]=1,F135=0,F134=-1),1,0)</f>
        <v>1</v>
      </c>
      <c r="Y136">
        <f>IF(AND(Table2[[#This Row],[STATES in numeric format]]=0,F135=1,F134=1),1,0)</f>
        <v>0</v>
      </c>
      <c r="Z136">
        <f>IF(AND(Table2[[#This Row],[STATES in numeric format]]=0,F135=-1,F134=-1),1,0)</f>
        <v>0</v>
      </c>
      <c r="AA136">
        <f>IF(AND(Table2[[#This Row],[STATES in numeric format]]=0,F135=-1,F134=1),1,0)</f>
        <v>0</v>
      </c>
      <c r="AB136">
        <f>IF(AND(Table2[[#This Row],[STATES in numeric format]]=0,F135=1,F134=-1),1,0)</f>
        <v>0</v>
      </c>
      <c r="AC136">
        <f>IF(AND(Table2[[#This Row],[STATES in numeric format]]=0,F135=0,F134=0),1,0)</f>
        <v>0</v>
      </c>
      <c r="AD136">
        <f>IF(AND(Table2[[#This Row],[STATES in numeric format]]=0,F135=1,F134=0),1,0)</f>
        <v>0</v>
      </c>
      <c r="AE136">
        <f>IF(AND(Table2[[#This Row],[STATES in numeric format]]=0,F135=-1,F134=0),1,0)</f>
        <v>0</v>
      </c>
      <c r="AF136">
        <f>IF(AND(Table2[[#This Row],[STATES in numeric format]]=0,F135=0,F134=1),1,0)</f>
        <v>0</v>
      </c>
      <c r="AG136">
        <f>IF(AND(Table2[[#This Row],[STATES in numeric format]]=0,F135=0,F134=-1),1,0)</f>
        <v>0</v>
      </c>
    </row>
    <row r="137" spans="1:33" x14ac:dyDescent="0.3">
      <c r="A137" s="1">
        <v>44029</v>
      </c>
      <c r="B137">
        <v>37020.14</v>
      </c>
      <c r="C137">
        <f>Table2[[#This Row],[Close]]-0.001*Table2[[#This Row],[Close]]</f>
        <v>36983.119859999999</v>
      </c>
      <c r="D137">
        <f>Table2[[#This Row],[Close]]+0.001*Table2[[#This Row],[Close]]</f>
        <v>37057.16014</v>
      </c>
      <c r="E137" t="str">
        <f>IF(Table2[[#This Row],[Close]]&gt;D136,"up",IF(Table2[[#This Row],[Close]]&lt;C136,"down","constant"))</f>
        <v>up</v>
      </c>
      <c r="F137" s="3">
        <f>IF(Table2[[#This Row],[States]]="up",1,IF(Table2[[#This Row],[States]]="down",-1,0))</f>
        <v>1</v>
      </c>
      <c r="G137">
        <f>IF(AND(Table2[[#This Row],[STATES in numeric format]]=-1,F136=1,F135=1),1,0)</f>
        <v>0</v>
      </c>
      <c r="H137">
        <f>IF(AND(Table2[[#This Row],[STATES in numeric format]]=-1,F136=-1,F135=-1),1,0)</f>
        <v>0</v>
      </c>
      <c r="I137">
        <f>IF(AND(Table2[[#This Row],[STATES in numeric format]]=-1,F136=-1,F135=1),1,0)</f>
        <v>0</v>
      </c>
      <c r="J137">
        <f>IF(AND(Table2[[#This Row],[STATES in numeric format]]=-1,F136=1,F135=-1),1,0)</f>
        <v>0</v>
      </c>
      <c r="K137">
        <f>IF(AND(Table2[[#This Row],[STATES in numeric format]]=-1,F136=0,F135=0),1,0)</f>
        <v>0</v>
      </c>
      <c r="L137">
        <f>IF(AND(Table2[[#This Row],[STATES in numeric format]]=-1,F136=1,F135=0),1,0)</f>
        <v>0</v>
      </c>
      <c r="M137">
        <f>IF(AND(Table2[[#This Row],[STATES in numeric format]]=-1,F136=-1,F135=0),1,0)</f>
        <v>0</v>
      </c>
      <c r="N137">
        <f>IF(AND(Table2[[#This Row],[STATES in numeric format]]=-1,F136=0,F135=1),1,0)</f>
        <v>0</v>
      </c>
      <c r="O137">
        <f>IF(AND(Table2[[#This Row],[STATES in numeric format]]=-1,F136=0,F135=-1),1,0)</f>
        <v>0</v>
      </c>
      <c r="P137">
        <f>IF(AND(Table2[[#This Row],[STATES in numeric format]]=1,F136=1,F135=1),1,0)</f>
        <v>0</v>
      </c>
      <c r="Q137">
        <f>IF(AND(Table2[[#This Row],[STATES in numeric format]]=1,F136=-1,F135=-1),1,0)</f>
        <v>0</v>
      </c>
      <c r="R137">
        <f>IF(AND(Table2[[#This Row],[STATES in numeric format]]=1,F136=-1,F135=1),1,0)</f>
        <v>0</v>
      </c>
      <c r="S137">
        <f>IF(AND(Table2[[#This Row],[STATES in numeric format]]=1,F136=1,F135=-1),1,0)</f>
        <v>0</v>
      </c>
      <c r="T137">
        <f>IF(AND(Table2[[#This Row],[STATES in numeric format]]=1,F136=0,F135=0),1,0)</f>
        <v>0</v>
      </c>
      <c r="U137">
        <f>IF(AND(Table2[[#This Row],[STATES in numeric format]]=1,F136=1,F135=0),1,0)</f>
        <v>1</v>
      </c>
      <c r="V137">
        <f>IF(AND(Table2[[#This Row],[STATES in numeric format]]=1,F136=-1,F135=0),1,0)</f>
        <v>0</v>
      </c>
      <c r="W137">
        <f>IF(AND(Table2[[#This Row],[STATES in numeric format]]=1,F136=0,F135=1),1,0)</f>
        <v>0</v>
      </c>
      <c r="X137">
        <f>IF(AND(Table2[[#This Row],[STATES in numeric format]]=1,F136=0,F135=-1),1,0)</f>
        <v>0</v>
      </c>
      <c r="Y137">
        <f>IF(AND(Table2[[#This Row],[STATES in numeric format]]=0,F136=1,F135=1),1,0)</f>
        <v>0</v>
      </c>
      <c r="Z137">
        <f>IF(AND(Table2[[#This Row],[STATES in numeric format]]=0,F136=-1,F135=-1),1,0)</f>
        <v>0</v>
      </c>
      <c r="AA137">
        <f>IF(AND(Table2[[#This Row],[STATES in numeric format]]=0,F136=-1,F135=1),1,0)</f>
        <v>0</v>
      </c>
      <c r="AB137">
        <f>IF(AND(Table2[[#This Row],[STATES in numeric format]]=0,F136=1,F135=-1),1,0)</f>
        <v>0</v>
      </c>
      <c r="AC137">
        <f>IF(AND(Table2[[#This Row],[STATES in numeric format]]=0,F136=0,F135=0),1,0)</f>
        <v>0</v>
      </c>
      <c r="AD137">
        <f>IF(AND(Table2[[#This Row],[STATES in numeric format]]=0,F136=1,F135=0),1,0)</f>
        <v>0</v>
      </c>
      <c r="AE137">
        <f>IF(AND(Table2[[#This Row],[STATES in numeric format]]=0,F136=-1,F135=0),1,0)</f>
        <v>0</v>
      </c>
      <c r="AF137">
        <f>IF(AND(Table2[[#This Row],[STATES in numeric format]]=0,F136=0,F135=1),1,0)</f>
        <v>0</v>
      </c>
      <c r="AG137">
        <f>IF(AND(Table2[[#This Row],[STATES in numeric format]]=0,F136=0,F135=-1),1,0)</f>
        <v>0</v>
      </c>
    </row>
    <row r="138" spans="1:33" x14ac:dyDescent="0.3">
      <c r="A138" s="1">
        <v>44032</v>
      </c>
      <c r="B138">
        <v>37418.99</v>
      </c>
      <c r="C138">
        <f>Table2[[#This Row],[Close]]-0.001*Table2[[#This Row],[Close]]</f>
        <v>37381.57101</v>
      </c>
      <c r="D138">
        <f>Table2[[#This Row],[Close]]+0.001*Table2[[#This Row],[Close]]</f>
        <v>37456.408989999996</v>
      </c>
      <c r="E138" t="str">
        <f>IF(Table2[[#This Row],[Close]]&gt;D137,"up",IF(Table2[[#This Row],[Close]]&lt;C137,"down","constant"))</f>
        <v>up</v>
      </c>
      <c r="F138" s="3">
        <f>IF(Table2[[#This Row],[States]]="up",1,IF(Table2[[#This Row],[States]]="down",-1,0))</f>
        <v>1</v>
      </c>
      <c r="G138">
        <f>IF(AND(Table2[[#This Row],[STATES in numeric format]]=-1,F137=1,F136=1),1,0)</f>
        <v>0</v>
      </c>
      <c r="H138">
        <f>IF(AND(Table2[[#This Row],[STATES in numeric format]]=-1,F137=-1,F136=-1),1,0)</f>
        <v>0</v>
      </c>
      <c r="I138">
        <f>IF(AND(Table2[[#This Row],[STATES in numeric format]]=-1,F137=-1,F136=1),1,0)</f>
        <v>0</v>
      </c>
      <c r="J138">
        <f>IF(AND(Table2[[#This Row],[STATES in numeric format]]=-1,F137=1,F136=-1),1,0)</f>
        <v>0</v>
      </c>
      <c r="K138">
        <f>IF(AND(Table2[[#This Row],[STATES in numeric format]]=-1,F137=0,F136=0),1,0)</f>
        <v>0</v>
      </c>
      <c r="L138">
        <f>IF(AND(Table2[[#This Row],[STATES in numeric format]]=-1,F137=1,F136=0),1,0)</f>
        <v>0</v>
      </c>
      <c r="M138">
        <f>IF(AND(Table2[[#This Row],[STATES in numeric format]]=-1,F137=-1,F136=0),1,0)</f>
        <v>0</v>
      </c>
      <c r="N138">
        <f>IF(AND(Table2[[#This Row],[STATES in numeric format]]=-1,F137=0,F136=1),1,0)</f>
        <v>0</v>
      </c>
      <c r="O138">
        <f>IF(AND(Table2[[#This Row],[STATES in numeric format]]=-1,F137=0,F136=-1),1,0)</f>
        <v>0</v>
      </c>
      <c r="P138">
        <f>IF(AND(Table2[[#This Row],[STATES in numeric format]]=1,F137=1,F136=1),1,0)</f>
        <v>1</v>
      </c>
      <c r="Q138">
        <f>IF(AND(Table2[[#This Row],[STATES in numeric format]]=1,F137=-1,F136=-1),1,0)</f>
        <v>0</v>
      </c>
      <c r="R138">
        <f>IF(AND(Table2[[#This Row],[STATES in numeric format]]=1,F137=-1,F136=1),1,0)</f>
        <v>0</v>
      </c>
      <c r="S138">
        <f>IF(AND(Table2[[#This Row],[STATES in numeric format]]=1,F137=1,F136=-1),1,0)</f>
        <v>0</v>
      </c>
      <c r="T138">
        <f>IF(AND(Table2[[#This Row],[STATES in numeric format]]=1,F137=0,F136=0),1,0)</f>
        <v>0</v>
      </c>
      <c r="U138">
        <f>IF(AND(Table2[[#This Row],[STATES in numeric format]]=1,F137=1,F136=0),1,0)</f>
        <v>0</v>
      </c>
      <c r="V138">
        <f>IF(AND(Table2[[#This Row],[STATES in numeric format]]=1,F137=-1,F136=0),1,0)</f>
        <v>0</v>
      </c>
      <c r="W138">
        <f>IF(AND(Table2[[#This Row],[STATES in numeric format]]=1,F137=0,F136=1),1,0)</f>
        <v>0</v>
      </c>
      <c r="X138">
        <f>IF(AND(Table2[[#This Row],[STATES in numeric format]]=1,F137=0,F136=-1),1,0)</f>
        <v>0</v>
      </c>
      <c r="Y138">
        <f>IF(AND(Table2[[#This Row],[STATES in numeric format]]=0,F137=1,F136=1),1,0)</f>
        <v>0</v>
      </c>
      <c r="Z138">
        <f>IF(AND(Table2[[#This Row],[STATES in numeric format]]=0,F137=-1,F136=-1),1,0)</f>
        <v>0</v>
      </c>
      <c r="AA138">
        <f>IF(AND(Table2[[#This Row],[STATES in numeric format]]=0,F137=-1,F136=1),1,0)</f>
        <v>0</v>
      </c>
      <c r="AB138">
        <f>IF(AND(Table2[[#This Row],[STATES in numeric format]]=0,F137=1,F136=-1),1,0)</f>
        <v>0</v>
      </c>
      <c r="AC138">
        <f>IF(AND(Table2[[#This Row],[STATES in numeric format]]=0,F137=0,F136=0),1,0)</f>
        <v>0</v>
      </c>
      <c r="AD138">
        <f>IF(AND(Table2[[#This Row],[STATES in numeric format]]=0,F137=1,F136=0),1,0)</f>
        <v>0</v>
      </c>
      <c r="AE138">
        <f>IF(AND(Table2[[#This Row],[STATES in numeric format]]=0,F137=-1,F136=0),1,0)</f>
        <v>0</v>
      </c>
      <c r="AF138">
        <f>IF(AND(Table2[[#This Row],[STATES in numeric format]]=0,F137=0,F136=1),1,0)</f>
        <v>0</v>
      </c>
      <c r="AG138">
        <f>IF(AND(Table2[[#This Row],[STATES in numeric format]]=0,F137=0,F136=-1),1,0)</f>
        <v>0</v>
      </c>
    </row>
    <row r="139" spans="1:33" x14ac:dyDescent="0.3">
      <c r="A139" s="1">
        <v>44033</v>
      </c>
      <c r="B139">
        <v>37930.33</v>
      </c>
      <c r="C139">
        <f>Table2[[#This Row],[Close]]-0.001*Table2[[#This Row],[Close]]</f>
        <v>37892.399669999999</v>
      </c>
      <c r="D139">
        <f>Table2[[#This Row],[Close]]+0.001*Table2[[#This Row],[Close]]</f>
        <v>37968.260330000005</v>
      </c>
      <c r="E139" t="str">
        <f>IF(Table2[[#This Row],[Close]]&gt;D138,"up",IF(Table2[[#This Row],[Close]]&lt;C138,"down","constant"))</f>
        <v>up</v>
      </c>
      <c r="F139" s="3">
        <f>IF(Table2[[#This Row],[States]]="up",1,IF(Table2[[#This Row],[States]]="down",-1,0))</f>
        <v>1</v>
      </c>
      <c r="G139">
        <f>IF(AND(Table2[[#This Row],[STATES in numeric format]]=-1,F138=1,F137=1),1,0)</f>
        <v>0</v>
      </c>
      <c r="H139">
        <f>IF(AND(Table2[[#This Row],[STATES in numeric format]]=-1,F138=-1,F137=-1),1,0)</f>
        <v>0</v>
      </c>
      <c r="I139">
        <f>IF(AND(Table2[[#This Row],[STATES in numeric format]]=-1,F138=-1,F137=1),1,0)</f>
        <v>0</v>
      </c>
      <c r="J139">
        <f>IF(AND(Table2[[#This Row],[STATES in numeric format]]=-1,F138=1,F137=-1),1,0)</f>
        <v>0</v>
      </c>
      <c r="K139">
        <f>IF(AND(Table2[[#This Row],[STATES in numeric format]]=-1,F138=0,F137=0),1,0)</f>
        <v>0</v>
      </c>
      <c r="L139">
        <f>IF(AND(Table2[[#This Row],[STATES in numeric format]]=-1,F138=1,F137=0),1,0)</f>
        <v>0</v>
      </c>
      <c r="M139">
        <f>IF(AND(Table2[[#This Row],[STATES in numeric format]]=-1,F138=-1,F137=0),1,0)</f>
        <v>0</v>
      </c>
      <c r="N139">
        <f>IF(AND(Table2[[#This Row],[STATES in numeric format]]=-1,F138=0,F137=1),1,0)</f>
        <v>0</v>
      </c>
      <c r="O139">
        <f>IF(AND(Table2[[#This Row],[STATES in numeric format]]=-1,F138=0,F137=-1),1,0)</f>
        <v>0</v>
      </c>
      <c r="P139">
        <f>IF(AND(Table2[[#This Row],[STATES in numeric format]]=1,F138=1,F137=1),1,0)</f>
        <v>1</v>
      </c>
      <c r="Q139">
        <f>IF(AND(Table2[[#This Row],[STATES in numeric format]]=1,F138=-1,F137=-1),1,0)</f>
        <v>0</v>
      </c>
      <c r="R139">
        <f>IF(AND(Table2[[#This Row],[STATES in numeric format]]=1,F138=-1,F137=1),1,0)</f>
        <v>0</v>
      </c>
      <c r="S139">
        <f>IF(AND(Table2[[#This Row],[STATES in numeric format]]=1,F138=1,F137=-1),1,0)</f>
        <v>0</v>
      </c>
      <c r="T139">
        <f>IF(AND(Table2[[#This Row],[STATES in numeric format]]=1,F138=0,F137=0),1,0)</f>
        <v>0</v>
      </c>
      <c r="U139">
        <f>IF(AND(Table2[[#This Row],[STATES in numeric format]]=1,F138=1,F137=0),1,0)</f>
        <v>0</v>
      </c>
      <c r="V139">
        <f>IF(AND(Table2[[#This Row],[STATES in numeric format]]=1,F138=-1,F137=0),1,0)</f>
        <v>0</v>
      </c>
      <c r="W139">
        <f>IF(AND(Table2[[#This Row],[STATES in numeric format]]=1,F138=0,F137=1),1,0)</f>
        <v>0</v>
      </c>
      <c r="X139">
        <f>IF(AND(Table2[[#This Row],[STATES in numeric format]]=1,F138=0,F137=-1),1,0)</f>
        <v>0</v>
      </c>
      <c r="Y139">
        <f>IF(AND(Table2[[#This Row],[STATES in numeric format]]=0,F138=1,F137=1),1,0)</f>
        <v>0</v>
      </c>
      <c r="Z139">
        <f>IF(AND(Table2[[#This Row],[STATES in numeric format]]=0,F138=-1,F137=-1),1,0)</f>
        <v>0</v>
      </c>
      <c r="AA139">
        <f>IF(AND(Table2[[#This Row],[STATES in numeric format]]=0,F138=-1,F137=1),1,0)</f>
        <v>0</v>
      </c>
      <c r="AB139">
        <f>IF(AND(Table2[[#This Row],[STATES in numeric format]]=0,F138=1,F137=-1),1,0)</f>
        <v>0</v>
      </c>
      <c r="AC139">
        <f>IF(AND(Table2[[#This Row],[STATES in numeric format]]=0,F138=0,F137=0),1,0)</f>
        <v>0</v>
      </c>
      <c r="AD139">
        <f>IF(AND(Table2[[#This Row],[STATES in numeric format]]=0,F138=1,F137=0),1,0)</f>
        <v>0</v>
      </c>
      <c r="AE139">
        <f>IF(AND(Table2[[#This Row],[STATES in numeric format]]=0,F138=-1,F137=0),1,0)</f>
        <v>0</v>
      </c>
      <c r="AF139">
        <f>IF(AND(Table2[[#This Row],[STATES in numeric format]]=0,F138=0,F137=1),1,0)</f>
        <v>0</v>
      </c>
      <c r="AG139">
        <f>IF(AND(Table2[[#This Row],[STATES in numeric format]]=0,F138=0,F137=-1),1,0)</f>
        <v>0</v>
      </c>
    </row>
    <row r="140" spans="1:33" x14ac:dyDescent="0.3">
      <c r="A140" s="1">
        <v>44034</v>
      </c>
      <c r="B140">
        <v>37871.519999999997</v>
      </c>
      <c r="C140">
        <f>Table2[[#This Row],[Close]]-0.001*Table2[[#This Row],[Close]]</f>
        <v>37833.648479999996</v>
      </c>
      <c r="D140">
        <f>Table2[[#This Row],[Close]]+0.001*Table2[[#This Row],[Close]]</f>
        <v>37909.391519999997</v>
      </c>
      <c r="E140" t="str">
        <f>IF(Table2[[#This Row],[Close]]&gt;D139,"up",IF(Table2[[#This Row],[Close]]&lt;C139,"down","constant"))</f>
        <v>down</v>
      </c>
      <c r="F140" s="3">
        <f>IF(Table2[[#This Row],[States]]="up",1,IF(Table2[[#This Row],[States]]="down",-1,0))</f>
        <v>-1</v>
      </c>
      <c r="G140">
        <f>IF(AND(Table2[[#This Row],[STATES in numeric format]]=-1,F139=1,F138=1),1,0)</f>
        <v>1</v>
      </c>
      <c r="H140">
        <f>IF(AND(Table2[[#This Row],[STATES in numeric format]]=-1,F139=-1,F138=-1),1,0)</f>
        <v>0</v>
      </c>
      <c r="I140">
        <f>IF(AND(Table2[[#This Row],[STATES in numeric format]]=-1,F139=-1,F138=1),1,0)</f>
        <v>0</v>
      </c>
      <c r="J140">
        <f>IF(AND(Table2[[#This Row],[STATES in numeric format]]=-1,F139=1,F138=-1),1,0)</f>
        <v>0</v>
      </c>
      <c r="K140">
        <f>IF(AND(Table2[[#This Row],[STATES in numeric format]]=-1,F139=0,F138=0),1,0)</f>
        <v>0</v>
      </c>
      <c r="L140">
        <f>IF(AND(Table2[[#This Row],[STATES in numeric format]]=-1,F139=1,F138=0),1,0)</f>
        <v>0</v>
      </c>
      <c r="M140">
        <f>IF(AND(Table2[[#This Row],[STATES in numeric format]]=-1,F139=-1,F138=0),1,0)</f>
        <v>0</v>
      </c>
      <c r="N140">
        <f>IF(AND(Table2[[#This Row],[STATES in numeric format]]=-1,F139=0,F138=1),1,0)</f>
        <v>0</v>
      </c>
      <c r="O140">
        <f>IF(AND(Table2[[#This Row],[STATES in numeric format]]=-1,F139=0,F138=-1),1,0)</f>
        <v>0</v>
      </c>
      <c r="P140">
        <f>IF(AND(Table2[[#This Row],[STATES in numeric format]]=1,F139=1,F138=1),1,0)</f>
        <v>0</v>
      </c>
      <c r="Q140">
        <f>IF(AND(Table2[[#This Row],[STATES in numeric format]]=1,F139=-1,F138=-1),1,0)</f>
        <v>0</v>
      </c>
      <c r="R140">
        <f>IF(AND(Table2[[#This Row],[STATES in numeric format]]=1,F139=-1,F138=1),1,0)</f>
        <v>0</v>
      </c>
      <c r="S140">
        <f>IF(AND(Table2[[#This Row],[STATES in numeric format]]=1,F139=1,F138=-1),1,0)</f>
        <v>0</v>
      </c>
      <c r="T140">
        <f>IF(AND(Table2[[#This Row],[STATES in numeric format]]=1,F139=0,F138=0),1,0)</f>
        <v>0</v>
      </c>
      <c r="U140">
        <f>IF(AND(Table2[[#This Row],[STATES in numeric format]]=1,F139=1,F138=0),1,0)</f>
        <v>0</v>
      </c>
      <c r="V140">
        <f>IF(AND(Table2[[#This Row],[STATES in numeric format]]=1,F139=-1,F138=0),1,0)</f>
        <v>0</v>
      </c>
      <c r="W140">
        <f>IF(AND(Table2[[#This Row],[STATES in numeric format]]=1,F139=0,F138=1),1,0)</f>
        <v>0</v>
      </c>
      <c r="X140">
        <f>IF(AND(Table2[[#This Row],[STATES in numeric format]]=1,F139=0,F138=-1),1,0)</f>
        <v>0</v>
      </c>
      <c r="Y140">
        <f>IF(AND(Table2[[#This Row],[STATES in numeric format]]=0,F139=1,F138=1),1,0)</f>
        <v>0</v>
      </c>
      <c r="Z140">
        <f>IF(AND(Table2[[#This Row],[STATES in numeric format]]=0,F139=-1,F138=-1),1,0)</f>
        <v>0</v>
      </c>
      <c r="AA140">
        <f>IF(AND(Table2[[#This Row],[STATES in numeric format]]=0,F139=-1,F138=1),1,0)</f>
        <v>0</v>
      </c>
      <c r="AB140">
        <f>IF(AND(Table2[[#This Row],[STATES in numeric format]]=0,F139=1,F138=-1),1,0)</f>
        <v>0</v>
      </c>
      <c r="AC140">
        <f>IF(AND(Table2[[#This Row],[STATES in numeric format]]=0,F139=0,F138=0),1,0)</f>
        <v>0</v>
      </c>
      <c r="AD140">
        <f>IF(AND(Table2[[#This Row],[STATES in numeric format]]=0,F139=1,F138=0),1,0)</f>
        <v>0</v>
      </c>
      <c r="AE140">
        <f>IF(AND(Table2[[#This Row],[STATES in numeric format]]=0,F139=-1,F138=0),1,0)</f>
        <v>0</v>
      </c>
      <c r="AF140">
        <f>IF(AND(Table2[[#This Row],[STATES in numeric format]]=0,F139=0,F138=1),1,0)</f>
        <v>0</v>
      </c>
      <c r="AG140">
        <f>IF(AND(Table2[[#This Row],[STATES in numeric format]]=0,F139=0,F138=-1),1,0)</f>
        <v>0</v>
      </c>
    </row>
    <row r="141" spans="1:33" x14ac:dyDescent="0.3">
      <c r="A141" s="1">
        <v>44035</v>
      </c>
      <c r="B141">
        <v>38140.47</v>
      </c>
      <c r="C141">
        <f>Table2[[#This Row],[Close]]-0.001*Table2[[#This Row],[Close]]</f>
        <v>38102.329530000003</v>
      </c>
      <c r="D141">
        <f>Table2[[#This Row],[Close]]+0.001*Table2[[#This Row],[Close]]</f>
        <v>38178.61047</v>
      </c>
      <c r="E141" t="str">
        <f>IF(Table2[[#This Row],[Close]]&gt;D140,"up",IF(Table2[[#This Row],[Close]]&lt;C140,"down","constant"))</f>
        <v>up</v>
      </c>
      <c r="F141" s="3">
        <f>IF(Table2[[#This Row],[States]]="up",1,IF(Table2[[#This Row],[States]]="down",-1,0))</f>
        <v>1</v>
      </c>
      <c r="G141">
        <f>IF(AND(Table2[[#This Row],[STATES in numeric format]]=-1,F140=1,F139=1),1,0)</f>
        <v>0</v>
      </c>
      <c r="H141">
        <f>IF(AND(Table2[[#This Row],[STATES in numeric format]]=-1,F140=-1,F139=-1),1,0)</f>
        <v>0</v>
      </c>
      <c r="I141">
        <f>IF(AND(Table2[[#This Row],[STATES in numeric format]]=-1,F140=-1,F139=1),1,0)</f>
        <v>0</v>
      </c>
      <c r="J141">
        <f>IF(AND(Table2[[#This Row],[STATES in numeric format]]=-1,F140=1,F139=-1),1,0)</f>
        <v>0</v>
      </c>
      <c r="K141">
        <f>IF(AND(Table2[[#This Row],[STATES in numeric format]]=-1,F140=0,F139=0),1,0)</f>
        <v>0</v>
      </c>
      <c r="L141">
        <f>IF(AND(Table2[[#This Row],[STATES in numeric format]]=-1,F140=1,F139=0),1,0)</f>
        <v>0</v>
      </c>
      <c r="M141">
        <f>IF(AND(Table2[[#This Row],[STATES in numeric format]]=-1,F140=-1,F139=0),1,0)</f>
        <v>0</v>
      </c>
      <c r="N141">
        <f>IF(AND(Table2[[#This Row],[STATES in numeric format]]=-1,F140=0,F139=1),1,0)</f>
        <v>0</v>
      </c>
      <c r="O141">
        <f>IF(AND(Table2[[#This Row],[STATES in numeric format]]=-1,F140=0,F139=-1),1,0)</f>
        <v>0</v>
      </c>
      <c r="P141">
        <f>IF(AND(Table2[[#This Row],[STATES in numeric format]]=1,F140=1,F139=1),1,0)</f>
        <v>0</v>
      </c>
      <c r="Q141">
        <f>IF(AND(Table2[[#This Row],[STATES in numeric format]]=1,F140=-1,F139=-1),1,0)</f>
        <v>0</v>
      </c>
      <c r="R141">
        <f>IF(AND(Table2[[#This Row],[STATES in numeric format]]=1,F140=-1,F139=1),1,0)</f>
        <v>1</v>
      </c>
      <c r="S141">
        <f>IF(AND(Table2[[#This Row],[STATES in numeric format]]=1,F140=1,F139=-1),1,0)</f>
        <v>0</v>
      </c>
      <c r="T141">
        <f>IF(AND(Table2[[#This Row],[STATES in numeric format]]=1,F140=0,F139=0),1,0)</f>
        <v>0</v>
      </c>
      <c r="U141">
        <f>IF(AND(Table2[[#This Row],[STATES in numeric format]]=1,F140=1,F139=0),1,0)</f>
        <v>0</v>
      </c>
      <c r="V141">
        <f>IF(AND(Table2[[#This Row],[STATES in numeric format]]=1,F140=-1,F139=0),1,0)</f>
        <v>0</v>
      </c>
      <c r="W141">
        <f>IF(AND(Table2[[#This Row],[STATES in numeric format]]=1,F140=0,F139=1),1,0)</f>
        <v>0</v>
      </c>
      <c r="X141">
        <f>IF(AND(Table2[[#This Row],[STATES in numeric format]]=1,F140=0,F139=-1),1,0)</f>
        <v>0</v>
      </c>
      <c r="Y141">
        <f>IF(AND(Table2[[#This Row],[STATES in numeric format]]=0,F140=1,F139=1),1,0)</f>
        <v>0</v>
      </c>
      <c r="Z141">
        <f>IF(AND(Table2[[#This Row],[STATES in numeric format]]=0,F140=-1,F139=-1),1,0)</f>
        <v>0</v>
      </c>
      <c r="AA141">
        <f>IF(AND(Table2[[#This Row],[STATES in numeric format]]=0,F140=-1,F139=1),1,0)</f>
        <v>0</v>
      </c>
      <c r="AB141">
        <f>IF(AND(Table2[[#This Row],[STATES in numeric format]]=0,F140=1,F139=-1),1,0)</f>
        <v>0</v>
      </c>
      <c r="AC141">
        <f>IF(AND(Table2[[#This Row],[STATES in numeric format]]=0,F140=0,F139=0),1,0)</f>
        <v>0</v>
      </c>
      <c r="AD141">
        <f>IF(AND(Table2[[#This Row],[STATES in numeric format]]=0,F140=1,F139=0),1,0)</f>
        <v>0</v>
      </c>
      <c r="AE141">
        <f>IF(AND(Table2[[#This Row],[STATES in numeric format]]=0,F140=-1,F139=0),1,0)</f>
        <v>0</v>
      </c>
      <c r="AF141">
        <f>IF(AND(Table2[[#This Row],[STATES in numeric format]]=0,F140=0,F139=1),1,0)</f>
        <v>0</v>
      </c>
      <c r="AG141">
        <f>IF(AND(Table2[[#This Row],[STATES in numeric format]]=0,F140=0,F139=-1),1,0)</f>
        <v>0</v>
      </c>
    </row>
    <row r="142" spans="1:33" x14ac:dyDescent="0.3">
      <c r="A142" s="1">
        <v>44036</v>
      </c>
      <c r="B142">
        <v>38128.9</v>
      </c>
      <c r="C142">
        <f>Table2[[#This Row],[Close]]-0.001*Table2[[#This Row],[Close]]</f>
        <v>38090.771099999998</v>
      </c>
      <c r="D142">
        <f>Table2[[#This Row],[Close]]+0.001*Table2[[#This Row],[Close]]</f>
        <v>38167.028900000005</v>
      </c>
      <c r="E142" t="str">
        <f>IF(Table2[[#This Row],[Close]]&gt;D141,"up",IF(Table2[[#This Row],[Close]]&lt;C141,"down","constant"))</f>
        <v>constant</v>
      </c>
      <c r="F142" s="3">
        <f>IF(Table2[[#This Row],[States]]="up",1,IF(Table2[[#This Row],[States]]="down",-1,0))</f>
        <v>0</v>
      </c>
      <c r="G142">
        <f>IF(AND(Table2[[#This Row],[STATES in numeric format]]=-1,F141=1,F140=1),1,0)</f>
        <v>0</v>
      </c>
      <c r="H142">
        <f>IF(AND(Table2[[#This Row],[STATES in numeric format]]=-1,F141=-1,F140=-1),1,0)</f>
        <v>0</v>
      </c>
      <c r="I142">
        <f>IF(AND(Table2[[#This Row],[STATES in numeric format]]=-1,F141=-1,F140=1),1,0)</f>
        <v>0</v>
      </c>
      <c r="J142">
        <f>IF(AND(Table2[[#This Row],[STATES in numeric format]]=-1,F141=1,F140=-1),1,0)</f>
        <v>0</v>
      </c>
      <c r="K142">
        <f>IF(AND(Table2[[#This Row],[STATES in numeric format]]=-1,F141=0,F140=0),1,0)</f>
        <v>0</v>
      </c>
      <c r="L142">
        <f>IF(AND(Table2[[#This Row],[STATES in numeric format]]=-1,F141=1,F140=0),1,0)</f>
        <v>0</v>
      </c>
      <c r="M142">
        <f>IF(AND(Table2[[#This Row],[STATES in numeric format]]=-1,F141=-1,F140=0),1,0)</f>
        <v>0</v>
      </c>
      <c r="N142">
        <f>IF(AND(Table2[[#This Row],[STATES in numeric format]]=-1,F141=0,F140=1),1,0)</f>
        <v>0</v>
      </c>
      <c r="O142">
        <f>IF(AND(Table2[[#This Row],[STATES in numeric format]]=-1,F141=0,F140=-1),1,0)</f>
        <v>0</v>
      </c>
      <c r="P142">
        <f>IF(AND(Table2[[#This Row],[STATES in numeric format]]=1,F141=1,F140=1),1,0)</f>
        <v>0</v>
      </c>
      <c r="Q142">
        <f>IF(AND(Table2[[#This Row],[STATES in numeric format]]=1,F141=-1,F140=-1),1,0)</f>
        <v>0</v>
      </c>
      <c r="R142">
        <f>IF(AND(Table2[[#This Row],[STATES in numeric format]]=1,F141=-1,F140=1),1,0)</f>
        <v>0</v>
      </c>
      <c r="S142">
        <f>IF(AND(Table2[[#This Row],[STATES in numeric format]]=1,F141=1,F140=-1),1,0)</f>
        <v>0</v>
      </c>
      <c r="T142">
        <f>IF(AND(Table2[[#This Row],[STATES in numeric format]]=1,F141=0,F140=0),1,0)</f>
        <v>0</v>
      </c>
      <c r="U142">
        <f>IF(AND(Table2[[#This Row],[STATES in numeric format]]=1,F141=1,F140=0),1,0)</f>
        <v>0</v>
      </c>
      <c r="V142">
        <f>IF(AND(Table2[[#This Row],[STATES in numeric format]]=1,F141=-1,F140=0),1,0)</f>
        <v>0</v>
      </c>
      <c r="W142">
        <f>IF(AND(Table2[[#This Row],[STATES in numeric format]]=1,F141=0,F140=1),1,0)</f>
        <v>0</v>
      </c>
      <c r="X142">
        <f>IF(AND(Table2[[#This Row],[STATES in numeric format]]=1,F141=0,F140=-1),1,0)</f>
        <v>0</v>
      </c>
      <c r="Y142">
        <f>IF(AND(Table2[[#This Row],[STATES in numeric format]]=0,F141=1,F140=1),1,0)</f>
        <v>0</v>
      </c>
      <c r="Z142">
        <f>IF(AND(Table2[[#This Row],[STATES in numeric format]]=0,F141=-1,F140=-1),1,0)</f>
        <v>0</v>
      </c>
      <c r="AA142">
        <f>IF(AND(Table2[[#This Row],[STATES in numeric format]]=0,F141=-1,F140=1),1,0)</f>
        <v>0</v>
      </c>
      <c r="AB142">
        <f>IF(AND(Table2[[#This Row],[STATES in numeric format]]=0,F141=1,F140=-1),1,0)</f>
        <v>1</v>
      </c>
      <c r="AC142">
        <f>IF(AND(Table2[[#This Row],[STATES in numeric format]]=0,F141=0,F140=0),1,0)</f>
        <v>0</v>
      </c>
      <c r="AD142">
        <f>IF(AND(Table2[[#This Row],[STATES in numeric format]]=0,F141=1,F140=0),1,0)</f>
        <v>0</v>
      </c>
      <c r="AE142">
        <f>IF(AND(Table2[[#This Row],[STATES in numeric format]]=0,F141=-1,F140=0),1,0)</f>
        <v>0</v>
      </c>
      <c r="AF142">
        <f>IF(AND(Table2[[#This Row],[STATES in numeric format]]=0,F141=0,F140=1),1,0)</f>
        <v>0</v>
      </c>
      <c r="AG142">
        <f>IF(AND(Table2[[#This Row],[STATES in numeric format]]=0,F141=0,F140=-1),1,0)</f>
        <v>0</v>
      </c>
    </row>
    <row r="143" spans="1:33" x14ac:dyDescent="0.3">
      <c r="A143" s="1">
        <v>44039</v>
      </c>
      <c r="B143">
        <v>37934.730000000003</v>
      </c>
      <c r="C143">
        <f>Table2[[#This Row],[Close]]-0.001*Table2[[#This Row],[Close]]</f>
        <v>37896.795270000002</v>
      </c>
      <c r="D143">
        <f>Table2[[#This Row],[Close]]+0.001*Table2[[#This Row],[Close]]</f>
        <v>37972.664730000004</v>
      </c>
      <c r="E143" t="str">
        <f>IF(Table2[[#This Row],[Close]]&gt;D142,"up",IF(Table2[[#This Row],[Close]]&lt;C142,"down","constant"))</f>
        <v>down</v>
      </c>
      <c r="F143" s="3">
        <f>IF(Table2[[#This Row],[States]]="up",1,IF(Table2[[#This Row],[States]]="down",-1,0))</f>
        <v>-1</v>
      </c>
      <c r="G143">
        <f>IF(AND(Table2[[#This Row],[STATES in numeric format]]=-1,F142=1,F141=1),1,0)</f>
        <v>0</v>
      </c>
      <c r="H143">
        <f>IF(AND(Table2[[#This Row],[STATES in numeric format]]=-1,F142=-1,F141=-1),1,0)</f>
        <v>0</v>
      </c>
      <c r="I143">
        <f>IF(AND(Table2[[#This Row],[STATES in numeric format]]=-1,F142=-1,F141=1),1,0)</f>
        <v>0</v>
      </c>
      <c r="J143">
        <f>IF(AND(Table2[[#This Row],[STATES in numeric format]]=-1,F142=1,F141=-1),1,0)</f>
        <v>0</v>
      </c>
      <c r="K143">
        <f>IF(AND(Table2[[#This Row],[STATES in numeric format]]=-1,F142=0,F141=0),1,0)</f>
        <v>0</v>
      </c>
      <c r="L143">
        <f>IF(AND(Table2[[#This Row],[STATES in numeric format]]=-1,F142=1,F141=0),1,0)</f>
        <v>0</v>
      </c>
      <c r="M143">
        <f>IF(AND(Table2[[#This Row],[STATES in numeric format]]=-1,F142=-1,F141=0),1,0)</f>
        <v>0</v>
      </c>
      <c r="N143">
        <f>IF(AND(Table2[[#This Row],[STATES in numeric format]]=-1,F142=0,F141=1),1,0)</f>
        <v>1</v>
      </c>
      <c r="O143">
        <f>IF(AND(Table2[[#This Row],[STATES in numeric format]]=-1,F142=0,F141=-1),1,0)</f>
        <v>0</v>
      </c>
      <c r="P143">
        <f>IF(AND(Table2[[#This Row],[STATES in numeric format]]=1,F142=1,F141=1),1,0)</f>
        <v>0</v>
      </c>
      <c r="Q143">
        <f>IF(AND(Table2[[#This Row],[STATES in numeric format]]=1,F142=-1,F141=-1),1,0)</f>
        <v>0</v>
      </c>
      <c r="R143">
        <f>IF(AND(Table2[[#This Row],[STATES in numeric format]]=1,F142=-1,F141=1),1,0)</f>
        <v>0</v>
      </c>
      <c r="S143">
        <f>IF(AND(Table2[[#This Row],[STATES in numeric format]]=1,F142=1,F141=-1),1,0)</f>
        <v>0</v>
      </c>
      <c r="T143">
        <f>IF(AND(Table2[[#This Row],[STATES in numeric format]]=1,F142=0,F141=0),1,0)</f>
        <v>0</v>
      </c>
      <c r="U143">
        <f>IF(AND(Table2[[#This Row],[STATES in numeric format]]=1,F142=1,F141=0),1,0)</f>
        <v>0</v>
      </c>
      <c r="V143">
        <f>IF(AND(Table2[[#This Row],[STATES in numeric format]]=1,F142=-1,F141=0),1,0)</f>
        <v>0</v>
      </c>
      <c r="W143">
        <f>IF(AND(Table2[[#This Row],[STATES in numeric format]]=1,F142=0,F141=1),1,0)</f>
        <v>0</v>
      </c>
      <c r="X143">
        <f>IF(AND(Table2[[#This Row],[STATES in numeric format]]=1,F142=0,F141=-1),1,0)</f>
        <v>0</v>
      </c>
      <c r="Y143">
        <f>IF(AND(Table2[[#This Row],[STATES in numeric format]]=0,F142=1,F141=1),1,0)</f>
        <v>0</v>
      </c>
      <c r="Z143">
        <f>IF(AND(Table2[[#This Row],[STATES in numeric format]]=0,F142=-1,F141=-1),1,0)</f>
        <v>0</v>
      </c>
      <c r="AA143">
        <f>IF(AND(Table2[[#This Row],[STATES in numeric format]]=0,F142=-1,F141=1),1,0)</f>
        <v>0</v>
      </c>
      <c r="AB143">
        <f>IF(AND(Table2[[#This Row],[STATES in numeric format]]=0,F142=1,F141=-1),1,0)</f>
        <v>0</v>
      </c>
      <c r="AC143">
        <f>IF(AND(Table2[[#This Row],[STATES in numeric format]]=0,F142=0,F141=0),1,0)</f>
        <v>0</v>
      </c>
      <c r="AD143">
        <f>IF(AND(Table2[[#This Row],[STATES in numeric format]]=0,F142=1,F141=0),1,0)</f>
        <v>0</v>
      </c>
      <c r="AE143">
        <f>IF(AND(Table2[[#This Row],[STATES in numeric format]]=0,F142=-1,F141=0),1,0)</f>
        <v>0</v>
      </c>
      <c r="AF143">
        <f>IF(AND(Table2[[#This Row],[STATES in numeric format]]=0,F142=0,F141=1),1,0)</f>
        <v>0</v>
      </c>
      <c r="AG143">
        <f>IF(AND(Table2[[#This Row],[STATES in numeric format]]=0,F142=0,F141=-1),1,0)</f>
        <v>0</v>
      </c>
    </row>
    <row r="144" spans="1:33" x14ac:dyDescent="0.3">
      <c r="A144" s="1">
        <v>44040</v>
      </c>
      <c r="B144">
        <v>38492.949999999997</v>
      </c>
      <c r="C144">
        <f>Table2[[#This Row],[Close]]-0.001*Table2[[#This Row],[Close]]</f>
        <v>38454.457049999997</v>
      </c>
      <c r="D144">
        <f>Table2[[#This Row],[Close]]+0.001*Table2[[#This Row],[Close]]</f>
        <v>38531.442949999997</v>
      </c>
      <c r="E144" t="str">
        <f>IF(Table2[[#This Row],[Close]]&gt;D143,"up",IF(Table2[[#This Row],[Close]]&lt;C143,"down","constant"))</f>
        <v>up</v>
      </c>
      <c r="F144" s="3">
        <f>IF(Table2[[#This Row],[States]]="up",1,IF(Table2[[#This Row],[States]]="down",-1,0))</f>
        <v>1</v>
      </c>
      <c r="G144">
        <f>IF(AND(Table2[[#This Row],[STATES in numeric format]]=-1,F143=1,F142=1),1,0)</f>
        <v>0</v>
      </c>
      <c r="H144">
        <f>IF(AND(Table2[[#This Row],[STATES in numeric format]]=-1,F143=-1,F142=-1),1,0)</f>
        <v>0</v>
      </c>
      <c r="I144">
        <f>IF(AND(Table2[[#This Row],[STATES in numeric format]]=-1,F143=-1,F142=1),1,0)</f>
        <v>0</v>
      </c>
      <c r="J144">
        <f>IF(AND(Table2[[#This Row],[STATES in numeric format]]=-1,F143=1,F142=-1),1,0)</f>
        <v>0</v>
      </c>
      <c r="K144">
        <f>IF(AND(Table2[[#This Row],[STATES in numeric format]]=-1,F143=0,F142=0),1,0)</f>
        <v>0</v>
      </c>
      <c r="L144">
        <f>IF(AND(Table2[[#This Row],[STATES in numeric format]]=-1,F143=1,F142=0),1,0)</f>
        <v>0</v>
      </c>
      <c r="M144">
        <f>IF(AND(Table2[[#This Row],[STATES in numeric format]]=-1,F143=-1,F142=0),1,0)</f>
        <v>0</v>
      </c>
      <c r="N144">
        <f>IF(AND(Table2[[#This Row],[STATES in numeric format]]=-1,F143=0,F142=1),1,0)</f>
        <v>0</v>
      </c>
      <c r="O144">
        <f>IF(AND(Table2[[#This Row],[STATES in numeric format]]=-1,F143=0,F142=-1),1,0)</f>
        <v>0</v>
      </c>
      <c r="P144">
        <f>IF(AND(Table2[[#This Row],[STATES in numeric format]]=1,F143=1,F142=1),1,0)</f>
        <v>0</v>
      </c>
      <c r="Q144">
        <f>IF(AND(Table2[[#This Row],[STATES in numeric format]]=1,F143=-1,F142=-1),1,0)</f>
        <v>0</v>
      </c>
      <c r="R144">
        <f>IF(AND(Table2[[#This Row],[STATES in numeric format]]=1,F143=-1,F142=1),1,0)</f>
        <v>0</v>
      </c>
      <c r="S144">
        <f>IF(AND(Table2[[#This Row],[STATES in numeric format]]=1,F143=1,F142=-1),1,0)</f>
        <v>0</v>
      </c>
      <c r="T144">
        <f>IF(AND(Table2[[#This Row],[STATES in numeric format]]=1,F143=0,F142=0),1,0)</f>
        <v>0</v>
      </c>
      <c r="U144">
        <f>IF(AND(Table2[[#This Row],[STATES in numeric format]]=1,F143=1,F142=0),1,0)</f>
        <v>0</v>
      </c>
      <c r="V144">
        <f>IF(AND(Table2[[#This Row],[STATES in numeric format]]=1,F143=-1,F142=0),1,0)</f>
        <v>1</v>
      </c>
      <c r="W144">
        <f>IF(AND(Table2[[#This Row],[STATES in numeric format]]=1,F143=0,F142=1),1,0)</f>
        <v>0</v>
      </c>
      <c r="X144">
        <f>IF(AND(Table2[[#This Row],[STATES in numeric format]]=1,F143=0,F142=-1),1,0)</f>
        <v>0</v>
      </c>
      <c r="Y144">
        <f>IF(AND(Table2[[#This Row],[STATES in numeric format]]=0,F143=1,F142=1),1,0)</f>
        <v>0</v>
      </c>
      <c r="Z144">
        <f>IF(AND(Table2[[#This Row],[STATES in numeric format]]=0,F143=-1,F142=-1),1,0)</f>
        <v>0</v>
      </c>
      <c r="AA144">
        <f>IF(AND(Table2[[#This Row],[STATES in numeric format]]=0,F143=-1,F142=1),1,0)</f>
        <v>0</v>
      </c>
      <c r="AB144">
        <f>IF(AND(Table2[[#This Row],[STATES in numeric format]]=0,F143=1,F142=-1),1,0)</f>
        <v>0</v>
      </c>
      <c r="AC144">
        <f>IF(AND(Table2[[#This Row],[STATES in numeric format]]=0,F143=0,F142=0),1,0)</f>
        <v>0</v>
      </c>
      <c r="AD144">
        <f>IF(AND(Table2[[#This Row],[STATES in numeric format]]=0,F143=1,F142=0),1,0)</f>
        <v>0</v>
      </c>
      <c r="AE144">
        <f>IF(AND(Table2[[#This Row],[STATES in numeric format]]=0,F143=-1,F142=0),1,0)</f>
        <v>0</v>
      </c>
      <c r="AF144">
        <f>IF(AND(Table2[[#This Row],[STATES in numeric format]]=0,F143=0,F142=1),1,0)</f>
        <v>0</v>
      </c>
      <c r="AG144">
        <f>IF(AND(Table2[[#This Row],[STATES in numeric format]]=0,F143=0,F142=-1),1,0)</f>
        <v>0</v>
      </c>
    </row>
    <row r="145" spans="1:33" x14ac:dyDescent="0.3">
      <c r="A145" s="1">
        <v>44041</v>
      </c>
      <c r="B145">
        <v>38071.129999999997</v>
      </c>
      <c r="C145">
        <f>Table2[[#This Row],[Close]]-0.001*Table2[[#This Row],[Close]]</f>
        <v>38033.058870000001</v>
      </c>
      <c r="D145">
        <f>Table2[[#This Row],[Close]]+0.001*Table2[[#This Row],[Close]]</f>
        <v>38109.201129999994</v>
      </c>
      <c r="E145" t="str">
        <f>IF(Table2[[#This Row],[Close]]&gt;D144,"up",IF(Table2[[#This Row],[Close]]&lt;C144,"down","constant"))</f>
        <v>down</v>
      </c>
      <c r="F145" s="3">
        <f>IF(Table2[[#This Row],[States]]="up",1,IF(Table2[[#This Row],[States]]="down",-1,0))</f>
        <v>-1</v>
      </c>
      <c r="G145">
        <f>IF(AND(Table2[[#This Row],[STATES in numeric format]]=-1,F144=1,F143=1),1,0)</f>
        <v>0</v>
      </c>
      <c r="H145">
        <f>IF(AND(Table2[[#This Row],[STATES in numeric format]]=-1,F144=-1,F143=-1),1,0)</f>
        <v>0</v>
      </c>
      <c r="I145">
        <f>IF(AND(Table2[[#This Row],[STATES in numeric format]]=-1,F144=-1,F143=1),1,0)</f>
        <v>0</v>
      </c>
      <c r="J145">
        <f>IF(AND(Table2[[#This Row],[STATES in numeric format]]=-1,F144=1,F143=-1),1,0)</f>
        <v>1</v>
      </c>
      <c r="K145">
        <f>IF(AND(Table2[[#This Row],[STATES in numeric format]]=-1,F144=0,F143=0),1,0)</f>
        <v>0</v>
      </c>
      <c r="L145">
        <f>IF(AND(Table2[[#This Row],[STATES in numeric format]]=-1,F144=1,F143=0),1,0)</f>
        <v>0</v>
      </c>
      <c r="M145">
        <f>IF(AND(Table2[[#This Row],[STATES in numeric format]]=-1,F144=-1,F143=0),1,0)</f>
        <v>0</v>
      </c>
      <c r="N145">
        <f>IF(AND(Table2[[#This Row],[STATES in numeric format]]=-1,F144=0,F143=1),1,0)</f>
        <v>0</v>
      </c>
      <c r="O145">
        <f>IF(AND(Table2[[#This Row],[STATES in numeric format]]=-1,F144=0,F143=-1),1,0)</f>
        <v>0</v>
      </c>
      <c r="P145">
        <f>IF(AND(Table2[[#This Row],[STATES in numeric format]]=1,F144=1,F143=1),1,0)</f>
        <v>0</v>
      </c>
      <c r="Q145">
        <f>IF(AND(Table2[[#This Row],[STATES in numeric format]]=1,F144=-1,F143=-1),1,0)</f>
        <v>0</v>
      </c>
      <c r="R145">
        <f>IF(AND(Table2[[#This Row],[STATES in numeric format]]=1,F144=-1,F143=1),1,0)</f>
        <v>0</v>
      </c>
      <c r="S145">
        <f>IF(AND(Table2[[#This Row],[STATES in numeric format]]=1,F144=1,F143=-1),1,0)</f>
        <v>0</v>
      </c>
      <c r="T145">
        <f>IF(AND(Table2[[#This Row],[STATES in numeric format]]=1,F144=0,F143=0),1,0)</f>
        <v>0</v>
      </c>
      <c r="U145">
        <f>IF(AND(Table2[[#This Row],[STATES in numeric format]]=1,F144=1,F143=0),1,0)</f>
        <v>0</v>
      </c>
      <c r="V145">
        <f>IF(AND(Table2[[#This Row],[STATES in numeric format]]=1,F144=-1,F143=0),1,0)</f>
        <v>0</v>
      </c>
      <c r="W145">
        <f>IF(AND(Table2[[#This Row],[STATES in numeric format]]=1,F144=0,F143=1),1,0)</f>
        <v>0</v>
      </c>
      <c r="X145">
        <f>IF(AND(Table2[[#This Row],[STATES in numeric format]]=1,F144=0,F143=-1),1,0)</f>
        <v>0</v>
      </c>
      <c r="Y145">
        <f>IF(AND(Table2[[#This Row],[STATES in numeric format]]=0,F144=1,F143=1),1,0)</f>
        <v>0</v>
      </c>
      <c r="Z145">
        <f>IF(AND(Table2[[#This Row],[STATES in numeric format]]=0,F144=-1,F143=-1),1,0)</f>
        <v>0</v>
      </c>
      <c r="AA145">
        <f>IF(AND(Table2[[#This Row],[STATES in numeric format]]=0,F144=-1,F143=1),1,0)</f>
        <v>0</v>
      </c>
      <c r="AB145">
        <f>IF(AND(Table2[[#This Row],[STATES in numeric format]]=0,F144=1,F143=-1),1,0)</f>
        <v>0</v>
      </c>
      <c r="AC145">
        <f>IF(AND(Table2[[#This Row],[STATES in numeric format]]=0,F144=0,F143=0),1,0)</f>
        <v>0</v>
      </c>
      <c r="AD145">
        <f>IF(AND(Table2[[#This Row],[STATES in numeric format]]=0,F144=1,F143=0),1,0)</f>
        <v>0</v>
      </c>
      <c r="AE145">
        <f>IF(AND(Table2[[#This Row],[STATES in numeric format]]=0,F144=-1,F143=0),1,0)</f>
        <v>0</v>
      </c>
      <c r="AF145">
        <f>IF(AND(Table2[[#This Row],[STATES in numeric format]]=0,F144=0,F143=1),1,0)</f>
        <v>0</v>
      </c>
      <c r="AG145">
        <f>IF(AND(Table2[[#This Row],[STATES in numeric format]]=0,F144=0,F143=-1),1,0)</f>
        <v>0</v>
      </c>
    </row>
    <row r="146" spans="1:33" x14ac:dyDescent="0.3">
      <c r="A146" s="1">
        <v>44042</v>
      </c>
      <c r="B146">
        <v>37736.07</v>
      </c>
      <c r="C146">
        <f>Table2[[#This Row],[Close]]-0.001*Table2[[#This Row],[Close]]</f>
        <v>37698.333930000001</v>
      </c>
      <c r="D146">
        <f>Table2[[#This Row],[Close]]+0.001*Table2[[#This Row],[Close]]</f>
        <v>37773.806069999999</v>
      </c>
      <c r="E146" t="str">
        <f>IF(Table2[[#This Row],[Close]]&gt;D145,"up",IF(Table2[[#This Row],[Close]]&lt;C145,"down","constant"))</f>
        <v>down</v>
      </c>
      <c r="F146" s="3">
        <f>IF(Table2[[#This Row],[States]]="up",1,IF(Table2[[#This Row],[States]]="down",-1,0))</f>
        <v>-1</v>
      </c>
      <c r="G146">
        <f>IF(AND(Table2[[#This Row],[STATES in numeric format]]=-1,F145=1,F144=1),1,0)</f>
        <v>0</v>
      </c>
      <c r="H146">
        <f>IF(AND(Table2[[#This Row],[STATES in numeric format]]=-1,F145=-1,F144=-1),1,0)</f>
        <v>0</v>
      </c>
      <c r="I146">
        <f>IF(AND(Table2[[#This Row],[STATES in numeric format]]=-1,F145=-1,F144=1),1,0)</f>
        <v>1</v>
      </c>
      <c r="J146">
        <f>IF(AND(Table2[[#This Row],[STATES in numeric format]]=-1,F145=1,F144=-1),1,0)</f>
        <v>0</v>
      </c>
      <c r="K146">
        <f>IF(AND(Table2[[#This Row],[STATES in numeric format]]=-1,F145=0,F144=0),1,0)</f>
        <v>0</v>
      </c>
      <c r="L146">
        <f>IF(AND(Table2[[#This Row],[STATES in numeric format]]=-1,F145=1,F144=0),1,0)</f>
        <v>0</v>
      </c>
      <c r="M146">
        <f>IF(AND(Table2[[#This Row],[STATES in numeric format]]=-1,F145=-1,F144=0),1,0)</f>
        <v>0</v>
      </c>
      <c r="N146">
        <f>IF(AND(Table2[[#This Row],[STATES in numeric format]]=-1,F145=0,F144=1),1,0)</f>
        <v>0</v>
      </c>
      <c r="O146">
        <f>IF(AND(Table2[[#This Row],[STATES in numeric format]]=-1,F145=0,F144=-1),1,0)</f>
        <v>0</v>
      </c>
      <c r="P146">
        <f>IF(AND(Table2[[#This Row],[STATES in numeric format]]=1,F145=1,F144=1),1,0)</f>
        <v>0</v>
      </c>
      <c r="Q146">
        <f>IF(AND(Table2[[#This Row],[STATES in numeric format]]=1,F145=-1,F144=-1),1,0)</f>
        <v>0</v>
      </c>
      <c r="R146">
        <f>IF(AND(Table2[[#This Row],[STATES in numeric format]]=1,F145=-1,F144=1),1,0)</f>
        <v>0</v>
      </c>
      <c r="S146">
        <f>IF(AND(Table2[[#This Row],[STATES in numeric format]]=1,F145=1,F144=-1),1,0)</f>
        <v>0</v>
      </c>
      <c r="T146">
        <f>IF(AND(Table2[[#This Row],[STATES in numeric format]]=1,F145=0,F144=0),1,0)</f>
        <v>0</v>
      </c>
      <c r="U146">
        <f>IF(AND(Table2[[#This Row],[STATES in numeric format]]=1,F145=1,F144=0),1,0)</f>
        <v>0</v>
      </c>
      <c r="V146">
        <f>IF(AND(Table2[[#This Row],[STATES in numeric format]]=1,F145=-1,F144=0),1,0)</f>
        <v>0</v>
      </c>
      <c r="W146">
        <f>IF(AND(Table2[[#This Row],[STATES in numeric format]]=1,F145=0,F144=1),1,0)</f>
        <v>0</v>
      </c>
      <c r="X146">
        <f>IF(AND(Table2[[#This Row],[STATES in numeric format]]=1,F145=0,F144=-1),1,0)</f>
        <v>0</v>
      </c>
      <c r="Y146">
        <f>IF(AND(Table2[[#This Row],[STATES in numeric format]]=0,F145=1,F144=1),1,0)</f>
        <v>0</v>
      </c>
      <c r="Z146">
        <f>IF(AND(Table2[[#This Row],[STATES in numeric format]]=0,F145=-1,F144=-1),1,0)</f>
        <v>0</v>
      </c>
      <c r="AA146">
        <f>IF(AND(Table2[[#This Row],[STATES in numeric format]]=0,F145=-1,F144=1),1,0)</f>
        <v>0</v>
      </c>
      <c r="AB146">
        <f>IF(AND(Table2[[#This Row],[STATES in numeric format]]=0,F145=1,F144=-1),1,0)</f>
        <v>0</v>
      </c>
      <c r="AC146">
        <f>IF(AND(Table2[[#This Row],[STATES in numeric format]]=0,F145=0,F144=0),1,0)</f>
        <v>0</v>
      </c>
      <c r="AD146">
        <f>IF(AND(Table2[[#This Row],[STATES in numeric format]]=0,F145=1,F144=0),1,0)</f>
        <v>0</v>
      </c>
      <c r="AE146">
        <f>IF(AND(Table2[[#This Row],[STATES in numeric format]]=0,F145=-1,F144=0),1,0)</f>
        <v>0</v>
      </c>
      <c r="AF146">
        <f>IF(AND(Table2[[#This Row],[STATES in numeric format]]=0,F145=0,F144=1),1,0)</f>
        <v>0</v>
      </c>
      <c r="AG146">
        <f>IF(AND(Table2[[#This Row],[STATES in numeric format]]=0,F145=0,F144=-1),1,0)</f>
        <v>0</v>
      </c>
    </row>
    <row r="147" spans="1:33" x14ac:dyDescent="0.3">
      <c r="A147" s="1">
        <v>44043</v>
      </c>
      <c r="B147">
        <v>37606.89</v>
      </c>
      <c r="C147">
        <f>Table2[[#This Row],[Close]]-0.001*Table2[[#This Row],[Close]]</f>
        <v>37569.283109999997</v>
      </c>
      <c r="D147">
        <f>Table2[[#This Row],[Close]]+0.001*Table2[[#This Row],[Close]]</f>
        <v>37644.496890000002</v>
      </c>
      <c r="E147" t="str">
        <f>IF(Table2[[#This Row],[Close]]&gt;D146,"up",IF(Table2[[#This Row],[Close]]&lt;C146,"down","constant"))</f>
        <v>down</v>
      </c>
      <c r="F147" s="3">
        <f>IF(Table2[[#This Row],[States]]="up",1,IF(Table2[[#This Row],[States]]="down",-1,0))</f>
        <v>-1</v>
      </c>
      <c r="G147">
        <f>IF(AND(Table2[[#This Row],[STATES in numeric format]]=-1,F146=1,F145=1),1,0)</f>
        <v>0</v>
      </c>
      <c r="H147">
        <f>IF(AND(Table2[[#This Row],[STATES in numeric format]]=-1,F146=-1,F145=-1),1,0)</f>
        <v>1</v>
      </c>
      <c r="I147">
        <f>IF(AND(Table2[[#This Row],[STATES in numeric format]]=-1,F146=-1,F145=1),1,0)</f>
        <v>0</v>
      </c>
      <c r="J147">
        <f>IF(AND(Table2[[#This Row],[STATES in numeric format]]=-1,F146=1,F145=-1),1,0)</f>
        <v>0</v>
      </c>
      <c r="K147">
        <f>IF(AND(Table2[[#This Row],[STATES in numeric format]]=-1,F146=0,F145=0),1,0)</f>
        <v>0</v>
      </c>
      <c r="L147">
        <f>IF(AND(Table2[[#This Row],[STATES in numeric format]]=-1,F146=1,F145=0),1,0)</f>
        <v>0</v>
      </c>
      <c r="M147">
        <f>IF(AND(Table2[[#This Row],[STATES in numeric format]]=-1,F146=-1,F145=0),1,0)</f>
        <v>0</v>
      </c>
      <c r="N147">
        <f>IF(AND(Table2[[#This Row],[STATES in numeric format]]=-1,F146=0,F145=1),1,0)</f>
        <v>0</v>
      </c>
      <c r="O147">
        <f>IF(AND(Table2[[#This Row],[STATES in numeric format]]=-1,F146=0,F145=-1),1,0)</f>
        <v>0</v>
      </c>
      <c r="P147">
        <f>IF(AND(Table2[[#This Row],[STATES in numeric format]]=1,F146=1,F145=1),1,0)</f>
        <v>0</v>
      </c>
      <c r="Q147">
        <f>IF(AND(Table2[[#This Row],[STATES in numeric format]]=1,F146=-1,F145=-1),1,0)</f>
        <v>0</v>
      </c>
      <c r="R147">
        <f>IF(AND(Table2[[#This Row],[STATES in numeric format]]=1,F146=-1,F145=1),1,0)</f>
        <v>0</v>
      </c>
      <c r="S147">
        <f>IF(AND(Table2[[#This Row],[STATES in numeric format]]=1,F146=1,F145=-1),1,0)</f>
        <v>0</v>
      </c>
      <c r="T147">
        <f>IF(AND(Table2[[#This Row],[STATES in numeric format]]=1,F146=0,F145=0),1,0)</f>
        <v>0</v>
      </c>
      <c r="U147">
        <f>IF(AND(Table2[[#This Row],[STATES in numeric format]]=1,F146=1,F145=0),1,0)</f>
        <v>0</v>
      </c>
      <c r="V147">
        <f>IF(AND(Table2[[#This Row],[STATES in numeric format]]=1,F146=-1,F145=0),1,0)</f>
        <v>0</v>
      </c>
      <c r="W147">
        <f>IF(AND(Table2[[#This Row],[STATES in numeric format]]=1,F146=0,F145=1),1,0)</f>
        <v>0</v>
      </c>
      <c r="X147">
        <f>IF(AND(Table2[[#This Row],[STATES in numeric format]]=1,F146=0,F145=-1),1,0)</f>
        <v>0</v>
      </c>
      <c r="Y147">
        <f>IF(AND(Table2[[#This Row],[STATES in numeric format]]=0,F146=1,F145=1),1,0)</f>
        <v>0</v>
      </c>
      <c r="Z147">
        <f>IF(AND(Table2[[#This Row],[STATES in numeric format]]=0,F146=-1,F145=-1),1,0)</f>
        <v>0</v>
      </c>
      <c r="AA147">
        <f>IF(AND(Table2[[#This Row],[STATES in numeric format]]=0,F146=-1,F145=1),1,0)</f>
        <v>0</v>
      </c>
      <c r="AB147">
        <f>IF(AND(Table2[[#This Row],[STATES in numeric format]]=0,F146=1,F145=-1),1,0)</f>
        <v>0</v>
      </c>
      <c r="AC147">
        <f>IF(AND(Table2[[#This Row],[STATES in numeric format]]=0,F146=0,F145=0),1,0)</f>
        <v>0</v>
      </c>
      <c r="AD147">
        <f>IF(AND(Table2[[#This Row],[STATES in numeric format]]=0,F146=1,F145=0),1,0)</f>
        <v>0</v>
      </c>
      <c r="AE147">
        <f>IF(AND(Table2[[#This Row],[STATES in numeric format]]=0,F146=-1,F145=0),1,0)</f>
        <v>0</v>
      </c>
      <c r="AF147">
        <f>IF(AND(Table2[[#This Row],[STATES in numeric format]]=0,F146=0,F145=1),1,0)</f>
        <v>0</v>
      </c>
      <c r="AG147">
        <f>IF(AND(Table2[[#This Row],[STATES in numeric format]]=0,F146=0,F145=-1),1,0)</f>
        <v>0</v>
      </c>
    </row>
    <row r="148" spans="1:33" x14ac:dyDescent="0.3">
      <c r="A148" s="1">
        <v>44046</v>
      </c>
      <c r="B148">
        <v>36939.599999999999</v>
      </c>
      <c r="C148">
        <f>Table2[[#This Row],[Close]]-0.001*Table2[[#This Row],[Close]]</f>
        <v>36902.660400000001</v>
      </c>
      <c r="D148">
        <f>Table2[[#This Row],[Close]]+0.001*Table2[[#This Row],[Close]]</f>
        <v>36976.539599999996</v>
      </c>
      <c r="E148" t="str">
        <f>IF(Table2[[#This Row],[Close]]&gt;D147,"up",IF(Table2[[#This Row],[Close]]&lt;C147,"down","constant"))</f>
        <v>down</v>
      </c>
      <c r="F148" s="3">
        <f>IF(Table2[[#This Row],[States]]="up",1,IF(Table2[[#This Row],[States]]="down",-1,0))</f>
        <v>-1</v>
      </c>
      <c r="G148">
        <f>IF(AND(Table2[[#This Row],[STATES in numeric format]]=-1,F147=1,F146=1),1,0)</f>
        <v>0</v>
      </c>
      <c r="H148">
        <f>IF(AND(Table2[[#This Row],[STATES in numeric format]]=-1,F147=-1,F146=-1),1,0)</f>
        <v>1</v>
      </c>
      <c r="I148">
        <f>IF(AND(Table2[[#This Row],[STATES in numeric format]]=-1,F147=-1,F146=1),1,0)</f>
        <v>0</v>
      </c>
      <c r="J148">
        <f>IF(AND(Table2[[#This Row],[STATES in numeric format]]=-1,F147=1,F146=-1),1,0)</f>
        <v>0</v>
      </c>
      <c r="K148">
        <f>IF(AND(Table2[[#This Row],[STATES in numeric format]]=-1,F147=0,F146=0),1,0)</f>
        <v>0</v>
      </c>
      <c r="L148">
        <f>IF(AND(Table2[[#This Row],[STATES in numeric format]]=-1,F147=1,F146=0),1,0)</f>
        <v>0</v>
      </c>
      <c r="M148">
        <f>IF(AND(Table2[[#This Row],[STATES in numeric format]]=-1,F147=-1,F146=0),1,0)</f>
        <v>0</v>
      </c>
      <c r="N148">
        <f>IF(AND(Table2[[#This Row],[STATES in numeric format]]=-1,F147=0,F146=1),1,0)</f>
        <v>0</v>
      </c>
      <c r="O148">
        <f>IF(AND(Table2[[#This Row],[STATES in numeric format]]=-1,F147=0,F146=-1),1,0)</f>
        <v>0</v>
      </c>
      <c r="P148">
        <f>IF(AND(Table2[[#This Row],[STATES in numeric format]]=1,F147=1,F146=1),1,0)</f>
        <v>0</v>
      </c>
      <c r="Q148">
        <f>IF(AND(Table2[[#This Row],[STATES in numeric format]]=1,F147=-1,F146=-1),1,0)</f>
        <v>0</v>
      </c>
      <c r="R148">
        <f>IF(AND(Table2[[#This Row],[STATES in numeric format]]=1,F147=-1,F146=1),1,0)</f>
        <v>0</v>
      </c>
      <c r="S148">
        <f>IF(AND(Table2[[#This Row],[STATES in numeric format]]=1,F147=1,F146=-1),1,0)</f>
        <v>0</v>
      </c>
      <c r="T148">
        <f>IF(AND(Table2[[#This Row],[STATES in numeric format]]=1,F147=0,F146=0),1,0)</f>
        <v>0</v>
      </c>
      <c r="U148">
        <f>IF(AND(Table2[[#This Row],[STATES in numeric format]]=1,F147=1,F146=0),1,0)</f>
        <v>0</v>
      </c>
      <c r="V148">
        <f>IF(AND(Table2[[#This Row],[STATES in numeric format]]=1,F147=-1,F146=0),1,0)</f>
        <v>0</v>
      </c>
      <c r="W148">
        <f>IF(AND(Table2[[#This Row],[STATES in numeric format]]=1,F147=0,F146=1),1,0)</f>
        <v>0</v>
      </c>
      <c r="X148">
        <f>IF(AND(Table2[[#This Row],[STATES in numeric format]]=1,F147=0,F146=-1),1,0)</f>
        <v>0</v>
      </c>
      <c r="Y148">
        <f>IF(AND(Table2[[#This Row],[STATES in numeric format]]=0,F147=1,F146=1),1,0)</f>
        <v>0</v>
      </c>
      <c r="Z148">
        <f>IF(AND(Table2[[#This Row],[STATES in numeric format]]=0,F147=-1,F146=-1),1,0)</f>
        <v>0</v>
      </c>
      <c r="AA148">
        <f>IF(AND(Table2[[#This Row],[STATES in numeric format]]=0,F147=-1,F146=1),1,0)</f>
        <v>0</v>
      </c>
      <c r="AB148">
        <f>IF(AND(Table2[[#This Row],[STATES in numeric format]]=0,F147=1,F146=-1),1,0)</f>
        <v>0</v>
      </c>
      <c r="AC148">
        <f>IF(AND(Table2[[#This Row],[STATES in numeric format]]=0,F147=0,F146=0),1,0)</f>
        <v>0</v>
      </c>
      <c r="AD148">
        <f>IF(AND(Table2[[#This Row],[STATES in numeric format]]=0,F147=1,F146=0),1,0)</f>
        <v>0</v>
      </c>
      <c r="AE148">
        <f>IF(AND(Table2[[#This Row],[STATES in numeric format]]=0,F147=-1,F146=0),1,0)</f>
        <v>0</v>
      </c>
      <c r="AF148">
        <f>IF(AND(Table2[[#This Row],[STATES in numeric format]]=0,F147=0,F146=1),1,0)</f>
        <v>0</v>
      </c>
      <c r="AG148">
        <f>IF(AND(Table2[[#This Row],[STATES in numeric format]]=0,F147=0,F146=-1),1,0)</f>
        <v>0</v>
      </c>
    </row>
    <row r="149" spans="1:33" x14ac:dyDescent="0.3">
      <c r="A149" s="1">
        <v>44047</v>
      </c>
      <c r="B149">
        <v>37687.910000000003</v>
      </c>
      <c r="C149">
        <f>Table2[[#This Row],[Close]]-0.001*Table2[[#This Row],[Close]]</f>
        <v>37650.222090000003</v>
      </c>
      <c r="D149">
        <f>Table2[[#This Row],[Close]]+0.001*Table2[[#This Row],[Close]]</f>
        <v>37725.597910000004</v>
      </c>
      <c r="E149" t="str">
        <f>IF(Table2[[#This Row],[Close]]&gt;D148,"up",IF(Table2[[#This Row],[Close]]&lt;C148,"down","constant"))</f>
        <v>up</v>
      </c>
      <c r="F149" s="3">
        <f>IF(Table2[[#This Row],[States]]="up",1,IF(Table2[[#This Row],[States]]="down",-1,0))</f>
        <v>1</v>
      </c>
      <c r="G149">
        <f>IF(AND(Table2[[#This Row],[STATES in numeric format]]=-1,F148=1,F147=1),1,0)</f>
        <v>0</v>
      </c>
      <c r="H149">
        <f>IF(AND(Table2[[#This Row],[STATES in numeric format]]=-1,F148=-1,F147=-1),1,0)</f>
        <v>0</v>
      </c>
      <c r="I149">
        <f>IF(AND(Table2[[#This Row],[STATES in numeric format]]=-1,F148=-1,F147=1),1,0)</f>
        <v>0</v>
      </c>
      <c r="J149">
        <f>IF(AND(Table2[[#This Row],[STATES in numeric format]]=-1,F148=1,F147=-1),1,0)</f>
        <v>0</v>
      </c>
      <c r="K149">
        <f>IF(AND(Table2[[#This Row],[STATES in numeric format]]=-1,F148=0,F147=0),1,0)</f>
        <v>0</v>
      </c>
      <c r="L149">
        <f>IF(AND(Table2[[#This Row],[STATES in numeric format]]=-1,F148=1,F147=0),1,0)</f>
        <v>0</v>
      </c>
      <c r="M149">
        <f>IF(AND(Table2[[#This Row],[STATES in numeric format]]=-1,F148=-1,F147=0),1,0)</f>
        <v>0</v>
      </c>
      <c r="N149">
        <f>IF(AND(Table2[[#This Row],[STATES in numeric format]]=-1,F148=0,F147=1),1,0)</f>
        <v>0</v>
      </c>
      <c r="O149">
        <f>IF(AND(Table2[[#This Row],[STATES in numeric format]]=-1,F148=0,F147=-1),1,0)</f>
        <v>0</v>
      </c>
      <c r="P149">
        <f>IF(AND(Table2[[#This Row],[STATES in numeric format]]=1,F148=1,F147=1),1,0)</f>
        <v>0</v>
      </c>
      <c r="Q149">
        <f>IF(AND(Table2[[#This Row],[STATES in numeric format]]=1,F148=-1,F147=-1),1,0)</f>
        <v>1</v>
      </c>
      <c r="R149">
        <f>IF(AND(Table2[[#This Row],[STATES in numeric format]]=1,F148=-1,F147=1),1,0)</f>
        <v>0</v>
      </c>
      <c r="S149">
        <f>IF(AND(Table2[[#This Row],[STATES in numeric format]]=1,F148=1,F147=-1),1,0)</f>
        <v>0</v>
      </c>
      <c r="T149">
        <f>IF(AND(Table2[[#This Row],[STATES in numeric format]]=1,F148=0,F147=0),1,0)</f>
        <v>0</v>
      </c>
      <c r="U149">
        <f>IF(AND(Table2[[#This Row],[STATES in numeric format]]=1,F148=1,F147=0),1,0)</f>
        <v>0</v>
      </c>
      <c r="V149">
        <f>IF(AND(Table2[[#This Row],[STATES in numeric format]]=1,F148=-1,F147=0),1,0)</f>
        <v>0</v>
      </c>
      <c r="W149">
        <f>IF(AND(Table2[[#This Row],[STATES in numeric format]]=1,F148=0,F147=1),1,0)</f>
        <v>0</v>
      </c>
      <c r="X149">
        <f>IF(AND(Table2[[#This Row],[STATES in numeric format]]=1,F148=0,F147=-1),1,0)</f>
        <v>0</v>
      </c>
      <c r="Y149">
        <f>IF(AND(Table2[[#This Row],[STATES in numeric format]]=0,F148=1,F147=1),1,0)</f>
        <v>0</v>
      </c>
      <c r="Z149">
        <f>IF(AND(Table2[[#This Row],[STATES in numeric format]]=0,F148=-1,F147=-1),1,0)</f>
        <v>0</v>
      </c>
      <c r="AA149">
        <f>IF(AND(Table2[[#This Row],[STATES in numeric format]]=0,F148=-1,F147=1),1,0)</f>
        <v>0</v>
      </c>
      <c r="AB149">
        <f>IF(AND(Table2[[#This Row],[STATES in numeric format]]=0,F148=1,F147=-1),1,0)</f>
        <v>0</v>
      </c>
      <c r="AC149">
        <f>IF(AND(Table2[[#This Row],[STATES in numeric format]]=0,F148=0,F147=0),1,0)</f>
        <v>0</v>
      </c>
      <c r="AD149">
        <f>IF(AND(Table2[[#This Row],[STATES in numeric format]]=0,F148=1,F147=0),1,0)</f>
        <v>0</v>
      </c>
      <c r="AE149">
        <f>IF(AND(Table2[[#This Row],[STATES in numeric format]]=0,F148=-1,F147=0),1,0)</f>
        <v>0</v>
      </c>
      <c r="AF149">
        <f>IF(AND(Table2[[#This Row],[STATES in numeric format]]=0,F148=0,F147=1),1,0)</f>
        <v>0</v>
      </c>
      <c r="AG149">
        <f>IF(AND(Table2[[#This Row],[STATES in numeric format]]=0,F148=0,F147=-1),1,0)</f>
        <v>0</v>
      </c>
    </row>
    <row r="150" spans="1:33" x14ac:dyDescent="0.3">
      <c r="A150" s="1">
        <v>44048</v>
      </c>
      <c r="B150">
        <v>37663.33</v>
      </c>
      <c r="C150">
        <f>Table2[[#This Row],[Close]]-0.001*Table2[[#This Row],[Close]]</f>
        <v>37625.666669999999</v>
      </c>
      <c r="D150">
        <f>Table2[[#This Row],[Close]]+0.001*Table2[[#This Row],[Close]]</f>
        <v>37700.993330000005</v>
      </c>
      <c r="E150" t="str">
        <f>IF(Table2[[#This Row],[Close]]&gt;D149,"up",IF(Table2[[#This Row],[Close]]&lt;C149,"down","constant"))</f>
        <v>constant</v>
      </c>
      <c r="F150" s="3">
        <f>IF(Table2[[#This Row],[States]]="up",1,IF(Table2[[#This Row],[States]]="down",-1,0))</f>
        <v>0</v>
      </c>
      <c r="G150">
        <f>IF(AND(Table2[[#This Row],[STATES in numeric format]]=-1,F149=1,F148=1),1,0)</f>
        <v>0</v>
      </c>
      <c r="H150">
        <f>IF(AND(Table2[[#This Row],[STATES in numeric format]]=-1,F149=-1,F148=-1),1,0)</f>
        <v>0</v>
      </c>
      <c r="I150">
        <f>IF(AND(Table2[[#This Row],[STATES in numeric format]]=-1,F149=-1,F148=1),1,0)</f>
        <v>0</v>
      </c>
      <c r="J150">
        <f>IF(AND(Table2[[#This Row],[STATES in numeric format]]=-1,F149=1,F148=-1),1,0)</f>
        <v>0</v>
      </c>
      <c r="K150">
        <f>IF(AND(Table2[[#This Row],[STATES in numeric format]]=-1,F149=0,F148=0),1,0)</f>
        <v>0</v>
      </c>
      <c r="L150">
        <f>IF(AND(Table2[[#This Row],[STATES in numeric format]]=-1,F149=1,F148=0),1,0)</f>
        <v>0</v>
      </c>
      <c r="M150">
        <f>IF(AND(Table2[[#This Row],[STATES in numeric format]]=-1,F149=-1,F148=0),1,0)</f>
        <v>0</v>
      </c>
      <c r="N150">
        <f>IF(AND(Table2[[#This Row],[STATES in numeric format]]=-1,F149=0,F148=1),1,0)</f>
        <v>0</v>
      </c>
      <c r="O150">
        <f>IF(AND(Table2[[#This Row],[STATES in numeric format]]=-1,F149=0,F148=-1),1,0)</f>
        <v>0</v>
      </c>
      <c r="P150">
        <f>IF(AND(Table2[[#This Row],[STATES in numeric format]]=1,F149=1,F148=1),1,0)</f>
        <v>0</v>
      </c>
      <c r="Q150">
        <f>IF(AND(Table2[[#This Row],[STATES in numeric format]]=1,F149=-1,F148=-1),1,0)</f>
        <v>0</v>
      </c>
      <c r="R150">
        <f>IF(AND(Table2[[#This Row],[STATES in numeric format]]=1,F149=-1,F148=1),1,0)</f>
        <v>0</v>
      </c>
      <c r="S150">
        <f>IF(AND(Table2[[#This Row],[STATES in numeric format]]=1,F149=1,F148=-1),1,0)</f>
        <v>0</v>
      </c>
      <c r="T150">
        <f>IF(AND(Table2[[#This Row],[STATES in numeric format]]=1,F149=0,F148=0),1,0)</f>
        <v>0</v>
      </c>
      <c r="U150">
        <f>IF(AND(Table2[[#This Row],[STATES in numeric format]]=1,F149=1,F148=0),1,0)</f>
        <v>0</v>
      </c>
      <c r="V150">
        <f>IF(AND(Table2[[#This Row],[STATES in numeric format]]=1,F149=-1,F148=0),1,0)</f>
        <v>0</v>
      </c>
      <c r="W150">
        <f>IF(AND(Table2[[#This Row],[STATES in numeric format]]=1,F149=0,F148=1),1,0)</f>
        <v>0</v>
      </c>
      <c r="X150">
        <f>IF(AND(Table2[[#This Row],[STATES in numeric format]]=1,F149=0,F148=-1),1,0)</f>
        <v>0</v>
      </c>
      <c r="Y150">
        <f>IF(AND(Table2[[#This Row],[STATES in numeric format]]=0,F149=1,F148=1),1,0)</f>
        <v>0</v>
      </c>
      <c r="Z150">
        <f>IF(AND(Table2[[#This Row],[STATES in numeric format]]=0,F149=-1,F148=-1),1,0)</f>
        <v>0</v>
      </c>
      <c r="AA150">
        <f>IF(AND(Table2[[#This Row],[STATES in numeric format]]=0,F149=-1,F148=1),1,0)</f>
        <v>0</v>
      </c>
      <c r="AB150">
        <f>IF(AND(Table2[[#This Row],[STATES in numeric format]]=0,F149=1,F148=-1),1,0)</f>
        <v>1</v>
      </c>
      <c r="AC150">
        <f>IF(AND(Table2[[#This Row],[STATES in numeric format]]=0,F149=0,F148=0),1,0)</f>
        <v>0</v>
      </c>
      <c r="AD150">
        <f>IF(AND(Table2[[#This Row],[STATES in numeric format]]=0,F149=1,F148=0),1,0)</f>
        <v>0</v>
      </c>
      <c r="AE150">
        <f>IF(AND(Table2[[#This Row],[STATES in numeric format]]=0,F149=-1,F148=0),1,0)</f>
        <v>0</v>
      </c>
      <c r="AF150">
        <f>IF(AND(Table2[[#This Row],[STATES in numeric format]]=0,F149=0,F148=1),1,0)</f>
        <v>0</v>
      </c>
      <c r="AG150">
        <f>IF(AND(Table2[[#This Row],[STATES in numeric format]]=0,F149=0,F148=-1),1,0)</f>
        <v>0</v>
      </c>
    </row>
    <row r="151" spans="1:33" x14ac:dyDescent="0.3">
      <c r="A151" s="1">
        <v>44049</v>
      </c>
      <c r="B151">
        <v>38025.449999999997</v>
      </c>
      <c r="C151">
        <f>Table2[[#This Row],[Close]]-0.001*Table2[[#This Row],[Close]]</f>
        <v>37987.424549999996</v>
      </c>
      <c r="D151">
        <f>Table2[[#This Row],[Close]]+0.001*Table2[[#This Row],[Close]]</f>
        <v>38063.475449999998</v>
      </c>
      <c r="E151" t="str">
        <f>IF(Table2[[#This Row],[Close]]&gt;D150,"up",IF(Table2[[#This Row],[Close]]&lt;C150,"down","constant"))</f>
        <v>up</v>
      </c>
      <c r="F151" s="3">
        <f>IF(Table2[[#This Row],[States]]="up",1,IF(Table2[[#This Row],[States]]="down",-1,0))</f>
        <v>1</v>
      </c>
      <c r="G151">
        <f>IF(AND(Table2[[#This Row],[STATES in numeric format]]=-1,F150=1,F149=1),1,0)</f>
        <v>0</v>
      </c>
      <c r="H151">
        <f>IF(AND(Table2[[#This Row],[STATES in numeric format]]=-1,F150=-1,F149=-1),1,0)</f>
        <v>0</v>
      </c>
      <c r="I151">
        <f>IF(AND(Table2[[#This Row],[STATES in numeric format]]=-1,F150=-1,F149=1),1,0)</f>
        <v>0</v>
      </c>
      <c r="J151">
        <f>IF(AND(Table2[[#This Row],[STATES in numeric format]]=-1,F150=1,F149=-1),1,0)</f>
        <v>0</v>
      </c>
      <c r="K151">
        <f>IF(AND(Table2[[#This Row],[STATES in numeric format]]=-1,F150=0,F149=0),1,0)</f>
        <v>0</v>
      </c>
      <c r="L151">
        <f>IF(AND(Table2[[#This Row],[STATES in numeric format]]=-1,F150=1,F149=0),1,0)</f>
        <v>0</v>
      </c>
      <c r="M151">
        <f>IF(AND(Table2[[#This Row],[STATES in numeric format]]=-1,F150=-1,F149=0),1,0)</f>
        <v>0</v>
      </c>
      <c r="N151">
        <f>IF(AND(Table2[[#This Row],[STATES in numeric format]]=-1,F150=0,F149=1),1,0)</f>
        <v>0</v>
      </c>
      <c r="O151">
        <f>IF(AND(Table2[[#This Row],[STATES in numeric format]]=-1,F150=0,F149=-1),1,0)</f>
        <v>0</v>
      </c>
      <c r="P151">
        <f>IF(AND(Table2[[#This Row],[STATES in numeric format]]=1,F150=1,F149=1),1,0)</f>
        <v>0</v>
      </c>
      <c r="Q151">
        <f>IF(AND(Table2[[#This Row],[STATES in numeric format]]=1,F150=-1,F149=-1),1,0)</f>
        <v>0</v>
      </c>
      <c r="R151">
        <f>IF(AND(Table2[[#This Row],[STATES in numeric format]]=1,F150=-1,F149=1),1,0)</f>
        <v>0</v>
      </c>
      <c r="S151">
        <f>IF(AND(Table2[[#This Row],[STATES in numeric format]]=1,F150=1,F149=-1),1,0)</f>
        <v>0</v>
      </c>
      <c r="T151">
        <f>IF(AND(Table2[[#This Row],[STATES in numeric format]]=1,F150=0,F149=0),1,0)</f>
        <v>0</v>
      </c>
      <c r="U151">
        <f>IF(AND(Table2[[#This Row],[STATES in numeric format]]=1,F150=1,F149=0),1,0)</f>
        <v>0</v>
      </c>
      <c r="V151">
        <f>IF(AND(Table2[[#This Row],[STATES in numeric format]]=1,F150=-1,F149=0),1,0)</f>
        <v>0</v>
      </c>
      <c r="W151">
        <f>IF(AND(Table2[[#This Row],[STATES in numeric format]]=1,F150=0,F149=1),1,0)</f>
        <v>1</v>
      </c>
      <c r="X151">
        <f>IF(AND(Table2[[#This Row],[STATES in numeric format]]=1,F150=0,F149=-1),1,0)</f>
        <v>0</v>
      </c>
      <c r="Y151">
        <f>IF(AND(Table2[[#This Row],[STATES in numeric format]]=0,F150=1,F149=1),1,0)</f>
        <v>0</v>
      </c>
      <c r="Z151">
        <f>IF(AND(Table2[[#This Row],[STATES in numeric format]]=0,F150=-1,F149=-1),1,0)</f>
        <v>0</v>
      </c>
      <c r="AA151">
        <f>IF(AND(Table2[[#This Row],[STATES in numeric format]]=0,F150=-1,F149=1),1,0)</f>
        <v>0</v>
      </c>
      <c r="AB151">
        <f>IF(AND(Table2[[#This Row],[STATES in numeric format]]=0,F150=1,F149=-1),1,0)</f>
        <v>0</v>
      </c>
      <c r="AC151">
        <f>IF(AND(Table2[[#This Row],[STATES in numeric format]]=0,F150=0,F149=0),1,0)</f>
        <v>0</v>
      </c>
      <c r="AD151">
        <f>IF(AND(Table2[[#This Row],[STATES in numeric format]]=0,F150=1,F149=0),1,0)</f>
        <v>0</v>
      </c>
      <c r="AE151">
        <f>IF(AND(Table2[[#This Row],[STATES in numeric format]]=0,F150=-1,F149=0),1,0)</f>
        <v>0</v>
      </c>
      <c r="AF151">
        <f>IF(AND(Table2[[#This Row],[STATES in numeric format]]=0,F150=0,F149=1),1,0)</f>
        <v>0</v>
      </c>
      <c r="AG151">
        <f>IF(AND(Table2[[#This Row],[STATES in numeric format]]=0,F150=0,F149=-1),1,0)</f>
        <v>0</v>
      </c>
    </row>
    <row r="152" spans="1:33" x14ac:dyDescent="0.3">
      <c r="A152" s="1">
        <v>44050</v>
      </c>
      <c r="B152">
        <v>38040.57</v>
      </c>
      <c r="C152">
        <f>Table2[[#This Row],[Close]]-0.001*Table2[[#This Row],[Close]]</f>
        <v>38002.529430000002</v>
      </c>
      <c r="D152">
        <f>Table2[[#This Row],[Close]]+0.001*Table2[[#This Row],[Close]]</f>
        <v>38078.610569999997</v>
      </c>
      <c r="E152" t="str">
        <f>IF(Table2[[#This Row],[Close]]&gt;D151,"up",IF(Table2[[#This Row],[Close]]&lt;C151,"down","constant"))</f>
        <v>constant</v>
      </c>
      <c r="F152" s="3">
        <f>IF(Table2[[#This Row],[States]]="up",1,IF(Table2[[#This Row],[States]]="down",-1,0))</f>
        <v>0</v>
      </c>
      <c r="G152">
        <f>IF(AND(Table2[[#This Row],[STATES in numeric format]]=-1,F151=1,F150=1),1,0)</f>
        <v>0</v>
      </c>
      <c r="H152">
        <f>IF(AND(Table2[[#This Row],[STATES in numeric format]]=-1,F151=-1,F150=-1),1,0)</f>
        <v>0</v>
      </c>
      <c r="I152">
        <f>IF(AND(Table2[[#This Row],[STATES in numeric format]]=-1,F151=-1,F150=1),1,0)</f>
        <v>0</v>
      </c>
      <c r="J152">
        <f>IF(AND(Table2[[#This Row],[STATES in numeric format]]=-1,F151=1,F150=-1),1,0)</f>
        <v>0</v>
      </c>
      <c r="K152">
        <f>IF(AND(Table2[[#This Row],[STATES in numeric format]]=-1,F151=0,F150=0),1,0)</f>
        <v>0</v>
      </c>
      <c r="L152">
        <f>IF(AND(Table2[[#This Row],[STATES in numeric format]]=-1,F151=1,F150=0),1,0)</f>
        <v>0</v>
      </c>
      <c r="M152">
        <f>IF(AND(Table2[[#This Row],[STATES in numeric format]]=-1,F151=-1,F150=0),1,0)</f>
        <v>0</v>
      </c>
      <c r="N152">
        <f>IF(AND(Table2[[#This Row],[STATES in numeric format]]=-1,F151=0,F150=1),1,0)</f>
        <v>0</v>
      </c>
      <c r="O152">
        <f>IF(AND(Table2[[#This Row],[STATES in numeric format]]=-1,F151=0,F150=-1),1,0)</f>
        <v>0</v>
      </c>
      <c r="P152">
        <f>IF(AND(Table2[[#This Row],[STATES in numeric format]]=1,F151=1,F150=1),1,0)</f>
        <v>0</v>
      </c>
      <c r="Q152">
        <f>IF(AND(Table2[[#This Row],[STATES in numeric format]]=1,F151=-1,F150=-1),1,0)</f>
        <v>0</v>
      </c>
      <c r="R152">
        <f>IF(AND(Table2[[#This Row],[STATES in numeric format]]=1,F151=-1,F150=1),1,0)</f>
        <v>0</v>
      </c>
      <c r="S152">
        <f>IF(AND(Table2[[#This Row],[STATES in numeric format]]=1,F151=1,F150=-1),1,0)</f>
        <v>0</v>
      </c>
      <c r="T152">
        <f>IF(AND(Table2[[#This Row],[STATES in numeric format]]=1,F151=0,F150=0),1,0)</f>
        <v>0</v>
      </c>
      <c r="U152">
        <f>IF(AND(Table2[[#This Row],[STATES in numeric format]]=1,F151=1,F150=0),1,0)</f>
        <v>0</v>
      </c>
      <c r="V152">
        <f>IF(AND(Table2[[#This Row],[STATES in numeric format]]=1,F151=-1,F150=0),1,0)</f>
        <v>0</v>
      </c>
      <c r="W152">
        <f>IF(AND(Table2[[#This Row],[STATES in numeric format]]=1,F151=0,F150=1),1,0)</f>
        <v>0</v>
      </c>
      <c r="X152">
        <f>IF(AND(Table2[[#This Row],[STATES in numeric format]]=1,F151=0,F150=-1),1,0)</f>
        <v>0</v>
      </c>
      <c r="Y152">
        <f>IF(AND(Table2[[#This Row],[STATES in numeric format]]=0,F151=1,F150=1),1,0)</f>
        <v>0</v>
      </c>
      <c r="Z152">
        <f>IF(AND(Table2[[#This Row],[STATES in numeric format]]=0,F151=-1,F150=-1),1,0)</f>
        <v>0</v>
      </c>
      <c r="AA152">
        <f>IF(AND(Table2[[#This Row],[STATES in numeric format]]=0,F151=-1,F150=1),1,0)</f>
        <v>0</v>
      </c>
      <c r="AB152">
        <f>IF(AND(Table2[[#This Row],[STATES in numeric format]]=0,F151=1,F150=-1),1,0)</f>
        <v>0</v>
      </c>
      <c r="AC152">
        <f>IF(AND(Table2[[#This Row],[STATES in numeric format]]=0,F151=0,F150=0),1,0)</f>
        <v>0</v>
      </c>
      <c r="AD152">
        <f>IF(AND(Table2[[#This Row],[STATES in numeric format]]=0,F151=1,F150=0),1,0)</f>
        <v>1</v>
      </c>
      <c r="AE152">
        <f>IF(AND(Table2[[#This Row],[STATES in numeric format]]=0,F151=-1,F150=0),1,0)</f>
        <v>0</v>
      </c>
      <c r="AF152">
        <f>IF(AND(Table2[[#This Row],[STATES in numeric format]]=0,F151=0,F150=1),1,0)</f>
        <v>0</v>
      </c>
      <c r="AG152">
        <f>IF(AND(Table2[[#This Row],[STATES in numeric format]]=0,F151=0,F150=-1),1,0)</f>
        <v>0</v>
      </c>
    </row>
    <row r="153" spans="1:33" x14ac:dyDescent="0.3">
      <c r="A153" s="1">
        <v>44053</v>
      </c>
      <c r="B153">
        <v>38182.080000000002</v>
      </c>
      <c r="C153">
        <f>Table2[[#This Row],[Close]]-0.001*Table2[[#This Row],[Close]]</f>
        <v>38143.897920000003</v>
      </c>
      <c r="D153">
        <f>Table2[[#This Row],[Close]]+0.001*Table2[[#This Row],[Close]]</f>
        <v>38220.26208</v>
      </c>
      <c r="E153" t="str">
        <f>IF(Table2[[#This Row],[Close]]&gt;D152,"up",IF(Table2[[#This Row],[Close]]&lt;C152,"down","constant"))</f>
        <v>up</v>
      </c>
      <c r="F153" s="3">
        <f>IF(Table2[[#This Row],[States]]="up",1,IF(Table2[[#This Row],[States]]="down",-1,0))</f>
        <v>1</v>
      </c>
      <c r="G153">
        <f>IF(AND(Table2[[#This Row],[STATES in numeric format]]=-1,F152=1,F151=1),1,0)</f>
        <v>0</v>
      </c>
      <c r="H153">
        <f>IF(AND(Table2[[#This Row],[STATES in numeric format]]=-1,F152=-1,F151=-1),1,0)</f>
        <v>0</v>
      </c>
      <c r="I153">
        <f>IF(AND(Table2[[#This Row],[STATES in numeric format]]=-1,F152=-1,F151=1),1,0)</f>
        <v>0</v>
      </c>
      <c r="J153">
        <f>IF(AND(Table2[[#This Row],[STATES in numeric format]]=-1,F152=1,F151=-1),1,0)</f>
        <v>0</v>
      </c>
      <c r="K153">
        <f>IF(AND(Table2[[#This Row],[STATES in numeric format]]=-1,F152=0,F151=0),1,0)</f>
        <v>0</v>
      </c>
      <c r="L153">
        <f>IF(AND(Table2[[#This Row],[STATES in numeric format]]=-1,F152=1,F151=0),1,0)</f>
        <v>0</v>
      </c>
      <c r="M153">
        <f>IF(AND(Table2[[#This Row],[STATES in numeric format]]=-1,F152=-1,F151=0),1,0)</f>
        <v>0</v>
      </c>
      <c r="N153">
        <f>IF(AND(Table2[[#This Row],[STATES in numeric format]]=-1,F152=0,F151=1),1,0)</f>
        <v>0</v>
      </c>
      <c r="O153">
        <f>IF(AND(Table2[[#This Row],[STATES in numeric format]]=-1,F152=0,F151=-1),1,0)</f>
        <v>0</v>
      </c>
      <c r="P153">
        <f>IF(AND(Table2[[#This Row],[STATES in numeric format]]=1,F152=1,F151=1),1,0)</f>
        <v>0</v>
      </c>
      <c r="Q153">
        <f>IF(AND(Table2[[#This Row],[STATES in numeric format]]=1,F152=-1,F151=-1),1,0)</f>
        <v>0</v>
      </c>
      <c r="R153">
        <f>IF(AND(Table2[[#This Row],[STATES in numeric format]]=1,F152=-1,F151=1),1,0)</f>
        <v>0</v>
      </c>
      <c r="S153">
        <f>IF(AND(Table2[[#This Row],[STATES in numeric format]]=1,F152=1,F151=-1),1,0)</f>
        <v>0</v>
      </c>
      <c r="T153">
        <f>IF(AND(Table2[[#This Row],[STATES in numeric format]]=1,F152=0,F151=0),1,0)</f>
        <v>0</v>
      </c>
      <c r="U153">
        <f>IF(AND(Table2[[#This Row],[STATES in numeric format]]=1,F152=1,F151=0),1,0)</f>
        <v>0</v>
      </c>
      <c r="V153">
        <f>IF(AND(Table2[[#This Row],[STATES in numeric format]]=1,F152=-1,F151=0),1,0)</f>
        <v>0</v>
      </c>
      <c r="W153">
        <f>IF(AND(Table2[[#This Row],[STATES in numeric format]]=1,F152=0,F151=1),1,0)</f>
        <v>1</v>
      </c>
      <c r="X153">
        <f>IF(AND(Table2[[#This Row],[STATES in numeric format]]=1,F152=0,F151=-1),1,0)</f>
        <v>0</v>
      </c>
      <c r="Y153">
        <f>IF(AND(Table2[[#This Row],[STATES in numeric format]]=0,F152=1,F151=1),1,0)</f>
        <v>0</v>
      </c>
      <c r="Z153">
        <f>IF(AND(Table2[[#This Row],[STATES in numeric format]]=0,F152=-1,F151=-1),1,0)</f>
        <v>0</v>
      </c>
      <c r="AA153">
        <f>IF(AND(Table2[[#This Row],[STATES in numeric format]]=0,F152=-1,F151=1),1,0)</f>
        <v>0</v>
      </c>
      <c r="AB153">
        <f>IF(AND(Table2[[#This Row],[STATES in numeric format]]=0,F152=1,F151=-1),1,0)</f>
        <v>0</v>
      </c>
      <c r="AC153">
        <f>IF(AND(Table2[[#This Row],[STATES in numeric format]]=0,F152=0,F151=0),1,0)</f>
        <v>0</v>
      </c>
      <c r="AD153">
        <f>IF(AND(Table2[[#This Row],[STATES in numeric format]]=0,F152=1,F151=0),1,0)</f>
        <v>0</v>
      </c>
      <c r="AE153">
        <f>IF(AND(Table2[[#This Row],[STATES in numeric format]]=0,F152=-1,F151=0),1,0)</f>
        <v>0</v>
      </c>
      <c r="AF153">
        <f>IF(AND(Table2[[#This Row],[STATES in numeric format]]=0,F152=0,F151=1),1,0)</f>
        <v>0</v>
      </c>
      <c r="AG153">
        <f>IF(AND(Table2[[#This Row],[STATES in numeric format]]=0,F152=0,F151=-1),1,0)</f>
        <v>0</v>
      </c>
    </row>
    <row r="154" spans="1:33" x14ac:dyDescent="0.3">
      <c r="A154" s="1">
        <v>44054</v>
      </c>
      <c r="B154">
        <v>38407.01</v>
      </c>
      <c r="C154">
        <f>Table2[[#This Row],[Close]]-0.001*Table2[[#This Row],[Close]]</f>
        <v>38368.602989999999</v>
      </c>
      <c r="D154">
        <f>Table2[[#This Row],[Close]]+0.001*Table2[[#This Row],[Close]]</f>
        <v>38445.417010000005</v>
      </c>
      <c r="E154" t="str">
        <f>IF(Table2[[#This Row],[Close]]&gt;D153,"up",IF(Table2[[#This Row],[Close]]&lt;C153,"down","constant"))</f>
        <v>up</v>
      </c>
      <c r="F154" s="3">
        <f>IF(Table2[[#This Row],[States]]="up",1,IF(Table2[[#This Row],[States]]="down",-1,0))</f>
        <v>1</v>
      </c>
      <c r="G154">
        <f>IF(AND(Table2[[#This Row],[STATES in numeric format]]=-1,F153=1,F152=1),1,0)</f>
        <v>0</v>
      </c>
      <c r="H154">
        <f>IF(AND(Table2[[#This Row],[STATES in numeric format]]=-1,F153=-1,F152=-1),1,0)</f>
        <v>0</v>
      </c>
      <c r="I154">
        <f>IF(AND(Table2[[#This Row],[STATES in numeric format]]=-1,F153=-1,F152=1),1,0)</f>
        <v>0</v>
      </c>
      <c r="J154">
        <f>IF(AND(Table2[[#This Row],[STATES in numeric format]]=-1,F153=1,F152=-1),1,0)</f>
        <v>0</v>
      </c>
      <c r="K154">
        <f>IF(AND(Table2[[#This Row],[STATES in numeric format]]=-1,F153=0,F152=0),1,0)</f>
        <v>0</v>
      </c>
      <c r="L154">
        <f>IF(AND(Table2[[#This Row],[STATES in numeric format]]=-1,F153=1,F152=0),1,0)</f>
        <v>0</v>
      </c>
      <c r="M154">
        <f>IF(AND(Table2[[#This Row],[STATES in numeric format]]=-1,F153=-1,F152=0),1,0)</f>
        <v>0</v>
      </c>
      <c r="N154">
        <f>IF(AND(Table2[[#This Row],[STATES in numeric format]]=-1,F153=0,F152=1),1,0)</f>
        <v>0</v>
      </c>
      <c r="O154">
        <f>IF(AND(Table2[[#This Row],[STATES in numeric format]]=-1,F153=0,F152=-1),1,0)</f>
        <v>0</v>
      </c>
      <c r="P154">
        <f>IF(AND(Table2[[#This Row],[STATES in numeric format]]=1,F153=1,F152=1),1,0)</f>
        <v>0</v>
      </c>
      <c r="Q154">
        <f>IF(AND(Table2[[#This Row],[STATES in numeric format]]=1,F153=-1,F152=-1),1,0)</f>
        <v>0</v>
      </c>
      <c r="R154">
        <f>IF(AND(Table2[[#This Row],[STATES in numeric format]]=1,F153=-1,F152=1),1,0)</f>
        <v>0</v>
      </c>
      <c r="S154">
        <f>IF(AND(Table2[[#This Row],[STATES in numeric format]]=1,F153=1,F152=-1),1,0)</f>
        <v>0</v>
      </c>
      <c r="T154">
        <f>IF(AND(Table2[[#This Row],[STATES in numeric format]]=1,F153=0,F152=0),1,0)</f>
        <v>0</v>
      </c>
      <c r="U154">
        <f>IF(AND(Table2[[#This Row],[STATES in numeric format]]=1,F153=1,F152=0),1,0)</f>
        <v>1</v>
      </c>
      <c r="V154">
        <f>IF(AND(Table2[[#This Row],[STATES in numeric format]]=1,F153=-1,F152=0),1,0)</f>
        <v>0</v>
      </c>
      <c r="W154">
        <f>IF(AND(Table2[[#This Row],[STATES in numeric format]]=1,F153=0,F152=1),1,0)</f>
        <v>0</v>
      </c>
      <c r="X154">
        <f>IF(AND(Table2[[#This Row],[STATES in numeric format]]=1,F153=0,F152=-1),1,0)</f>
        <v>0</v>
      </c>
      <c r="Y154">
        <f>IF(AND(Table2[[#This Row],[STATES in numeric format]]=0,F153=1,F152=1),1,0)</f>
        <v>0</v>
      </c>
      <c r="Z154">
        <f>IF(AND(Table2[[#This Row],[STATES in numeric format]]=0,F153=-1,F152=-1),1,0)</f>
        <v>0</v>
      </c>
      <c r="AA154">
        <f>IF(AND(Table2[[#This Row],[STATES in numeric format]]=0,F153=-1,F152=1),1,0)</f>
        <v>0</v>
      </c>
      <c r="AB154">
        <f>IF(AND(Table2[[#This Row],[STATES in numeric format]]=0,F153=1,F152=-1),1,0)</f>
        <v>0</v>
      </c>
      <c r="AC154">
        <f>IF(AND(Table2[[#This Row],[STATES in numeric format]]=0,F153=0,F152=0),1,0)</f>
        <v>0</v>
      </c>
      <c r="AD154">
        <f>IF(AND(Table2[[#This Row],[STATES in numeric format]]=0,F153=1,F152=0),1,0)</f>
        <v>0</v>
      </c>
      <c r="AE154">
        <f>IF(AND(Table2[[#This Row],[STATES in numeric format]]=0,F153=-1,F152=0),1,0)</f>
        <v>0</v>
      </c>
      <c r="AF154">
        <f>IF(AND(Table2[[#This Row],[STATES in numeric format]]=0,F153=0,F152=1),1,0)</f>
        <v>0</v>
      </c>
      <c r="AG154">
        <f>IF(AND(Table2[[#This Row],[STATES in numeric format]]=0,F153=0,F152=-1),1,0)</f>
        <v>0</v>
      </c>
    </row>
    <row r="155" spans="1:33" x14ac:dyDescent="0.3">
      <c r="A155" s="1">
        <v>44055</v>
      </c>
      <c r="B155">
        <v>38369.629999999997</v>
      </c>
      <c r="C155">
        <f>Table2[[#This Row],[Close]]-0.001*Table2[[#This Row],[Close]]</f>
        <v>38331.260369999996</v>
      </c>
      <c r="D155">
        <f>Table2[[#This Row],[Close]]+0.001*Table2[[#This Row],[Close]]</f>
        <v>38407.999629999998</v>
      </c>
      <c r="E155" t="str">
        <f>IF(Table2[[#This Row],[Close]]&gt;D154,"up",IF(Table2[[#This Row],[Close]]&lt;C154,"down","constant"))</f>
        <v>constant</v>
      </c>
      <c r="F155" s="3">
        <f>IF(Table2[[#This Row],[States]]="up",1,IF(Table2[[#This Row],[States]]="down",-1,0))</f>
        <v>0</v>
      </c>
      <c r="G155">
        <f>IF(AND(Table2[[#This Row],[STATES in numeric format]]=-1,F154=1,F153=1),1,0)</f>
        <v>0</v>
      </c>
      <c r="H155">
        <f>IF(AND(Table2[[#This Row],[STATES in numeric format]]=-1,F154=-1,F153=-1),1,0)</f>
        <v>0</v>
      </c>
      <c r="I155">
        <f>IF(AND(Table2[[#This Row],[STATES in numeric format]]=-1,F154=-1,F153=1),1,0)</f>
        <v>0</v>
      </c>
      <c r="J155">
        <f>IF(AND(Table2[[#This Row],[STATES in numeric format]]=-1,F154=1,F153=-1),1,0)</f>
        <v>0</v>
      </c>
      <c r="K155">
        <f>IF(AND(Table2[[#This Row],[STATES in numeric format]]=-1,F154=0,F153=0),1,0)</f>
        <v>0</v>
      </c>
      <c r="L155">
        <f>IF(AND(Table2[[#This Row],[STATES in numeric format]]=-1,F154=1,F153=0),1,0)</f>
        <v>0</v>
      </c>
      <c r="M155">
        <f>IF(AND(Table2[[#This Row],[STATES in numeric format]]=-1,F154=-1,F153=0),1,0)</f>
        <v>0</v>
      </c>
      <c r="N155">
        <f>IF(AND(Table2[[#This Row],[STATES in numeric format]]=-1,F154=0,F153=1),1,0)</f>
        <v>0</v>
      </c>
      <c r="O155">
        <f>IF(AND(Table2[[#This Row],[STATES in numeric format]]=-1,F154=0,F153=-1),1,0)</f>
        <v>0</v>
      </c>
      <c r="P155">
        <f>IF(AND(Table2[[#This Row],[STATES in numeric format]]=1,F154=1,F153=1),1,0)</f>
        <v>0</v>
      </c>
      <c r="Q155">
        <f>IF(AND(Table2[[#This Row],[STATES in numeric format]]=1,F154=-1,F153=-1),1,0)</f>
        <v>0</v>
      </c>
      <c r="R155">
        <f>IF(AND(Table2[[#This Row],[STATES in numeric format]]=1,F154=-1,F153=1),1,0)</f>
        <v>0</v>
      </c>
      <c r="S155">
        <f>IF(AND(Table2[[#This Row],[STATES in numeric format]]=1,F154=1,F153=-1),1,0)</f>
        <v>0</v>
      </c>
      <c r="T155">
        <f>IF(AND(Table2[[#This Row],[STATES in numeric format]]=1,F154=0,F153=0),1,0)</f>
        <v>0</v>
      </c>
      <c r="U155">
        <f>IF(AND(Table2[[#This Row],[STATES in numeric format]]=1,F154=1,F153=0),1,0)</f>
        <v>0</v>
      </c>
      <c r="V155">
        <f>IF(AND(Table2[[#This Row],[STATES in numeric format]]=1,F154=-1,F153=0),1,0)</f>
        <v>0</v>
      </c>
      <c r="W155">
        <f>IF(AND(Table2[[#This Row],[STATES in numeric format]]=1,F154=0,F153=1),1,0)</f>
        <v>0</v>
      </c>
      <c r="X155">
        <f>IF(AND(Table2[[#This Row],[STATES in numeric format]]=1,F154=0,F153=-1),1,0)</f>
        <v>0</v>
      </c>
      <c r="Y155">
        <f>IF(AND(Table2[[#This Row],[STATES in numeric format]]=0,F154=1,F153=1),1,0)</f>
        <v>1</v>
      </c>
      <c r="Z155">
        <f>IF(AND(Table2[[#This Row],[STATES in numeric format]]=0,F154=-1,F153=-1),1,0)</f>
        <v>0</v>
      </c>
      <c r="AA155">
        <f>IF(AND(Table2[[#This Row],[STATES in numeric format]]=0,F154=-1,F153=1),1,0)</f>
        <v>0</v>
      </c>
      <c r="AB155">
        <f>IF(AND(Table2[[#This Row],[STATES in numeric format]]=0,F154=1,F153=-1),1,0)</f>
        <v>0</v>
      </c>
      <c r="AC155">
        <f>IF(AND(Table2[[#This Row],[STATES in numeric format]]=0,F154=0,F153=0),1,0)</f>
        <v>0</v>
      </c>
      <c r="AD155">
        <f>IF(AND(Table2[[#This Row],[STATES in numeric format]]=0,F154=1,F153=0),1,0)</f>
        <v>0</v>
      </c>
      <c r="AE155">
        <f>IF(AND(Table2[[#This Row],[STATES in numeric format]]=0,F154=-1,F153=0),1,0)</f>
        <v>0</v>
      </c>
      <c r="AF155">
        <f>IF(AND(Table2[[#This Row],[STATES in numeric format]]=0,F154=0,F153=1),1,0)</f>
        <v>0</v>
      </c>
      <c r="AG155">
        <f>IF(AND(Table2[[#This Row],[STATES in numeric format]]=0,F154=0,F153=-1),1,0)</f>
        <v>0</v>
      </c>
    </row>
    <row r="156" spans="1:33" x14ac:dyDescent="0.3">
      <c r="A156" s="1">
        <v>44056</v>
      </c>
      <c r="B156">
        <v>38310.49</v>
      </c>
      <c r="C156">
        <f>Table2[[#This Row],[Close]]-0.001*Table2[[#This Row],[Close]]</f>
        <v>38272.179509999994</v>
      </c>
      <c r="D156">
        <f>Table2[[#This Row],[Close]]+0.001*Table2[[#This Row],[Close]]</f>
        <v>38348.800490000001</v>
      </c>
      <c r="E156" t="str">
        <f>IF(Table2[[#This Row],[Close]]&gt;D155,"up",IF(Table2[[#This Row],[Close]]&lt;C155,"down","constant"))</f>
        <v>down</v>
      </c>
      <c r="F156" s="3">
        <f>IF(Table2[[#This Row],[States]]="up",1,IF(Table2[[#This Row],[States]]="down",-1,0))</f>
        <v>-1</v>
      </c>
      <c r="G156">
        <f>IF(AND(Table2[[#This Row],[STATES in numeric format]]=-1,F155=1,F154=1),1,0)</f>
        <v>0</v>
      </c>
      <c r="H156">
        <f>IF(AND(Table2[[#This Row],[STATES in numeric format]]=-1,F155=-1,F154=-1),1,0)</f>
        <v>0</v>
      </c>
      <c r="I156">
        <f>IF(AND(Table2[[#This Row],[STATES in numeric format]]=-1,F155=-1,F154=1),1,0)</f>
        <v>0</v>
      </c>
      <c r="J156">
        <f>IF(AND(Table2[[#This Row],[STATES in numeric format]]=-1,F155=1,F154=-1),1,0)</f>
        <v>0</v>
      </c>
      <c r="K156">
        <f>IF(AND(Table2[[#This Row],[STATES in numeric format]]=-1,F155=0,F154=0),1,0)</f>
        <v>0</v>
      </c>
      <c r="L156">
        <f>IF(AND(Table2[[#This Row],[STATES in numeric format]]=-1,F155=1,F154=0),1,0)</f>
        <v>0</v>
      </c>
      <c r="M156">
        <f>IF(AND(Table2[[#This Row],[STATES in numeric format]]=-1,F155=-1,F154=0),1,0)</f>
        <v>0</v>
      </c>
      <c r="N156">
        <f>IF(AND(Table2[[#This Row],[STATES in numeric format]]=-1,F155=0,F154=1),1,0)</f>
        <v>1</v>
      </c>
      <c r="O156">
        <f>IF(AND(Table2[[#This Row],[STATES in numeric format]]=-1,F155=0,F154=-1),1,0)</f>
        <v>0</v>
      </c>
      <c r="P156">
        <f>IF(AND(Table2[[#This Row],[STATES in numeric format]]=1,F155=1,F154=1),1,0)</f>
        <v>0</v>
      </c>
      <c r="Q156">
        <f>IF(AND(Table2[[#This Row],[STATES in numeric format]]=1,F155=-1,F154=-1),1,0)</f>
        <v>0</v>
      </c>
      <c r="R156">
        <f>IF(AND(Table2[[#This Row],[STATES in numeric format]]=1,F155=-1,F154=1),1,0)</f>
        <v>0</v>
      </c>
      <c r="S156">
        <f>IF(AND(Table2[[#This Row],[STATES in numeric format]]=1,F155=1,F154=-1),1,0)</f>
        <v>0</v>
      </c>
      <c r="T156">
        <f>IF(AND(Table2[[#This Row],[STATES in numeric format]]=1,F155=0,F154=0),1,0)</f>
        <v>0</v>
      </c>
      <c r="U156">
        <f>IF(AND(Table2[[#This Row],[STATES in numeric format]]=1,F155=1,F154=0),1,0)</f>
        <v>0</v>
      </c>
      <c r="V156">
        <f>IF(AND(Table2[[#This Row],[STATES in numeric format]]=1,F155=-1,F154=0),1,0)</f>
        <v>0</v>
      </c>
      <c r="W156">
        <f>IF(AND(Table2[[#This Row],[STATES in numeric format]]=1,F155=0,F154=1),1,0)</f>
        <v>0</v>
      </c>
      <c r="X156">
        <f>IF(AND(Table2[[#This Row],[STATES in numeric format]]=1,F155=0,F154=-1),1,0)</f>
        <v>0</v>
      </c>
      <c r="Y156">
        <f>IF(AND(Table2[[#This Row],[STATES in numeric format]]=0,F155=1,F154=1),1,0)</f>
        <v>0</v>
      </c>
      <c r="Z156">
        <f>IF(AND(Table2[[#This Row],[STATES in numeric format]]=0,F155=-1,F154=-1),1,0)</f>
        <v>0</v>
      </c>
      <c r="AA156">
        <f>IF(AND(Table2[[#This Row],[STATES in numeric format]]=0,F155=-1,F154=1),1,0)</f>
        <v>0</v>
      </c>
      <c r="AB156">
        <f>IF(AND(Table2[[#This Row],[STATES in numeric format]]=0,F155=1,F154=-1),1,0)</f>
        <v>0</v>
      </c>
      <c r="AC156">
        <f>IF(AND(Table2[[#This Row],[STATES in numeric format]]=0,F155=0,F154=0),1,0)</f>
        <v>0</v>
      </c>
      <c r="AD156">
        <f>IF(AND(Table2[[#This Row],[STATES in numeric format]]=0,F155=1,F154=0),1,0)</f>
        <v>0</v>
      </c>
      <c r="AE156">
        <f>IF(AND(Table2[[#This Row],[STATES in numeric format]]=0,F155=-1,F154=0),1,0)</f>
        <v>0</v>
      </c>
      <c r="AF156">
        <f>IF(AND(Table2[[#This Row],[STATES in numeric format]]=0,F155=0,F154=1),1,0)</f>
        <v>0</v>
      </c>
      <c r="AG156">
        <f>IF(AND(Table2[[#This Row],[STATES in numeric format]]=0,F155=0,F154=-1),1,0)</f>
        <v>0</v>
      </c>
    </row>
    <row r="157" spans="1:33" x14ac:dyDescent="0.3">
      <c r="A157" s="1">
        <v>44057</v>
      </c>
      <c r="B157">
        <v>37877.339999999997</v>
      </c>
      <c r="C157">
        <f>Table2[[#This Row],[Close]]-0.001*Table2[[#This Row],[Close]]</f>
        <v>37839.462659999997</v>
      </c>
      <c r="D157">
        <f>Table2[[#This Row],[Close]]+0.001*Table2[[#This Row],[Close]]</f>
        <v>37915.217339999996</v>
      </c>
      <c r="E157" t="str">
        <f>IF(Table2[[#This Row],[Close]]&gt;D156,"up",IF(Table2[[#This Row],[Close]]&lt;C156,"down","constant"))</f>
        <v>down</v>
      </c>
      <c r="F157" s="3">
        <f>IF(Table2[[#This Row],[States]]="up",1,IF(Table2[[#This Row],[States]]="down",-1,0))</f>
        <v>-1</v>
      </c>
      <c r="G157">
        <f>IF(AND(Table2[[#This Row],[STATES in numeric format]]=-1,F156=1,F155=1),1,0)</f>
        <v>0</v>
      </c>
      <c r="H157">
        <f>IF(AND(Table2[[#This Row],[STATES in numeric format]]=-1,F156=-1,F155=-1),1,0)</f>
        <v>0</v>
      </c>
      <c r="I157">
        <f>IF(AND(Table2[[#This Row],[STATES in numeric format]]=-1,F156=-1,F155=1),1,0)</f>
        <v>0</v>
      </c>
      <c r="J157">
        <f>IF(AND(Table2[[#This Row],[STATES in numeric format]]=-1,F156=1,F155=-1),1,0)</f>
        <v>0</v>
      </c>
      <c r="K157">
        <f>IF(AND(Table2[[#This Row],[STATES in numeric format]]=-1,F156=0,F155=0),1,0)</f>
        <v>0</v>
      </c>
      <c r="L157">
        <f>IF(AND(Table2[[#This Row],[STATES in numeric format]]=-1,F156=1,F155=0),1,0)</f>
        <v>0</v>
      </c>
      <c r="M157">
        <f>IF(AND(Table2[[#This Row],[STATES in numeric format]]=-1,F156=-1,F155=0),1,0)</f>
        <v>1</v>
      </c>
      <c r="N157">
        <f>IF(AND(Table2[[#This Row],[STATES in numeric format]]=-1,F156=0,F155=1),1,0)</f>
        <v>0</v>
      </c>
      <c r="O157">
        <f>IF(AND(Table2[[#This Row],[STATES in numeric format]]=-1,F156=0,F155=-1),1,0)</f>
        <v>0</v>
      </c>
      <c r="P157">
        <f>IF(AND(Table2[[#This Row],[STATES in numeric format]]=1,F156=1,F155=1),1,0)</f>
        <v>0</v>
      </c>
      <c r="Q157">
        <f>IF(AND(Table2[[#This Row],[STATES in numeric format]]=1,F156=-1,F155=-1),1,0)</f>
        <v>0</v>
      </c>
      <c r="R157">
        <f>IF(AND(Table2[[#This Row],[STATES in numeric format]]=1,F156=-1,F155=1),1,0)</f>
        <v>0</v>
      </c>
      <c r="S157">
        <f>IF(AND(Table2[[#This Row],[STATES in numeric format]]=1,F156=1,F155=-1),1,0)</f>
        <v>0</v>
      </c>
      <c r="T157">
        <f>IF(AND(Table2[[#This Row],[STATES in numeric format]]=1,F156=0,F155=0),1,0)</f>
        <v>0</v>
      </c>
      <c r="U157">
        <f>IF(AND(Table2[[#This Row],[STATES in numeric format]]=1,F156=1,F155=0),1,0)</f>
        <v>0</v>
      </c>
      <c r="V157">
        <f>IF(AND(Table2[[#This Row],[STATES in numeric format]]=1,F156=-1,F155=0),1,0)</f>
        <v>0</v>
      </c>
      <c r="W157">
        <f>IF(AND(Table2[[#This Row],[STATES in numeric format]]=1,F156=0,F155=1),1,0)</f>
        <v>0</v>
      </c>
      <c r="X157">
        <f>IF(AND(Table2[[#This Row],[STATES in numeric format]]=1,F156=0,F155=-1),1,0)</f>
        <v>0</v>
      </c>
      <c r="Y157">
        <f>IF(AND(Table2[[#This Row],[STATES in numeric format]]=0,F156=1,F155=1),1,0)</f>
        <v>0</v>
      </c>
      <c r="Z157">
        <f>IF(AND(Table2[[#This Row],[STATES in numeric format]]=0,F156=-1,F155=-1),1,0)</f>
        <v>0</v>
      </c>
      <c r="AA157">
        <f>IF(AND(Table2[[#This Row],[STATES in numeric format]]=0,F156=-1,F155=1),1,0)</f>
        <v>0</v>
      </c>
      <c r="AB157">
        <f>IF(AND(Table2[[#This Row],[STATES in numeric format]]=0,F156=1,F155=-1),1,0)</f>
        <v>0</v>
      </c>
      <c r="AC157">
        <f>IF(AND(Table2[[#This Row],[STATES in numeric format]]=0,F156=0,F155=0),1,0)</f>
        <v>0</v>
      </c>
      <c r="AD157">
        <f>IF(AND(Table2[[#This Row],[STATES in numeric format]]=0,F156=1,F155=0),1,0)</f>
        <v>0</v>
      </c>
      <c r="AE157">
        <f>IF(AND(Table2[[#This Row],[STATES in numeric format]]=0,F156=-1,F155=0),1,0)</f>
        <v>0</v>
      </c>
      <c r="AF157">
        <f>IF(AND(Table2[[#This Row],[STATES in numeric format]]=0,F156=0,F155=1),1,0)</f>
        <v>0</v>
      </c>
      <c r="AG157">
        <f>IF(AND(Table2[[#This Row],[STATES in numeric format]]=0,F156=0,F155=-1),1,0)</f>
        <v>0</v>
      </c>
    </row>
    <row r="158" spans="1:33" x14ac:dyDescent="0.3">
      <c r="A158" s="1">
        <v>44060</v>
      </c>
      <c r="B158">
        <v>38050.78</v>
      </c>
      <c r="C158">
        <f>Table2[[#This Row],[Close]]-0.001*Table2[[#This Row],[Close]]</f>
        <v>38012.729220000001</v>
      </c>
      <c r="D158">
        <f>Table2[[#This Row],[Close]]+0.001*Table2[[#This Row],[Close]]</f>
        <v>38088.830779999997</v>
      </c>
      <c r="E158" t="str">
        <f>IF(Table2[[#This Row],[Close]]&gt;D157,"up",IF(Table2[[#This Row],[Close]]&lt;C157,"down","constant"))</f>
        <v>up</v>
      </c>
      <c r="F158" s="3">
        <f>IF(Table2[[#This Row],[States]]="up",1,IF(Table2[[#This Row],[States]]="down",-1,0))</f>
        <v>1</v>
      </c>
      <c r="G158">
        <f>IF(AND(Table2[[#This Row],[STATES in numeric format]]=-1,F157=1,F156=1),1,0)</f>
        <v>0</v>
      </c>
      <c r="H158">
        <f>IF(AND(Table2[[#This Row],[STATES in numeric format]]=-1,F157=-1,F156=-1),1,0)</f>
        <v>0</v>
      </c>
      <c r="I158">
        <f>IF(AND(Table2[[#This Row],[STATES in numeric format]]=-1,F157=-1,F156=1),1,0)</f>
        <v>0</v>
      </c>
      <c r="J158">
        <f>IF(AND(Table2[[#This Row],[STATES in numeric format]]=-1,F157=1,F156=-1),1,0)</f>
        <v>0</v>
      </c>
      <c r="K158">
        <f>IF(AND(Table2[[#This Row],[STATES in numeric format]]=-1,F157=0,F156=0),1,0)</f>
        <v>0</v>
      </c>
      <c r="L158">
        <f>IF(AND(Table2[[#This Row],[STATES in numeric format]]=-1,F157=1,F156=0),1,0)</f>
        <v>0</v>
      </c>
      <c r="M158">
        <f>IF(AND(Table2[[#This Row],[STATES in numeric format]]=-1,F157=-1,F156=0),1,0)</f>
        <v>0</v>
      </c>
      <c r="N158">
        <f>IF(AND(Table2[[#This Row],[STATES in numeric format]]=-1,F157=0,F156=1),1,0)</f>
        <v>0</v>
      </c>
      <c r="O158">
        <f>IF(AND(Table2[[#This Row],[STATES in numeric format]]=-1,F157=0,F156=-1),1,0)</f>
        <v>0</v>
      </c>
      <c r="P158">
        <f>IF(AND(Table2[[#This Row],[STATES in numeric format]]=1,F157=1,F156=1),1,0)</f>
        <v>0</v>
      </c>
      <c r="Q158">
        <f>IF(AND(Table2[[#This Row],[STATES in numeric format]]=1,F157=-1,F156=-1),1,0)</f>
        <v>1</v>
      </c>
      <c r="R158">
        <f>IF(AND(Table2[[#This Row],[STATES in numeric format]]=1,F157=-1,F156=1),1,0)</f>
        <v>0</v>
      </c>
      <c r="S158">
        <f>IF(AND(Table2[[#This Row],[STATES in numeric format]]=1,F157=1,F156=-1),1,0)</f>
        <v>0</v>
      </c>
      <c r="T158">
        <f>IF(AND(Table2[[#This Row],[STATES in numeric format]]=1,F157=0,F156=0),1,0)</f>
        <v>0</v>
      </c>
      <c r="U158">
        <f>IF(AND(Table2[[#This Row],[STATES in numeric format]]=1,F157=1,F156=0),1,0)</f>
        <v>0</v>
      </c>
      <c r="V158">
        <f>IF(AND(Table2[[#This Row],[STATES in numeric format]]=1,F157=-1,F156=0),1,0)</f>
        <v>0</v>
      </c>
      <c r="W158">
        <f>IF(AND(Table2[[#This Row],[STATES in numeric format]]=1,F157=0,F156=1),1,0)</f>
        <v>0</v>
      </c>
      <c r="X158">
        <f>IF(AND(Table2[[#This Row],[STATES in numeric format]]=1,F157=0,F156=-1),1,0)</f>
        <v>0</v>
      </c>
      <c r="Y158">
        <f>IF(AND(Table2[[#This Row],[STATES in numeric format]]=0,F157=1,F156=1),1,0)</f>
        <v>0</v>
      </c>
      <c r="Z158">
        <f>IF(AND(Table2[[#This Row],[STATES in numeric format]]=0,F157=-1,F156=-1),1,0)</f>
        <v>0</v>
      </c>
      <c r="AA158">
        <f>IF(AND(Table2[[#This Row],[STATES in numeric format]]=0,F157=-1,F156=1),1,0)</f>
        <v>0</v>
      </c>
      <c r="AB158">
        <f>IF(AND(Table2[[#This Row],[STATES in numeric format]]=0,F157=1,F156=-1),1,0)</f>
        <v>0</v>
      </c>
      <c r="AC158">
        <f>IF(AND(Table2[[#This Row],[STATES in numeric format]]=0,F157=0,F156=0),1,0)</f>
        <v>0</v>
      </c>
      <c r="AD158">
        <f>IF(AND(Table2[[#This Row],[STATES in numeric format]]=0,F157=1,F156=0),1,0)</f>
        <v>0</v>
      </c>
      <c r="AE158">
        <f>IF(AND(Table2[[#This Row],[STATES in numeric format]]=0,F157=-1,F156=0),1,0)</f>
        <v>0</v>
      </c>
      <c r="AF158">
        <f>IF(AND(Table2[[#This Row],[STATES in numeric format]]=0,F157=0,F156=1),1,0)</f>
        <v>0</v>
      </c>
      <c r="AG158">
        <f>IF(AND(Table2[[#This Row],[STATES in numeric format]]=0,F157=0,F156=-1),1,0)</f>
        <v>0</v>
      </c>
    </row>
    <row r="159" spans="1:33" x14ac:dyDescent="0.3">
      <c r="A159" s="1">
        <v>44061</v>
      </c>
      <c r="B159">
        <v>38528.32</v>
      </c>
      <c r="C159">
        <f>Table2[[#This Row],[Close]]-0.001*Table2[[#This Row],[Close]]</f>
        <v>38489.791680000002</v>
      </c>
      <c r="D159">
        <f>Table2[[#This Row],[Close]]+0.001*Table2[[#This Row],[Close]]</f>
        <v>38566.848319999997</v>
      </c>
      <c r="E159" t="str">
        <f>IF(Table2[[#This Row],[Close]]&gt;D158,"up",IF(Table2[[#This Row],[Close]]&lt;C158,"down","constant"))</f>
        <v>up</v>
      </c>
      <c r="F159" s="3">
        <f>IF(Table2[[#This Row],[States]]="up",1,IF(Table2[[#This Row],[States]]="down",-1,0))</f>
        <v>1</v>
      </c>
      <c r="G159">
        <f>IF(AND(Table2[[#This Row],[STATES in numeric format]]=-1,F158=1,F157=1),1,0)</f>
        <v>0</v>
      </c>
      <c r="H159">
        <f>IF(AND(Table2[[#This Row],[STATES in numeric format]]=-1,F158=-1,F157=-1),1,0)</f>
        <v>0</v>
      </c>
      <c r="I159">
        <f>IF(AND(Table2[[#This Row],[STATES in numeric format]]=-1,F158=-1,F157=1),1,0)</f>
        <v>0</v>
      </c>
      <c r="J159">
        <f>IF(AND(Table2[[#This Row],[STATES in numeric format]]=-1,F158=1,F157=-1),1,0)</f>
        <v>0</v>
      </c>
      <c r="K159">
        <f>IF(AND(Table2[[#This Row],[STATES in numeric format]]=-1,F158=0,F157=0),1,0)</f>
        <v>0</v>
      </c>
      <c r="L159">
        <f>IF(AND(Table2[[#This Row],[STATES in numeric format]]=-1,F158=1,F157=0),1,0)</f>
        <v>0</v>
      </c>
      <c r="M159">
        <f>IF(AND(Table2[[#This Row],[STATES in numeric format]]=-1,F158=-1,F157=0),1,0)</f>
        <v>0</v>
      </c>
      <c r="N159">
        <f>IF(AND(Table2[[#This Row],[STATES in numeric format]]=-1,F158=0,F157=1),1,0)</f>
        <v>0</v>
      </c>
      <c r="O159">
        <f>IF(AND(Table2[[#This Row],[STATES in numeric format]]=-1,F158=0,F157=-1),1,0)</f>
        <v>0</v>
      </c>
      <c r="P159">
        <f>IF(AND(Table2[[#This Row],[STATES in numeric format]]=1,F158=1,F157=1),1,0)</f>
        <v>0</v>
      </c>
      <c r="Q159">
        <f>IF(AND(Table2[[#This Row],[STATES in numeric format]]=1,F158=-1,F157=-1),1,0)</f>
        <v>0</v>
      </c>
      <c r="R159">
        <f>IF(AND(Table2[[#This Row],[STATES in numeric format]]=1,F158=-1,F157=1),1,0)</f>
        <v>0</v>
      </c>
      <c r="S159">
        <f>IF(AND(Table2[[#This Row],[STATES in numeric format]]=1,F158=1,F157=-1),1,0)</f>
        <v>1</v>
      </c>
      <c r="T159">
        <f>IF(AND(Table2[[#This Row],[STATES in numeric format]]=1,F158=0,F157=0),1,0)</f>
        <v>0</v>
      </c>
      <c r="U159">
        <f>IF(AND(Table2[[#This Row],[STATES in numeric format]]=1,F158=1,F157=0),1,0)</f>
        <v>0</v>
      </c>
      <c r="V159">
        <f>IF(AND(Table2[[#This Row],[STATES in numeric format]]=1,F158=-1,F157=0),1,0)</f>
        <v>0</v>
      </c>
      <c r="W159">
        <f>IF(AND(Table2[[#This Row],[STATES in numeric format]]=1,F158=0,F157=1),1,0)</f>
        <v>0</v>
      </c>
      <c r="X159">
        <f>IF(AND(Table2[[#This Row],[STATES in numeric format]]=1,F158=0,F157=-1),1,0)</f>
        <v>0</v>
      </c>
      <c r="Y159">
        <f>IF(AND(Table2[[#This Row],[STATES in numeric format]]=0,F158=1,F157=1),1,0)</f>
        <v>0</v>
      </c>
      <c r="Z159">
        <f>IF(AND(Table2[[#This Row],[STATES in numeric format]]=0,F158=-1,F157=-1),1,0)</f>
        <v>0</v>
      </c>
      <c r="AA159">
        <f>IF(AND(Table2[[#This Row],[STATES in numeric format]]=0,F158=-1,F157=1),1,0)</f>
        <v>0</v>
      </c>
      <c r="AB159">
        <f>IF(AND(Table2[[#This Row],[STATES in numeric format]]=0,F158=1,F157=-1),1,0)</f>
        <v>0</v>
      </c>
      <c r="AC159">
        <f>IF(AND(Table2[[#This Row],[STATES in numeric format]]=0,F158=0,F157=0),1,0)</f>
        <v>0</v>
      </c>
      <c r="AD159">
        <f>IF(AND(Table2[[#This Row],[STATES in numeric format]]=0,F158=1,F157=0),1,0)</f>
        <v>0</v>
      </c>
      <c r="AE159">
        <f>IF(AND(Table2[[#This Row],[STATES in numeric format]]=0,F158=-1,F157=0),1,0)</f>
        <v>0</v>
      </c>
      <c r="AF159">
        <f>IF(AND(Table2[[#This Row],[STATES in numeric format]]=0,F158=0,F157=1),1,0)</f>
        <v>0</v>
      </c>
      <c r="AG159">
        <f>IF(AND(Table2[[#This Row],[STATES in numeric format]]=0,F158=0,F157=-1),1,0)</f>
        <v>0</v>
      </c>
    </row>
    <row r="160" spans="1:33" x14ac:dyDescent="0.3">
      <c r="A160" s="1">
        <v>44062</v>
      </c>
      <c r="B160">
        <v>38614.79</v>
      </c>
      <c r="C160">
        <f>Table2[[#This Row],[Close]]-0.001*Table2[[#This Row],[Close]]</f>
        <v>38576.175210000001</v>
      </c>
      <c r="D160">
        <f>Table2[[#This Row],[Close]]+0.001*Table2[[#This Row],[Close]]</f>
        <v>38653.404790000001</v>
      </c>
      <c r="E160" t="str">
        <f>IF(Table2[[#This Row],[Close]]&gt;D159,"up",IF(Table2[[#This Row],[Close]]&lt;C159,"down","constant"))</f>
        <v>up</v>
      </c>
      <c r="F160" s="3">
        <f>IF(Table2[[#This Row],[States]]="up",1,IF(Table2[[#This Row],[States]]="down",-1,0))</f>
        <v>1</v>
      </c>
      <c r="G160">
        <f>IF(AND(Table2[[#This Row],[STATES in numeric format]]=-1,F159=1,F158=1),1,0)</f>
        <v>0</v>
      </c>
      <c r="H160">
        <f>IF(AND(Table2[[#This Row],[STATES in numeric format]]=-1,F159=-1,F158=-1),1,0)</f>
        <v>0</v>
      </c>
      <c r="I160">
        <f>IF(AND(Table2[[#This Row],[STATES in numeric format]]=-1,F159=-1,F158=1),1,0)</f>
        <v>0</v>
      </c>
      <c r="J160">
        <f>IF(AND(Table2[[#This Row],[STATES in numeric format]]=-1,F159=1,F158=-1),1,0)</f>
        <v>0</v>
      </c>
      <c r="K160">
        <f>IF(AND(Table2[[#This Row],[STATES in numeric format]]=-1,F159=0,F158=0),1,0)</f>
        <v>0</v>
      </c>
      <c r="L160">
        <f>IF(AND(Table2[[#This Row],[STATES in numeric format]]=-1,F159=1,F158=0),1,0)</f>
        <v>0</v>
      </c>
      <c r="M160">
        <f>IF(AND(Table2[[#This Row],[STATES in numeric format]]=-1,F159=-1,F158=0),1,0)</f>
        <v>0</v>
      </c>
      <c r="N160">
        <f>IF(AND(Table2[[#This Row],[STATES in numeric format]]=-1,F159=0,F158=1),1,0)</f>
        <v>0</v>
      </c>
      <c r="O160">
        <f>IF(AND(Table2[[#This Row],[STATES in numeric format]]=-1,F159=0,F158=-1),1,0)</f>
        <v>0</v>
      </c>
      <c r="P160">
        <f>IF(AND(Table2[[#This Row],[STATES in numeric format]]=1,F159=1,F158=1),1,0)</f>
        <v>1</v>
      </c>
      <c r="Q160">
        <f>IF(AND(Table2[[#This Row],[STATES in numeric format]]=1,F159=-1,F158=-1),1,0)</f>
        <v>0</v>
      </c>
      <c r="R160">
        <f>IF(AND(Table2[[#This Row],[STATES in numeric format]]=1,F159=-1,F158=1),1,0)</f>
        <v>0</v>
      </c>
      <c r="S160">
        <f>IF(AND(Table2[[#This Row],[STATES in numeric format]]=1,F159=1,F158=-1),1,0)</f>
        <v>0</v>
      </c>
      <c r="T160">
        <f>IF(AND(Table2[[#This Row],[STATES in numeric format]]=1,F159=0,F158=0),1,0)</f>
        <v>0</v>
      </c>
      <c r="U160">
        <f>IF(AND(Table2[[#This Row],[STATES in numeric format]]=1,F159=1,F158=0),1,0)</f>
        <v>0</v>
      </c>
      <c r="V160">
        <f>IF(AND(Table2[[#This Row],[STATES in numeric format]]=1,F159=-1,F158=0),1,0)</f>
        <v>0</v>
      </c>
      <c r="W160">
        <f>IF(AND(Table2[[#This Row],[STATES in numeric format]]=1,F159=0,F158=1),1,0)</f>
        <v>0</v>
      </c>
      <c r="X160">
        <f>IF(AND(Table2[[#This Row],[STATES in numeric format]]=1,F159=0,F158=-1),1,0)</f>
        <v>0</v>
      </c>
      <c r="Y160">
        <f>IF(AND(Table2[[#This Row],[STATES in numeric format]]=0,F159=1,F158=1),1,0)</f>
        <v>0</v>
      </c>
      <c r="Z160">
        <f>IF(AND(Table2[[#This Row],[STATES in numeric format]]=0,F159=-1,F158=-1),1,0)</f>
        <v>0</v>
      </c>
      <c r="AA160">
        <f>IF(AND(Table2[[#This Row],[STATES in numeric format]]=0,F159=-1,F158=1),1,0)</f>
        <v>0</v>
      </c>
      <c r="AB160">
        <f>IF(AND(Table2[[#This Row],[STATES in numeric format]]=0,F159=1,F158=-1),1,0)</f>
        <v>0</v>
      </c>
      <c r="AC160">
        <f>IF(AND(Table2[[#This Row],[STATES in numeric format]]=0,F159=0,F158=0),1,0)</f>
        <v>0</v>
      </c>
      <c r="AD160">
        <f>IF(AND(Table2[[#This Row],[STATES in numeric format]]=0,F159=1,F158=0),1,0)</f>
        <v>0</v>
      </c>
      <c r="AE160">
        <f>IF(AND(Table2[[#This Row],[STATES in numeric format]]=0,F159=-1,F158=0),1,0)</f>
        <v>0</v>
      </c>
      <c r="AF160">
        <f>IF(AND(Table2[[#This Row],[STATES in numeric format]]=0,F159=0,F158=1),1,0)</f>
        <v>0</v>
      </c>
      <c r="AG160">
        <f>IF(AND(Table2[[#This Row],[STATES in numeric format]]=0,F159=0,F158=-1),1,0)</f>
        <v>0</v>
      </c>
    </row>
    <row r="161" spans="1:33" x14ac:dyDescent="0.3">
      <c r="A161" s="1">
        <v>44063</v>
      </c>
      <c r="B161">
        <v>38220.39</v>
      </c>
      <c r="C161">
        <f>Table2[[#This Row],[Close]]-0.001*Table2[[#This Row],[Close]]</f>
        <v>38182.169609999997</v>
      </c>
      <c r="D161">
        <f>Table2[[#This Row],[Close]]+0.001*Table2[[#This Row],[Close]]</f>
        <v>38258.610390000002</v>
      </c>
      <c r="E161" t="str">
        <f>IF(Table2[[#This Row],[Close]]&gt;D160,"up",IF(Table2[[#This Row],[Close]]&lt;C160,"down","constant"))</f>
        <v>down</v>
      </c>
      <c r="F161" s="3">
        <f>IF(Table2[[#This Row],[States]]="up",1,IF(Table2[[#This Row],[States]]="down",-1,0))</f>
        <v>-1</v>
      </c>
      <c r="G161">
        <f>IF(AND(Table2[[#This Row],[STATES in numeric format]]=-1,F160=1,F159=1),1,0)</f>
        <v>1</v>
      </c>
      <c r="H161">
        <f>IF(AND(Table2[[#This Row],[STATES in numeric format]]=-1,F160=-1,F159=-1),1,0)</f>
        <v>0</v>
      </c>
      <c r="I161">
        <f>IF(AND(Table2[[#This Row],[STATES in numeric format]]=-1,F160=-1,F159=1),1,0)</f>
        <v>0</v>
      </c>
      <c r="J161">
        <f>IF(AND(Table2[[#This Row],[STATES in numeric format]]=-1,F160=1,F159=-1),1,0)</f>
        <v>0</v>
      </c>
      <c r="K161">
        <f>IF(AND(Table2[[#This Row],[STATES in numeric format]]=-1,F160=0,F159=0),1,0)</f>
        <v>0</v>
      </c>
      <c r="L161">
        <f>IF(AND(Table2[[#This Row],[STATES in numeric format]]=-1,F160=1,F159=0),1,0)</f>
        <v>0</v>
      </c>
      <c r="M161">
        <f>IF(AND(Table2[[#This Row],[STATES in numeric format]]=-1,F160=-1,F159=0),1,0)</f>
        <v>0</v>
      </c>
      <c r="N161">
        <f>IF(AND(Table2[[#This Row],[STATES in numeric format]]=-1,F160=0,F159=1),1,0)</f>
        <v>0</v>
      </c>
      <c r="O161">
        <f>IF(AND(Table2[[#This Row],[STATES in numeric format]]=-1,F160=0,F159=-1),1,0)</f>
        <v>0</v>
      </c>
      <c r="P161">
        <f>IF(AND(Table2[[#This Row],[STATES in numeric format]]=1,F160=1,F159=1),1,0)</f>
        <v>0</v>
      </c>
      <c r="Q161">
        <f>IF(AND(Table2[[#This Row],[STATES in numeric format]]=1,F160=-1,F159=-1),1,0)</f>
        <v>0</v>
      </c>
      <c r="R161">
        <f>IF(AND(Table2[[#This Row],[STATES in numeric format]]=1,F160=-1,F159=1),1,0)</f>
        <v>0</v>
      </c>
      <c r="S161">
        <f>IF(AND(Table2[[#This Row],[STATES in numeric format]]=1,F160=1,F159=-1),1,0)</f>
        <v>0</v>
      </c>
      <c r="T161">
        <f>IF(AND(Table2[[#This Row],[STATES in numeric format]]=1,F160=0,F159=0),1,0)</f>
        <v>0</v>
      </c>
      <c r="U161">
        <f>IF(AND(Table2[[#This Row],[STATES in numeric format]]=1,F160=1,F159=0),1,0)</f>
        <v>0</v>
      </c>
      <c r="V161">
        <f>IF(AND(Table2[[#This Row],[STATES in numeric format]]=1,F160=-1,F159=0),1,0)</f>
        <v>0</v>
      </c>
      <c r="W161">
        <f>IF(AND(Table2[[#This Row],[STATES in numeric format]]=1,F160=0,F159=1),1,0)</f>
        <v>0</v>
      </c>
      <c r="X161">
        <f>IF(AND(Table2[[#This Row],[STATES in numeric format]]=1,F160=0,F159=-1),1,0)</f>
        <v>0</v>
      </c>
      <c r="Y161">
        <f>IF(AND(Table2[[#This Row],[STATES in numeric format]]=0,F160=1,F159=1),1,0)</f>
        <v>0</v>
      </c>
      <c r="Z161">
        <f>IF(AND(Table2[[#This Row],[STATES in numeric format]]=0,F160=-1,F159=-1),1,0)</f>
        <v>0</v>
      </c>
      <c r="AA161">
        <f>IF(AND(Table2[[#This Row],[STATES in numeric format]]=0,F160=-1,F159=1),1,0)</f>
        <v>0</v>
      </c>
      <c r="AB161">
        <f>IF(AND(Table2[[#This Row],[STATES in numeric format]]=0,F160=1,F159=-1),1,0)</f>
        <v>0</v>
      </c>
      <c r="AC161">
        <f>IF(AND(Table2[[#This Row],[STATES in numeric format]]=0,F160=0,F159=0),1,0)</f>
        <v>0</v>
      </c>
      <c r="AD161">
        <f>IF(AND(Table2[[#This Row],[STATES in numeric format]]=0,F160=1,F159=0),1,0)</f>
        <v>0</v>
      </c>
      <c r="AE161">
        <f>IF(AND(Table2[[#This Row],[STATES in numeric format]]=0,F160=-1,F159=0),1,0)</f>
        <v>0</v>
      </c>
      <c r="AF161">
        <f>IF(AND(Table2[[#This Row],[STATES in numeric format]]=0,F160=0,F159=1),1,0)</f>
        <v>0</v>
      </c>
      <c r="AG161">
        <f>IF(AND(Table2[[#This Row],[STATES in numeric format]]=0,F160=0,F159=-1),1,0)</f>
        <v>0</v>
      </c>
    </row>
    <row r="162" spans="1:33" x14ac:dyDescent="0.3">
      <c r="A162" s="1">
        <v>44064</v>
      </c>
      <c r="B162">
        <v>38434.720000000001</v>
      </c>
      <c r="C162">
        <f>Table2[[#This Row],[Close]]-0.001*Table2[[#This Row],[Close]]</f>
        <v>38396.285280000004</v>
      </c>
      <c r="D162">
        <f>Table2[[#This Row],[Close]]+0.001*Table2[[#This Row],[Close]]</f>
        <v>38473.154719999999</v>
      </c>
      <c r="E162" t="str">
        <f>IF(Table2[[#This Row],[Close]]&gt;D161,"up",IF(Table2[[#This Row],[Close]]&lt;C161,"down","constant"))</f>
        <v>up</v>
      </c>
      <c r="F162" s="3">
        <f>IF(Table2[[#This Row],[States]]="up",1,IF(Table2[[#This Row],[States]]="down",-1,0))</f>
        <v>1</v>
      </c>
      <c r="G162">
        <f>IF(AND(Table2[[#This Row],[STATES in numeric format]]=-1,F161=1,F160=1),1,0)</f>
        <v>0</v>
      </c>
      <c r="H162">
        <f>IF(AND(Table2[[#This Row],[STATES in numeric format]]=-1,F161=-1,F160=-1),1,0)</f>
        <v>0</v>
      </c>
      <c r="I162">
        <f>IF(AND(Table2[[#This Row],[STATES in numeric format]]=-1,F161=-1,F160=1),1,0)</f>
        <v>0</v>
      </c>
      <c r="J162">
        <f>IF(AND(Table2[[#This Row],[STATES in numeric format]]=-1,F161=1,F160=-1),1,0)</f>
        <v>0</v>
      </c>
      <c r="K162">
        <f>IF(AND(Table2[[#This Row],[STATES in numeric format]]=-1,F161=0,F160=0),1,0)</f>
        <v>0</v>
      </c>
      <c r="L162">
        <f>IF(AND(Table2[[#This Row],[STATES in numeric format]]=-1,F161=1,F160=0),1,0)</f>
        <v>0</v>
      </c>
      <c r="M162">
        <f>IF(AND(Table2[[#This Row],[STATES in numeric format]]=-1,F161=-1,F160=0),1,0)</f>
        <v>0</v>
      </c>
      <c r="N162">
        <f>IF(AND(Table2[[#This Row],[STATES in numeric format]]=-1,F161=0,F160=1),1,0)</f>
        <v>0</v>
      </c>
      <c r="O162">
        <f>IF(AND(Table2[[#This Row],[STATES in numeric format]]=-1,F161=0,F160=-1),1,0)</f>
        <v>0</v>
      </c>
      <c r="P162">
        <f>IF(AND(Table2[[#This Row],[STATES in numeric format]]=1,F161=1,F160=1),1,0)</f>
        <v>0</v>
      </c>
      <c r="Q162">
        <f>IF(AND(Table2[[#This Row],[STATES in numeric format]]=1,F161=-1,F160=-1),1,0)</f>
        <v>0</v>
      </c>
      <c r="R162">
        <f>IF(AND(Table2[[#This Row],[STATES in numeric format]]=1,F161=-1,F160=1),1,0)</f>
        <v>1</v>
      </c>
      <c r="S162">
        <f>IF(AND(Table2[[#This Row],[STATES in numeric format]]=1,F161=1,F160=-1),1,0)</f>
        <v>0</v>
      </c>
      <c r="T162">
        <f>IF(AND(Table2[[#This Row],[STATES in numeric format]]=1,F161=0,F160=0),1,0)</f>
        <v>0</v>
      </c>
      <c r="U162">
        <f>IF(AND(Table2[[#This Row],[STATES in numeric format]]=1,F161=1,F160=0),1,0)</f>
        <v>0</v>
      </c>
      <c r="V162">
        <f>IF(AND(Table2[[#This Row],[STATES in numeric format]]=1,F161=-1,F160=0),1,0)</f>
        <v>0</v>
      </c>
      <c r="W162">
        <f>IF(AND(Table2[[#This Row],[STATES in numeric format]]=1,F161=0,F160=1),1,0)</f>
        <v>0</v>
      </c>
      <c r="X162">
        <f>IF(AND(Table2[[#This Row],[STATES in numeric format]]=1,F161=0,F160=-1),1,0)</f>
        <v>0</v>
      </c>
      <c r="Y162">
        <f>IF(AND(Table2[[#This Row],[STATES in numeric format]]=0,F161=1,F160=1),1,0)</f>
        <v>0</v>
      </c>
      <c r="Z162">
        <f>IF(AND(Table2[[#This Row],[STATES in numeric format]]=0,F161=-1,F160=-1),1,0)</f>
        <v>0</v>
      </c>
      <c r="AA162">
        <f>IF(AND(Table2[[#This Row],[STATES in numeric format]]=0,F161=-1,F160=1),1,0)</f>
        <v>0</v>
      </c>
      <c r="AB162">
        <f>IF(AND(Table2[[#This Row],[STATES in numeric format]]=0,F161=1,F160=-1),1,0)</f>
        <v>0</v>
      </c>
      <c r="AC162">
        <f>IF(AND(Table2[[#This Row],[STATES in numeric format]]=0,F161=0,F160=0),1,0)</f>
        <v>0</v>
      </c>
      <c r="AD162">
        <f>IF(AND(Table2[[#This Row],[STATES in numeric format]]=0,F161=1,F160=0),1,0)</f>
        <v>0</v>
      </c>
      <c r="AE162">
        <f>IF(AND(Table2[[#This Row],[STATES in numeric format]]=0,F161=-1,F160=0),1,0)</f>
        <v>0</v>
      </c>
      <c r="AF162">
        <f>IF(AND(Table2[[#This Row],[STATES in numeric format]]=0,F161=0,F160=1),1,0)</f>
        <v>0</v>
      </c>
      <c r="AG162">
        <f>IF(AND(Table2[[#This Row],[STATES in numeric format]]=0,F161=0,F160=-1),1,0)</f>
        <v>0</v>
      </c>
    </row>
    <row r="163" spans="1:33" x14ac:dyDescent="0.3">
      <c r="A163" s="1">
        <v>44067</v>
      </c>
      <c r="B163">
        <v>38799.08</v>
      </c>
      <c r="C163">
        <f>Table2[[#This Row],[Close]]-0.001*Table2[[#This Row],[Close]]</f>
        <v>38760.280920000005</v>
      </c>
      <c r="D163">
        <f>Table2[[#This Row],[Close]]+0.001*Table2[[#This Row],[Close]]</f>
        <v>38837.879079999999</v>
      </c>
      <c r="E163" t="str">
        <f>IF(Table2[[#This Row],[Close]]&gt;D162,"up",IF(Table2[[#This Row],[Close]]&lt;C162,"down","constant"))</f>
        <v>up</v>
      </c>
      <c r="F163" s="3">
        <f>IF(Table2[[#This Row],[States]]="up",1,IF(Table2[[#This Row],[States]]="down",-1,0))</f>
        <v>1</v>
      </c>
      <c r="G163">
        <f>IF(AND(Table2[[#This Row],[STATES in numeric format]]=-1,F162=1,F161=1),1,0)</f>
        <v>0</v>
      </c>
      <c r="H163">
        <f>IF(AND(Table2[[#This Row],[STATES in numeric format]]=-1,F162=-1,F161=-1),1,0)</f>
        <v>0</v>
      </c>
      <c r="I163">
        <f>IF(AND(Table2[[#This Row],[STATES in numeric format]]=-1,F162=-1,F161=1),1,0)</f>
        <v>0</v>
      </c>
      <c r="J163">
        <f>IF(AND(Table2[[#This Row],[STATES in numeric format]]=-1,F162=1,F161=-1),1,0)</f>
        <v>0</v>
      </c>
      <c r="K163">
        <f>IF(AND(Table2[[#This Row],[STATES in numeric format]]=-1,F162=0,F161=0),1,0)</f>
        <v>0</v>
      </c>
      <c r="L163">
        <f>IF(AND(Table2[[#This Row],[STATES in numeric format]]=-1,F162=1,F161=0),1,0)</f>
        <v>0</v>
      </c>
      <c r="M163">
        <f>IF(AND(Table2[[#This Row],[STATES in numeric format]]=-1,F162=-1,F161=0),1,0)</f>
        <v>0</v>
      </c>
      <c r="N163">
        <f>IF(AND(Table2[[#This Row],[STATES in numeric format]]=-1,F162=0,F161=1),1,0)</f>
        <v>0</v>
      </c>
      <c r="O163">
        <f>IF(AND(Table2[[#This Row],[STATES in numeric format]]=-1,F162=0,F161=-1),1,0)</f>
        <v>0</v>
      </c>
      <c r="P163">
        <f>IF(AND(Table2[[#This Row],[STATES in numeric format]]=1,F162=1,F161=1),1,0)</f>
        <v>0</v>
      </c>
      <c r="Q163">
        <f>IF(AND(Table2[[#This Row],[STATES in numeric format]]=1,F162=-1,F161=-1),1,0)</f>
        <v>0</v>
      </c>
      <c r="R163">
        <f>IF(AND(Table2[[#This Row],[STATES in numeric format]]=1,F162=-1,F161=1),1,0)</f>
        <v>0</v>
      </c>
      <c r="S163">
        <f>IF(AND(Table2[[#This Row],[STATES in numeric format]]=1,F162=1,F161=-1),1,0)</f>
        <v>1</v>
      </c>
      <c r="T163">
        <f>IF(AND(Table2[[#This Row],[STATES in numeric format]]=1,F162=0,F161=0),1,0)</f>
        <v>0</v>
      </c>
      <c r="U163">
        <f>IF(AND(Table2[[#This Row],[STATES in numeric format]]=1,F162=1,F161=0),1,0)</f>
        <v>0</v>
      </c>
      <c r="V163">
        <f>IF(AND(Table2[[#This Row],[STATES in numeric format]]=1,F162=-1,F161=0),1,0)</f>
        <v>0</v>
      </c>
      <c r="W163">
        <f>IF(AND(Table2[[#This Row],[STATES in numeric format]]=1,F162=0,F161=1),1,0)</f>
        <v>0</v>
      </c>
      <c r="X163">
        <f>IF(AND(Table2[[#This Row],[STATES in numeric format]]=1,F162=0,F161=-1),1,0)</f>
        <v>0</v>
      </c>
      <c r="Y163">
        <f>IF(AND(Table2[[#This Row],[STATES in numeric format]]=0,F162=1,F161=1),1,0)</f>
        <v>0</v>
      </c>
      <c r="Z163">
        <f>IF(AND(Table2[[#This Row],[STATES in numeric format]]=0,F162=-1,F161=-1),1,0)</f>
        <v>0</v>
      </c>
      <c r="AA163">
        <f>IF(AND(Table2[[#This Row],[STATES in numeric format]]=0,F162=-1,F161=1),1,0)</f>
        <v>0</v>
      </c>
      <c r="AB163">
        <f>IF(AND(Table2[[#This Row],[STATES in numeric format]]=0,F162=1,F161=-1),1,0)</f>
        <v>0</v>
      </c>
      <c r="AC163">
        <f>IF(AND(Table2[[#This Row],[STATES in numeric format]]=0,F162=0,F161=0),1,0)</f>
        <v>0</v>
      </c>
      <c r="AD163">
        <f>IF(AND(Table2[[#This Row],[STATES in numeric format]]=0,F162=1,F161=0),1,0)</f>
        <v>0</v>
      </c>
      <c r="AE163">
        <f>IF(AND(Table2[[#This Row],[STATES in numeric format]]=0,F162=-1,F161=0),1,0)</f>
        <v>0</v>
      </c>
      <c r="AF163">
        <f>IF(AND(Table2[[#This Row],[STATES in numeric format]]=0,F162=0,F161=1),1,0)</f>
        <v>0</v>
      </c>
      <c r="AG163">
        <f>IF(AND(Table2[[#This Row],[STATES in numeric format]]=0,F162=0,F161=-1),1,0)</f>
        <v>0</v>
      </c>
    </row>
    <row r="164" spans="1:33" x14ac:dyDescent="0.3">
      <c r="A164" s="1">
        <v>44068</v>
      </c>
      <c r="B164">
        <v>38843.879999999997</v>
      </c>
      <c r="C164">
        <f>Table2[[#This Row],[Close]]-0.001*Table2[[#This Row],[Close]]</f>
        <v>38805.036119999997</v>
      </c>
      <c r="D164">
        <f>Table2[[#This Row],[Close]]+0.001*Table2[[#This Row],[Close]]</f>
        <v>38882.723879999998</v>
      </c>
      <c r="E164" t="str">
        <f>IF(Table2[[#This Row],[Close]]&gt;D163,"up",IF(Table2[[#This Row],[Close]]&lt;C163,"down","constant"))</f>
        <v>up</v>
      </c>
      <c r="F164" s="3">
        <f>IF(Table2[[#This Row],[States]]="up",1,IF(Table2[[#This Row],[States]]="down",-1,0))</f>
        <v>1</v>
      </c>
      <c r="G164">
        <f>IF(AND(Table2[[#This Row],[STATES in numeric format]]=-1,F163=1,F162=1),1,0)</f>
        <v>0</v>
      </c>
      <c r="H164">
        <f>IF(AND(Table2[[#This Row],[STATES in numeric format]]=-1,F163=-1,F162=-1),1,0)</f>
        <v>0</v>
      </c>
      <c r="I164">
        <f>IF(AND(Table2[[#This Row],[STATES in numeric format]]=-1,F163=-1,F162=1),1,0)</f>
        <v>0</v>
      </c>
      <c r="J164">
        <f>IF(AND(Table2[[#This Row],[STATES in numeric format]]=-1,F163=1,F162=-1),1,0)</f>
        <v>0</v>
      </c>
      <c r="K164">
        <f>IF(AND(Table2[[#This Row],[STATES in numeric format]]=-1,F163=0,F162=0),1,0)</f>
        <v>0</v>
      </c>
      <c r="L164">
        <f>IF(AND(Table2[[#This Row],[STATES in numeric format]]=-1,F163=1,F162=0),1,0)</f>
        <v>0</v>
      </c>
      <c r="M164">
        <f>IF(AND(Table2[[#This Row],[STATES in numeric format]]=-1,F163=-1,F162=0),1,0)</f>
        <v>0</v>
      </c>
      <c r="N164">
        <f>IF(AND(Table2[[#This Row],[STATES in numeric format]]=-1,F163=0,F162=1),1,0)</f>
        <v>0</v>
      </c>
      <c r="O164">
        <f>IF(AND(Table2[[#This Row],[STATES in numeric format]]=-1,F163=0,F162=-1),1,0)</f>
        <v>0</v>
      </c>
      <c r="P164">
        <f>IF(AND(Table2[[#This Row],[STATES in numeric format]]=1,F163=1,F162=1),1,0)</f>
        <v>1</v>
      </c>
      <c r="Q164">
        <f>IF(AND(Table2[[#This Row],[STATES in numeric format]]=1,F163=-1,F162=-1),1,0)</f>
        <v>0</v>
      </c>
      <c r="R164">
        <f>IF(AND(Table2[[#This Row],[STATES in numeric format]]=1,F163=-1,F162=1),1,0)</f>
        <v>0</v>
      </c>
      <c r="S164">
        <f>IF(AND(Table2[[#This Row],[STATES in numeric format]]=1,F163=1,F162=-1),1,0)</f>
        <v>0</v>
      </c>
      <c r="T164">
        <f>IF(AND(Table2[[#This Row],[STATES in numeric format]]=1,F163=0,F162=0),1,0)</f>
        <v>0</v>
      </c>
      <c r="U164">
        <f>IF(AND(Table2[[#This Row],[STATES in numeric format]]=1,F163=1,F162=0),1,0)</f>
        <v>0</v>
      </c>
      <c r="V164">
        <f>IF(AND(Table2[[#This Row],[STATES in numeric format]]=1,F163=-1,F162=0),1,0)</f>
        <v>0</v>
      </c>
      <c r="W164">
        <f>IF(AND(Table2[[#This Row],[STATES in numeric format]]=1,F163=0,F162=1),1,0)</f>
        <v>0</v>
      </c>
      <c r="X164">
        <f>IF(AND(Table2[[#This Row],[STATES in numeric format]]=1,F163=0,F162=-1),1,0)</f>
        <v>0</v>
      </c>
      <c r="Y164">
        <f>IF(AND(Table2[[#This Row],[STATES in numeric format]]=0,F163=1,F162=1),1,0)</f>
        <v>0</v>
      </c>
      <c r="Z164">
        <f>IF(AND(Table2[[#This Row],[STATES in numeric format]]=0,F163=-1,F162=-1),1,0)</f>
        <v>0</v>
      </c>
      <c r="AA164">
        <f>IF(AND(Table2[[#This Row],[STATES in numeric format]]=0,F163=-1,F162=1),1,0)</f>
        <v>0</v>
      </c>
      <c r="AB164">
        <f>IF(AND(Table2[[#This Row],[STATES in numeric format]]=0,F163=1,F162=-1),1,0)</f>
        <v>0</v>
      </c>
      <c r="AC164">
        <f>IF(AND(Table2[[#This Row],[STATES in numeric format]]=0,F163=0,F162=0),1,0)</f>
        <v>0</v>
      </c>
      <c r="AD164">
        <f>IF(AND(Table2[[#This Row],[STATES in numeric format]]=0,F163=1,F162=0),1,0)</f>
        <v>0</v>
      </c>
      <c r="AE164">
        <f>IF(AND(Table2[[#This Row],[STATES in numeric format]]=0,F163=-1,F162=0),1,0)</f>
        <v>0</v>
      </c>
      <c r="AF164">
        <f>IF(AND(Table2[[#This Row],[STATES in numeric format]]=0,F163=0,F162=1),1,0)</f>
        <v>0</v>
      </c>
      <c r="AG164">
        <f>IF(AND(Table2[[#This Row],[STATES in numeric format]]=0,F163=0,F162=-1),1,0)</f>
        <v>0</v>
      </c>
    </row>
    <row r="165" spans="1:33" x14ac:dyDescent="0.3">
      <c r="A165" s="1">
        <v>44069</v>
      </c>
      <c r="B165">
        <v>39073.919999999998</v>
      </c>
      <c r="C165">
        <f>Table2[[#This Row],[Close]]-0.001*Table2[[#This Row],[Close]]</f>
        <v>39034.846079999996</v>
      </c>
      <c r="D165">
        <f>Table2[[#This Row],[Close]]+0.001*Table2[[#This Row],[Close]]</f>
        <v>39112.993920000001</v>
      </c>
      <c r="E165" t="str">
        <f>IF(Table2[[#This Row],[Close]]&gt;D164,"up",IF(Table2[[#This Row],[Close]]&lt;C164,"down","constant"))</f>
        <v>up</v>
      </c>
      <c r="F165" s="3">
        <f>IF(Table2[[#This Row],[States]]="up",1,IF(Table2[[#This Row],[States]]="down",-1,0))</f>
        <v>1</v>
      </c>
      <c r="G165">
        <f>IF(AND(Table2[[#This Row],[STATES in numeric format]]=-1,F164=1,F163=1),1,0)</f>
        <v>0</v>
      </c>
      <c r="H165">
        <f>IF(AND(Table2[[#This Row],[STATES in numeric format]]=-1,F164=-1,F163=-1),1,0)</f>
        <v>0</v>
      </c>
      <c r="I165">
        <f>IF(AND(Table2[[#This Row],[STATES in numeric format]]=-1,F164=-1,F163=1),1,0)</f>
        <v>0</v>
      </c>
      <c r="J165">
        <f>IF(AND(Table2[[#This Row],[STATES in numeric format]]=-1,F164=1,F163=-1),1,0)</f>
        <v>0</v>
      </c>
      <c r="K165">
        <f>IF(AND(Table2[[#This Row],[STATES in numeric format]]=-1,F164=0,F163=0),1,0)</f>
        <v>0</v>
      </c>
      <c r="L165">
        <f>IF(AND(Table2[[#This Row],[STATES in numeric format]]=-1,F164=1,F163=0),1,0)</f>
        <v>0</v>
      </c>
      <c r="M165">
        <f>IF(AND(Table2[[#This Row],[STATES in numeric format]]=-1,F164=-1,F163=0),1,0)</f>
        <v>0</v>
      </c>
      <c r="N165">
        <f>IF(AND(Table2[[#This Row],[STATES in numeric format]]=-1,F164=0,F163=1),1,0)</f>
        <v>0</v>
      </c>
      <c r="O165">
        <f>IF(AND(Table2[[#This Row],[STATES in numeric format]]=-1,F164=0,F163=-1),1,0)</f>
        <v>0</v>
      </c>
      <c r="P165">
        <f>IF(AND(Table2[[#This Row],[STATES in numeric format]]=1,F164=1,F163=1),1,0)</f>
        <v>1</v>
      </c>
      <c r="Q165">
        <f>IF(AND(Table2[[#This Row],[STATES in numeric format]]=1,F164=-1,F163=-1),1,0)</f>
        <v>0</v>
      </c>
      <c r="R165">
        <f>IF(AND(Table2[[#This Row],[STATES in numeric format]]=1,F164=-1,F163=1),1,0)</f>
        <v>0</v>
      </c>
      <c r="S165">
        <f>IF(AND(Table2[[#This Row],[STATES in numeric format]]=1,F164=1,F163=-1),1,0)</f>
        <v>0</v>
      </c>
      <c r="T165">
        <f>IF(AND(Table2[[#This Row],[STATES in numeric format]]=1,F164=0,F163=0),1,0)</f>
        <v>0</v>
      </c>
      <c r="U165">
        <f>IF(AND(Table2[[#This Row],[STATES in numeric format]]=1,F164=1,F163=0),1,0)</f>
        <v>0</v>
      </c>
      <c r="V165">
        <f>IF(AND(Table2[[#This Row],[STATES in numeric format]]=1,F164=-1,F163=0),1,0)</f>
        <v>0</v>
      </c>
      <c r="W165">
        <f>IF(AND(Table2[[#This Row],[STATES in numeric format]]=1,F164=0,F163=1),1,0)</f>
        <v>0</v>
      </c>
      <c r="X165">
        <f>IF(AND(Table2[[#This Row],[STATES in numeric format]]=1,F164=0,F163=-1),1,0)</f>
        <v>0</v>
      </c>
      <c r="Y165">
        <f>IF(AND(Table2[[#This Row],[STATES in numeric format]]=0,F164=1,F163=1),1,0)</f>
        <v>0</v>
      </c>
      <c r="Z165">
        <f>IF(AND(Table2[[#This Row],[STATES in numeric format]]=0,F164=-1,F163=-1),1,0)</f>
        <v>0</v>
      </c>
      <c r="AA165">
        <f>IF(AND(Table2[[#This Row],[STATES in numeric format]]=0,F164=-1,F163=1),1,0)</f>
        <v>0</v>
      </c>
      <c r="AB165">
        <f>IF(AND(Table2[[#This Row],[STATES in numeric format]]=0,F164=1,F163=-1),1,0)</f>
        <v>0</v>
      </c>
      <c r="AC165">
        <f>IF(AND(Table2[[#This Row],[STATES in numeric format]]=0,F164=0,F163=0),1,0)</f>
        <v>0</v>
      </c>
      <c r="AD165">
        <f>IF(AND(Table2[[#This Row],[STATES in numeric format]]=0,F164=1,F163=0),1,0)</f>
        <v>0</v>
      </c>
      <c r="AE165">
        <f>IF(AND(Table2[[#This Row],[STATES in numeric format]]=0,F164=-1,F163=0),1,0)</f>
        <v>0</v>
      </c>
      <c r="AF165">
        <f>IF(AND(Table2[[#This Row],[STATES in numeric format]]=0,F164=0,F163=1),1,0)</f>
        <v>0</v>
      </c>
      <c r="AG165">
        <f>IF(AND(Table2[[#This Row],[STATES in numeric format]]=0,F164=0,F163=-1),1,0)</f>
        <v>0</v>
      </c>
    </row>
    <row r="166" spans="1:33" x14ac:dyDescent="0.3">
      <c r="A166" s="1">
        <v>44070</v>
      </c>
      <c r="B166">
        <v>39113.47</v>
      </c>
      <c r="C166">
        <f>Table2[[#This Row],[Close]]-0.001*Table2[[#This Row],[Close]]</f>
        <v>39074.356530000005</v>
      </c>
      <c r="D166">
        <f>Table2[[#This Row],[Close]]+0.001*Table2[[#This Row],[Close]]</f>
        <v>39152.583469999998</v>
      </c>
      <c r="E166" t="str">
        <f>IF(Table2[[#This Row],[Close]]&gt;D165,"up",IF(Table2[[#This Row],[Close]]&lt;C165,"down","constant"))</f>
        <v>up</v>
      </c>
      <c r="F166" s="3">
        <f>IF(Table2[[#This Row],[States]]="up",1,IF(Table2[[#This Row],[States]]="down",-1,0))</f>
        <v>1</v>
      </c>
      <c r="G166">
        <f>IF(AND(Table2[[#This Row],[STATES in numeric format]]=-1,F165=1,F164=1),1,0)</f>
        <v>0</v>
      </c>
      <c r="H166">
        <f>IF(AND(Table2[[#This Row],[STATES in numeric format]]=-1,F165=-1,F164=-1),1,0)</f>
        <v>0</v>
      </c>
      <c r="I166">
        <f>IF(AND(Table2[[#This Row],[STATES in numeric format]]=-1,F165=-1,F164=1),1,0)</f>
        <v>0</v>
      </c>
      <c r="J166">
        <f>IF(AND(Table2[[#This Row],[STATES in numeric format]]=-1,F165=1,F164=-1),1,0)</f>
        <v>0</v>
      </c>
      <c r="K166">
        <f>IF(AND(Table2[[#This Row],[STATES in numeric format]]=-1,F165=0,F164=0),1,0)</f>
        <v>0</v>
      </c>
      <c r="L166">
        <f>IF(AND(Table2[[#This Row],[STATES in numeric format]]=-1,F165=1,F164=0),1,0)</f>
        <v>0</v>
      </c>
      <c r="M166">
        <f>IF(AND(Table2[[#This Row],[STATES in numeric format]]=-1,F165=-1,F164=0),1,0)</f>
        <v>0</v>
      </c>
      <c r="N166">
        <f>IF(AND(Table2[[#This Row],[STATES in numeric format]]=-1,F165=0,F164=1),1,0)</f>
        <v>0</v>
      </c>
      <c r="O166">
        <f>IF(AND(Table2[[#This Row],[STATES in numeric format]]=-1,F165=0,F164=-1),1,0)</f>
        <v>0</v>
      </c>
      <c r="P166">
        <f>IF(AND(Table2[[#This Row],[STATES in numeric format]]=1,F165=1,F164=1),1,0)</f>
        <v>1</v>
      </c>
      <c r="Q166">
        <f>IF(AND(Table2[[#This Row],[STATES in numeric format]]=1,F165=-1,F164=-1),1,0)</f>
        <v>0</v>
      </c>
      <c r="R166">
        <f>IF(AND(Table2[[#This Row],[STATES in numeric format]]=1,F165=-1,F164=1),1,0)</f>
        <v>0</v>
      </c>
      <c r="S166">
        <f>IF(AND(Table2[[#This Row],[STATES in numeric format]]=1,F165=1,F164=-1),1,0)</f>
        <v>0</v>
      </c>
      <c r="T166">
        <f>IF(AND(Table2[[#This Row],[STATES in numeric format]]=1,F165=0,F164=0),1,0)</f>
        <v>0</v>
      </c>
      <c r="U166">
        <f>IF(AND(Table2[[#This Row],[STATES in numeric format]]=1,F165=1,F164=0),1,0)</f>
        <v>0</v>
      </c>
      <c r="V166">
        <f>IF(AND(Table2[[#This Row],[STATES in numeric format]]=1,F165=-1,F164=0),1,0)</f>
        <v>0</v>
      </c>
      <c r="W166">
        <f>IF(AND(Table2[[#This Row],[STATES in numeric format]]=1,F165=0,F164=1),1,0)</f>
        <v>0</v>
      </c>
      <c r="X166">
        <f>IF(AND(Table2[[#This Row],[STATES in numeric format]]=1,F165=0,F164=-1),1,0)</f>
        <v>0</v>
      </c>
      <c r="Y166">
        <f>IF(AND(Table2[[#This Row],[STATES in numeric format]]=0,F165=1,F164=1),1,0)</f>
        <v>0</v>
      </c>
      <c r="Z166">
        <f>IF(AND(Table2[[#This Row],[STATES in numeric format]]=0,F165=-1,F164=-1),1,0)</f>
        <v>0</v>
      </c>
      <c r="AA166">
        <f>IF(AND(Table2[[#This Row],[STATES in numeric format]]=0,F165=-1,F164=1),1,0)</f>
        <v>0</v>
      </c>
      <c r="AB166">
        <f>IF(AND(Table2[[#This Row],[STATES in numeric format]]=0,F165=1,F164=-1),1,0)</f>
        <v>0</v>
      </c>
      <c r="AC166">
        <f>IF(AND(Table2[[#This Row],[STATES in numeric format]]=0,F165=0,F164=0),1,0)</f>
        <v>0</v>
      </c>
      <c r="AD166">
        <f>IF(AND(Table2[[#This Row],[STATES in numeric format]]=0,F165=1,F164=0),1,0)</f>
        <v>0</v>
      </c>
      <c r="AE166">
        <f>IF(AND(Table2[[#This Row],[STATES in numeric format]]=0,F165=-1,F164=0),1,0)</f>
        <v>0</v>
      </c>
      <c r="AF166">
        <f>IF(AND(Table2[[#This Row],[STATES in numeric format]]=0,F165=0,F164=1),1,0)</f>
        <v>0</v>
      </c>
      <c r="AG166">
        <f>IF(AND(Table2[[#This Row],[STATES in numeric format]]=0,F165=0,F164=-1),1,0)</f>
        <v>0</v>
      </c>
    </row>
    <row r="167" spans="1:33" x14ac:dyDescent="0.3">
      <c r="A167" s="1">
        <v>44071</v>
      </c>
      <c r="B167">
        <v>39467.31</v>
      </c>
      <c r="C167">
        <f>Table2[[#This Row],[Close]]-0.001*Table2[[#This Row],[Close]]</f>
        <v>39427.842689999998</v>
      </c>
      <c r="D167">
        <f>Table2[[#This Row],[Close]]+0.001*Table2[[#This Row],[Close]]</f>
        <v>39506.777309999998</v>
      </c>
      <c r="E167" t="str">
        <f>IF(Table2[[#This Row],[Close]]&gt;D166,"up",IF(Table2[[#This Row],[Close]]&lt;C166,"down","constant"))</f>
        <v>up</v>
      </c>
      <c r="F167" s="3">
        <f>IF(Table2[[#This Row],[States]]="up",1,IF(Table2[[#This Row],[States]]="down",-1,0))</f>
        <v>1</v>
      </c>
      <c r="G167">
        <f>IF(AND(Table2[[#This Row],[STATES in numeric format]]=-1,F166=1,F165=1),1,0)</f>
        <v>0</v>
      </c>
      <c r="H167">
        <f>IF(AND(Table2[[#This Row],[STATES in numeric format]]=-1,F166=-1,F165=-1),1,0)</f>
        <v>0</v>
      </c>
      <c r="I167">
        <f>IF(AND(Table2[[#This Row],[STATES in numeric format]]=-1,F166=-1,F165=1),1,0)</f>
        <v>0</v>
      </c>
      <c r="J167">
        <f>IF(AND(Table2[[#This Row],[STATES in numeric format]]=-1,F166=1,F165=-1),1,0)</f>
        <v>0</v>
      </c>
      <c r="K167">
        <f>IF(AND(Table2[[#This Row],[STATES in numeric format]]=-1,F166=0,F165=0),1,0)</f>
        <v>0</v>
      </c>
      <c r="L167">
        <f>IF(AND(Table2[[#This Row],[STATES in numeric format]]=-1,F166=1,F165=0),1,0)</f>
        <v>0</v>
      </c>
      <c r="M167">
        <f>IF(AND(Table2[[#This Row],[STATES in numeric format]]=-1,F166=-1,F165=0),1,0)</f>
        <v>0</v>
      </c>
      <c r="N167">
        <f>IF(AND(Table2[[#This Row],[STATES in numeric format]]=-1,F166=0,F165=1),1,0)</f>
        <v>0</v>
      </c>
      <c r="O167">
        <f>IF(AND(Table2[[#This Row],[STATES in numeric format]]=-1,F166=0,F165=-1),1,0)</f>
        <v>0</v>
      </c>
      <c r="P167">
        <f>IF(AND(Table2[[#This Row],[STATES in numeric format]]=1,F166=1,F165=1),1,0)</f>
        <v>1</v>
      </c>
      <c r="Q167">
        <f>IF(AND(Table2[[#This Row],[STATES in numeric format]]=1,F166=-1,F165=-1),1,0)</f>
        <v>0</v>
      </c>
      <c r="R167">
        <f>IF(AND(Table2[[#This Row],[STATES in numeric format]]=1,F166=-1,F165=1),1,0)</f>
        <v>0</v>
      </c>
      <c r="S167">
        <f>IF(AND(Table2[[#This Row],[STATES in numeric format]]=1,F166=1,F165=-1),1,0)</f>
        <v>0</v>
      </c>
      <c r="T167">
        <f>IF(AND(Table2[[#This Row],[STATES in numeric format]]=1,F166=0,F165=0),1,0)</f>
        <v>0</v>
      </c>
      <c r="U167">
        <f>IF(AND(Table2[[#This Row],[STATES in numeric format]]=1,F166=1,F165=0),1,0)</f>
        <v>0</v>
      </c>
      <c r="V167">
        <f>IF(AND(Table2[[#This Row],[STATES in numeric format]]=1,F166=-1,F165=0),1,0)</f>
        <v>0</v>
      </c>
      <c r="W167">
        <f>IF(AND(Table2[[#This Row],[STATES in numeric format]]=1,F166=0,F165=1),1,0)</f>
        <v>0</v>
      </c>
      <c r="X167">
        <f>IF(AND(Table2[[#This Row],[STATES in numeric format]]=1,F166=0,F165=-1),1,0)</f>
        <v>0</v>
      </c>
      <c r="Y167">
        <f>IF(AND(Table2[[#This Row],[STATES in numeric format]]=0,F166=1,F165=1),1,0)</f>
        <v>0</v>
      </c>
      <c r="Z167">
        <f>IF(AND(Table2[[#This Row],[STATES in numeric format]]=0,F166=-1,F165=-1),1,0)</f>
        <v>0</v>
      </c>
      <c r="AA167">
        <f>IF(AND(Table2[[#This Row],[STATES in numeric format]]=0,F166=-1,F165=1),1,0)</f>
        <v>0</v>
      </c>
      <c r="AB167">
        <f>IF(AND(Table2[[#This Row],[STATES in numeric format]]=0,F166=1,F165=-1),1,0)</f>
        <v>0</v>
      </c>
      <c r="AC167">
        <f>IF(AND(Table2[[#This Row],[STATES in numeric format]]=0,F166=0,F165=0),1,0)</f>
        <v>0</v>
      </c>
      <c r="AD167">
        <f>IF(AND(Table2[[#This Row],[STATES in numeric format]]=0,F166=1,F165=0),1,0)</f>
        <v>0</v>
      </c>
      <c r="AE167">
        <f>IF(AND(Table2[[#This Row],[STATES in numeric format]]=0,F166=-1,F165=0),1,0)</f>
        <v>0</v>
      </c>
      <c r="AF167">
        <f>IF(AND(Table2[[#This Row],[STATES in numeric format]]=0,F166=0,F165=1),1,0)</f>
        <v>0</v>
      </c>
      <c r="AG167">
        <f>IF(AND(Table2[[#This Row],[STATES in numeric format]]=0,F166=0,F165=-1),1,0)</f>
        <v>0</v>
      </c>
    </row>
    <row r="168" spans="1:33" x14ac:dyDescent="0.3">
      <c r="A168" s="1">
        <v>44074</v>
      </c>
      <c r="B168">
        <v>38628.29</v>
      </c>
      <c r="C168">
        <f>Table2[[#This Row],[Close]]-0.001*Table2[[#This Row],[Close]]</f>
        <v>38589.66171</v>
      </c>
      <c r="D168">
        <f>Table2[[#This Row],[Close]]+0.001*Table2[[#This Row],[Close]]</f>
        <v>38666.918290000001</v>
      </c>
      <c r="E168" t="str">
        <f>IF(Table2[[#This Row],[Close]]&gt;D167,"up",IF(Table2[[#This Row],[Close]]&lt;C167,"down","constant"))</f>
        <v>down</v>
      </c>
      <c r="F168" s="3">
        <f>IF(Table2[[#This Row],[States]]="up",1,IF(Table2[[#This Row],[States]]="down",-1,0))</f>
        <v>-1</v>
      </c>
      <c r="G168">
        <f>IF(AND(Table2[[#This Row],[STATES in numeric format]]=-1,F167=1,F166=1),1,0)</f>
        <v>1</v>
      </c>
      <c r="H168">
        <f>IF(AND(Table2[[#This Row],[STATES in numeric format]]=-1,F167=-1,F166=-1),1,0)</f>
        <v>0</v>
      </c>
      <c r="I168">
        <f>IF(AND(Table2[[#This Row],[STATES in numeric format]]=-1,F167=-1,F166=1),1,0)</f>
        <v>0</v>
      </c>
      <c r="J168">
        <f>IF(AND(Table2[[#This Row],[STATES in numeric format]]=-1,F167=1,F166=-1),1,0)</f>
        <v>0</v>
      </c>
      <c r="K168">
        <f>IF(AND(Table2[[#This Row],[STATES in numeric format]]=-1,F167=0,F166=0),1,0)</f>
        <v>0</v>
      </c>
      <c r="L168">
        <f>IF(AND(Table2[[#This Row],[STATES in numeric format]]=-1,F167=1,F166=0),1,0)</f>
        <v>0</v>
      </c>
      <c r="M168">
        <f>IF(AND(Table2[[#This Row],[STATES in numeric format]]=-1,F167=-1,F166=0),1,0)</f>
        <v>0</v>
      </c>
      <c r="N168">
        <f>IF(AND(Table2[[#This Row],[STATES in numeric format]]=-1,F167=0,F166=1),1,0)</f>
        <v>0</v>
      </c>
      <c r="O168">
        <f>IF(AND(Table2[[#This Row],[STATES in numeric format]]=-1,F167=0,F166=-1),1,0)</f>
        <v>0</v>
      </c>
      <c r="P168">
        <f>IF(AND(Table2[[#This Row],[STATES in numeric format]]=1,F167=1,F166=1),1,0)</f>
        <v>0</v>
      </c>
      <c r="Q168">
        <f>IF(AND(Table2[[#This Row],[STATES in numeric format]]=1,F167=-1,F166=-1),1,0)</f>
        <v>0</v>
      </c>
      <c r="R168">
        <f>IF(AND(Table2[[#This Row],[STATES in numeric format]]=1,F167=-1,F166=1),1,0)</f>
        <v>0</v>
      </c>
      <c r="S168">
        <f>IF(AND(Table2[[#This Row],[STATES in numeric format]]=1,F167=1,F166=-1),1,0)</f>
        <v>0</v>
      </c>
      <c r="T168">
        <f>IF(AND(Table2[[#This Row],[STATES in numeric format]]=1,F167=0,F166=0),1,0)</f>
        <v>0</v>
      </c>
      <c r="U168">
        <f>IF(AND(Table2[[#This Row],[STATES in numeric format]]=1,F167=1,F166=0),1,0)</f>
        <v>0</v>
      </c>
      <c r="V168">
        <f>IF(AND(Table2[[#This Row],[STATES in numeric format]]=1,F167=-1,F166=0),1,0)</f>
        <v>0</v>
      </c>
      <c r="W168">
        <f>IF(AND(Table2[[#This Row],[STATES in numeric format]]=1,F167=0,F166=1),1,0)</f>
        <v>0</v>
      </c>
      <c r="X168">
        <f>IF(AND(Table2[[#This Row],[STATES in numeric format]]=1,F167=0,F166=-1),1,0)</f>
        <v>0</v>
      </c>
      <c r="Y168">
        <f>IF(AND(Table2[[#This Row],[STATES in numeric format]]=0,F167=1,F166=1),1,0)</f>
        <v>0</v>
      </c>
      <c r="Z168">
        <f>IF(AND(Table2[[#This Row],[STATES in numeric format]]=0,F167=-1,F166=-1),1,0)</f>
        <v>0</v>
      </c>
      <c r="AA168">
        <f>IF(AND(Table2[[#This Row],[STATES in numeric format]]=0,F167=-1,F166=1),1,0)</f>
        <v>0</v>
      </c>
      <c r="AB168">
        <f>IF(AND(Table2[[#This Row],[STATES in numeric format]]=0,F167=1,F166=-1),1,0)</f>
        <v>0</v>
      </c>
      <c r="AC168">
        <f>IF(AND(Table2[[#This Row],[STATES in numeric format]]=0,F167=0,F166=0),1,0)</f>
        <v>0</v>
      </c>
      <c r="AD168">
        <f>IF(AND(Table2[[#This Row],[STATES in numeric format]]=0,F167=1,F166=0),1,0)</f>
        <v>0</v>
      </c>
      <c r="AE168">
        <f>IF(AND(Table2[[#This Row],[STATES in numeric format]]=0,F167=-1,F166=0),1,0)</f>
        <v>0</v>
      </c>
      <c r="AF168">
        <f>IF(AND(Table2[[#This Row],[STATES in numeric format]]=0,F167=0,F166=1),1,0)</f>
        <v>0</v>
      </c>
      <c r="AG168">
        <f>IF(AND(Table2[[#This Row],[STATES in numeric format]]=0,F167=0,F166=-1),1,0)</f>
        <v>0</v>
      </c>
    </row>
    <row r="169" spans="1:33" x14ac:dyDescent="0.3">
      <c r="A169" s="1">
        <v>44075</v>
      </c>
      <c r="B169">
        <v>38900.800000000003</v>
      </c>
      <c r="C169">
        <f>Table2[[#This Row],[Close]]-0.001*Table2[[#This Row],[Close]]</f>
        <v>38861.8992</v>
      </c>
      <c r="D169">
        <f>Table2[[#This Row],[Close]]+0.001*Table2[[#This Row],[Close]]</f>
        <v>38939.700800000006</v>
      </c>
      <c r="E169" t="str">
        <f>IF(Table2[[#This Row],[Close]]&gt;D168,"up",IF(Table2[[#This Row],[Close]]&lt;C168,"down","constant"))</f>
        <v>up</v>
      </c>
      <c r="F169" s="3">
        <f>IF(Table2[[#This Row],[States]]="up",1,IF(Table2[[#This Row],[States]]="down",-1,0))</f>
        <v>1</v>
      </c>
      <c r="G169">
        <f>IF(AND(Table2[[#This Row],[STATES in numeric format]]=-1,F168=1,F167=1),1,0)</f>
        <v>0</v>
      </c>
      <c r="H169">
        <f>IF(AND(Table2[[#This Row],[STATES in numeric format]]=-1,F168=-1,F167=-1),1,0)</f>
        <v>0</v>
      </c>
      <c r="I169">
        <f>IF(AND(Table2[[#This Row],[STATES in numeric format]]=-1,F168=-1,F167=1),1,0)</f>
        <v>0</v>
      </c>
      <c r="J169">
        <f>IF(AND(Table2[[#This Row],[STATES in numeric format]]=-1,F168=1,F167=-1),1,0)</f>
        <v>0</v>
      </c>
      <c r="K169">
        <f>IF(AND(Table2[[#This Row],[STATES in numeric format]]=-1,F168=0,F167=0),1,0)</f>
        <v>0</v>
      </c>
      <c r="L169">
        <f>IF(AND(Table2[[#This Row],[STATES in numeric format]]=-1,F168=1,F167=0),1,0)</f>
        <v>0</v>
      </c>
      <c r="M169">
        <f>IF(AND(Table2[[#This Row],[STATES in numeric format]]=-1,F168=-1,F167=0),1,0)</f>
        <v>0</v>
      </c>
      <c r="N169">
        <f>IF(AND(Table2[[#This Row],[STATES in numeric format]]=-1,F168=0,F167=1),1,0)</f>
        <v>0</v>
      </c>
      <c r="O169">
        <f>IF(AND(Table2[[#This Row],[STATES in numeric format]]=-1,F168=0,F167=-1),1,0)</f>
        <v>0</v>
      </c>
      <c r="P169">
        <f>IF(AND(Table2[[#This Row],[STATES in numeric format]]=1,F168=1,F167=1),1,0)</f>
        <v>0</v>
      </c>
      <c r="Q169">
        <f>IF(AND(Table2[[#This Row],[STATES in numeric format]]=1,F168=-1,F167=-1),1,0)</f>
        <v>0</v>
      </c>
      <c r="R169">
        <f>IF(AND(Table2[[#This Row],[STATES in numeric format]]=1,F168=-1,F167=1),1,0)</f>
        <v>1</v>
      </c>
      <c r="S169">
        <f>IF(AND(Table2[[#This Row],[STATES in numeric format]]=1,F168=1,F167=-1),1,0)</f>
        <v>0</v>
      </c>
      <c r="T169">
        <f>IF(AND(Table2[[#This Row],[STATES in numeric format]]=1,F168=0,F167=0),1,0)</f>
        <v>0</v>
      </c>
      <c r="U169">
        <f>IF(AND(Table2[[#This Row],[STATES in numeric format]]=1,F168=1,F167=0),1,0)</f>
        <v>0</v>
      </c>
      <c r="V169">
        <f>IF(AND(Table2[[#This Row],[STATES in numeric format]]=1,F168=-1,F167=0),1,0)</f>
        <v>0</v>
      </c>
      <c r="W169">
        <f>IF(AND(Table2[[#This Row],[STATES in numeric format]]=1,F168=0,F167=1),1,0)</f>
        <v>0</v>
      </c>
      <c r="X169">
        <f>IF(AND(Table2[[#This Row],[STATES in numeric format]]=1,F168=0,F167=-1),1,0)</f>
        <v>0</v>
      </c>
      <c r="Y169">
        <f>IF(AND(Table2[[#This Row],[STATES in numeric format]]=0,F168=1,F167=1),1,0)</f>
        <v>0</v>
      </c>
      <c r="Z169">
        <f>IF(AND(Table2[[#This Row],[STATES in numeric format]]=0,F168=-1,F167=-1),1,0)</f>
        <v>0</v>
      </c>
      <c r="AA169">
        <f>IF(AND(Table2[[#This Row],[STATES in numeric format]]=0,F168=-1,F167=1),1,0)</f>
        <v>0</v>
      </c>
      <c r="AB169">
        <f>IF(AND(Table2[[#This Row],[STATES in numeric format]]=0,F168=1,F167=-1),1,0)</f>
        <v>0</v>
      </c>
      <c r="AC169">
        <f>IF(AND(Table2[[#This Row],[STATES in numeric format]]=0,F168=0,F167=0),1,0)</f>
        <v>0</v>
      </c>
      <c r="AD169">
        <f>IF(AND(Table2[[#This Row],[STATES in numeric format]]=0,F168=1,F167=0),1,0)</f>
        <v>0</v>
      </c>
      <c r="AE169">
        <f>IF(AND(Table2[[#This Row],[STATES in numeric format]]=0,F168=-1,F167=0),1,0)</f>
        <v>0</v>
      </c>
      <c r="AF169">
        <f>IF(AND(Table2[[#This Row],[STATES in numeric format]]=0,F168=0,F167=1),1,0)</f>
        <v>0</v>
      </c>
      <c r="AG169">
        <f>IF(AND(Table2[[#This Row],[STATES in numeric format]]=0,F168=0,F167=-1),1,0)</f>
        <v>0</v>
      </c>
    </row>
    <row r="170" spans="1:33" x14ac:dyDescent="0.3">
      <c r="A170" s="1">
        <v>44076</v>
      </c>
      <c r="B170">
        <v>39086.03</v>
      </c>
      <c r="C170">
        <f>Table2[[#This Row],[Close]]-0.001*Table2[[#This Row],[Close]]</f>
        <v>39046.94397</v>
      </c>
      <c r="D170">
        <f>Table2[[#This Row],[Close]]+0.001*Table2[[#This Row],[Close]]</f>
        <v>39125.116029999997</v>
      </c>
      <c r="E170" t="str">
        <f>IF(Table2[[#This Row],[Close]]&gt;D169,"up",IF(Table2[[#This Row],[Close]]&lt;C169,"down","constant"))</f>
        <v>up</v>
      </c>
      <c r="F170" s="3">
        <f>IF(Table2[[#This Row],[States]]="up",1,IF(Table2[[#This Row],[States]]="down",-1,0))</f>
        <v>1</v>
      </c>
      <c r="G170">
        <f>IF(AND(Table2[[#This Row],[STATES in numeric format]]=-1,F169=1,F168=1),1,0)</f>
        <v>0</v>
      </c>
      <c r="H170">
        <f>IF(AND(Table2[[#This Row],[STATES in numeric format]]=-1,F169=-1,F168=-1),1,0)</f>
        <v>0</v>
      </c>
      <c r="I170">
        <f>IF(AND(Table2[[#This Row],[STATES in numeric format]]=-1,F169=-1,F168=1),1,0)</f>
        <v>0</v>
      </c>
      <c r="J170">
        <f>IF(AND(Table2[[#This Row],[STATES in numeric format]]=-1,F169=1,F168=-1),1,0)</f>
        <v>0</v>
      </c>
      <c r="K170">
        <f>IF(AND(Table2[[#This Row],[STATES in numeric format]]=-1,F169=0,F168=0),1,0)</f>
        <v>0</v>
      </c>
      <c r="L170">
        <f>IF(AND(Table2[[#This Row],[STATES in numeric format]]=-1,F169=1,F168=0),1,0)</f>
        <v>0</v>
      </c>
      <c r="M170">
        <f>IF(AND(Table2[[#This Row],[STATES in numeric format]]=-1,F169=-1,F168=0),1,0)</f>
        <v>0</v>
      </c>
      <c r="N170">
        <f>IF(AND(Table2[[#This Row],[STATES in numeric format]]=-1,F169=0,F168=1),1,0)</f>
        <v>0</v>
      </c>
      <c r="O170">
        <f>IF(AND(Table2[[#This Row],[STATES in numeric format]]=-1,F169=0,F168=-1),1,0)</f>
        <v>0</v>
      </c>
      <c r="P170">
        <f>IF(AND(Table2[[#This Row],[STATES in numeric format]]=1,F169=1,F168=1),1,0)</f>
        <v>0</v>
      </c>
      <c r="Q170">
        <f>IF(AND(Table2[[#This Row],[STATES in numeric format]]=1,F169=-1,F168=-1),1,0)</f>
        <v>0</v>
      </c>
      <c r="R170">
        <f>IF(AND(Table2[[#This Row],[STATES in numeric format]]=1,F169=-1,F168=1),1,0)</f>
        <v>0</v>
      </c>
      <c r="S170">
        <f>IF(AND(Table2[[#This Row],[STATES in numeric format]]=1,F169=1,F168=-1),1,0)</f>
        <v>1</v>
      </c>
      <c r="T170">
        <f>IF(AND(Table2[[#This Row],[STATES in numeric format]]=1,F169=0,F168=0),1,0)</f>
        <v>0</v>
      </c>
      <c r="U170">
        <f>IF(AND(Table2[[#This Row],[STATES in numeric format]]=1,F169=1,F168=0),1,0)</f>
        <v>0</v>
      </c>
      <c r="V170">
        <f>IF(AND(Table2[[#This Row],[STATES in numeric format]]=1,F169=-1,F168=0),1,0)</f>
        <v>0</v>
      </c>
      <c r="W170">
        <f>IF(AND(Table2[[#This Row],[STATES in numeric format]]=1,F169=0,F168=1),1,0)</f>
        <v>0</v>
      </c>
      <c r="X170">
        <f>IF(AND(Table2[[#This Row],[STATES in numeric format]]=1,F169=0,F168=-1),1,0)</f>
        <v>0</v>
      </c>
      <c r="Y170">
        <f>IF(AND(Table2[[#This Row],[STATES in numeric format]]=0,F169=1,F168=1),1,0)</f>
        <v>0</v>
      </c>
      <c r="Z170">
        <f>IF(AND(Table2[[#This Row],[STATES in numeric format]]=0,F169=-1,F168=-1),1,0)</f>
        <v>0</v>
      </c>
      <c r="AA170">
        <f>IF(AND(Table2[[#This Row],[STATES in numeric format]]=0,F169=-1,F168=1),1,0)</f>
        <v>0</v>
      </c>
      <c r="AB170">
        <f>IF(AND(Table2[[#This Row],[STATES in numeric format]]=0,F169=1,F168=-1),1,0)</f>
        <v>0</v>
      </c>
      <c r="AC170">
        <f>IF(AND(Table2[[#This Row],[STATES in numeric format]]=0,F169=0,F168=0),1,0)</f>
        <v>0</v>
      </c>
      <c r="AD170">
        <f>IF(AND(Table2[[#This Row],[STATES in numeric format]]=0,F169=1,F168=0),1,0)</f>
        <v>0</v>
      </c>
      <c r="AE170">
        <f>IF(AND(Table2[[#This Row],[STATES in numeric format]]=0,F169=-1,F168=0),1,0)</f>
        <v>0</v>
      </c>
      <c r="AF170">
        <f>IF(AND(Table2[[#This Row],[STATES in numeric format]]=0,F169=0,F168=1),1,0)</f>
        <v>0</v>
      </c>
      <c r="AG170">
        <f>IF(AND(Table2[[#This Row],[STATES in numeric format]]=0,F169=0,F168=-1),1,0)</f>
        <v>0</v>
      </c>
    </row>
    <row r="171" spans="1:33" x14ac:dyDescent="0.3">
      <c r="A171" s="1">
        <v>44077</v>
      </c>
      <c r="B171">
        <v>38990.94</v>
      </c>
      <c r="C171">
        <f>Table2[[#This Row],[Close]]-0.001*Table2[[#This Row],[Close]]</f>
        <v>38951.949059999999</v>
      </c>
      <c r="D171">
        <f>Table2[[#This Row],[Close]]+0.001*Table2[[#This Row],[Close]]</f>
        <v>39029.930940000006</v>
      </c>
      <c r="E171" t="str">
        <f>IF(Table2[[#This Row],[Close]]&gt;D170,"up",IF(Table2[[#This Row],[Close]]&lt;C170,"down","constant"))</f>
        <v>down</v>
      </c>
      <c r="F171" s="3">
        <f>IF(Table2[[#This Row],[States]]="up",1,IF(Table2[[#This Row],[States]]="down",-1,0))</f>
        <v>-1</v>
      </c>
      <c r="G171">
        <f>IF(AND(Table2[[#This Row],[STATES in numeric format]]=-1,F170=1,F169=1),1,0)</f>
        <v>1</v>
      </c>
      <c r="H171">
        <f>IF(AND(Table2[[#This Row],[STATES in numeric format]]=-1,F170=-1,F169=-1),1,0)</f>
        <v>0</v>
      </c>
      <c r="I171">
        <f>IF(AND(Table2[[#This Row],[STATES in numeric format]]=-1,F170=-1,F169=1),1,0)</f>
        <v>0</v>
      </c>
      <c r="J171">
        <f>IF(AND(Table2[[#This Row],[STATES in numeric format]]=-1,F170=1,F169=-1),1,0)</f>
        <v>0</v>
      </c>
      <c r="K171">
        <f>IF(AND(Table2[[#This Row],[STATES in numeric format]]=-1,F170=0,F169=0),1,0)</f>
        <v>0</v>
      </c>
      <c r="L171">
        <f>IF(AND(Table2[[#This Row],[STATES in numeric format]]=-1,F170=1,F169=0),1,0)</f>
        <v>0</v>
      </c>
      <c r="M171">
        <f>IF(AND(Table2[[#This Row],[STATES in numeric format]]=-1,F170=-1,F169=0),1,0)</f>
        <v>0</v>
      </c>
      <c r="N171">
        <f>IF(AND(Table2[[#This Row],[STATES in numeric format]]=-1,F170=0,F169=1),1,0)</f>
        <v>0</v>
      </c>
      <c r="O171">
        <f>IF(AND(Table2[[#This Row],[STATES in numeric format]]=-1,F170=0,F169=-1),1,0)</f>
        <v>0</v>
      </c>
      <c r="P171">
        <f>IF(AND(Table2[[#This Row],[STATES in numeric format]]=1,F170=1,F169=1),1,0)</f>
        <v>0</v>
      </c>
      <c r="Q171">
        <f>IF(AND(Table2[[#This Row],[STATES in numeric format]]=1,F170=-1,F169=-1),1,0)</f>
        <v>0</v>
      </c>
      <c r="R171">
        <f>IF(AND(Table2[[#This Row],[STATES in numeric format]]=1,F170=-1,F169=1),1,0)</f>
        <v>0</v>
      </c>
      <c r="S171">
        <f>IF(AND(Table2[[#This Row],[STATES in numeric format]]=1,F170=1,F169=-1),1,0)</f>
        <v>0</v>
      </c>
      <c r="T171">
        <f>IF(AND(Table2[[#This Row],[STATES in numeric format]]=1,F170=0,F169=0),1,0)</f>
        <v>0</v>
      </c>
      <c r="U171">
        <f>IF(AND(Table2[[#This Row],[STATES in numeric format]]=1,F170=1,F169=0),1,0)</f>
        <v>0</v>
      </c>
      <c r="V171">
        <f>IF(AND(Table2[[#This Row],[STATES in numeric format]]=1,F170=-1,F169=0),1,0)</f>
        <v>0</v>
      </c>
      <c r="W171">
        <f>IF(AND(Table2[[#This Row],[STATES in numeric format]]=1,F170=0,F169=1),1,0)</f>
        <v>0</v>
      </c>
      <c r="X171">
        <f>IF(AND(Table2[[#This Row],[STATES in numeric format]]=1,F170=0,F169=-1),1,0)</f>
        <v>0</v>
      </c>
      <c r="Y171">
        <f>IF(AND(Table2[[#This Row],[STATES in numeric format]]=0,F170=1,F169=1),1,0)</f>
        <v>0</v>
      </c>
      <c r="Z171">
        <f>IF(AND(Table2[[#This Row],[STATES in numeric format]]=0,F170=-1,F169=-1),1,0)</f>
        <v>0</v>
      </c>
      <c r="AA171">
        <f>IF(AND(Table2[[#This Row],[STATES in numeric format]]=0,F170=-1,F169=1),1,0)</f>
        <v>0</v>
      </c>
      <c r="AB171">
        <f>IF(AND(Table2[[#This Row],[STATES in numeric format]]=0,F170=1,F169=-1),1,0)</f>
        <v>0</v>
      </c>
      <c r="AC171">
        <f>IF(AND(Table2[[#This Row],[STATES in numeric format]]=0,F170=0,F169=0),1,0)</f>
        <v>0</v>
      </c>
      <c r="AD171">
        <f>IF(AND(Table2[[#This Row],[STATES in numeric format]]=0,F170=1,F169=0),1,0)</f>
        <v>0</v>
      </c>
      <c r="AE171">
        <f>IF(AND(Table2[[#This Row],[STATES in numeric format]]=0,F170=-1,F169=0),1,0)</f>
        <v>0</v>
      </c>
      <c r="AF171">
        <f>IF(AND(Table2[[#This Row],[STATES in numeric format]]=0,F170=0,F169=1),1,0)</f>
        <v>0</v>
      </c>
      <c r="AG171">
        <f>IF(AND(Table2[[#This Row],[STATES in numeric format]]=0,F170=0,F169=-1),1,0)</f>
        <v>0</v>
      </c>
    </row>
    <row r="172" spans="1:33" x14ac:dyDescent="0.3">
      <c r="A172" s="1">
        <v>44078</v>
      </c>
      <c r="B172">
        <v>38357.18</v>
      </c>
      <c r="C172">
        <f>Table2[[#This Row],[Close]]-0.001*Table2[[#This Row],[Close]]</f>
        <v>38318.822820000001</v>
      </c>
      <c r="D172">
        <f>Table2[[#This Row],[Close]]+0.001*Table2[[#This Row],[Close]]</f>
        <v>38395.537179999999</v>
      </c>
      <c r="E172" t="str">
        <f>IF(Table2[[#This Row],[Close]]&gt;D171,"up",IF(Table2[[#This Row],[Close]]&lt;C171,"down","constant"))</f>
        <v>down</v>
      </c>
      <c r="F172" s="3">
        <f>IF(Table2[[#This Row],[States]]="up",1,IF(Table2[[#This Row],[States]]="down",-1,0))</f>
        <v>-1</v>
      </c>
      <c r="G172">
        <f>IF(AND(Table2[[#This Row],[STATES in numeric format]]=-1,F171=1,F170=1),1,0)</f>
        <v>0</v>
      </c>
      <c r="H172">
        <f>IF(AND(Table2[[#This Row],[STATES in numeric format]]=-1,F171=-1,F170=-1),1,0)</f>
        <v>0</v>
      </c>
      <c r="I172">
        <f>IF(AND(Table2[[#This Row],[STATES in numeric format]]=-1,F171=-1,F170=1),1,0)</f>
        <v>1</v>
      </c>
      <c r="J172">
        <f>IF(AND(Table2[[#This Row],[STATES in numeric format]]=-1,F171=1,F170=-1),1,0)</f>
        <v>0</v>
      </c>
      <c r="K172">
        <f>IF(AND(Table2[[#This Row],[STATES in numeric format]]=-1,F171=0,F170=0),1,0)</f>
        <v>0</v>
      </c>
      <c r="L172">
        <f>IF(AND(Table2[[#This Row],[STATES in numeric format]]=-1,F171=1,F170=0),1,0)</f>
        <v>0</v>
      </c>
      <c r="M172">
        <f>IF(AND(Table2[[#This Row],[STATES in numeric format]]=-1,F171=-1,F170=0),1,0)</f>
        <v>0</v>
      </c>
      <c r="N172">
        <f>IF(AND(Table2[[#This Row],[STATES in numeric format]]=-1,F171=0,F170=1),1,0)</f>
        <v>0</v>
      </c>
      <c r="O172">
        <f>IF(AND(Table2[[#This Row],[STATES in numeric format]]=-1,F171=0,F170=-1),1,0)</f>
        <v>0</v>
      </c>
      <c r="P172">
        <f>IF(AND(Table2[[#This Row],[STATES in numeric format]]=1,F171=1,F170=1),1,0)</f>
        <v>0</v>
      </c>
      <c r="Q172">
        <f>IF(AND(Table2[[#This Row],[STATES in numeric format]]=1,F171=-1,F170=-1),1,0)</f>
        <v>0</v>
      </c>
      <c r="R172">
        <f>IF(AND(Table2[[#This Row],[STATES in numeric format]]=1,F171=-1,F170=1),1,0)</f>
        <v>0</v>
      </c>
      <c r="S172">
        <f>IF(AND(Table2[[#This Row],[STATES in numeric format]]=1,F171=1,F170=-1),1,0)</f>
        <v>0</v>
      </c>
      <c r="T172">
        <f>IF(AND(Table2[[#This Row],[STATES in numeric format]]=1,F171=0,F170=0),1,0)</f>
        <v>0</v>
      </c>
      <c r="U172">
        <f>IF(AND(Table2[[#This Row],[STATES in numeric format]]=1,F171=1,F170=0),1,0)</f>
        <v>0</v>
      </c>
      <c r="V172">
        <f>IF(AND(Table2[[#This Row],[STATES in numeric format]]=1,F171=-1,F170=0),1,0)</f>
        <v>0</v>
      </c>
      <c r="W172">
        <f>IF(AND(Table2[[#This Row],[STATES in numeric format]]=1,F171=0,F170=1),1,0)</f>
        <v>0</v>
      </c>
      <c r="X172">
        <f>IF(AND(Table2[[#This Row],[STATES in numeric format]]=1,F171=0,F170=-1),1,0)</f>
        <v>0</v>
      </c>
      <c r="Y172">
        <f>IF(AND(Table2[[#This Row],[STATES in numeric format]]=0,F171=1,F170=1),1,0)</f>
        <v>0</v>
      </c>
      <c r="Z172">
        <f>IF(AND(Table2[[#This Row],[STATES in numeric format]]=0,F171=-1,F170=-1),1,0)</f>
        <v>0</v>
      </c>
      <c r="AA172">
        <f>IF(AND(Table2[[#This Row],[STATES in numeric format]]=0,F171=-1,F170=1),1,0)</f>
        <v>0</v>
      </c>
      <c r="AB172">
        <f>IF(AND(Table2[[#This Row],[STATES in numeric format]]=0,F171=1,F170=-1),1,0)</f>
        <v>0</v>
      </c>
      <c r="AC172">
        <f>IF(AND(Table2[[#This Row],[STATES in numeric format]]=0,F171=0,F170=0),1,0)</f>
        <v>0</v>
      </c>
      <c r="AD172">
        <f>IF(AND(Table2[[#This Row],[STATES in numeric format]]=0,F171=1,F170=0),1,0)</f>
        <v>0</v>
      </c>
      <c r="AE172">
        <f>IF(AND(Table2[[#This Row],[STATES in numeric format]]=0,F171=-1,F170=0),1,0)</f>
        <v>0</v>
      </c>
      <c r="AF172">
        <f>IF(AND(Table2[[#This Row],[STATES in numeric format]]=0,F171=0,F170=1),1,0)</f>
        <v>0</v>
      </c>
      <c r="AG172">
        <f>IF(AND(Table2[[#This Row],[STATES in numeric format]]=0,F171=0,F170=-1),1,0)</f>
        <v>0</v>
      </c>
    </row>
    <row r="173" spans="1:33" x14ac:dyDescent="0.3">
      <c r="A173" s="1">
        <v>44081</v>
      </c>
      <c r="B173">
        <v>38417.230000000003</v>
      </c>
      <c r="C173">
        <f>Table2[[#This Row],[Close]]-0.001*Table2[[#This Row],[Close]]</f>
        <v>38378.812770000004</v>
      </c>
      <c r="D173">
        <f>Table2[[#This Row],[Close]]+0.001*Table2[[#This Row],[Close]]</f>
        <v>38455.647230000002</v>
      </c>
      <c r="E173" t="str">
        <f>IF(Table2[[#This Row],[Close]]&gt;D172,"up",IF(Table2[[#This Row],[Close]]&lt;C172,"down","constant"))</f>
        <v>up</v>
      </c>
      <c r="F173" s="3">
        <f>IF(Table2[[#This Row],[States]]="up",1,IF(Table2[[#This Row],[States]]="down",-1,0))</f>
        <v>1</v>
      </c>
      <c r="G173">
        <f>IF(AND(Table2[[#This Row],[STATES in numeric format]]=-1,F172=1,F171=1),1,0)</f>
        <v>0</v>
      </c>
      <c r="H173">
        <f>IF(AND(Table2[[#This Row],[STATES in numeric format]]=-1,F172=-1,F171=-1),1,0)</f>
        <v>0</v>
      </c>
      <c r="I173">
        <f>IF(AND(Table2[[#This Row],[STATES in numeric format]]=-1,F172=-1,F171=1),1,0)</f>
        <v>0</v>
      </c>
      <c r="J173">
        <f>IF(AND(Table2[[#This Row],[STATES in numeric format]]=-1,F172=1,F171=-1),1,0)</f>
        <v>0</v>
      </c>
      <c r="K173">
        <f>IF(AND(Table2[[#This Row],[STATES in numeric format]]=-1,F172=0,F171=0),1,0)</f>
        <v>0</v>
      </c>
      <c r="L173">
        <f>IF(AND(Table2[[#This Row],[STATES in numeric format]]=-1,F172=1,F171=0),1,0)</f>
        <v>0</v>
      </c>
      <c r="M173">
        <f>IF(AND(Table2[[#This Row],[STATES in numeric format]]=-1,F172=-1,F171=0),1,0)</f>
        <v>0</v>
      </c>
      <c r="N173">
        <f>IF(AND(Table2[[#This Row],[STATES in numeric format]]=-1,F172=0,F171=1),1,0)</f>
        <v>0</v>
      </c>
      <c r="O173">
        <f>IF(AND(Table2[[#This Row],[STATES in numeric format]]=-1,F172=0,F171=-1),1,0)</f>
        <v>0</v>
      </c>
      <c r="P173">
        <f>IF(AND(Table2[[#This Row],[STATES in numeric format]]=1,F172=1,F171=1),1,0)</f>
        <v>0</v>
      </c>
      <c r="Q173">
        <f>IF(AND(Table2[[#This Row],[STATES in numeric format]]=1,F172=-1,F171=-1),1,0)</f>
        <v>1</v>
      </c>
      <c r="R173">
        <f>IF(AND(Table2[[#This Row],[STATES in numeric format]]=1,F172=-1,F171=1),1,0)</f>
        <v>0</v>
      </c>
      <c r="S173">
        <f>IF(AND(Table2[[#This Row],[STATES in numeric format]]=1,F172=1,F171=-1),1,0)</f>
        <v>0</v>
      </c>
      <c r="T173">
        <f>IF(AND(Table2[[#This Row],[STATES in numeric format]]=1,F172=0,F171=0),1,0)</f>
        <v>0</v>
      </c>
      <c r="U173">
        <f>IF(AND(Table2[[#This Row],[STATES in numeric format]]=1,F172=1,F171=0),1,0)</f>
        <v>0</v>
      </c>
      <c r="V173">
        <f>IF(AND(Table2[[#This Row],[STATES in numeric format]]=1,F172=-1,F171=0),1,0)</f>
        <v>0</v>
      </c>
      <c r="W173">
        <f>IF(AND(Table2[[#This Row],[STATES in numeric format]]=1,F172=0,F171=1),1,0)</f>
        <v>0</v>
      </c>
      <c r="X173">
        <f>IF(AND(Table2[[#This Row],[STATES in numeric format]]=1,F172=0,F171=-1),1,0)</f>
        <v>0</v>
      </c>
      <c r="Y173">
        <f>IF(AND(Table2[[#This Row],[STATES in numeric format]]=0,F172=1,F171=1),1,0)</f>
        <v>0</v>
      </c>
      <c r="Z173">
        <f>IF(AND(Table2[[#This Row],[STATES in numeric format]]=0,F172=-1,F171=-1),1,0)</f>
        <v>0</v>
      </c>
      <c r="AA173">
        <f>IF(AND(Table2[[#This Row],[STATES in numeric format]]=0,F172=-1,F171=1),1,0)</f>
        <v>0</v>
      </c>
      <c r="AB173">
        <f>IF(AND(Table2[[#This Row],[STATES in numeric format]]=0,F172=1,F171=-1),1,0)</f>
        <v>0</v>
      </c>
      <c r="AC173">
        <f>IF(AND(Table2[[#This Row],[STATES in numeric format]]=0,F172=0,F171=0),1,0)</f>
        <v>0</v>
      </c>
      <c r="AD173">
        <f>IF(AND(Table2[[#This Row],[STATES in numeric format]]=0,F172=1,F171=0),1,0)</f>
        <v>0</v>
      </c>
      <c r="AE173">
        <f>IF(AND(Table2[[#This Row],[STATES in numeric format]]=0,F172=-1,F171=0),1,0)</f>
        <v>0</v>
      </c>
      <c r="AF173">
        <f>IF(AND(Table2[[#This Row],[STATES in numeric format]]=0,F172=0,F171=1),1,0)</f>
        <v>0</v>
      </c>
      <c r="AG173">
        <f>IF(AND(Table2[[#This Row],[STATES in numeric format]]=0,F172=0,F171=-1),1,0)</f>
        <v>0</v>
      </c>
    </row>
    <row r="174" spans="1:33" x14ac:dyDescent="0.3">
      <c r="A174" s="1">
        <v>44082</v>
      </c>
      <c r="B174">
        <v>38365.35</v>
      </c>
      <c r="C174">
        <f>Table2[[#This Row],[Close]]-0.001*Table2[[#This Row],[Close]]</f>
        <v>38326.984649999999</v>
      </c>
      <c r="D174">
        <f>Table2[[#This Row],[Close]]+0.001*Table2[[#This Row],[Close]]</f>
        <v>38403.715349999999</v>
      </c>
      <c r="E174" t="str">
        <f>IF(Table2[[#This Row],[Close]]&gt;D173,"up",IF(Table2[[#This Row],[Close]]&lt;C173,"down","constant"))</f>
        <v>down</v>
      </c>
      <c r="F174" s="3">
        <f>IF(Table2[[#This Row],[States]]="up",1,IF(Table2[[#This Row],[States]]="down",-1,0))</f>
        <v>-1</v>
      </c>
      <c r="G174">
        <f>IF(AND(Table2[[#This Row],[STATES in numeric format]]=-1,F173=1,F172=1),1,0)</f>
        <v>0</v>
      </c>
      <c r="H174">
        <f>IF(AND(Table2[[#This Row],[STATES in numeric format]]=-1,F173=-1,F172=-1),1,0)</f>
        <v>0</v>
      </c>
      <c r="I174">
        <f>IF(AND(Table2[[#This Row],[STATES in numeric format]]=-1,F173=-1,F172=1),1,0)</f>
        <v>0</v>
      </c>
      <c r="J174">
        <f>IF(AND(Table2[[#This Row],[STATES in numeric format]]=-1,F173=1,F172=-1),1,0)</f>
        <v>1</v>
      </c>
      <c r="K174">
        <f>IF(AND(Table2[[#This Row],[STATES in numeric format]]=-1,F173=0,F172=0),1,0)</f>
        <v>0</v>
      </c>
      <c r="L174">
        <f>IF(AND(Table2[[#This Row],[STATES in numeric format]]=-1,F173=1,F172=0),1,0)</f>
        <v>0</v>
      </c>
      <c r="M174">
        <f>IF(AND(Table2[[#This Row],[STATES in numeric format]]=-1,F173=-1,F172=0),1,0)</f>
        <v>0</v>
      </c>
      <c r="N174">
        <f>IF(AND(Table2[[#This Row],[STATES in numeric format]]=-1,F173=0,F172=1),1,0)</f>
        <v>0</v>
      </c>
      <c r="O174">
        <f>IF(AND(Table2[[#This Row],[STATES in numeric format]]=-1,F173=0,F172=-1),1,0)</f>
        <v>0</v>
      </c>
      <c r="P174">
        <f>IF(AND(Table2[[#This Row],[STATES in numeric format]]=1,F173=1,F172=1),1,0)</f>
        <v>0</v>
      </c>
      <c r="Q174">
        <f>IF(AND(Table2[[#This Row],[STATES in numeric format]]=1,F173=-1,F172=-1),1,0)</f>
        <v>0</v>
      </c>
      <c r="R174">
        <f>IF(AND(Table2[[#This Row],[STATES in numeric format]]=1,F173=-1,F172=1),1,0)</f>
        <v>0</v>
      </c>
      <c r="S174">
        <f>IF(AND(Table2[[#This Row],[STATES in numeric format]]=1,F173=1,F172=-1),1,0)</f>
        <v>0</v>
      </c>
      <c r="T174">
        <f>IF(AND(Table2[[#This Row],[STATES in numeric format]]=1,F173=0,F172=0),1,0)</f>
        <v>0</v>
      </c>
      <c r="U174">
        <f>IF(AND(Table2[[#This Row],[STATES in numeric format]]=1,F173=1,F172=0),1,0)</f>
        <v>0</v>
      </c>
      <c r="V174">
        <f>IF(AND(Table2[[#This Row],[STATES in numeric format]]=1,F173=-1,F172=0),1,0)</f>
        <v>0</v>
      </c>
      <c r="W174">
        <f>IF(AND(Table2[[#This Row],[STATES in numeric format]]=1,F173=0,F172=1),1,0)</f>
        <v>0</v>
      </c>
      <c r="X174">
        <f>IF(AND(Table2[[#This Row],[STATES in numeric format]]=1,F173=0,F172=-1),1,0)</f>
        <v>0</v>
      </c>
      <c r="Y174">
        <f>IF(AND(Table2[[#This Row],[STATES in numeric format]]=0,F173=1,F172=1),1,0)</f>
        <v>0</v>
      </c>
      <c r="Z174">
        <f>IF(AND(Table2[[#This Row],[STATES in numeric format]]=0,F173=-1,F172=-1),1,0)</f>
        <v>0</v>
      </c>
      <c r="AA174">
        <f>IF(AND(Table2[[#This Row],[STATES in numeric format]]=0,F173=-1,F172=1),1,0)</f>
        <v>0</v>
      </c>
      <c r="AB174">
        <f>IF(AND(Table2[[#This Row],[STATES in numeric format]]=0,F173=1,F172=-1),1,0)</f>
        <v>0</v>
      </c>
      <c r="AC174">
        <f>IF(AND(Table2[[#This Row],[STATES in numeric format]]=0,F173=0,F172=0),1,0)</f>
        <v>0</v>
      </c>
      <c r="AD174">
        <f>IF(AND(Table2[[#This Row],[STATES in numeric format]]=0,F173=1,F172=0),1,0)</f>
        <v>0</v>
      </c>
      <c r="AE174">
        <f>IF(AND(Table2[[#This Row],[STATES in numeric format]]=0,F173=-1,F172=0),1,0)</f>
        <v>0</v>
      </c>
      <c r="AF174">
        <f>IF(AND(Table2[[#This Row],[STATES in numeric format]]=0,F173=0,F172=1),1,0)</f>
        <v>0</v>
      </c>
      <c r="AG174">
        <f>IF(AND(Table2[[#This Row],[STATES in numeric format]]=0,F173=0,F172=-1),1,0)</f>
        <v>0</v>
      </c>
    </row>
    <row r="175" spans="1:33" x14ac:dyDescent="0.3">
      <c r="A175" s="1">
        <v>44083</v>
      </c>
      <c r="B175">
        <v>38193.919999999998</v>
      </c>
      <c r="C175">
        <f>Table2[[#This Row],[Close]]-0.001*Table2[[#This Row],[Close]]</f>
        <v>38155.72608</v>
      </c>
      <c r="D175">
        <f>Table2[[#This Row],[Close]]+0.001*Table2[[#This Row],[Close]]</f>
        <v>38232.113919999996</v>
      </c>
      <c r="E175" t="str">
        <f>IF(Table2[[#This Row],[Close]]&gt;D174,"up",IF(Table2[[#This Row],[Close]]&lt;C174,"down","constant"))</f>
        <v>down</v>
      </c>
      <c r="F175" s="3">
        <f>IF(Table2[[#This Row],[States]]="up",1,IF(Table2[[#This Row],[States]]="down",-1,0))</f>
        <v>-1</v>
      </c>
      <c r="G175">
        <f>IF(AND(Table2[[#This Row],[STATES in numeric format]]=-1,F174=1,F173=1),1,0)</f>
        <v>0</v>
      </c>
      <c r="H175">
        <f>IF(AND(Table2[[#This Row],[STATES in numeric format]]=-1,F174=-1,F173=-1),1,0)</f>
        <v>0</v>
      </c>
      <c r="I175">
        <f>IF(AND(Table2[[#This Row],[STATES in numeric format]]=-1,F174=-1,F173=1),1,0)</f>
        <v>1</v>
      </c>
      <c r="J175">
        <f>IF(AND(Table2[[#This Row],[STATES in numeric format]]=-1,F174=1,F173=-1),1,0)</f>
        <v>0</v>
      </c>
      <c r="K175">
        <f>IF(AND(Table2[[#This Row],[STATES in numeric format]]=-1,F174=0,F173=0),1,0)</f>
        <v>0</v>
      </c>
      <c r="L175">
        <f>IF(AND(Table2[[#This Row],[STATES in numeric format]]=-1,F174=1,F173=0),1,0)</f>
        <v>0</v>
      </c>
      <c r="M175">
        <f>IF(AND(Table2[[#This Row],[STATES in numeric format]]=-1,F174=-1,F173=0),1,0)</f>
        <v>0</v>
      </c>
      <c r="N175">
        <f>IF(AND(Table2[[#This Row],[STATES in numeric format]]=-1,F174=0,F173=1),1,0)</f>
        <v>0</v>
      </c>
      <c r="O175">
        <f>IF(AND(Table2[[#This Row],[STATES in numeric format]]=-1,F174=0,F173=-1),1,0)</f>
        <v>0</v>
      </c>
      <c r="P175">
        <f>IF(AND(Table2[[#This Row],[STATES in numeric format]]=1,F174=1,F173=1),1,0)</f>
        <v>0</v>
      </c>
      <c r="Q175">
        <f>IF(AND(Table2[[#This Row],[STATES in numeric format]]=1,F174=-1,F173=-1),1,0)</f>
        <v>0</v>
      </c>
      <c r="R175">
        <f>IF(AND(Table2[[#This Row],[STATES in numeric format]]=1,F174=-1,F173=1),1,0)</f>
        <v>0</v>
      </c>
      <c r="S175">
        <f>IF(AND(Table2[[#This Row],[STATES in numeric format]]=1,F174=1,F173=-1),1,0)</f>
        <v>0</v>
      </c>
      <c r="T175">
        <f>IF(AND(Table2[[#This Row],[STATES in numeric format]]=1,F174=0,F173=0),1,0)</f>
        <v>0</v>
      </c>
      <c r="U175">
        <f>IF(AND(Table2[[#This Row],[STATES in numeric format]]=1,F174=1,F173=0),1,0)</f>
        <v>0</v>
      </c>
      <c r="V175">
        <f>IF(AND(Table2[[#This Row],[STATES in numeric format]]=1,F174=-1,F173=0),1,0)</f>
        <v>0</v>
      </c>
      <c r="W175">
        <f>IF(AND(Table2[[#This Row],[STATES in numeric format]]=1,F174=0,F173=1),1,0)</f>
        <v>0</v>
      </c>
      <c r="X175">
        <f>IF(AND(Table2[[#This Row],[STATES in numeric format]]=1,F174=0,F173=-1),1,0)</f>
        <v>0</v>
      </c>
      <c r="Y175">
        <f>IF(AND(Table2[[#This Row],[STATES in numeric format]]=0,F174=1,F173=1),1,0)</f>
        <v>0</v>
      </c>
      <c r="Z175">
        <f>IF(AND(Table2[[#This Row],[STATES in numeric format]]=0,F174=-1,F173=-1),1,0)</f>
        <v>0</v>
      </c>
      <c r="AA175">
        <f>IF(AND(Table2[[#This Row],[STATES in numeric format]]=0,F174=-1,F173=1),1,0)</f>
        <v>0</v>
      </c>
      <c r="AB175">
        <f>IF(AND(Table2[[#This Row],[STATES in numeric format]]=0,F174=1,F173=-1),1,0)</f>
        <v>0</v>
      </c>
      <c r="AC175">
        <f>IF(AND(Table2[[#This Row],[STATES in numeric format]]=0,F174=0,F173=0),1,0)</f>
        <v>0</v>
      </c>
      <c r="AD175">
        <f>IF(AND(Table2[[#This Row],[STATES in numeric format]]=0,F174=1,F173=0),1,0)</f>
        <v>0</v>
      </c>
      <c r="AE175">
        <f>IF(AND(Table2[[#This Row],[STATES in numeric format]]=0,F174=-1,F173=0),1,0)</f>
        <v>0</v>
      </c>
      <c r="AF175">
        <f>IF(AND(Table2[[#This Row],[STATES in numeric format]]=0,F174=0,F173=1),1,0)</f>
        <v>0</v>
      </c>
      <c r="AG175">
        <f>IF(AND(Table2[[#This Row],[STATES in numeric format]]=0,F174=0,F173=-1),1,0)</f>
        <v>0</v>
      </c>
    </row>
    <row r="176" spans="1:33" x14ac:dyDescent="0.3">
      <c r="A176" s="1">
        <v>44084</v>
      </c>
      <c r="B176">
        <v>38840.32</v>
      </c>
      <c r="C176">
        <f>Table2[[#This Row],[Close]]-0.001*Table2[[#This Row],[Close]]</f>
        <v>38801.479679999997</v>
      </c>
      <c r="D176">
        <f>Table2[[#This Row],[Close]]+0.001*Table2[[#This Row],[Close]]</f>
        <v>38879.160320000003</v>
      </c>
      <c r="E176" t="str">
        <f>IF(Table2[[#This Row],[Close]]&gt;D175,"up",IF(Table2[[#This Row],[Close]]&lt;C175,"down","constant"))</f>
        <v>up</v>
      </c>
      <c r="F176" s="3">
        <f>IF(Table2[[#This Row],[States]]="up",1,IF(Table2[[#This Row],[States]]="down",-1,0))</f>
        <v>1</v>
      </c>
      <c r="G176">
        <f>IF(AND(Table2[[#This Row],[STATES in numeric format]]=-1,F175=1,F174=1),1,0)</f>
        <v>0</v>
      </c>
      <c r="H176">
        <f>IF(AND(Table2[[#This Row],[STATES in numeric format]]=-1,F175=-1,F174=-1),1,0)</f>
        <v>0</v>
      </c>
      <c r="I176">
        <f>IF(AND(Table2[[#This Row],[STATES in numeric format]]=-1,F175=-1,F174=1),1,0)</f>
        <v>0</v>
      </c>
      <c r="J176">
        <f>IF(AND(Table2[[#This Row],[STATES in numeric format]]=-1,F175=1,F174=-1),1,0)</f>
        <v>0</v>
      </c>
      <c r="K176">
        <f>IF(AND(Table2[[#This Row],[STATES in numeric format]]=-1,F175=0,F174=0),1,0)</f>
        <v>0</v>
      </c>
      <c r="L176">
        <f>IF(AND(Table2[[#This Row],[STATES in numeric format]]=-1,F175=1,F174=0),1,0)</f>
        <v>0</v>
      </c>
      <c r="M176">
        <f>IF(AND(Table2[[#This Row],[STATES in numeric format]]=-1,F175=-1,F174=0),1,0)</f>
        <v>0</v>
      </c>
      <c r="N176">
        <f>IF(AND(Table2[[#This Row],[STATES in numeric format]]=-1,F175=0,F174=1),1,0)</f>
        <v>0</v>
      </c>
      <c r="O176">
        <f>IF(AND(Table2[[#This Row],[STATES in numeric format]]=-1,F175=0,F174=-1),1,0)</f>
        <v>0</v>
      </c>
      <c r="P176">
        <f>IF(AND(Table2[[#This Row],[STATES in numeric format]]=1,F175=1,F174=1),1,0)</f>
        <v>0</v>
      </c>
      <c r="Q176">
        <f>IF(AND(Table2[[#This Row],[STATES in numeric format]]=1,F175=-1,F174=-1),1,0)</f>
        <v>1</v>
      </c>
      <c r="R176">
        <f>IF(AND(Table2[[#This Row],[STATES in numeric format]]=1,F175=-1,F174=1),1,0)</f>
        <v>0</v>
      </c>
      <c r="S176">
        <f>IF(AND(Table2[[#This Row],[STATES in numeric format]]=1,F175=1,F174=-1),1,0)</f>
        <v>0</v>
      </c>
      <c r="T176">
        <f>IF(AND(Table2[[#This Row],[STATES in numeric format]]=1,F175=0,F174=0),1,0)</f>
        <v>0</v>
      </c>
      <c r="U176">
        <f>IF(AND(Table2[[#This Row],[STATES in numeric format]]=1,F175=1,F174=0),1,0)</f>
        <v>0</v>
      </c>
      <c r="V176">
        <f>IF(AND(Table2[[#This Row],[STATES in numeric format]]=1,F175=-1,F174=0),1,0)</f>
        <v>0</v>
      </c>
      <c r="W176">
        <f>IF(AND(Table2[[#This Row],[STATES in numeric format]]=1,F175=0,F174=1),1,0)</f>
        <v>0</v>
      </c>
      <c r="X176">
        <f>IF(AND(Table2[[#This Row],[STATES in numeric format]]=1,F175=0,F174=-1),1,0)</f>
        <v>0</v>
      </c>
      <c r="Y176">
        <f>IF(AND(Table2[[#This Row],[STATES in numeric format]]=0,F175=1,F174=1),1,0)</f>
        <v>0</v>
      </c>
      <c r="Z176">
        <f>IF(AND(Table2[[#This Row],[STATES in numeric format]]=0,F175=-1,F174=-1),1,0)</f>
        <v>0</v>
      </c>
      <c r="AA176">
        <f>IF(AND(Table2[[#This Row],[STATES in numeric format]]=0,F175=-1,F174=1),1,0)</f>
        <v>0</v>
      </c>
      <c r="AB176">
        <f>IF(AND(Table2[[#This Row],[STATES in numeric format]]=0,F175=1,F174=-1),1,0)</f>
        <v>0</v>
      </c>
      <c r="AC176">
        <f>IF(AND(Table2[[#This Row],[STATES in numeric format]]=0,F175=0,F174=0),1,0)</f>
        <v>0</v>
      </c>
      <c r="AD176">
        <f>IF(AND(Table2[[#This Row],[STATES in numeric format]]=0,F175=1,F174=0),1,0)</f>
        <v>0</v>
      </c>
      <c r="AE176">
        <f>IF(AND(Table2[[#This Row],[STATES in numeric format]]=0,F175=-1,F174=0),1,0)</f>
        <v>0</v>
      </c>
      <c r="AF176">
        <f>IF(AND(Table2[[#This Row],[STATES in numeric format]]=0,F175=0,F174=1),1,0)</f>
        <v>0</v>
      </c>
      <c r="AG176">
        <f>IF(AND(Table2[[#This Row],[STATES in numeric format]]=0,F175=0,F174=-1),1,0)</f>
        <v>0</v>
      </c>
    </row>
    <row r="177" spans="1:33" x14ac:dyDescent="0.3">
      <c r="A177" s="1">
        <v>44085</v>
      </c>
      <c r="B177">
        <v>38854.550000000003</v>
      </c>
      <c r="C177">
        <f>Table2[[#This Row],[Close]]-0.001*Table2[[#This Row],[Close]]</f>
        <v>38815.695450000007</v>
      </c>
      <c r="D177">
        <f>Table2[[#This Row],[Close]]+0.001*Table2[[#This Row],[Close]]</f>
        <v>38893.404549999999</v>
      </c>
      <c r="E177" t="str">
        <f>IF(Table2[[#This Row],[Close]]&gt;D176,"up",IF(Table2[[#This Row],[Close]]&lt;C176,"down","constant"))</f>
        <v>constant</v>
      </c>
      <c r="F177" s="3">
        <f>IF(Table2[[#This Row],[States]]="up",1,IF(Table2[[#This Row],[States]]="down",-1,0))</f>
        <v>0</v>
      </c>
      <c r="G177">
        <f>IF(AND(Table2[[#This Row],[STATES in numeric format]]=-1,F176=1,F175=1),1,0)</f>
        <v>0</v>
      </c>
      <c r="H177">
        <f>IF(AND(Table2[[#This Row],[STATES in numeric format]]=-1,F176=-1,F175=-1),1,0)</f>
        <v>0</v>
      </c>
      <c r="I177">
        <f>IF(AND(Table2[[#This Row],[STATES in numeric format]]=-1,F176=-1,F175=1),1,0)</f>
        <v>0</v>
      </c>
      <c r="J177">
        <f>IF(AND(Table2[[#This Row],[STATES in numeric format]]=-1,F176=1,F175=-1),1,0)</f>
        <v>0</v>
      </c>
      <c r="K177">
        <f>IF(AND(Table2[[#This Row],[STATES in numeric format]]=-1,F176=0,F175=0),1,0)</f>
        <v>0</v>
      </c>
      <c r="L177">
        <f>IF(AND(Table2[[#This Row],[STATES in numeric format]]=-1,F176=1,F175=0),1,0)</f>
        <v>0</v>
      </c>
      <c r="M177">
        <f>IF(AND(Table2[[#This Row],[STATES in numeric format]]=-1,F176=-1,F175=0),1,0)</f>
        <v>0</v>
      </c>
      <c r="N177">
        <f>IF(AND(Table2[[#This Row],[STATES in numeric format]]=-1,F176=0,F175=1),1,0)</f>
        <v>0</v>
      </c>
      <c r="O177">
        <f>IF(AND(Table2[[#This Row],[STATES in numeric format]]=-1,F176=0,F175=-1),1,0)</f>
        <v>0</v>
      </c>
      <c r="P177">
        <f>IF(AND(Table2[[#This Row],[STATES in numeric format]]=1,F176=1,F175=1),1,0)</f>
        <v>0</v>
      </c>
      <c r="Q177">
        <f>IF(AND(Table2[[#This Row],[STATES in numeric format]]=1,F176=-1,F175=-1),1,0)</f>
        <v>0</v>
      </c>
      <c r="R177">
        <f>IF(AND(Table2[[#This Row],[STATES in numeric format]]=1,F176=-1,F175=1),1,0)</f>
        <v>0</v>
      </c>
      <c r="S177">
        <f>IF(AND(Table2[[#This Row],[STATES in numeric format]]=1,F176=1,F175=-1),1,0)</f>
        <v>0</v>
      </c>
      <c r="T177">
        <f>IF(AND(Table2[[#This Row],[STATES in numeric format]]=1,F176=0,F175=0),1,0)</f>
        <v>0</v>
      </c>
      <c r="U177">
        <f>IF(AND(Table2[[#This Row],[STATES in numeric format]]=1,F176=1,F175=0),1,0)</f>
        <v>0</v>
      </c>
      <c r="V177">
        <f>IF(AND(Table2[[#This Row],[STATES in numeric format]]=1,F176=-1,F175=0),1,0)</f>
        <v>0</v>
      </c>
      <c r="W177">
        <f>IF(AND(Table2[[#This Row],[STATES in numeric format]]=1,F176=0,F175=1),1,0)</f>
        <v>0</v>
      </c>
      <c r="X177">
        <f>IF(AND(Table2[[#This Row],[STATES in numeric format]]=1,F176=0,F175=-1),1,0)</f>
        <v>0</v>
      </c>
      <c r="Y177">
        <f>IF(AND(Table2[[#This Row],[STATES in numeric format]]=0,F176=1,F175=1),1,0)</f>
        <v>0</v>
      </c>
      <c r="Z177">
        <f>IF(AND(Table2[[#This Row],[STATES in numeric format]]=0,F176=-1,F175=-1),1,0)</f>
        <v>0</v>
      </c>
      <c r="AA177">
        <f>IF(AND(Table2[[#This Row],[STATES in numeric format]]=0,F176=-1,F175=1),1,0)</f>
        <v>0</v>
      </c>
      <c r="AB177">
        <f>IF(AND(Table2[[#This Row],[STATES in numeric format]]=0,F176=1,F175=-1),1,0)</f>
        <v>1</v>
      </c>
      <c r="AC177">
        <f>IF(AND(Table2[[#This Row],[STATES in numeric format]]=0,F176=0,F175=0),1,0)</f>
        <v>0</v>
      </c>
      <c r="AD177">
        <f>IF(AND(Table2[[#This Row],[STATES in numeric format]]=0,F176=1,F175=0),1,0)</f>
        <v>0</v>
      </c>
      <c r="AE177">
        <f>IF(AND(Table2[[#This Row],[STATES in numeric format]]=0,F176=-1,F175=0),1,0)</f>
        <v>0</v>
      </c>
      <c r="AF177">
        <f>IF(AND(Table2[[#This Row],[STATES in numeric format]]=0,F176=0,F175=1),1,0)</f>
        <v>0</v>
      </c>
      <c r="AG177">
        <f>IF(AND(Table2[[#This Row],[STATES in numeric format]]=0,F176=0,F175=-1),1,0)</f>
        <v>0</v>
      </c>
    </row>
    <row r="178" spans="1:33" x14ac:dyDescent="0.3">
      <c r="A178" s="1">
        <v>44088</v>
      </c>
      <c r="B178">
        <v>38756.629999999997</v>
      </c>
      <c r="C178">
        <f>Table2[[#This Row],[Close]]-0.001*Table2[[#This Row],[Close]]</f>
        <v>38717.873369999994</v>
      </c>
      <c r="D178">
        <f>Table2[[#This Row],[Close]]+0.001*Table2[[#This Row],[Close]]</f>
        <v>38795.386630000001</v>
      </c>
      <c r="E178" t="str">
        <f>IF(Table2[[#This Row],[Close]]&gt;D177,"up",IF(Table2[[#This Row],[Close]]&lt;C177,"down","constant"))</f>
        <v>down</v>
      </c>
      <c r="F178" s="3">
        <f>IF(Table2[[#This Row],[States]]="up",1,IF(Table2[[#This Row],[States]]="down",-1,0))</f>
        <v>-1</v>
      </c>
      <c r="G178">
        <f>IF(AND(Table2[[#This Row],[STATES in numeric format]]=-1,F177=1,F176=1),1,0)</f>
        <v>0</v>
      </c>
      <c r="H178">
        <f>IF(AND(Table2[[#This Row],[STATES in numeric format]]=-1,F177=-1,F176=-1),1,0)</f>
        <v>0</v>
      </c>
      <c r="I178">
        <f>IF(AND(Table2[[#This Row],[STATES in numeric format]]=-1,F177=-1,F176=1),1,0)</f>
        <v>0</v>
      </c>
      <c r="J178">
        <f>IF(AND(Table2[[#This Row],[STATES in numeric format]]=-1,F177=1,F176=-1),1,0)</f>
        <v>0</v>
      </c>
      <c r="K178">
        <f>IF(AND(Table2[[#This Row],[STATES in numeric format]]=-1,F177=0,F176=0),1,0)</f>
        <v>0</v>
      </c>
      <c r="L178">
        <f>IF(AND(Table2[[#This Row],[STATES in numeric format]]=-1,F177=1,F176=0),1,0)</f>
        <v>0</v>
      </c>
      <c r="M178">
        <f>IF(AND(Table2[[#This Row],[STATES in numeric format]]=-1,F177=-1,F176=0),1,0)</f>
        <v>0</v>
      </c>
      <c r="N178">
        <f>IF(AND(Table2[[#This Row],[STATES in numeric format]]=-1,F177=0,F176=1),1,0)</f>
        <v>1</v>
      </c>
      <c r="O178">
        <f>IF(AND(Table2[[#This Row],[STATES in numeric format]]=-1,F177=0,F176=-1),1,0)</f>
        <v>0</v>
      </c>
      <c r="P178">
        <f>IF(AND(Table2[[#This Row],[STATES in numeric format]]=1,F177=1,F176=1),1,0)</f>
        <v>0</v>
      </c>
      <c r="Q178">
        <f>IF(AND(Table2[[#This Row],[STATES in numeric format]]=1,F177=-1,F176=-1),1,0)</f>
        <v>0</v>
      </c>
      <c r="R178">
        <f>IF(AND(Table2[[#This Row],[STATES in numeric format]]=1,F177=-1,F176=1),1,0)</f>
        <v>0</v>
      </c>
      <c r="S178">
        <f>IF(AND(Table2[[#This Row],[STATES in numeric format]]=1,F177=1,F176=-1),1,0)</f>
        <v>0</v>
      </c>
      <c r="T178">
        <f>IF(AND(Table2[[#This Row],[STATES in numeric format]]=1,F177=0,F176=0),1,0)</f>
        <v>0</v>
      </c>
      <c r="U178">
        <f>IF(AND(Table2[[#This Row],[STATES in numeric format]]=1,F177=1,F176=0),1,0)</f>
        <v>0</v>
      </c>
      <c r="V178">
        <f>IF(AND(Table2[[#This Row],[STATES in numeric format]]=1,F177=-1,F176=0),1,0)</f>
        <v>0</v>
      </c>
      <c r="W178">
        <f>IF(AND(Table2[[#This Row],[STATES in numeric format]]=1,F177=0,F176=1),1,0)</f>
        <v>0</v>
      </c>
      <c r="X178">
        <f>IF(AND(Table2[[#This Row],[STATES in numeric format]]=1,F177=0,F176=-1),1,0)</f>
        <v>0</v>
      </c>
      <c r="Y178">
        <f>IF(AND(Table2[[#This Row],[STATES in numeric format]]=0,F177=1,F176=1),1,0)</f>
        <v>0</v>
      </c>
      <c r="Z178">
        <f>IF(AND(Table2[[#This Row],[STATES in numeric format]]=0,F177=-1,F176=-1),1,0)</f>
        <v>0</v>
      </c>
      <c r="AA178">
        <f>IF(AND(Table2[[#This Row],[STATES in numeric format]]=0,F177=-1,F176=1),1,0)</f>
        <v>0</v>
      </c>
      <c r="AB178">
        <f>IF(AND(Table2[[#This Row],[STATES in numeric format]]=0,F177=1,F176=-1),1,0)</f>
        <v>0</v>
      </c>
      <c r="AC178">
        <f>IF(AND(Table2[[#This Row],[STATES in numeric format]]=0,F177=0,F176=0),1,0)</f>
        <v>0</v>
      </c>
      <c r="AD178">
        <f>IF(AND(Table2[[#This Row],[STATES in numeric format]]=0,F177=1,F176=0),1,0)</f>
        <v>0</v>
      </c>
      <c r="AE178">
        <f>IF(AND(Table2[[#This Row],[STATES in numeric format]]=0,F177=-1,F176=0),1,0)</f>
        <v>0</v>
      </c>
      <c r="AF178">
        <f>IF(AND(Table2[[#This Row],[STATES in numeric format]]=0,F177=0,F176=1),1,0)</f>
        <v>0</v>
      </c>
      <c r="AG178">
        <f>IF(AND(Table2[[#This Row],[STATES in numeric format]]=0,F177=0,F176=-1),1,0)</f>
        <v>0</v>
      </c>
    </row>
    <row r="179" spans="1:33" x14ac:dyDescent="0.3">
      <c r="A179" s="1">
        <v>44089</v>
      </c>
      <c r="B179">
        <v>39044.35</v>
      </c>
      <c r="C179">
        <f>Table2[[#This Row],[Close]]-0.001*Table2[[#This Row],[Close]]</f>
        <v>39005.305650000002</v>
      </c>
      <c r="D179">
        <f>Table2[[#This Row],[Close]]+0.001*Table2[[#This Row],[Close]]</f>
        <v>39083.394349999995</v>
      </c>
      <c r="E179" t="str">
        <f>IF(Table2[[#This Row],[Close]]&gt;D178,"up",IF(Table2[[#This Row],[Close]]&lt;C178,"down","constant"))</f>
        <v>up</v>
      </c>
      <c r="F179" s="3">
        <f>IF(Table2[[#This Row],[States]]="up",1,IF(Table2[[#This Row],[States]]="down",-1,0))</f>
        <v>1</v>
      </c>
      <c r="G179">
        <f>IF(AND(Table2[[#This Row],[STATES in numeric format]]=-1,F178=1,F177=1),1,0)</f>
        <v>0</v>
      </c>
      <c r="H179">
        <f>IF(AND(Table2[[#This Row],[STATES in numeric format]]=-1,F178=-1,F177=-1),1,0)</f>
        <v>0</v>
      </c>
      <c r="I179">
        <f>IF(AND(Table2[[#This Row],[STATES in numeric format]]=-1,F178=-1,F177=1),1,0)</f>
        <v>0</v>
      </c>
      <c r="J179">
        <f>IF(AND(Table2[[#This Row],[STATES in numeric format]]=-1,F178=1,F177=-1),1,0)</f>
        <v>0</v>
      </c>
      <c r="K179">
        <f>IF(AND(Table2[[#This Row],[STATES in numeric format]]=-1,F178=0,F177=0),1,0)</f>
        <v>0</v>
      </c>
      <c r="L179">
        <f>IF(AND(Table2[[#This Row],[STATES in numeric format]]=-1,F178=1,F177=0),1,0)</f>
        <v>0</v>
      </c>
      <c r="M179">
        <f>IF(AND(Table2[[#This Row],[STATES in numeric format]]=-1,F178=-1,F177=0),1,0)</f>
        <v>0</v>
      </c>
      <c r="N179">
        <f>IF(AND(Table2[[#This Row],[STATES in numeric format]]=-1,F178=0,F177=1),1,0)</f>
        <v>0</v>
      </c>
      <c r="O179">
        <f>IF(AND(Table2[[#This Row],[STATES in numeric format]]=-1,F178=0,F177=-1),1,0)</f>
        <v>0</v>
      </c>
      <c r="P179">
        <f>IF(AND(Table2[[#This Row],[STATES in numeric format]]=1,F178=1,F177=1),1,0)</f>
        <v>0</v>
      </c>
      <c r="Q179">
        <f>IF(AND(Table2[[#This Row],[STATES in numeric format]]=1,F178=-1,F177=-1),1,0)</f>
        <v>0</v>
      </c>
      <c r="R179">
        <f>IF(AND(Table2[[#This Row],[STATES in numeric format]]=1,F178=-1,F177=1),1,0)</f>
        <v>0</v>
      </c>
      <c r="S179">
        <f>IF(AND(Table2[[#This Row],[STATES in numeric format]]=1,F178=1,F177=-1),1,0)</f>
        <v>0</v>
      </c>
      <c r="T179">
        <f>IF(AND(Table2[[#This Row],[STATES in numeric format]]=1,F178=0,F177=0),1,0)</f>
        <v>0</v>
      </c>
      <c r="U179">
        <f>IF(AND(Table2[[#This Row],[STATES in numeric format]]=1,F178=1,F177=0),1,0)</f>
        <v>0</v>
      </c>
      <c r="V179">
        <f>IF(AND(Table2[[#This Row],[STATES in numeric format]]=1,F178=-1,F177=0),1,0)</f>
        <v>1</v>
      </c>
      <c r="W179">
        <f>IF(AND(Table2[[#This Row],[STATES in numeric format]]=1,F178=0,F177=1),1,0)</f>
        <v>0</v>
      </c>
      <c r="X179">
        <f>IF(AND(Table2[[#This Row],[STATES in numeric format]]=1,F178=0,F177=-1),1,0)</f>
        <v>0</v>
      </c>
      <c r="Y179">
        <f>IF(AND(Table2[[#This Row],[STATES in numeric format]]=0,F178=1,F177=1),1,0)</f>
        <v>0</v>
      </c>
      <c r="Z179">
        <f>IF(AND(Table2[[#This Row],[STATES in numeric format]]=0,F178=-1,F177=-1),1,0)</f>
        <v>0</v>
      </c>
      <c r="AA179">
        <f>IF(AND(Table2[[#This Row],[STATES in numeric format]]=0,F178=-1,F177=1),1,0)</f>
        <v>0</v>
      </c>
      <c r="AB179">
        <f>IF(AND(Table2[[#This Row],[STATES in numeric format]]=0,F178=1,F177=-1),1,0)</f>
        <v>0</v>
      </c>
      <c r="AC179">
        <f>IF(AND(Table2[[#This Row],[STATES in numeric format]]=0,F178=0,F177=0),1,0)</f>
        <v>0</v>
      </c>
      <c r="AD179">
        <f>IF(AND(Table2[[#This Row],[STATES in numeric format]]=0,F178=1,F177=0),1,0)</f>
        <v>0</v>
      </c>
      <c r="AE179">
        <f>IF(AND(Table2[[#This Row],[STATES in numeric format]]=0,F178=-1,F177=0),1,0)</f>
        <v>0</v>
      </c>
      <c r="AF179">
        <f>IF(AND(Table2[[#This Row],[STATES in numeric format]]=0,F178=0,F177=1),1,0)</f>
        <v>0</v>
      </c>
      <c r="AG179">
        <f>IF(AND(Table2[[#This Row],[STATES in numeric format]]=0,F178=0,F177=-1),1,0)</f>
        <v>0</v>
      </c>
    </row>
    <row r="180" spans="1:33" x14ac:dyDescent="0.3">
      <c r="A180" s="1">
        <v>44090</v>
      </c>
      <c r="B180">
        <v>39302.85</v>
      </c>
      <c r="C180">
        <f>Table2[[#This Row],[Close]]-0.001*Table2[[#This Row],[Close]]</f>
        <v>39263.547149999999</v>
      </c>
      <c r="D180">
        <f>Table2[[#This Row],[Close]]+0.001*Table2[[#This Row],[Close]]</f>
        <v>39342.152849999999</v>
      </c>
      <c r="E180" t="str">
        <f>IF(Table2[[#This Row],[Close]]&gt;D179,"up",IF(Table2[[#This Row],[Close]]&lt;C179,"down","constant"))</f>
        <v>up</v>
      </c>
      <c r="F180" s="3">
        <f>IF(Table2[[#This Row],[States]]="up",1,IF(Table2[[#This Row],[States]]="down",-1,0))</f>
        <v>1</v>
      </c>
      <c r="G180">
        <f>IF(AND(Table2[[#This Row],[STATES in numeric format]]=-1,F179=1,F178=1),1,0)</f>
        <v>0</v>
      </c>
      <c r="H180">
        <f>IF(AND(Table2[[#This Row],[STATES in numeric format]]=-1,F179=-1,F178=-1),1,0)</f>
        <v>0</v>
      </c>
      <c r="I180">
        <f>IF(AND(Table2[[#This Row],[STATES in numeric format]]=-1,F179=-1,F178=1),1,0)</f>
        <v>0</v>
      </c>
      <c r="J180">
        <f>IF(AND(Table2[[#This Row],[STATES in numeric format]]=-1,F179=1,F178=-1),1,0)</f>
        <v>0</v>
      </c>
      <c r="K180">
        <f>IF(AND(Table2[[#This Row],[STATES in numeric format]]=-1,F179=0,F178=0),1,0)</f>
        <v>0</v>
      </c>
      <c r="L180">
        <f>IF(AND(Table2[[#This Row],[STATES in numeric format]]=-1,F179=1,F178=0),1,0)</f>
        <v>0</v>
      </c>
      <c r="M180">
        <f>IF(AND(Table2[[#This Row],[STATES in numeric format]]=-1,F179=-1,F178=0),1,0)</f>
        <v>0</v>
      </c>
      <c r="N180">
        <f>IF(AND(Table2[[#This Row],[STATES in numeric format]]=-1,F179=0,F178=1),1,0)</f>
        <v>0</v>
      </c>
      <c r="O180">
        <f>IF(AND(Table2[[#This Row],[STATES in numeric format]]=-1,F179=0,F178=-1),1,0)</f>
        <v>0</v>
      </c>
      <c r="P180">
        <f>IF(AND(Table2[[#This Row],[STATES in numeric format]]=1,F179=1,F178=1),1,0)</f>
        <v>0</v>
      </c>
      <c r="Q180">
        <f>IF(AND(Table2[[#This Row],[STATES in numeric format]]=1,F179=-1,F178=-1),1,0)</f>
        <v>0</v>
      </c>
      <c r="R180">
        <f>IF(AND(Table2[[#This Row],[STATES in numeric format]]=1,F179=-1,F178=1),1,0)</f>
        <v>0</v>
      </c>
      <c r="S180">
        <f>IF(AND(Table2[[#This Row],[STATES in numeric format]]=1,F179=1,F178=-1),1,0)</f>
        <v>1</v>
      </c>
      <c r="T180">
        <f>IF(AND(Table2[[#This Row],[STATES in numeric format]]=1,F179=0,F178=0),1,0)</f>
        <v>0</v>
      </c>
      <c r="U180">
        <f>IF(AND(Table2[[#This Row],[STATES in numeric format]]=1,F179=1,F178=0),1,0)</f>
        <v>0</v>
      </c>
      <c r="V180">
        <f>IF(AND(Table2[[#This Row],[STATES in numeric format]]=1,F179=-1,F178=0),1,0)</f>
        <v>0</v>
      </c>
      <c r="W180">
        <f>IF(AND(Table2[[#This Row],[STATES in numeric format]]=1,F179=0,F178=1),1,0)</f>
        <v>0</v>
      </c>
      <c r="X180">
        <f>IF(AND(Table2[[#This Row],[STATES in numeric format]]=1,F179=0,F178=-1),1,0)</f>
        <v>0</v>
      </c>
      <c r="Y180">
        <f>IF(AND(Table2[[#This Row],[STATES in numeric format]]=0,F179=1,F178=1),1,0)</f>
        <v>0</v>
      </c>
      <c r="Z180">
        <f>IF(AND(Table2[[#This Row],[STATES in numeric format]]=0,F179=-1,F178=-1),1,0)</f>
        <v>0</v>
      </c>
      <c r="AA180">
        <f>IF(AND(Table2[[#This Row],[STATES in numeric format]]=0,F179=-1,F178=1),1,0)</f>
        <v>0</v>
      </c>
      <c r="AB180">
        <f>IF(AND(Table2[[#This Row],[STATES in numeric format]]=0,F179=1,F178=-1),1,0)</f>
        <v>0</v>
      </c>
      <c r="AC180">
        <f>IF(AND(Table2[[#This Row],[STATES in numeric format]]=0,F179=0,F178=0),1,0)</f>
        <v>0</v>
      </c>
      <c r="AD180">
        <f>IF(AND(Table2[[#This Row],[STATES in numeric format]]=0,F179=1,F178=0),1,0)</f>
        <v>0</v>
      </c>
      <c r="AE180">
        <f>IF(AND(Table2[[#This Row],[STATES in numeric format]]=0,F179=-1,F178=0),1,0)</f>
        <v>0</v>
      </c>
      <c r="AF180">
        <f>IF(AND(Table2[[#This Row],[STATES in numeric format]]=0,F179=0,F178=1),1,0)</f>
        <v>0</v>
      </c>
      <c r="AG180">
        <f>IF(AND(Table2[[#This Row],[STATES in numeric format]]=0,F179=0,F178=-1),1,0)</f>
        <v>0</v>
      </c>
    </row>
    <row r="181" spans="1:33" x14ac:dyDescent="0.3">
      <c r="A181" s="1">
        <v>44091</v>
      </c>
      <c r="B181">
        <v>38979.85</v>
      </c>
      <c r="C181">
        <f>Table2[[#This Row],[Close]]-0.001*Table2[[#This Row],[Close]]</f>
        <v>38940.870149999995</v>
      </c>
      <c r="D181">
        <f>Table2[[#This Row],[Close]]+0.001*Table2[[#This Row],[Close]]</f>
        <v>39018.829850000002</v>
      </c>
      <c r="E181" t="str">
        <f>IF(Table2[[#This Row],[Close]]&gt;D180,"up",IF(Table2[[#This Row],[Close]]&lt;C180,"down","constant"))</f>
        <v>down</v>
      </c>
      <c r="F181" s="3">
        <f>IF(Table2[[#This Row],[States]]="up",1,IF(Table2[[#This Row],[States]]="down",-1,0))</f>
        <v>-1</v>
      </c>
      <c r="G181">
        <f>IF(AND(Table2[[#This Row],[STATES in numeric format]]=-1,F180=1,F179=1),1,0)</f>
        <v>1</v>
      </c>
      <c r="H181">
        <f>IF(AND(Table2[[#This Row],[STATES in numeric format]]=-1,F180=-1,F179=-1),1,0)</f>
        <v>0</v>
      </c>
      <c r="I181">
        <f>IF(AND(Table2[[#This Row],[STATES in numeric format]]=-1,F180=-1,F179=1),1,0)</f>
        <v>0</v>
      </c>
      <c r="J181">
        <f>IF(AND(Table2[[#This Row],[STATES in numeric format]]=-1,F180=1,F179=-1),1,0)</f>
        <v>0</v>
      </c>
      <c r="K181">
        <f>IF(AND(Table2[[#This Row],[STATES in numeric format]]=-1,F180=0,F179=0),1,0)</f>
        <v>0</v>
      </c>
      <c r="L181">
        <f>IF(AND(Table2[[#This Row],[STATES in numeric format]]=-1,F180=1,F179=0),1,0)</f>
        <v>0</v>
      </c>
      <c r="M181">
        <f>IF(AND(Table2[[#This Row],[STATES in numeric format]]=-1,F180=-1,F179=0),1,0)</f>
        <v>0</v>
      </c>
      <c r="N181">
        <f>IF(AND(Table2[[#This Row],[STATES in numeric format]]=-1,F180=0,F179=1),1,0)</f>
        <v>0</v>
      </c>
      <c r="O181">
        <f>IF(AND(Table2[[#This Row],[STATES in numeric format]]=-1,F180=0,F179=-1),1,0)</f>
        <v>0</v>
      </c>
      <c r="P181">
        <f>IF(AND(Table2[[#This Row],[STATES in numeric format]]=1,F180=1,F179=1),1,0)</f>
        <v>0</v>
      </c>
      <c r="Q181">
        <f>IF(AND(Table2[[#This Row],[STATES in numeric format]]=1,F180=-1,F179=-1),1,0)</f>
        <v>0</v>
      </c>
      <c r="R181">
        <f>IF(AND(Table2[[#This Row],[STATES in numeric format]]=1,F180=-1,F179=1),1,0)</f>
        <v>0</v>
      </c>
      <c r="S181">
        <f>IF(AND(Table2[[#This Row],[STATES in numeric format]]=1,F180=1,F179=-1),1,0)</f>
        <v>0</v>
      </c>
      <c r="T181">
        <f>IF(AND(Table2[[#This Row],[STATES in numeric format]]=1,F180=0,F179=0),1,0)</f>
        <v>0</v>
      </c>
      <c r="U181">
        <f>IF(AND(Table2[[#This Row],[STATES in numeric format]]=1,F180=1,F179=0),1,0)</f>
        <v>0</v>
      </c>
      <c r="V181">
        <f>IF(AND(Table2[[#This Row],[STATES in numeric format]]=1,F180=-1,F179=0),1,0)</f>
        <v>0</v>
      </c>
      <c r="W181">
        <f>IF(AND(Table2[[#This Row],[STATES in numeric format]]=1,F180=0,F179=1),1,0)</f>
        <v>0</v>
      </c>
      <c r="X181">
        <f>IF(AND(Table2[[#This Row],[STATES in numeric format]]=1,F180=0,F179=-1),1,0)</f>
        <v>0</v>
      </c>
      <c r="Y181">
        <f>IF(AND(Table2[[#This Row],[STATES in numeric format]]=0,F180=1,F179=1),1,0)</f>
        <v>0</v>
      </c>
      <c r="Z181">
        <f>IF(AND(Table2[[#This Row],[STATES in numeric format]]=0,F180=-1,F179=-1),1,0)</f>
        <v>0</v>
      </c>
      <c r="AA181">
        <f>IF(AND(Table2[[#This Row],[STATES in numeric format]]=0,F180=-1,F179=1),1,0)</f>
        <v>0</v>
      </c>
      <c r="AB181">
        <f>IF(AND(Table2[[#This Row],[STATES in numeric format]]=0,F180=1,F179=-1),1,0)</f>
        <v>0</v>
      </c>
      <c r="AC181">
        <f>IF(AND(Table2[[#This Row],[STATES in numeric format]]=0,F180=0,F179=0),1,0)</f>
        <v>0</v>
      </c>
      <c r="AD181">
        <f>IF(AND(Table2[[#This Row],[STATES in numeric format]]=0,F180=1,F179=0),1,0)</f>
        <v>0</v>
      </c>
      <c r="AE181">
        <f>IF(AND(Table2[[#This Row],[STATES in numeric format]]=0,F180=-1,F179=0),1,0)</f>
        <v>0</v>
      </c>
      <c r="AF181">
        <f>IF(AND(Table2[[#This Row],[STATES in numeric format]]=0,F180=0,F179=1),1,0)</f>
        <v>0</v>
      </c>
      <c r="AG181">
        <f>IF(AND(Table2[[#This Row],[STATES in numeric format]]=0,F180=0,F179=-1),1,0)</f>
        <v>0</v>
      </c>
    </row>
    <row r="182" spans="1:33" x14ac:dyDescent="0.3">
      <c r="A182" s="1">
        <v>44092</v>
      </c>
      <c r="B182">
        <v>38845.82</v>
      </c>
      <c r="C182">
        <f>Table2[[#This Row],[Close]]-0.001*Table2[[#This Row],[Close]]</f>
        <v>38806.974179999997</v>
      </c>
      <c r="D182">
        <f>Table2[[#This Row],[Close]]+0.001*Table2[[#This Row],[Close]]</f>
        <v>38884.665820000002</v>
      </c>
      <c r="E182" t="str">
        <f>IF(Table2[[#This Row],[Close]]&gt;D181,"up",IF(Table2[[#This Row],[Close]]&lt;C181,"down","constant"))</f>
        <v>down</v>
      </c>
      <c r="F182" s="3">
        <f>IF(Table2[[#This Row],[States]]="up",1,IF(Table2[[#This Row],[States]]="down",-1,0))</f>
        <v>-1</v>
      </c>
      <c r="G182">
        <f>IF(AND(Table2[[#This Row],[STATES in numeric format]]=-1,F181=1,F180=1),1,0)</f>
        <v>0</v>
      </c>
      <c r="H182">
        <f>IF(AND(Table2[[#This Row],[STATES in numeric format]]=-1,F181=-1,F180=-1),1,0)</f>
        <v>0</v>
      </c>
      <c r="I182">
        <f>IF(AND(Table2[[#This Row],[STATES in numeric format]]=-1,F181=-1,F180=1),1,0)</f>
        <v>1</v>
      </c>
      <c r="J182">
        <f>IF(AND(Table2[[#This Row],[STATES in numeric format]]=-1,F181=1,F180=-1),1,0)</f>
        <v>0</v>
      </c>
      <c r="K182">
        <f>IF(AND(Table2[[#This Row],[STATES in numeric format]]=-1,F181=0,F180=0),1,0)</f>
        <v>0</v>
      </c>
      <c r="L182">
        <f>IF(AND(Table2[[#This Row],[STATES in numeric format]]=-1,F181=1,F180=0),1,0)</f>
        <v>0</v>
      </c>
      <c r="M182">
        <f>IF(AND(Table2[[#This Row],[STATES in numeric format]]=-1,F181=-1,F180=0),1,0)</f>
        <v>0</v>
      </c>
      <c r="N182">
        <f>IF(AND(Table2[[#This Row],[STATES in numeric format]]=-1,F181=0,F180=1),1,0)</f>
        <v>0</v>
      </c>
      <c r="O182">
        <f>IF(AND(Table2[[#This Row],[STATES in numeric format]]=-1,F181=0,F180=-1),1,0)</f>
        <v>0</v>
      </c>
      <c r="P182">
        <f>IF(AND(Table2[[#This Row],[STATES in numeric format]]=1,F181=1,F180=1),1,0)</f>
        <v>0</v>
      </c>
      <c r="Q182">
        <f>IF(AND(Table2[[#This Row],[STATES in numeric format]]=1,F181=-1,F180=-1),1,0)</f>
        <v>0</v>
      </c>
      <c r="R182">
        <f>IF(AND(Table2[[#This Row],[STATES in numeric format]]=1,F181=-1,F180=1),1,0)</f>
        <v>0</v>
      </c>
      <c r="S182">
        <f>IF(AND(Table2[[#This Row],[STATES in numeric format]]=1,F181=1,F180=-1),1,0)</f>
        <v>0</v>
      </c>
      <c r="T182">
        <f>IF(AND(Table2[[#This Row],[STATES in numeric format]]=1,F181=0,F180=0),1,0)</f>
        <v>0</v>
      </c>
      <c r="U182">
        <f>IF(AND(Table2[[#This Row],[STATES in numeric format]]=1,F181=1,F180=0),1,0)</f>
        <v>0</v>
      </c>
      <c r="V182">
        <f>IF(AND(Table2[[#This Row],[STATES in numeric format]]=1,F181=-1,F180=0),1,0)</f>
        <v>0</v>
      </c>
      <c r="W182">
        <f>IF(AND(Table2[[#This Row],[STATES in numeric format]]=1,F181=0,F180=1),1,0)</f>
        <v>0</v>
      </c>
      <c r="X182">
        <f>IF(AND(Table2[[#This Row],[STATES in numeric format]]=1,F181=0,F180=-1),1,0)</f>
        <v>0</v>
      </c>
      <c r="Y182">
        <f>IF(AND(Table2[[#This Row],[STATES in numeric format]]=0,F181=1,F180=1),1,0)</f>
        <v>0</v>
      </c>
      <c r="Z182">
        <f>IF(AND(Table2[[#This Row],[STATES in numeric format]]=0,F181=-1,F180=-1),1,0)</f>
        <v>0</v>
      </c>
      <c r="AA182">
        <f>IF(AND(Table2[[#This Row],[STATES in numeric format]]=0,F181=-1,F180=1),1,0)</f>
        <v>0</v>
      </c>
      <c r="AB182">
        <f>IF(AND(Table2[[#This Row],[STATES in numeric format]]=0,F181=1,F180=-1),1,0)</f>
        <v>0</v>
      </c>
      <c r="AC182">
        <f>IF(AND(Table2[[#This Row],[STATES in numeric format]]=0,F181=0,F180=0),1,0)</f>
        <v>0</v>
      </c>
      <c r="AD182">
        <f>IF(AND(Table2[[#This Row],[STATES in numeric format]]=0,F181=1,F180=0),1,0)</f>
        <v>0</v>
      </c>
      <c r="AE182">
        <f>IF(AND(Table2[[#This Row],[STATES in numeric format]]=0,F181=-1,F180=0),1,0)</f>
        <v>0</v>
      </c>
      <c r="AF182">
        <f>IF(AND(Table2[[#This Row],[STATES in numeric format]]=0,F181=0,F180=1),1,0)</f>
        <v>0</v>
      </c>
      <c r="AG182">
        <f>IF(AND(Table2[[#This Row],[STATES in numeric format]]=0,F181=0,F180=-1),1,0)</f>
        <v>0</v>
      </c>
    </row>
    <row r="183" spans="1:33" x14ac:dyDescent="0.3">
      <c r="A183" s="1">
        <v>44095</v>
      </c>
      <c r="B183">
        <v>38034.14</v>
      </c>
      <c r="C183">
        <f>Table2[[#This Row],[Close]]-0.001*Table2[[#This Row],[Close]]</f>
        <v>37996.105859999996</v>
      </c>
      <c r="D183">
        <f>Table2[[#This Row],[Close]]+0.001*Table2[[#This Row],[Close]]</f>
        <v>38072.174140000003</v>
      </c>
      <c r="E183" t="str">
        <f>IF(Table2[[#This Row],[Close]]&gt;D182,"up",IF(Table2[[#This Row],[Close]]&lt;C182,"down","constant"))</f>
        <v>down</v>
      </c>
      <c r="F183" s="3">
        <f>IF(Table2[[#This Row],[States]]="up",1,IF(Table2[[#This Row],[States]]="down",-1,0))</f>
        <v>-1</v>
      </c>
      <c r="G183">
        <f>IF(AND(Table2[[#This Row],[STATES in numeric format]]=-1,F182=1,F181=1),1,0)</f>
        <v>0</v>
      </c>
      <c r="H183">
        <f>IF(AND(Table2[[#This Row],[STATES in numeric format]]=-1,F182=-1,F181=-1),1,0)</f>
        <v>1</v>
      </c>
      <c r="I183">
        <f>IF(AND(Table2[[#This Row],[STATES in numeric format]]=-1,F182=-1,F181=1),1,0)</f>
        <v>0</v>
      </c>
      <c r="J183">
        <f>IF(AND(Table2[[#This Row],[STATES in numeric format]]=-1,F182=1,F181=-1),1,0)</f>
        <v>0</v>
      </c>
      <c r="K183">
        <f>IF(AND(Table2[[#This Row],[STATES in numeric format]]=-1,F182=0,F181=0),1,0)</f>
        <v>0</v>
      </c>
      <c r="L183">
        <f>IF(AND(Table2[[#This Row],[STATES in numeric format]]=-1,F182=1,F181=0),1,0)</f>
        <v>0</v>
      </c>
      <c r="M183">
        <f>IF(AND(Table2[[#This Row],[STATES in numeric format]]=-1,F182=-1,F181=0),1,0)</f>
        <v>0</v>
      </c>
      <c r="N183">
        <f>IF(AND(Table2[[#This Row],[STATES in numeric format]]=-1,F182=0,F181=1),1,0)</f>
        <v>0</v>
      </c>
      <c r="O183">
        <f>IF(AND(Table2[[#This Row],[STATES in numeric format]]=-1,F182=0,F181=-1),1,0)</f>
        <v>0</v>
      </c>
      <c r="P183">
        <f>IF(AND(Table2[[#This Row],[STATES in numeric format]]=1,F182=1,F181=1),1,0)</f>
        <v>0</v>
      </c>
      <c r="Q183">
        <f>IF(AND(Table2[[#This Row],[STATES in numeric format]]=1,F182=-1,F181=-1),1,0)</f>
        <v>0</v>
      </c>
      <c r="R183">
        <f>IF(AND(Table2[[#This Row],[STATES in numeric format]]=1,F182=-1,F181=1),1,0)</f>
        <v>0</v>
      </c>
      <c r="S183">
        <f>IF(AND(Table2[[#This Row],[STATES in numeric format]]=1,F182=1,F181=-1),1,0)</f>
        <v>0</v>
      </c>
      <c r="T183">
        <f>IF(AND(Table2[[#This Row],[STATES in numeric format]]=1,F182=0,F181=0),1,0)</f>
        <v>0</v>
      </c>
      <c r="U183">
        <f>IF(AND(Table2[[#This Row],[STATES in numeric format]]=1,F182=1,F181=0),1,0)</f>
        <v>0</v>
      </c>
      <c r="V183">
        <f>IF(AND(Table2[[#This Row],[STATES in numeric format]]=1,F182=-1,F181=0),1,0)</f>
        <v>0</v>
      </c>
      <c r="W183">
        <f>IF(AND(Table2[[#This Row],[STATES in numeric format]]=1,F182=0,F181=1),1,0)</f>
        <v>0</v>
      </c>
      <c r="X183">
        <f>IF(AND(Table2[[#This Row],[STATES in numeric format]]=1,F182=0,F181=-1),1,0)</f>
        <v>0</v>
      </c>
      <c r="Y183">
        <f>IF(AND(Table2[[#This Row],[STATES in numeric format]]=0,F182=1,F181=1),1,0)</f>
        <v>0</v>
      </c>
      <c r="Z183">
        <f>IF(AND(Table2[[#This Row],[STATES in numeric format]]=0,F182=-1,F181=-1),1,0)</f>
        <v>0</v>
      </c>
      <c r="AA183">
        <f>IF(AND(Table2[[#This Row],[STATES in numeric format]]=0,F182=-1,F181=1),1,0)</f>
        <v>0</v>
      </c>
      <c r="AB183">
        <f>IF(AND(Table2[[#This Row],[STATES in numeric format]]=0,F182=1,F181=-1),1,0)</f>
        <v>0</v>
      </c>
      <c r="AC183">
        <f>IF(AND(Table2[[#This Row],[STATES in numeric format]]=0,F182=0,F181=0),1,0)</f>
        <v>0</v>
      </c>
      <c r="AD183">
        <f>IF(AND(Table2[[#This Row],[STATES in numeric format]]=0,F182=1,F181=0),1,0)</f>
        <v>0</v>
      </c>
      <c r="AE183">
        <f>IF(AND(Table2[[#This Row],[STATES in numeric format]]=0,F182=-1,F181=0),1,0)</f>
        <v>0</v>
      </c>
      <c r="AF183">
        <f>IF(AND(Table2[[#This Row],[STATES in numeric format]]=0,F182=0,F181=1),1,0)</f>
        <v>0</v>
      </c>
      <c r="AG183">
        <f>IF(AND(Table2[[#This Row],[STATES in numeric format]]=0,F182=0,F181=-1),1,0)</f>
        <v>0</v>
      </c>
    </row>
    <row r="184" spans="1:33" x14ac:dyDescent="0.3">
      <c r="A184" s="1">
        <v>44096</v>
      </c>
      <c r="B184">
        <v>37734.080000000002</v>
      </c>
      <c r="C184">
        <f>Table2[[#This Row],[Close]]-0.001*Table2[[#This Row],[Close]]</f>
        <v>37696.34592</v>
      </c>
      <c r="D184">
        <f>Table2[[#This Row],[Close]]+0.001*Table2[[#This Row],[Close]]</f>
        <v>37771.814080000004</v>
      </c>
      <c r="E184" t="str">
        <f>IF(Table2[[#This Row],[Close]]&gt;D183,"up",IF(Table2[[#This Row],[Close]]&lt;C183,"down","constant"))</f>
        <v>down</v>
      </c>
      <c r="F184" s="3">
        <f>IF(Table2[[#This Row],[States]]="up",1,IF(Table2[[#This Row],[States]]="down",-1,0))</f>
        <v>-1</v>
      </c>
      <c r="G184">
        <f>IF(AND(Table2[[#This Row],[STATES in numeric format]]=-1,F183=1,F182=1),1,0)</f>
        <v>0</v>
      </c>
      <c r="H184">
        <f>IF(AND(Table2[[#This Row],[STATES in numeric format]]=-1,F183=-1,F182=-1),1,0)</f>
        <v>1</v>
      </c>
      <c r="I184">
        <f>IF(AND(Table2[[#This Row],[STATES in numeric format]]=-1,F183=-1,F182=1),1,0)</f>
        <v>0</v>
      </c>
      <c r="J184">
        <f>IF(AND(Table2[[#This Row],[STATES in numeric format]]=-1,F183=1,F182=-1),1,0)</f>
        <v>0</v>
      </c>
      <c r="K184">
        <f>IF(AND(Table2[[#This Row],[STATES in numeric format]]=-1,F183=0,F182=0),1,0)</f>
        <v>0</v>
      </c>
      <c r="L184">
        <f>IF(AND(Table2[[#This Row],[STATES in numeric format]]=-1,F183=1,F182=0),1,0)</f>
        <v>0</v>
      </c>
      <c r="M184">
        <f>IF(AND(Table2[[#This Row],[STATES in numeric format]]=-1,F183=-1,F182=0),1,0)</f>
        <v>0</v>
      </c>
      <c r="N184">
        <f>IF(AND(Table2[[#This Row],[STATES in numeric format]]=-1,F183=0,F182=1),1,0)</f>
        <v>0</v>
      </c>
      <c r="O184">
        <f>IF(AND(Table2[[#This Row],[STATES in numeric format]]=-1,F183=0,F182=-1),1,0)</f>
        <v>0</v>
      </c>
      <c r="P184">
        <f>IF(AND(Table2[[#This Row],[STATES in numeric format]]=1,F183=1,F182=1),1,0)</f>
        <v>0</v>
      </c>
      <c r="Q184">
        <f>IF(AND(Table2[[#This Row],[STATES in numeric format]]=1,F183=-1,F182=-1),1,0)</f>
        <v>0</v>
      </c>
      <c r="R184">
        <f>IF(AND(Table2[[#This Row],[STATES in numeric format]]=1,F183=-1,F182=1),1,0)</f>
        <v>0</v>
      </c>
      <c r="S184">
        <f>IF(AND(Table2[[#This Row],[STATES in numeric format]]=1,F183=1,F182=-1),1,0)</f>
        <v>0</v>
      </c>
      <c r="T184">
        <f>IF(AND(Table2[[#This Row],[STATES in numeric format]]=1,F183=0,F182=0),1,0)</f>
        <v>0</v>
      </c>
      <c r="U184">
        <f>IF(AND(Table2[[#This Row],[STATES in numeric format]]=1,F183=1,F182=0),1,0)</f>
        <v>0</v>
      </c>
      <c r="V184">
        <f>IF(AND(Table2[[#This Row],[STATES in numeric format]]=1,F183=-1,F182=0),1,0)</f>
        <v>0</v>
      </c>
      <c r="W184">
        <f>IF(AND(Table2[[#This Row],[STATES in numeric format]]=1,F183=0,F182=1),1,0)</f>
        <v>0</v>
      </c>
      <c r="X184">
        <f>IF(AND(Table2[[#This Row],[STATES in numeric format]]=1,F183=0,F182=-1),1,0)</f>
        <v>0</v>
      </c>
      <c r="Y184">
        <f>IF(AND(Table2[[#This Row],[STATES in numeric format]]=0,F183=1,F182=1),1,0)</f>
        <v>0</v>
      </c>
      <c r="Z184">
        <f>IF(AND(Table2[[#This Row],[STATES in numeric format]]=0,F183=-1,F182=-1),1,0)</f>
        <v>0</v>
      </c>
      <c r="AA184">
        <f>IF(AND(Table2[[#This Row],[STATES in numeric format]]=0,F183=-1,F182=1),1,0)</f>
        <v>0</v>
      </c>
      <c r="AB184">
        <f>IF(AND(Table2[[#This Row],[STATES in numeric format]]=0,F183=1,F182=-1),1,0)</f>
        <v>0</v>
      </c>
      <c r="AC184">
        <f>IF(AND(Table2[[#This Row],[STATES in numeric format]]=0,F183=0,F182=0),1,0)</f>
        <v>0</v>
      </c>
      <c r="AD184">
        <f>IF(AND(Table2[[#This Row],[STATES in numeric format]]=0,F183=1,F182=0),1,0)</f>
        <v>0</v>
      </c>
      <c r="AE184">
        <f>IF(AND(Table2[[#This Row],[STATES in numeric format]]=0,F183=-1,F182=0),1,0)</f>
        <v>0</v>
      </c>
      <c r="AF184">
        <f>IF(AND(Table2[[#This Row],[STATES in numeric format]]=0,F183=0,F182=1),1,0)</f>
        <v>0</v>
      </c>
      <c r="AG184">
        <f>IF(AND(Table2[[#This Row],[STATES in numeric format]]=0,F183=0,F182=-1),1,0)</f>
        <v>0</v>
      </c>
    </row>
    <row r="185" spans="1:33" x14ac:dyDescent="0.3">
      <c r="A185" s="1">
        <v>44097</v>
      </c>
      <c r="B185">
        <v>37668.42</v>
      </c>
      <c r="C185">
        <f>Table2[[#This Row],[Close]]-0.001*Table2[[#This Row],[Close]]</f>
        <v>37630.751579999996</v>
      </c>
      <c r="D185">
        <f>Table2[[#This Row],[Close]]+0.001*Table2[[#This Row],[Close]]</f>
        <v>37706.08842</v>
      </c>
      <c r="E185" t="str">
        <f>IF(Table2[[#This Row],[Close]]&gt;D184,"up",IF(Table2[[#This Row],[Close]]&lt;C184,"down","constant"))</f>
        <v>down</v>
      </c>
      <c r="F185" s="3">
        <f>IF(Table2[[#This Row],[States]]="up",1,IF(Table2[[#This Row],[States]]="down",-1,0))</f>
        <v>-1</v>
      </c>
      <c r="G185">
        <f>IF(AND(Table2[[#This Row],[STATES in numeric format]]=-1,F184=1,F183=1),1,0)</f>
        <v>0</v>
      </c>
      <c r="H185">
        <f>IF(AND(Table2[[#This Row],[STATES in numeric format]]=-1,F184=-1,F183=-1),1,0)</f>
        <v>1</v>
      </c>
      <c r="I185">
        <f>IF(AND(Table2[[#This Row],[STATES in numeric format]]=-1,F184=-1,F183=1),1,0)</f>
        <v>0</v>
      </c>
      <c r="J185">
        <f>IF(AND(Table2[[#This Row],[STATES in numeric format]]=-1,F184=1,F183=-1),1,0)</f>
        <v>0</v>
      </c>
      <c r="K185">
        <f>IF(AND(Table2[[#This Row],[STATES in numeric format]]=-1,F184=0,F183=0),1,0)</f>
        <v>0</v>
      </c>
      <c r="L185">
        <f>IF(AND(Table2[[#This Row],[STATES in numeric format]]=-1,F184=1,F183=0),1,0)</f>
        <v>0</v>
      </c>
      <c r="M185">
        <f>IF(AND(Table2[[#This Row],[STATES in numeric format]]=-1,F184=-1,F183=0),1,0)</f>
        <v>0</v>
      </c>
      <c r="N185">
        <f>IF(AND(Table2[[#This Row],[STATES in numeric format]]=-1,F184=0,F183=1),1,0)</f>
        <v>0</v>
      </c>
      <c r="O185">
        <f>IF(AND(Table2[[#This Row],[STATES in numeric format]]=-1,F184=0,F183=-1),1,0)</f>
        <v>0</v>
      </c>
      <c r="P185">
        <f>IF(AND(Table2[[#This Row],[STATES in numeric format]]=1,F184=1,F183=1),1,0)</f>
        <v>0</v>
      </c>
      <c r="Q185">
        <f>IF(AND(Table2[[#This Row],[STATES in numeric format]]=1,F184=-1,F183=-1),1,0)</f>
        <v>0</v>
      </c>
      <c r="R185">
        <f>IF(AND(Table2[[#This Row],[STATES in numeric format]]=1,F184=-1,F183=1),1,0)</f>
        <v>0</v>
      </c>
      <c r="S185">
        <f>IF(AND(Table2[[#This Row],[STATES in numeric format]]=1,F184=1,F183=-1),1,0)</f>
        <v>0</v>
      </c>
      <c r="T185">
        <f>IF(AND(Table2[[#This Row],[STATES in numeric format]]=1,F184=0,F183=0),1,0)</f>
        <v>0</v>
      </c>
      <c r="U185">
        <f>IF(AND(Table2[[#This Row],[STATES in numeric format]]=1,F184=1,F183=0),1,0)</f>
        <v>0</v>
      </c>
      <c r="V185">
        <f>IF(AND(Table2[[#This Row],[STATES in numeric format]]=1,F184=-1,F183=0),1,0)</f>
        <v>0</v>
      </c>
      <c r="W185">
        <f>IF(AND(Table2[[#This Row],[STATES in numeric format]]=1,F184=0,F183=1),1,0)</f>
        <v>0</v>
      </c>
      <c r="X185">
        <f>IF(AND(Table2[[#This Row],[STATES in numeric format]]=1,F184=0,F183=-1),1,0)</f>
        <v>0</v>
      </c>
      <c r="Y185">
        <f>IF(AND(Table2[[#This Row],[STATES in numeric format]]=0,F184=1,F183=1),1,0)</f>
        <v>0</v>
      </c>
      <c r="Z185">
        <f>IF(AND(Table2[[#This Row],[STATES in numeric format]]=0,F184=-1,F183=-1),1,0)</f>
        <v>0</v>
      </c>
      <c r="AA185">
        <f>IF(AND(Table2[[#This Row],[STATES in numeric format]]=0,F184=-1,F183=1),1,0)</f>
        <v>0</v>
      </c>
      <c r="AB185">
        <f>IF(AND(Table2[[#This Row],[STATES in numeric format]]=0,F184=1,F183=-1),1,0)</f>
        <v>0</v>
      </c>
      <c r="AC185">
        <f>IF(AND(Table2[[#This Row],[STATES in numeric format]]=0,F184=0,F183=0),1,0)</f>
        <v>0</v>
      </c>
      <c r="AD185">
        <f>IF(AND(Table2[[#This Row],[STATES in numeric format]]=0,F184=1,F183=0),1,0)</f>
        <v>0</v>
      </c>
      <c r="AE185">
        <f>IF(AND(Table2[[#This Row],[STATES in numeric format]]=0,F184=-1,F183=0),1,0)</f>
        <v>0</v>
      </c>
      <c r="AF185">
        <f>IF(AND(Table2[[#This Row],[STATES in numeric format]]=0,F184=0,F183=1),1,0)</f>
        <v>0</v>
      </c>
      <c r="AG185">
        <f>IF(AND(Table2[[#This Row],[STATES in numeric format]]=0,F184=0,F183=-1),1,0)</f>
        <v>0</v>
      </c>
    </row>
    <row r="186" spans="1:33" x14ac:dyDescent="0.3">
      <c r="A186" s="1">
        <v>44098</v>
      </c>
      <c r="B186">
        <v>36553.599999999999</v>
      </c>
      <c r="C186">
        <f>Table2[[#This Row],[Close]]-0.001*Table2[[#This Row],[Close]]</f>
        <v>36517.046399999999</v>
      </c>
      <c r="D186">
        <f>Table2[[#This Row],[Close]]+0.001*Table2[[#This Row],[Close]]</f>
        <v>36590.153599999998</v>
      </c>
      <c r="E186" t="str">
        <f>IF(Table2[[#This Row],[Close]]&gt;D185,"up",IF(Table2[[#This Row],[Close]]&lt;C185,"down","constant"))</f>
        <v>down</v>
      </c>
      <c r="F186" s="3">
        <f>IF(Table2[[#This Row],[States]]="up",1,IF(Table2[[#This Row],[States]]="down",-1,0))</f>
        <v>-1</v>
      </c>
      <c r="G186">
        <f>IF(AND(Table2[[#This Row],[STATES in numeric format]]=-1,F185=1,F184=1),1,0)</f>
        <v>0</v>
      </c>
      <c r="H186">
        <f>IF(AND(Table2[[#This Row],[STATES in numeric format]]=-1,F185=-1,F184=-1),1,0)</f>
        <v>1</v>
      </c>
      <c r="I186">
        <f>IF(AND(Table2[[#This Row],[STATES in numeric format]]=-1,F185=-1,F184=1),1,0)</f>
        <v>0</v>
      </c>
      <c r="J186">
        <f>IF(AND(Table2[[#This Row],[STATES in numeric format]]=-1,F185=1,F184=-1),1,0)</f>
        <v>0</v>
      </c>
      <c r="K186">
        <f>IF(AND(Table2[[#This Row],[STATES in numeric format]]=-1,F185=0,F184=0),1,0)</f>
        <v>0</v>
      </c>
      <c r="L186">
        <f>IF(AND(Table2[[#This Row],[STATES in numeric format]]=-1,F185=1,F184=0),1,0)</f>
        <v>0</v>
      </c>
      <c r="M186">
        <f>IF(AND(Table2[[#This Row],[STATES in numeric format]]=-1,F185=-1,F184=0),1,0)</f>
        <v>0</v>
      </c>
      <c r="N186">
        <f>IF(AND(Table2[[#This Row],[STATES in numeric format]]=-1,F185=0,F184=1),1,0)</f>
        <v>0</v>
      </c>
      <c r="O186">
        <f>IF(AND(Table2[[#This Row],[STATES in numeric format]]=-1,F185=0,F184=-1),1,0)</f>
        <v>0</v>
      </c>
      <c r="P186">
        <f>IF(AND(Table2[[#This Row],[STATES in numeric format]]=1,F185=1,F184=1),1,0)</f>
        <v>0</v>
      </c>
      <c r="Q186">
        <f>IF(AND(Table2[[#This Row],[STATES in numeric format]]=1,F185=-1,F184=-1),1,0)</f>
        <v>0</v>
      </c>
      <c r="R186">
        <f>IF(AND(Table2[[#This Row],[STATES in numeric format]]=1,F185=-1,F184=1),1,0)</f>
        <v>0</v>
      </c>
      <c r="S186">
        <f>IF(AND(Table2[[#This Row],[STATES in numeric format]]=1,F185=1,F184=-1),1,0)</f>
        <v>0</v>
      </c>
      <c r="T186">
        <f>IF(AND(Table2[[#This Row],[STATES in numeric format]]=1,F185=0,F184=0),1,0)</f>
        <v>0</v>
      </c>
      <c r="U186">
        <f>IF(AND(Table2[[#This Row],[STATES in numeric format]]=1,F185=1,F184=0),1,0)</f>
        <v>0</v>
      </c>
      <c r="V186">
        <f>IF(AND(Table2[[#This Row],[STATES in numeric format]]=1,F185=-1,F184=0),1,0)</f>
        <v>0</v>
      </c>
      <c r="W186">
        <f>IF(AND(Table2[[#This Row],[STATES in numeric format]]=1,F185=0,F184=1),1,0)</f>
        <v>0</v>
      </c>
      <c r="X186">
        <f>IF(AND(Table2[[#This Row],[STATES in numeric format]]=1,F185=0,F184=-1),1,0)</f>
        <v>0</v>
      </c>
      <c r="Y186">
        <f>IF(AND(Table2[[#This Row],[STATES in numeric format]]=0,F185=1,F184=1),1,0)</f>
        <v>0</v>
      </c>
      <c r="Z186">
        <f>IF(AND(Table2[[#This Row],[STATES in numeric format]]=0,F185=-1,F184=-1),1,0)</f>
        <v>0</v>
      </c>
      <c r="AA186">
        <f>IF(AND(Table2[[#This Row],[STATES in numeric format]]=0,F185=-1,F184=1),1,0)</f>
        <v>0</v>
      </c>
      <c r="AB186">
        <f>IF(AND(Table2[[#This Row],[STATES in numeric format]]=0,F185=1,F184=-1),1,0)</f>
        <v>0</v>
      </c>
      <c r="AC186">
        <f>IF(AND(Table2[[#This Row],[STATES in numeric format]]=0,F185=0,F184=0),1,0)</f>
        <v>0</v>
      </c>
      <c r="AD186">
        <f>IF(AND(Table2[[#This Row],[STATES in numeric format]]=0,F185=1,F184=0),1,0)</f>
        <v>0</v>
      </c>
      <c r="AE186">
        <f>IF(AND(Table2[[#This Row],[STATES in numeric format]]=0,F185=-1,F184=0),1,0)</f>
        <v>0</v>
      </c>
      <c r="AF186">
        <f>IF(AND(Table2[[#This Row],[STATES in numeric format]]=0,F185=0,F184=1),1,0)</f>
        <v>0</v>
      </c>
      <c r="AG186">
        <f>IF(AND(Table2[[#This Row],[STATES in numeric format]]=0,F185=0,F184=-1),1,0)</f>
        <v>0</v>
      </c>
    </row>
    <row r="187" spans="1:33" x14ac:dyDescent="0.3">
      <c r="A187" s="1">
        <v>44099</v>
      </c>
      <c r="B187">
        <v>37388.660000000003</v>
      </c>
      <c r="C187">
        <f>Table2[[#This Row],[Close]]-0.001*Table2[[#This Row],[Close]]</f>
        <v>37351.271340000007</v>
      </c>
      <c r="D187">
        <f>Table2[[#This Row],[Close]]+0.001*Table2[[#This Row],[Close]]</f>
        <v>37426.04866</v>
      </c>
      <c r="E187" t="str">
        <f>IF(Table2[[#This Row],[Close]]&gt;D186,"up",IF(Table2[[#This Row],[Close]]&lt;C186,"down","constant"))</f>
        <v>up</v>
      </c>
      <c r="F187" s="3">
        <f>IF(Table2[[#This Row],[States]]="up",1,IF(Table2[[#This Row],[States]]="down",-1,0))</f>
        <v>1</v>
      </c>
      <c r="G187">
        <f>IF(AND(Table2[[#This Row],[STATES in numeric format]]=-1,F186=1,F185=1),1,0)</f>
        <v>0</v>
      </c>
      <c r="H187">
        <f>IF(AND(Table2[[#This Row],[STATES in numeric format]]=-1,F186=-1,F185=-1),1,0)</f>
        <v>0</v>
      </c>
      <c r="I187">
        <f>IF(AND(Table2[[#This Row],[STATES in numeric format]]=-1,F186=-1,F185=1),1,0)</f>
        <v>0</v>
      </c>
      <c r="J187">
        <f>IF(AND(Table2[[#This Row],[STATES in numeric format]]=-1,F186=1,F185=-1),1,0)</f>
        <v>0</v>
      </c>
      <c r="K187">
        <f>IF(AND(Table2[[#This Row],[STATES in numeric format]]=-1,F186=0,F185=0),1,0)</f>
        <v>0</v>
      </c>
      <c r="L187">
        <f>IF(AND(Table2[[#This Row],[STATES in numeric format]]=-1,F186=1,F185=0),1,0)</f>
        <v>0</v>
      </c>
      <c r="M187">
        <f>IF(AND(Table2[[#This Row],[STATES in numeric format]]=-1,F186=-1,F185=0),1,0)</f>
        <v>0</v>
      </c>
      <c r="N187">
        <f>IF(AND(Table2[[#This Row],[STATES in numeric format]]=-1,F186=0,F185=1),1,0)</f>
        <v>0</v>
      </c>
      <c r="O187">
        <f>IF(AND(Table2[[#This Row],[STATES in numeric format]]=-1,F186=0,F185=-1),1,0)</f>
        <v>0</v>
      </c>
      <c r="P187">
        <f>IF(AND(Table2[[#This Row],[STATES in numeric format]]=1,F186=1,F185=1),1,0)</f>
        <v>0</v>
      </c>
      <c r="Q187">
        <f>IF(AND(Table2[[#This Row],[STATES in numeric format]]=1,F186=-1,F185=-1),1,0)</f>
        <v>1</v>
      </c>
      <c r="R187">
        <f>IF(AND(Table2[[#This Row],[STATES in numeric format]]=1,F186=-1,F185=1),1,0)</f>
        <v>0</v>
      </c>
      <c r="S187">
        <f>IF(AND(Table2[[#This Row],[STATES in numeric format]]=1,F186=1,F185=-1),1,0)</f>
        <v>0</v>
      </c>
      <c r="T187">
        <f>IF(AND(Table2[[#This Row],[STATES in numeric format]]=1,F186=0,F185=0),1,0)</f>
        <v>0</v>
      </c>
      <c r="U187">
        <f>IF(AND(Table2[[#This Row],[STATES in numeric format]]=1,F186=1,F185=0),1,0)</f>
        <v>0</v>
      </c>
      <c r="V187">
        <f>IF(AND(Table2[[#This Row],[STATES in numeric format]]=1,F186=-1,F185=0),1,0)</f>
        <v>0</v>
      </c>
      <c r="W187">
        <f>IF(AND(Table2[[#This Row],[STATES in numeric format]]=1,F186=0,F185=1),1,0)</f>
        <v>0</v>
      </c>
      <c r="X187">
        <f>IF(AND(Table2[[#This Row],[STATES in numeric format]]=1,F186=0,F185=-1),1,0)</f>
        <v>0</v>
      </c>
      <c r="Y187">
        <f>IF(AND(Table2[[#This Row],[STATES in numeric format]]=0,F186=1,F185=1),1,0)</f>
        <v>0</v>
      </c>
      <c r="Z187">
        <f>IF(AND(Table2[[#This Row],[STATES in numeric format]]=0,F186=-1,F185=-1),1,0)</f>
        <v>0</v>
      </c>
      <c r="AA187">
        <f>IF(AND(Table2[[#This Row],[STATES in numeric format]]=0,F186=-1,F185=1),1,0)</f>
        <v>0</v>
      </c>
      <c r="AB187">
        <f>IF(AND(Table2[[#This Row],[STATES in numeric format]]=0,F186=1,F185=-1),1,0)</f>
        <v>0</v>
      </c>
      <c r="AC187">
        <f>IF(AND(Table2[[#This Row],[STATES in numeric format]]=0,F186=0,F185=0),1,0)</f>
        <v>0</v>
      </c>
      <c r="AD187">
        <f>IF(AND(Table2[[#This Row],[STATES in numeric format]]=0,F186=1,F185=0),1,0)</f>
        <v>0</v>
      </c>
      <c r="AE187">
        <f>IF(AND(Table2[[#This Row],[STATES in numeric format]]=0,F186=-1,F185=0),1,0)</f>
        <v>0</v>
      </c>
      <c r="AF187">
        <f>IF(AND(Table2[[#This Row],[STATES in numeric format]]=0,F186=0,F185=1),1,0)</f>
        <v>0</v>
      </c>
      <c r="AG187">
        <f>IF(AND(Table2[[#This Row],[STATES in numeric format]]=0,F186=0,F185=-1),1,0)</f>
        <v>0</v>
      </c>
    </row>
    <row r="188" spans="1:33" x14ac:dyDescent="0.3">
      <c r="A188" s="1">
        <v>44102</v>
      </c>
      <c r="B188">
        <v>37981.629999999997</v>
      </c>
      <c r="C188">
        <f>Table2[[#This Row],[Close]]-0.001*Table2[[#This Row],[Close]]</f>
        <v>37943.648369999995</v>
      </c>
      <c r="D188">
        <f>Table2[[#This Row],[Close]]+0.001*Table2[[#This Row],[Close]]</f>
        <v>38019.611629999999</v>
      </c>
      <c r="E188" t="str">
        <f>IF(Table2[[#This Row],[Close]]&gt;D187,"up",IF(Table2[[#This Row],[Close]]&lt;C187,"down","constant"))</f>
        <v>up</v>
      </c>
      <c r="F188" s="3">
        <f>IF(Table2[[#This Row],[States]]="up",1,IF(Table2[[#This Row],[States]]="down",-1,0))</f>
        <v>1</v>
      </c>
      <c r="G188">
        <f>IF(AND(Table2[[#This Row],[STATES in numeric format]]=-1,F187=1,F186=1),1,0)</f>
        <v>0</v>
      </c>
      <c r="H188">
        <f>IF(AND(Table2[[#This Row],[STATES in numeric format]]=-1,F187=-1,F186=-1),1,0)</f>
        <v>0</v>
      </c>
      <c r="I188">
        <f>IF(AND(Table2[[#This Row],[STATES in numeric format]]=-1,F187=-1,F186=1),1,0)</f>
        <v>0</v>
      </c>
      <c r="J188">
        <f>IF(AND(Table2[[#This Row],[STATES in numeric format]]=-1,F187=1,F186=-1),1,0)</f>
        <v>0</v>
      </c>
      <c r="K188">
        <f>IF(AND(Table2[[#This Row],[STATES in numeric format]]=-1,F187=0,F186=0),1,0)</f>
        <v>0</v>
      </c>
      <c r="L188">
        <f>IF(AND(Table2[[#This Row],[STATES in numeric format]]=-1,F187=1,F186=0),1,0)</f>
        <v>0</v>
      </c>
      <c r="M188">
        <f>IF(AND(Table2[[#This Row],[STATES in numeric format]]=-1,F187=-1,F186=0),1,0)</f>
        <v>0</v>
      </c>
      <c r="N188">
        <f>IF(AND(Table2[[#This Row],[STATES in numeric format]]=-1,F187=0,F186=1),1,0)</f>
        <v>0</v>
      </c>
      <c r="O188">
        <f>IF(AND(Table2[[#This Row],[STATES in numeric format]]=-1,F187=0,F186=-1),1,0)</f>
        <v>0</v>
      </c>
      <c r="P188">
        <f>IF(AND(Table2[[#This Row],[STATES in numeric format]]=1,F187=1,F186=1),1,0)</f>
        <v>0</v>
      </c>
      <c r="Q188">
        <f>IF(AND(Table2[[#This Row],[STATES in numeric format]]=1,F187=-1,F186=-1),1,0)</f>
        <v>0</v>
      </c>
      <c r="R188">
        <f>IF(AND(Table2[[#This Row],[STATES in numeric format]]=1,F187=-1,F186=1),1,0)</f>
        <v>0</v>
      </c>
      <c r="S188">
        <f>IF(AND(Table2[[#This Row],[STATES in numeric format]]=1,F187=1,F186=-1),1,0)</f>
        <v>1</v>
      </c>
      <c r="T188">
        <f>IF(AND(Table2[[#This Row],[STATES in numeric format]]=1,F187=0,F186=0),1,0)</f>
        <v>0</v>
      </c>
      <c r="U188">
        <f>IF(AND(Table2[[#This Row],[STATES in numeric format]]=1,F187=1,F186=0),1,0)</f>
        <v>0</v>
      </c>
      <c r="V188">
        <f>IF(AND(Table2[[#This Row],[STATES in numeric format]]=1,F187=-1,F186=0),1,0)</f>
        <v>0</v>
      </c>
      <c r="W188">
        <f>IF(AND(Table2[[#This Row],[STATES in numeric format]]=1,F187=0,F186=1),1,0)</f>
        <v>0</v>
      </c>
      <c r="X188">
        <f>IF(AND(Table2[[#This Row],[STATES in numeric format]]=1,F187=0,F186=-1),1,0)</f>
        <v>0</v>
      </c>
      <c r="Y188">
        <f>IF(AND(Table2[[#This Row],[STATES in numeric format]]=0,F187=1,F186=1),1,0)</f>
        <v>0</v>
      </c>
      <c r="Z188">
        <f>IF(AND(Table2[[#This Row],[STATES in numeric format]]=0,F187=-1,F186=-1),1,0)</f>
        <v>0</v>
      </c>
      <c r="AA188">
        <f>IF(AND(Table2[[#This Row],[STATES in numeric format]]=0,F187=-1,F186=1),1,0)</f>
        <v>0</v>
      </c>
      <c r="AB188">
        <f>IF(AND(Table2[[#This Row],[STATES in numeric format]]=0,F187=1,F186=-1),1,0)</f>
        <v>0</v>
      </c>
      <c r="AC188">
        <f>IF(AND(Table2[[#This Row],[STATES in numeric format]]=0,F187=0,F186=0),1,0)</f>
        <v>0</v>
      </c>
      <c r="AD188">
        <f>IF(AND(Table2[[#This Row],[STATES in numeric format]]=0,F187=1,F186=0),1,0)</f>
        <v>0</v>
      </c>
      <c r="AE188">
        <f>IF(AND(Table2[[#This Row],[STATES in numeric format]]=0,F187=-1,F186=0),1,0)</f>
        <v>0</v>
      </c>
      <c r="AF188">
        <f>IF(AND(Table2[[#This Row],[STATES in numeric format]]=0,F187=0,F186=1),1,0)</f>
        <v>0</v>
      </c>
      <c r="AG188">
        <f>IF(AND(Table2[[#This Row],[STATES in numeric format]]=0,F187=0,F186=-1),1,0)</f>
        <v>0</v>
      </c>
    </row>
    <row r="189" spans="1:33" x14ac:dyDescent="0.3">
      <c r="A189" s="1">
        <v>44103</v>
      </c>
      <c r="B189">
        <v>37973.22</v>
      </c>
      <c r="C189">
        <f>Table2[[#This Row],[Close]]-0.001*Table2[[#This Row],[Close]]</f>
        <v>37935.246780000001</v>
      </c>
      <c r="D189">
        <f>Table2[[#This Row],[Close]]+0.001*Table2[[#This Row],[Close]]</f>
        <v>38011.193220000001</v>
      </c>
      <c r="E189" t="str">
        <f>IF(Table2[[#This Row],[Close]]&gt;D188,"up",IF(Table2[[#This Row],[Close]]&lt;C188,"down","constant"))</f>
        <v>constant</v>
      </c>
      <c r="F189" s="3">
        <f>IF(Table2[[#This Row],[States]]="up",1,IF(Table2[[#This Row],[States]]="down",-1,0))</f>
        <v>0</v>
      </c>
      <c r="G189">
        <f>IF(AND(Table2[[#This Row],[STATES in numeric format]]=-1,F188=1,F187=1),1,0)</f>
        <v>0</v>
      </c>
      <c r="H189">
        <f>IF(AND(Table2[[#This Row],[STATES in numeric format]]=-1,F188=-1,F187=-1),1,0)</f>
        <v>0</v>
      </c>
      <c r="I189">
        <f>IF(AND(Table2[[#This Row],[STATES in numeric format]]=-1,F188=-1,F187=1),1,0)</f>
        <v>0</v>
      </c>
      <c r="J189">
        <f>IF(AND(Table2[[#This Row],[STATES in numeric format]]=-1,F188=1,F187=-1),1,0)</f>
        <v>0</v>
      </c>
      <c r="K189">
        <f>IF(AND(Table2[[#This Row],[STATES in numeric format]]=-1,F188=0,F187=0),1,0)</f>
        <v>0</v>
      </c>
      <c r="L189">
        <f>IF(AND(Table2[[#This Row],[STATES in numeric format]]=-1,F188=1,F187=0),1,0)</f>
        <v>0</v>
      </c>
      <c r="M189">
        <f>IF(AND(Table2[[#This Row],[STATES in numeric format]]=-1,F188=-1,F187=0),1,0)</f>
        <v>0</v>
      </c>
      <c r="N189">
        <f>IF(AND(Table2[[#This Row],[STATES in numeric format]]=-1,F188=0,F187=1),1,0)</f>
        <v>0</v>
      </c>
      <c r="O189">
        <f>IF(AND(Table2[[#This Row],[STATES in numeric format]]=-1,F188=0,F187=-1),1,0)</f>
        <v>0</v>
      </c>
      <c r="P189">
        <f>IF(AND(Table2[[#This Row],[STATES in numeric format]]=1,F188=1,F187=1),1,0)</f>
        <v>0</v>
      </c>
      <c r="Q189">
        <f>IF(AND(Table2[[#This Row],[STATES in numeric format]]=1,F188=-1,F187=-1),1,0)</f>
        <v>0</v>
      </c>
      <c r="R189">
        <f>IF(AND(Table2[[#This Row],[STATES in numeric format]]=1,F188=-1,F187=1),1,0)</f>
        <v>0</v>
      </c>
      <c r="S189">
        <f>IF(AND(Table2[[#This Row],[STATES in numeric format]]=1,F188=1,F187=-1),1,0)</f>
        <v>0</v>
      </c>
      <c r="T189">
        <f>IF(AND(Table2[[#This Row],[STATES in numeric format]]=1,F188=0,F187=0),1,0)</f>
        <v>0</v>
      </c>
      <c r="U189">
        <f>IF(AND(Table2[[#This Row],[STATES in numeric format]]=1,F188=1,F187=0),1,0)</f>
        <v>0</v>
      </c>
      <c r="V189">
        <f>IF(AND(Table2[[#This Row],[STATES in numeric format]]=1,F188=-1,F187=0),1,0)</f>
        <v>0</v>
      </c>
      <c r="W189">
        <f>IF(AND(Table2[[#This Row],[STATES in numeric format]]=1,F188=0,F187=1),1,0)</f>
        <v>0</v>
      </c>
      <c r="X189">
        <f>IF(AND(Table2[[#This Row],[STATES in numeric format]]=1,F188=0,F187=-1),1,0)</f>
        <v>0</v>
      </c>
      <c r="Y189">
        <f>IF(AND(Table2[[#This Row],[STATES in numeric format]]=0,F188=1,F187=1),1,0)</f>
        <v>1</v>
      </c>
      <c r="Z189">
        <f>IF(AND(Table2[[#This Row],[STATES in numeric format]]=0,F188=-1,F187=-1),1,0)</f>
        <v>0</v>
      </c>
      <c r="AA189">
        <f>IF(AND(Table2[[#This Row],[STATES in numeric format]]=0,F188=-1,F187=1),1,0)</f>
        <v>0</v>
      </c>
      <c r="AB189">
        <f>IF(AND(Table2[[#This Row],[STATES in numeric format]]=0,F188=1,F187=-1),1,0)</f>
        <v>0</v>
      </c>
      <c r="AC189">
        <f>IF(AND(Table2[[#This Row],[STATES in numeric format]]=0,F188=0,F187=0),1,0)</f>
        <v>0</v>
      </c>
      <c r="AD189">
        <f>IF(AND(Table2[[#This Row],[STATES in numeric format]]=0,F188=1,F187=0),1,0)</f>
        <v>0</v>
      </c>
      <c r="AE189">
        <f>IF(AND(Table2[[#This Row],[STATES in numeric format]]=0,F188=-1,F187=0),1,0)</f>
        <v>0</v>
      </c>
      <c r="AF189">
        <f>IF(AND(Table2[[#This Row],[STATES in numeric format]]=0,F188=0,F187=1),1,0)</f>
        <v>0</v>
      </c>
      <c r="AG189">
        <f>IF(AND(Table2[[#This Row],[STATES in numeric format]]=0,F188=0,F187=-1),1,0)</f>
        <v>0</v>
      </c>
    </row>
    <row r="190" spans="1:33" x14ac:dyDescent="0.3">
      <c r="A190" s="1">
        <v>44104</v>
      </c>
      <c r="B190">
        <v>38067.93</v>
      </c>
      <c r="C190">
        <f>Table2[[#This Row],[Close]]-0.001*Table2[[#This Row],[Close]]</f>
        <v>38029.862070000003</v>
      </c>
      <c r="D190">
        <f>Table2[[#This Row],[Close]]+0.001*Table2[[#This Row],[Close]]</f>
        <v>38105.997929999998</v>
      </c>
      <c r="E190" t="str">
        <f>IF(Table2[[#This Row],[Close]]&gt;D189,"up",IF(Table2[[#This Row],[Close]]&lt;C189,"down","constant"))</f>
        <v>up</v>
      </c>
      <c r="F190" s="3">
        <f>IF(Table2[[#This Row],[States]]="up",1,IF(Table2[[#This Row],[States]]="down",-1,0))</f>
        <v>1</v>
      </c>
      <c r="G190">
        <f>IF(AND(Table2[[#This Row],[STATES in numeric format]]=-1,F189=1,F188=1),1,0)</f>
        <v>0</v>
      </c>
      <c r="H190">
        <f>IF(AND(Table2[[#This Row],[STATES in numeric format]]=-1,F189=-1,F188=-1),1,0)</f>
        <v>0</v>
      </c>
      <c r="I190">
        <f>IF(AND(Table2[[#This Row],[STATES in numeric format]]=-1,F189=-1,F188=1),1,0)</f>
        <v>0</v>
      </c>
      <c r="J190">
        <f>IF(AND(Table2[[#This Row],[STATES in numeric format]]=-1,F189=1,F188=-1),1,0)</f>
        <v>0</v>
      </c>
      <c r="K190">
        <f>IF(AND(Table2[[#This Row],[STATES in numeric format]]=-1,F189=0,F188=0),1,0)</f>
        <v>0</v>
      </c>
      <c r="L190">
        <f>IF(AND(Table2[[#This Row],[STATES in numeric format]]=-1,F189=1,F188=0),1,0)</f>
        <v>0</v>
      </c>
      <c r="M190">
        <f>IF(AND(Table2[[#This Row],[STATES in numeric format]]=-1,F189=-1,F188=0),1,0)</f>
        <v>0</v>
      </c>
      <c r="N190">
        <f>IF(AND(Table2[[#This Row],[STATES in numeric format]]=-1,F189=0,F188=1),1,0)</f>
        <v>0</v>
      </c>
      <c r="O190">
        <f>IF(AND(Table2[[#This Row],[STATES in numeric format]]=-1,F189=0,F188=-1),1,0)</f>
        <v>0</v>
      </c>
      <c r="P190">
        <f>IF(AND(Table2[[#This Row],[STATES in numeric format]]=1,F189=1,F188=1),1,0)</f>
        <v>0</v>
      </c>
      <c r="Q190">
        <f>IF(AND(Table2[[#This Row],[STATES in numeric format]]=1,F189=-1,F188=-1),1,0)</f>
        <v>0</v>
      </c>
      <c r="R190">
        <f>IF(AND(Table2[[#This Row],[STATES in numeric format]]=1,F189=-1,F188=1),1,0)</f>
        <v>0</v>
      </c>
      <c r="S190">
        <f>IF(AND(Table2[[#This Row],[STATES in numeric format]]=1,F189=1,F188=-1),1,0)</f>
        <v>0</v>
      </c>
      <c r="T190">
        <f>IF(AND(Table2[[#This Row],[STATES in numeric format]]=1,F189=0,F188=0),1,0)</f>
        <v>0</v>
      </c>
      <c r="U190">
        <f>IF(AND(Table2[[#This Row],[STATES in numeric format]]=1,F189=1,F188=0),1,0)</f>
        <v>0</v>
      </c>
      <c r="V190">
        <f>IF(AND(Table2[[#This Row],[STATES in numeric format]]=1,F189=-1,F188=0),1,0)</f>
        <v>0</v>
      </c>
      <c r="W190">
        <f>IF(AND(Table2[[#This Row],[STATES in numeric format]]=1,F189=0,F188=1),1,0)</f>
        <v>1</v>
      </c>
      <c r="X190">
        <f>IF(AND(Table2[[#This Row],[STATES in numeric format]]=1,F189=0,F188=-1),1,0)</f>
        <v>0</v>
      </c>
      <c r="Y190">
        <f>IF(AND(Table2[[#This Row],[STATES in numeric format]]=0,F189=1,F188=1),1,0)</f>
        <v>0</v>
      </c>
      <c r="Z190">
        <f>IF(AND(Table2[[#This Row],[STATES in numeric format]]=0,F189=-1,F188=-1),1,0)</f>
        <v>0</v>
      </c>
      <c r="AA190">
        <f>IF(AND(Table2[[#This Row],[STATES in numeric format]]=0,F189=-1,F188=1),1,0)</f>
        <v>0</v>
      </c>
      <c r="AB190">
        <f>IF(AND(Table2[[#This Row],[STATES in numeric format]]=0,F189=1,F188=-1),1,0)</f>
        <v>0</v>
      </c>
      <c r="AC190">
        <f>IF(AND(Table2[[#This Row],[STATES in numeric format]]=0,F189=0,F188=0),1,0)</f>
        <v>0</v>
      </c>
      <c r="AD190">
        <f>IF(AND(Table2[[#This Row],[STATES in numeric format]]=0,F189=1,F188=0),1,0)</f>
        <v>0</v>
      </c>
      <c r="AE190">
        <f>IF(AND(Table2[[#This Row],[STATES in numeric format]]=0,F189=-1,F188=0),1,0)</f>
        <v>0</v>
      </c>
      <c r="AF190">
        <f>IF(AND(Table2[[#This Row],[STATES in numeric format]]=0,F189=0,F188=1),1,0)</f>
        <v>0</v>
      </c>
      <c r="AG190">
        <f>IF(AND(Table2[[#This Row],[STATES in numeric format]]=0,F189=0,F188=-1),1,0)</f>
        <v>0</v>
      </c>
    </row>
    <row r="191" spans="1:33" x14ac:dyDescent="0.3">
      <c r="A191" s="1">
        <v>44105</v>
      </c>
      <c r="B191">
        <v>38697.050000000003</v>
      </c>
      <c r="C191">
        <f>Table2[[#This Row],[Close]]-0.001*Table2[[#This Row],[Close]]</f>
        <v>38658.35295</v>
      </c>
      <c r="D191">
        <f>Table2[[#This Row],[Close]]+0.001*Table2[[#This Row],[Close]]</f>
        <v>38735.747050000005</v>
      </c>
      <c r="E191" t="str">
        <f>IF(Table2[[#This Row],[Close]]&gt;D190,"up",IF(Table2[[#This Row],[Close]]&lt;C190,"down","constant"))</f>
        <v>up</v>
      </c>
      <c r="F191" s="3">
        <f>IF(Table2[[#This Row],[States]]="up",1,IF(Table2[[#This Row],[States]]="down",-1,0))</f>
        <v>1</v>
      </c>
      <c r="G191">
        <f>IF(AND(Table2[[#This Row],[STATES in numeric format]]=-1,F190=1,F189=1),1,0)</f>
        <v>0</v>
      </c>
      <c r="H191">
        <f>IF(AND(Table2[[#This Row],[STATES in numeric format]]=-1,F190=-1,F189=-1),1,0)</f>
        <v>0</v>
      </c>
      <c r="I191">
        <f>IF(AND(Table2[[#This Row],[STATES in numeric format]]=-1,F190=-1,F189=1),1,0)</f>
        <v>0</v>
      </c>
      <c r="J191">
        <f>IF(AND(Table2[[#This Row],[STATES in numeric format]]=-1,F190=1,F189=-1),1,0)</f>
        <v>0</v>
      </c>
      <c r="K191">
        <f>IF(AND(Table2[[#This Row],[STATES in numeric format]]=-1,F190=0,F189=0),1,0)</f>
        <v>0</v>
      </c>
      <c r="L191">
        <f>IF(AND(Table2[[#This Row],[STATES in numeric format]]=-1,F190=1,F189=0),1,0)</f>
        <v>0</v>
      </c>
      <c r="M191">
        <f>IF(AND(Table2[[#This Row],[STATES in numeric format]]=-1,F190=-1,F189=0),1,0)</f>
        <v>0</v>
      </c>
      <c r="N191">
        <f>IF(AND(Table2[[#This Row],[STATES in numeric format]]=-1,F190=0,F189=1),1,0)</f>
        <v>0</v>
      </c>
      <c r="O191">
        <f>IF(AND(Table2[[#This Row],[STATES in numeric format]]=-1,F190=0,F189=-1),1,0)</f>
        <v>0</v>
      </c>
      <c r="P191">
        <f>IF(AND(Table2[[#This Row],[STATES in numeric format]]=1,F190=1,F189=1),1,0)</f>
        <v>0</v>
      </c>
      <c r="Q191">
        <f>IF(AND(Table2[[#This Row],[STATES in numeric format]]=1,F190=-1,F189=-1),1,0)</f>
        <v>0</v>
      </c>
      <c r="R191">
        <f>IF(AND(Table2[[#This Row],[STATES in numeric format]]=1,F190=-1,F189=1),1,0)</f>
        <v>0</v>
      </c>
      <c r="S191">
        <f>IF(AND(Table2[[#This Row],[STATES in numeric format]]=1,F190=1,F189=-1),1,0)</f>
        <v>0</v>
      </c>
      <c r="T191">
        <f>IF(AND(Table2[[#This Row],[STATES in numeric format]]=1,F190=0,F189=0),1,0)</f>
        <v>0</v>
      </c>
      <c r="U191">
        <f>IF(AND(Table2[[#This Row],[STATES in numeric format]]=1,F190=1,F189=0),1,0)</f>
        <v>1</v>
      </c>
      <c r="V191">
        <f>IF(AND(Table2[[#This Row],[STATES in numeric format]]=1,F190=-1,F189=0),1,0)</f>
        <v>0</v>
      </c>
      <c r="W191">
        <f>IF(AND(Table2[[#This Row],[STATES in numeric format]]=1,F190=0,F189=1),1,0)</f>
        <v>0</v>
      </c>
      <c r="X191">
        <f>IF(AND(Table2[[#This Row],[STATES in numeric format]]=1,F190=0,F189=-1),1,0)</f>
        <v>0</v>
      </c>
      <c r="Y191">
        <f>IF(AND(Table2[[#This Row],[STATES in numeric format]]=0,F190=1,F189=1),1,0)</f>
        <v>0</v>
      </c>
      <c r="Z191">
        <f>IF(AND(Table2[[#This Row],[STATES in numeric format]]=0,F190=-1,F189=-1),1,0)</f>
        <v>0</v>
      </c>
      <c r="AA191">
        <f>IF(AND(Table2[[#This Row],[STATES in numeric format]]=0,F190=-1,F189=1),1,0)</f>
        <v>0</v>
      </c>
      <c r="AB191">
        <f>IF(AND(Table2[[#This Row],[STATES in numeric format]]=0,F190=1,F189=-1),1,0)</f>
        <v>0</v>
      </c>
      <c r="AC191">
        <f>IF(AND(Table2[[#This Row],[STATES in numeric format]]=0,F190=0,F189=0),1,0)</f>
        <v>0</v>
      </c>
      <c r="AD191">
        <f>IF(AND(Table2[[#This Row],[STATES in numeric format]]=0,F190=1,F189=0),1,0)</f>
        <v>0</v>
      </c>
      <c r="AE191">
        <f>IF(AND(Table2[[#This Row],[STATES in numeric format]]=0,F190=-1,F189=0),1,0)</f>
        <v>0</v>
      </c>
      <c r="AF191">
        <f>IF(AND(Table2[[#This Row],[STATES in numeric format]]=0,F190=0,F189=1),1,0)</f>
        <v>0</v>
      </c>
      <c r="AG191">
        <f>IF(AND(Table2[[#This Row],[STATES in numeric format]]=0,F190=0,F189=-1),1,0)</f>
        <v>0</v>
      </c>
    </row>
    <row r="192" spans="1:33" x14ac:dyDescent="0.3">
      <c r="A192" s="1">
        <v>44109</v>
      </c>
      <c r="B192">
        <v>38973.699999999997</v>
      </c>
      <c r="C192">
        <f>Table2[[#This Row],[Close]]-0.001*Table2[[#This Row],[Close]]</f>
        <v>38934.726299999995</v>
      </c>
      <c r="D192">
        <f>Table2[[#This Row],[Close]]+0.001*Table2[[#This Row],[Close]]</f>
        <v>39012.673699999999</v>
      </c>
      <c r="E192" t="str">
        <f>IF(Table2[[#This Row],[Close]]&gt;D191,"up",IF(Table2[[#This Row],[Close]]&lt;C191,"down","constant"))</f>
        <v>up</v>
      </c>
      <c r="F192" s="3">
        <f>IF(Table2[[#This Row],[States]]="up",1,IF(Table2[[#This Row],[States]]="down",-1,0))</f>
        <v>1</v>
      </c>
      <c r="G192">
        <f>IF(AND(Table2[[#This Row],[STATES in numeric format]]=-1,F191=1,F190=1),1,0)</f>
        <v>0</v>
      </c>
      <c r="H192">
        <f>IF(AND(Table2[[#This Row],[STATES in numeric format]]=-1,F191=-1,F190=-1),1,0)</f>
        <v>0</v>
      </c>
      <c r="I192">
        <f>IF(AND(Table2[[#This Row],[STATES in numeric format]]=-1,F191=-1,F190=1),1,0)</f>
        <v>0</v>
      </c>
      <c r="J192">
        <f>IF(AND(Table2[[#This Row],[STATES in numeric format]]=-1,F191=1,F190=-1),1,0)</f>
        <v>0</v>
      </c>
      <c r="K192">
        <f>IF(AND(Table2[[#This Row],[STATES in numeric format]]=-1,F191=0,F190=0),1,0)</f>
        <v>0</v>
      </c>
      <c r="L192">
        <f>IF(AND(Table2[[#This Row],[STATES in numeric format]]=-1,F191=1,F190=0),1,0)</f>
        <v>0</v>
      </c>
      <c r="M192">
        <f>IF(AND(Table2[[#This Row],[STATES in numeric format]]=-1,F191=-1,F190=0),1,0)</f>
        <v>0</v>
      </c>
      <c r="N192">
        <f>IF(AND(Table2[[#This Row],[STATES in numeric format]]=-1,F191=0,F190=1),1,0)</f>
        <v>0</v>
      </c>
      <c r="O192">
        <f>IF(AND(Table2[[#This Row],[STATES in numeric format]]=-1,F191=0,F190=-1),1,0)</f>
        <v>0</v>
      </c>
      <c r="P192">
        <f>IF(AND(Table2[[#This Row],[STATES in numeric format]]=1,F191=1,F190=1),1,0)</f>
        <v>1</v>
      </c>
      <c r="Q192">
        <f>IF(AND(Table2[[#This Row],[STATES in numeric format]]=1,F191=-1,F190=-1),1,0)</f>
        <v>0</v>
      </c>
      <c r="R192">
        <f>IF(AND(Table2[[#This Row],[STATES in numeric format]]=1,F191=-1,F190=1),1,0)</f>
        <v>0</v>
      </c>
      <c r="S192">
        <f>IF(AND(Table2[[#This Row],[STATES in numeric format]]=1,F191=1,F190=-1),1,0)</f>
        <v>0</v>
      </c>
      <c r="T192">
        <f>IF(AND(Table2[[#This Row],[STATES in numeric format]]=1,F191=0,F190=0),1,0)</f>
        <v>0</v>
      </c>
      <c r="U192">
        <f>IF(AND(Table2[[#This Row],[STATES in numeric format]]=1,F191=1,F190=0),1,0)</f>
        <v>0</v>
      </c>
      <c r="V192">
        <f>IF(AND(Table2[[#This Row],[STATES in numeric format]]=1,F191=-1,F190=0),1,0)</f>
        <v>0</v>
      </c>
      <c r="W192">
        <f>IF(AND(Table2[[#This Row],[STATES in numeric format]]=1,F191=0,F190=1),1,0)</f>
        <v>0</v>
      </c>
      <c r="X192">
        <f>IF(AND(Table2[[#This Row],[STATES in numeric format]]=1,F191=0,F190=-1),1,0)</f>
        <v>0</v>
      </c>
      <c r="Y192">
        <f>IF(AND(Table2[[#This Row],[STATES in numeric format]]=0,F191=1,F190=1),1,0)</f>
        <v>0</v>
      </c>
      <c r="Z192">
        <f>IF(AND(Table2[[#This Row],[STATES in numeric format]]=0,F191=-1,F190=-1),1,0)</f>
        <v>0</v>
      </c>
      <c r="AA192">
        <f>IF(AND(Table2[[#This Row],[STATES in numeric format]]=0,F191=-1,F190=1),1,0)</f>
        <v>0</v>
      </c>
      <c r="AB192">
        <f>IF(AND(Table2[[#This Row],[STATES in numeric format]]=0,F191=1,F190=-1),1,0)</f>
        <v>0</v>
      </c>
      <c r="AC192">
        <f>IF(AND(Table2[[#This Row],[STATES in numeric format]]=0,F191=0,F190=0),1,0)</f>
        <v>0</v>
      </c>
      <c r="AD192">
        <f>IF(AND(Table2[[#This Row],[STATES in numeric format]]=0,F191=1,F190=0),1,0)</f>
        <v>0</v>
      </c>
      <c r="AE192">
        <f>IF(AND(Table2[[#This Row],[STATES in numeric format]]=0,F191=-1,F190=0),1,0)</f>
        <v>0</v>
      </c>
      <c r="AF192">
        <f>IF(AND(Table2[[#This Row],[STATES in numeric format]]=0,F191=0,F190=1),1,0)</f>
        <v>0</v>
      </c>
      <c r="AG192">
        <f>IF(AND(Table2[[#This Row],[STATES in numeric format]]=0,F191=0,F190=-1),1,0)</f>
        <v>0</v>
      </c>
    </row>
    <row r="193" spans="1:33" x14ac:dyDescent="0.3">
      <c r="A193" s="1">
        <v>44110</v>
      </c>
      <c r="B193">
        <v>39574.57</v>
      </c>
      <c r="C193">
        <f>Table2[[#This Row],[Close]]-0.001*Table2[[#This Row],[Close]]</f>
        <v>39534.995430000003</v>
      </c>
      <c r="D193">
        <f>Table2[[#This Row],[Close]]+0.001*Table2[[#This Row],[Close]]</f>
        <v>39614.144569999997</v>
      </c>
      <c r="E193" t="str">
        <f>IF(Table2[[#This Row],[Close]]&gt;D192,"up",IF(Table2[[#This Row],[Close]]&lt;C192,"down","constant"))</f>
        <v>up</v>
      </c>
      <c r="F193" s="3">
        <f>IF(Table2[[#This Row],[States]]="up",1,IF(Table2[[#This Row],[States]]="down",-1,0))</f>
        <v>1</v>
      </c>
      <c r="G193">
        <f>IF(AND(Table2[[#This Row],[STATES in numeric format]]=-1,F192=1,F191=1),1,0)</f>
        <v>0</v>
      </c>
      <c r="H193">
        <f>IF(AND(Table2[[#This Row],[STATES in numeric format]]=-1,F192=-1,F191=-1),1,0)</f>
        <v>0</v>
      </c>
      <c r="I193">
        <f>IF(AND(Table2[[#This Row],[STATES in numeric format]]=-1,F192=-1,F191=1),1,0)</f>
        <v>0</v>
      </c>
      <c r="J193">
        <f>IF(AND(Table2[[#This Row],[STATES in numeric format]]=-1,F192=1,F191=-1),1,0)</f>
        <v>0</v>
      </c>
      <c r="K193">
        <f>IF(AND(Table2[[#This Row],[STATES in numeric format]]=-1,F192=0,F191=0),1,0)</f>
        <v>0</v>
      </c>
      <c r="L193">
        <f>IF(AND(Table2[[#This Row],[STATES in numeric format]]=-1,F192=1,F191=0),1,0)</f>
        <v>0</v>
      </c>
      <c r="M193">
        <f>IF(AND(Table2[[#This Row],[STATES in numeric format]]=-1,F192=-1,F191=0),1,0)</f>
        <v>0</v>
      </c>
      <c r="N193">
        <f>IF(AND(Table2[[#This Row],[STATES in numeric format]]=-1,F192=0,F191=1),1,0)</f>
        <v>0</v>
      </c>
      <c r="O193">
        <f>IF(AND(Table2[[#This Row],[STATES in numeric format]]=-1,F192=0,F191=-1),1,0)</f>
        <v>0</v>
      </c>
      <c r="P193">
        <f>IF(AND(Table2[[#This Row],[STATES in numeric format]]=1,F192=1,F191=1),1,0)</f>
        <v>1</v>
      </c>
      <c r="Q193">
        <f>IF(AND(Table2[[#This Row],[STATES in numeric format]]=1,F192=-1,F191=-1),1,0)</f>
        <v>0</v>
      </c>
      <c r="R193">
        <f>IF(AND(Table2[[#This Row],[STATES in numeric format]]=1,F192=-1,F191=1),1,0)</f>
        <v>0</v>
      </c>
      <c r="S193">
        <f>IF(AND(Table2[[#This Row],[STATES in numeric format]]=1,F192=1,F191=-1),1,0)</f>
        <v>0</v>
      </c>
      <c r="T193">
        <f>IF(AND(Table2[[#This Row],[STATES in numeric format]]=1,F192=0,F191=0),1,0)</f>
        <v>0</v>
      </c>
      <c r="U193">
        <f>IF(AND(Table2[[#This Row],[STATES in numeric format]]=1,F192=1,F191=0),1,0)</f>
        <v>0</v>
      </c>
      <c r="V193">
        <f>IF(AND(Table2[[#This Row],[STATES in numeric format]]=1,F192=-1,F191=0),1,0)</f>
        <v>0</v>
      </c>
      <c r="W193">
        <f>IF(AND(Table2[[#This Row],[STATES in numeric format]]=1,F192=0,F191=1),1,0)</f>
        <v>0</v>
      </c>
      <c r="X193">
        <f>IF(AND(Table2[[#This Row],[STATES in numeric format]]=1,F192=0,F191=-1),1,0)</f>
        <v>0</v>
      </c>
      <c r="Y193">
        <f>IF(AND(Table2[[#This Row],[STATES in numeric format]]=0,F192=1,F191=1),1,0)</f>
        <v>0</v>
      </c>
      <c r="Z193">
        <f>IF(AND(Table2[[#This Row],[STATES in numeric format]]=0,F192=-1,F191=-1),1,0)</f>
        <v>0</v>
      </c>
      <c r="AA193">
        <f>IF(AND(Table2[[#This Row],[STATES in numeric format]]=0,F192=-1,F191=1),1,0)</f>
        <v>0</v>
      </c>
      <c r="AB193">
        <f>IF(AND(Table2[[#This Row],[STATES in numeric format]]=0,F192=1,F191=-1),1,0)</f>
        <v>0</v>
      </c>
      <c r="AC193">
        <f>IF(AND(Table2[[#This Row],[STATES in numeric format]]=0,F192=0,F191=0),1,0)</f>
        <v>0</v>
      </c>
      <c r="AD193">
        <f>IF(AND(Table2[[#This Row],[STATES in numeric format]]=0,F192=1,F191=0),1,0)</f>
        <v>0</v>
      </c>
      <c r="AE193">
        <f>IF(AND(Table2[[#This Row],[STATES in numeric format]]=0,F192=-1,F191=0),1,0)</f>
        <v>0</v>
      </c>
      <c r="AF193">
        <f>IF(AND(Table2[[#This Row],[STATES in numeric format]]=0,F192=0,F191=1),1,0)</f>
        <v>0</v>
      </c>
      <c r="AG193">
        <f>IF(AND(Table2[[#This Row],[STATES in numeric format]]=0,F192=0,F191=-1),1,0)</f>
        <v>0</v>
      </c>
    </row>
    <row r="194" spans="1:33" x14ac:dyDescent="0.3">
      <c r="A194" s="1">
        <v>44111</v>
      </c>
      <c r="B194">
        <v>39878.949999999997</v>
      </c>
      <c r="C194">
        <f>Table2[[#This Row],[Close]]-0.001*Table2[[#This Row],[Close]]</f>
        <v>39839.071049999999</v>
      </c>
      <c r="D194">
        <f>Table2[[#This Row],[Close]]+0.001*Table2[[#This Row],[Close]]</f>
        <v>39918.828949999996</v>
      </c>
      <c r="E194" t="str">
        <f>IF(Table2[[#This Row],[Close]]&gt;D193,"up",IF(Table2[[#This Row],[Close]]&lt;C193,"down","constant"))</f>
        <v>up</v>
      </c>
      <c r="F194" s="3">
        <f>IF(Table2[[#This Row],[States]]="up",1,IF(Table2[[#This Row],[States]]="down",-1,0))</f>
        <v>1</v>
      </c>
      <c r="G194">
        <f>IF(AND(Table2[[#This Row],[STATES in numeric format]]=-1,F193=1,F192=1),1,0)</f>
        <v>0</v>
      </c>
      <c r="H194">
        <f>IF(AND(Table2[[#This Row],[STATES in numeric format]]=-1,F193=-1,F192=-1),1,0)</f>
        <v>0</v>
      </c>
      <c r="I194">
        <f>IF(AND(Table2[[#This Row],[STATES in numeric format]]=-1,F193=-1,F192=1),1,0)</f>
        <v>0</v>
      </c>
      <c r="J194">
        <f>IF(AND(Table2[[#This Row],[STATES in numeric format]]=-1,F193=1,F192=-1),1,0)</f>
        <v>0</v>
      </c>
      <c r="K194">
        <f>IF(AND(Table2[[#This Row],[STATES in numeric format]]=-1,F193=0,F192=0),1,0)</f>
        <v>0</v>
      </c>
      <c r="L194">
        <f>IF(AND(Table2[[#This Row],[STATES in numeric format]]=-1,F193=1,F192=0),1,0)</f>
        <v>0</v>
      </c>
      <c r="M194">
        <f>IF(AND(Table2[[#This Row],[STATES in numeric format]]=-1,F193=-1,F192=0),1,0)</f>
        <v>0</v>
      </c>
      <c r="N194">
        <f>IF(AND(Table2[[#This Row],[STATES in numeric format]]=-1,F193=0,F192=1),1,0)</f>
        <v>0</v>
      </c>
      <c r="O194">
        <f>IF(AND(Table2[[#This Row],[STATES in numeric format]]=-1,F193=0,F192=-1),1,0)</f>
        <v>0</v>
      </c>
      <c r="P194">
        <f>IF(AND(Table2[[#This Row],[STATES in numeric format]]=1,F193=1,F192=1),1,0)</f>
        <v>1</v>
      </c>
      <c r="Q194">
        <f>IF(AND(Table2[[#This Row],[STATES in numeric format]]=1,F193=-1,F192=-1),1,0)</f>
        <v>0</v>
      </c>
      <c r="R194">
        <f>IF(AND(Table2[[#This Row],[STATES in numeric format]]=1,F193=-1,F192=1),1,0)</f>
        <v>0</v>
      </c>
      <c r="S194">
        <f>IF(AND(Table2[[#This Row],[STATES in numeric format]]=1,F193=1,F192=-1),1,0)</f>
        <v>0</v>
      </c>
      <c r="T194">
        <f>IF(AND(Table2[[#This Row],[STATES in numeric format]]=1,F193=0,F192=0),1,0)</f>
        <v>0</v>
      </c>
      <c r="U194">
        <f>IF(AND(Table2[[#This Row],[STATES in numeric format]]=1,F193=1,F192=0),1,0)</f>
        <v>0</v>
      </c>
      <c r="V194">
        <f>IF(AND(Table2[[#This Row],[STATES in numeric format]]=1,F193=-1,F192=0),1,0)</f>
        <v>0</v>
      </c>
      <c r="W194">
        <f>IF(AND(Table2[[#This Row],[STATES in numeric format]]=1,F193=0,F192=1),1,0)</f>
        <v>0</v>
      </c>
      <c r="X194">
        <f>IF(AND(Table2[[#This Row],[STATES in numeric format]]=1,F193=0,F192=-1),1,0)</f>
        <v>0</v>
      </c>
      <c r="Y194">
        <f>IF(AND(Table2[[#This Row],[STATES in numeric format]]=0,F193=1,F192=1),1,0)</f>
        <v>0</v>
      </c>
      <c r="Z194">
        <f>IF(AND(Table2[[#This Row],[STATES in numeric format]]=0,F193=-1,F192=-1),1,0)</f>
        <v>0</v>
      </c>
      <c r="AA194">
        <f>IF(AND(Table2[[#This Row],[STATES in numeric format]]=0,F193=-1,F192=1),1,0)</f>
        <v>0</v>
      </c>
      <c r="AB194">
        <f>IF(AND(Table2[[#This Row],[STATES in numeric format]]=0,F193=1,F192=-1),1,0)</f>
        <v>0</v>
      </c>
      <c r="AC194">
        <f>IF(AND(Table2[[#This Row],[STATES in numeric format]]=0,F193=0,F192=0),1,0)</f>
        <v>0</v>
      </c>
      <c r="AD194">
        <f>IF(AND(Table2[[#This Row],[STATES in numeric format]]=0,F193=1,F192=0),1,0)</f>
        <v>0</v>
      </c>
      <c r="AE194">
        <f>IF(AND(Table2[[#This Row],[STATES in numeric format]]=0,F193=-1,F192=0),1,0)</f>
        <v>0</v>
      </c>
      <c r="AF194">
        <f>IF(AND(Table2[[#This Row],[STATES in numeric format]]=0,F193=0,F192=1),1,0)</f>
        <v>0</v>
      </c>
      <c r="AG194">
        <f>IF(AND(Table2[[#This Row],[STATES in numeric format]]=0,F193=0,F192=-1),1,0)</f>
        <v>0</v>
      </c>
    </row>
    <row r="195" spans="1:33" x14ac:dyDescent="0.3">
      <c r="A195" s="1">
        <v>44112</v>
      </c>
      <c r="B195">
        <v>40182.67</v>
      </c>
      <c r="C195">
        <f>Table2[[#This Row],[Close]]-0.001*Table2[[#This Row],[Close]]</f>
        <v>40142.487329999996</v>
      </c>
      <c r="D195">
        <f>Table2[[#This Row],[Close]]+0.001*Table2[[#This Row],[Close]]</f>
        <v>40222.85267</v>
      </c>
      <c r="E195" t="str">
        <f>IF(Table2[[#This Row],[Close]]&gt;D194,"up",IF(Table2[[#This Row],[Close]]&lt;C194,"down","constant"))</f>
        <v>up</v>
      </c>
      <c r="F195" s="3">
        <f>IF(Table2[[#This Row],[States]]="up",1,IF(Table2[[#This Row],[States]]="down",-1,0))</f>
        <v>1</v>
      </c>
      <c r="G195">
        <f>IF(AND(Table2[[#This Row],[STATES in numeric format]]=-1,F194=1,F193=1),1,0)</f>
        <v>0</v>
      </c>
      <c r="H195">
        <f>IF(AND(Table2[[#This Row],[STATES in numeric format]]=-1,F194=-1,F193=-1),1,0)</f>
        <v>0</v>
      </c>
      <c r="I195">
        <f>IF(AND(Table2[[#This Row],[STATES in numeric format]]=-1,F194=-1,F193=1),1,0)</f>
        <v>0</v>
      </c>
      <c r="J195">
        <f>IF(AND(Table2[[#This Row],[STATES in numeric format]]=-1,F194=1,F193=-1),1,0)</f>
        <v>0</v>
      </c>
      <c r="K195">
        <f>IF(AND(Table2[[#This Row],[STATES in numeric format]]=-1,F194=0,F193=0),1,0)</f>
        <v>0</v>
      </c>
      <c r="L195">
        <f>IF(AND(Table2[[#This Row],[STATES in numeric format]]=-1,F194=1,F193=0),1,0)</f>
        <v>0</v>
      </c>
      <c r="M195">
        <f>IF(AND(Table2[[#This Row],[STATES in numeric format]]=-1,F194=-1,F193=0),1,0)</f>
        <v>0</v>
      </c>
      <c r="N195">
        <f>IF(AND(Table2[[#This Row],[STATES in numeric format]]=-1,F194=0,F193=1),1,0)</f>
        <v>0</v>
      </c>
      <c r="O195">
        <f>IF(AND(Table2[[#This Row],[STATES in numeric format]]=-1,F194=0,F193=-1),1,0)</f>
        <v>0</v>
      </c>
      <c r="P195">
        <f>IF(AND(Table2[[#This Row],[STATES in numeric format]]=1,F194=1,F193=1),1,0)</f>
        <v>1</v>
      </c>
      <c r="Q195">
        <f>IF(AND(Table2[[#This Row],[STATES in numeric format]]=1,F194=-1,F193=-1),1,0)</f>
        <v>0</v>
      </c>
      <c r="R195">
        <f>IF(AND(Table2[[#This Row],[STATES in numeric format]]=1,F194=-1,F193=1),1,0)</f>
        <v>0</v>
      </c>
      <c r="S195">
        <f>IF(AND(Table2[[#This Row],[STATES in numeric format]]=1,F194=1,F193=-1),1,0)</f>
        <v>0</v>
      </c>
      <c r="T195">
        <f>IF(AND(Table2[[#This Row],[STATES in numeric format]]=1,F194=0,F193=0),1,0)</f>
        <v>0</v>
      </c>
      <c r="U195">
        <f>IF(AND(Table2[[#This Row],[STATES in numeric format]]=1,F194=1,F193=0),1,0)</f>
        <v>0</v>
      </c>
      <c r="V195">
        <f>IF(AND(Table2[[#This Row],[STATES in numeric format]]=1,F194=-1,F193=0),1,0)</f>
        <v>0</v>
      </c>
      <c r="W195">
        <f>IF(AND(Table2[[#This Row],[STATES in numeric format]]=1,F194=0,F193=1),1,0)</f>
        <v>0</v>
      </c>
      <c r="X195">
        <f>IF(AND(Table2[[#This Row],[STATES in numeric format]]=1,F194=0,F193=-1),1,0)</f>
        <v>0</v>
      </c>
      <c r="Y195">
        <f>IF(AND(Table2[[#This Row],[STATES in numeric format]]=0,F194=1,F193=1),1,0)</f>
        <v>0</v>
      </c>
      <c r="Z195">
        <f>IF(AND(Table2[[#This Row],[STATES in numeric format]]=0,F194=-1,F193=-1),1,0)</f>
        <v>0</v>
      </c>
      <c r="AA195">
        <f>IF(AND(Table2[[#This Row],[STATES in numeric format]]=0,F194=-1,F193=1),1,0)</f>
        <v>0</v>
      </c>
      <c r="AB195">
        <f>IF(AND(Table2[[#This Row],[STATES in numeric format]]=0,F194=1,F193=-1),1,0)</f>
        <v>0</v>
      </c>
      <c r="AC195">
        <f>IF(AND(Table2[[#This Row],[STATES in numeric format]]=0,F194=0,F193=0),1,0)</f>
        <v>0</v>
      </c>
      <c r="AD195">
        <f>IF(AND(Table2[[#This Row],[STATES in numeric format]]=0,F194=1,F193=0),1,0)</f>
        <v>0</v>
      </c>
      <c r="AE195">
        <f>IF(AND(Table2[[#This Row],[STATES in numeric format]]=0,F194=-1,F193=0),1,0)</f>
        <v>0</v>
      </c>
      <c r="AF195">
        <f>IF(AND(Table2[[#This Row],[STATES in numeric format]]=0,F194=0,F193=1),1,0)</f>
        <v>0</v>
      </c>
      <c r="AG195">
        <f>IF(AND(Table2[[#This Row],[STATES in numeric format]]=0,F194=0,F193=-1),1,0)</f>
        <v>0</v>
      </c>
    </row>
    <row r="196" spans="1:33" x14ac:dyDescent="0.3">
      <c r="A196" s="1">
        <v>44113</v>
      </c>
      <c r="B196">
        <v>40509.49</v>
      </c>
      <c r="C196">
        <f>Table2[[#This Row],[Close]]-0.001*Table2[[#This Row],[Close]]</f>
        <v>40468.980510000001</v>
      </c>
      <c r="D196">
        <f>Table2[[#This Row],[Close]]+0.001*Table2[[#This Row],[Close]]</f>
        <v>40549.999489999995</v>
      </c>
      <c r="E196" t="str">
        <f>IF(Table2[[#This Row],[Close]]&gt;D195,"up",IF(Table2[[#This Row],[Close]]&lt;C195,"down","constant"))</f>
        <v>up</v>
      </c>
      <c r="F196" s="3">
        <f>IF(Table2[[#This Row],[States]]="up",1,IF(Table2[[#This Row],[States]]="down",-1,0))</f>
        <v>1</v>
      </c>
      <c r="G196">
        <f>IF(AND(Table2[[#This Row],[STATES in numeric format]]=-1,F195=1,F194=1),1,0)</f>
        <v>0</v>
      </c>
      <c r="H196">
        <f>IF(AND(Table2[[#This Row],[STATES in numeric format]]=-1,F195=-1,F194=-1),1,0)</f>
        <v>0</v>
      </c>
      <c r="I196">
        <f>IF(AND(Table2[[#This Row],[STATES in numeric format]]=-1,F195=-1,F194=1),1,0)</f>
        <v>0</v>
      </c>
      <c r="J196">
        <f>IF(AND(Table2[[#This Row],[STATES in numeric format]]=-1,F195=1,F194=-1),1,0)</f>
        <v>0</v>
      </c>
      <c r="K196">
        <f>IF(AND(Table2[[#This Row],[STATES in numeric format]]=-1,F195=0,F194=0),1,0)</f>
        <v>0</v>
      </c>
      <c r="L196">
        <f>IF(AND(Table2[[#This Row],[STATES in numeric format]]=-1,F195=1,F194=0),1,0)</f>
        <v>0</v>
      </c>
      <c r="M196">
        <f>IF(AND(Table2[[#This Row],[STATES in numeric format]]=-1,F195=-1,F194=0),1,0)</f>
        <v>0</v>
      </c>
      <c r="N196">
        <f>IF(AND(Table2[[#This Row],[STATES in numeric format]]=-1,F195=0,F194=1),1,0)</f>
        <v>0</v>
      </c>
      <c r="O196">
        <f>IF(AND(Table2[[#This Row],[STATES in numeric format]]=-1,F195=0,F194=-1),1,0)</f>
        <v>0</v>
      </c>
      <c r="P196">
        <f>IF(AND(Table2[[#This Row],[STATES in numeric format]]=1,F195=1,F194=1),1,0)</f>
        <v>1</v>
      </c>
      <c r="Q196">
        <f>IF(AND(Table2[[#This Row],[STATES in numeric format]]=1,F195=-1,F194=-1),1,0)</f>
        <v>0</v>
      </c>
      <c r="R196">
        <f>IF(AND(Table2[[#This Row],[STATES in numeric format]]=1,F195=-1,F194=1),1,0)</f>
        <v>0</v>
      </c>
      <c r="S196">
        <f>IF(AND(Table2[[#This Row],[STATES in numeric format]]=1,F195=1,F194=-1),1,0)</f>
        <v>0</v>
      </c>
      <c r="T196">
        <f>IF(AND(Table2[[#This Row],[STATES in numeric format]]=1,F195=0,F194=0),1,0)</f>
        <v>0</v>
      </c>
      <c r="U196">
        <f>IF(AND(Table2[[#This Row],[STATES in numeric format]]=1,F195=1,F194=0),1,0)</f>
        <v>0</v>
      </c>
      <c r="V196">
        <f>IF(AND(Table2[[#This Row],[STATES in numeric format]]=1,F195=-1,F194=0),1,0)</f>
        <v>0</v>
      </c>
      <c r="W196">
        <f>IF(AND(Table2[[#This Row],[STATES in numeric format]]=1,F195=0,F194=1),1,0)</f>
        <v>0</v>
      </c>
      <c r="X196">
        <f>IF(AND(Table2[[#This Row],[STATES in numeric format]]=1,F195=0,F194=-1),1,0)</f>
        <v>0</v>
      </c>
      <c r="Y196">
        <f>IF(AND(Table2[[#This Row],[STATES in numeric format]]=0,F195=1,F194=1),1,0)</f>
        <v>0</v>
      </c>
      <c r="Z196">
        <f>IF(AND(Table2[[#This Row],[STATES in numeric format]]=0,F195=-1,F194=-1),1,0)</f>
        <v>0</v>
      </c>
      <c r="AA196">
        <f>IF(AND(Table2[[#This Row],[STATES in numeric format]]=0,F195=-1,F194=1),1,0)</f>
        <v>0</v>
      </c>
      <c r="AB196">
        <f>IF(AND(Table2[[#This Row],[STATES in numeric format]]=0,F195=1,F194=-1),1,0)</f>
        <v>0</v>
      </c>
      <c r="AC196">
        <f>IF(AND(Table2[[#This Row],[STATES in numeric format]]=0,F195=0,F194=0),1,0)</f>
        <v>0</v>
      </c>
      <c r="AD196">
        <f>IF(AND(Table2[[#This Row],[STATES in numeric format]]=0,F195=1,F194=0),1,0)</f>
        <v>0</v>
      </c>
      <c r="AE196">
        <f>IF(AND(Table2[[#This Row],[STATES in numeric format]]=0,F195=-1,F194=0),1,0)</f>
        <v>0</v>
      </c>
      <c r="AF196">
        <f>IF(AND(Table2[[#This Row],[STATES in numeric format]]=0,F195=0,F194=1),1,0)</f>
        <v>0</v>
      </c>
      <c r="AG196">
        <f>IF(AND(Table2[[#This Row],[STATES in numeric format]]=0,F195=0,F194=-1),1,0)</f>
        <v>0</v>
      </c>
    </row>
    <row r="197" spans="1:33" x14ac:dyDescent="0.3">
      <c r="A197" s="1">
        <v>44116</v>
      </c>
      <c r="B197">
        <v>40593.800000000003</v>
      </c>
      <c r="C197">
        <f>Table2[[#This Row],[Close]]-0.001*Table2[[#This Row],[Close]]</f>
        <v>40553.206200000001</v>
      </c>
      <c r="D197">
        <f>Table2[[#This Row],[Close]]+0.001*Table2[[#This Row],[Close]]</f>
        <v>40634.393800000005</v>
      </c>
      <c r="E197" t="str">
        <f>IF(Table2[[#This Row],[Close]]&gt;D196,"up",IF(Table2[[#This Row],[Close]]&lt;C196,"down","constant"))</f>
        <v>up</v>
      </c>
      <c r="F197" s="3">
        <f>IF(Table2[[#This Row],[States]]="up",1,IF(Table2[[#This Row],[States]]="down",-1,0))</f>
        <v>1</v>
      </c>
      <c r="G197">
        <f>IF(AND(Table2[[#This Row],[STATES in numeric format]]=-1,F196=1,F195=1),1,0)</f>
        <v>0</v>
      </c>
      <c r="H197">
        <f>IF(AND(Table2[[#This Row],[STATES in numeric format]]=-1,F196=-1,F195=-1),1,0)</f>
        <v>0</v>
      </c>
      <c r="I197">
        <f>IF(AND(Table2[[#This Row],[STATES in numeric format]]=-1,F196=-1,F195=1),1,0)</f>
        <v>0</v>
      </c>
      <c r="J197">
        <f>IF(AND(Table2[[#This Row],[STATES in numeric format]]=-1,F196=1,F195=-1),1,0)</f>
        <v>0</v>
      </c>
      <c r="K197">
        <f>IF(AND(Table2[[#This Row],[STATES in numeric format]]=-1,F196=0,F195=0),1,0)</f>
        <v>0</v>
      </c>
      <c r="L197">
        <f>IF(AND(Table2[[#This Row],[STATES in numeric format]]=-1,F196=1,F195=0),1,0)</f>
        <v>0</v>
      </c>
      <c r="M197">
        <f>IF(AND(Table2[[#This Row],[STATES in numeric format]]=-1,F196=-1,F195=0),1,0)</f>
        <v>0</v>
      </c>
      <c r="N197">
        <f>IF(AND(Table2[[#This Row],[STATES in numeric format]]=-1,F196=0,F195=1),1,0)</f>
        <v>0</v>
      </c>
      <c r="O197">
        <f>IF(AND(Table2[[#This Row],[STATES in numeric format]]=-1,F196=0,F195=-1),1,0)</f>
        <v>0</v>
      </c>
      <c r="P197">
        <f>IF(AND(Table2[[#This Row],[STATES in numeric format]]=1,F196=1,F195=1),1,0)</f>
        <v>1</v>
      </c>
      <c r="Q197">
        <f>IF(AND(Table2[[#This Row],[STATES in numeric format]]=1,F196=-1,F195=-1),1,0)</f>
        <v>0</v>
      </c>
      <c r="R197">
        <f>IF(AND(Table2[[#This Row],[STATES in numeric format]]=1,F196=-1,F195=1),1,0)</f>
        <v>0</v>
      </c>
      <c r="S197">
        <f>IF(AND(Table2[[#This Row],[STATES in numeric format]]=1,F196=1,F195=-1),1,0)</f>
        <v>0</v>
      </c>
      <c r="T197">
        <f>IF(AND(Table2[[#This Row],[STATES in numeric format]]=1,F196=0,F195=0),1,0)</f>
        <v>0</v>
      </c>
      <c r="U197">
        <f>IF(AND(Table2[[#This Row],[STATES in numeric format]]=1,F196=1,F195=0),1,0)</f>
        <v>0</v>
      </c>
      <c r="V197">
        <f>IF(AND(Table2[[#This Row],[STATES in numeric format]]=1,F196=-1,F195=0),1,0)</f>
        <v>0</v>
      </c>
      <c r="W197">
        <f>IF(AND(Table2[[#This Row],[STATES in numeric format]]=1,F196=0,F195=1),1,0)</f>
        <v>0</v>
      </c>
      <c r="X197">
        <f>IF(AND(Table2[[#This Row],[STATES in numeric format]]=1,F196=0,F195=-1),1,0)</f>
        <v>0</v>
      </c>
      <c r="Y197">
        <f>IF(AND(Table2[[#This Row],[STATES in numeric format]]=0,F196=1,F195=1),1,0)</f>
        <v>0</v>
      </c>
      <c r="Z197">
        <f>IF(AND(Table2[[#This Row],[STATES in numeric format]]=0,F196=-1,F195=-1),1,0)</f>
        <v>0</v>
      </c>
      <c r="AA197">
        <f>IF(AND(Table2[[#This Row],[STATES in numeric format]]=0,F196=-1,F195=1),1,0)</f>
        <v>0</v>
      </c>
      <c r="AB197">
        <f>IF(AND(Table2[[#This Row],[STATES in numeric format]]=0,F196=1,F195=-1),1,0)</f>
        <v>0</v>
      </c>
      <c r="AC197">
        <f>IF(AND(Table2[[#This Row],[STATES in numeric format]]=0,F196=0,F195=0),1,0)</f>
        <v>0</v>
      </c>
      <c r="AD197">
        <f>IF(AND(Table2[[#This Row],[STATES in numeric format]]=0,F196=1,F195=0),1,0)</f>
        <v>0</v>
      </c>
      <c r="AE197">
        <f>IF(AND(Table2[[#This Row],[STATES in numeric format]]=0,F196=-1,F195=0),1,0)</f>
        <v>0</v>
      </c>
      <c r="AF197">
        <f>IF(AND(Table2[[#This Row],[STATES in numeric format]]=0,F196=0,F195=1),1,0)</f>
        <v>0</v>
      </c>
      <c r="AG197">
        <f>IF(AND(Table2[[#This Row],[STATES in numeric format]]=0,F196=0,F195=-1),1,0)</f>
        <v>0</v>
      </c>
    </row>
    <row r="198" spans="1:33" x14ac:dyDescent="0.3">
      <c r="A198" s="1">
        <v>44117</v>
      </c>
      <c r="B198">
        <v>40625.51</v>
      </c>
      <c r="C198">
        <f>Table2[[#This Row],[Close]]-0.001*Table2[[#This Row],[Close]]</f>
        <v>40584.884490000004</v>
      </c>
      <c r="D198">
        <f>Table2[[#This Row],[Close]]+0.001*Table2[[#This Row],[Close]]</f>
        <v>40666.13551</v>
      </c>
      <c r="E198" t="str">
        <f>IF(Table2[[#This Row],[Close]]&gt;D197,"up",IF(Table2[[#This Row],[Close]]&lt;C197,"down","constant"))</f>
        <v>constant</v>
      </c>
      <c r="F198" s="3">
        <f>IF(Table2[[#This Row],[States]]="up",1,IF(Table2[[#This Row],[States]]="down",-1,0))</f>
        <v>0</v>
      </c>
      <c r="G198">
        <f>IF(AND(Table2[[#This Row],[STATES in numeric format]]=-1,F197=1,F196=1),1,0)</f>
        <v>0</v>
      </c>
      <c r="H198">
        <f>IF(AND(Table2[[#This Row],[STATES in numeric format]]=-1,F197=-1,F196=-1),1,0)</f>
        <v>0</v>
      </c>
      <c r="I198">
        <f>IF(AND(Table2[[#This Row],[STATES in numeric format]]=-1,F197=-1,F196=1),1,0)</f>
        <v>0</v>
      </c>
      <c r="J198">
        <f>IF(AND(Table2[[#This Row],[STATES in numeric format]]=-1,F197=1,F196=-1),1,0)</f>
        <v>0</v>
      </c>
      <c r="K198">
        <f>IF(AND(Table2[[#This Row],[STATES in numeric format]]=-1,F197=0,F196=0),1,0)</f>
        <v>0</v>
      </c>
      <c r="L198">
        <f>IF(AND(Table2[[#This Row],[STATES in numeric format]]=-1,F197=1,F196=0),1,0)</f>
        <v>0</v>
      </c>
      <c r="M198">
        <f>IF(AND(Table2[[#This Row],[STATES in numeric format]]=-1,F197=-1,F196=0),1,0)</f>
        <v>0</v>
      </c>
      <c r="N198">
        <f>IF(AND(Table2[[#This Row],[STATES in numeric format]]=-1,F197=0,F196=1),1,0)</f>
        <v>0</v>
      </c>
      <c r="O198">
        <f>IF(AND(Table2[[#This Row],[STATES in numeric format]]=-1,F197=0,F196=-1),1,0)</f>
        <v>0</v>
      </c>
      <c r="P198">
        <f>IF(AND(Table2[[#This Row],[STATES in numeric format]]=1,F197=1,F196=1),1,0)</f>
        <v>0</v>
      </c>
      <c r="Q198">
        <f>IF(AND(Table2[[#This Row],[STATES in numeric format]]=1,F197=-1,F196=-1),1,0)</f>
        <v>0</v>
      </c>
      <c r="R198">
        <f>IF(AND(Table2[[#This Row],[STATES in numeric format]]=1,F197=-1,F196=1),1,0)</f>
        <v>0</v>
      </c>
      <c r="S198">
        <f>IF(AND(Table2[[#This Row],[STATES in numeric format]]=1,F197=1,F196=-1),1,0)</f>
        <v>0</v>
      </c>
      <c r="T198">
        <f>IF(AND(Table2[[#This Row],[STATES in numeric format]]=1,F197=0,F196=0),1,0)</f>
        <v>0</v>
      </c>
      <c r="U198">
        <f>IF(AND(Table2[[#This Row],[STATES in numeric format]]=1,F197=1,F196=0),1,0)</f>
        <v>0</v>
      </c>
      <c r="V198">
        <f>IF(AND(Table2[[#This Row],[STATES in numeric format]]=1,F197=-1,F196=0),1,0)</f>
        <v>0</v>
      </c>
      <c r="W198">
        <f>IF(AND(Table2[[#This Row],[STATES in numeric format]]=1,F197=0,F196=1),1,0)</f>
        <v>0</v>
      </c>
      <c r="X198">
        <f>IF(AND(Table2[[#This Row],[STATES in numeric format]]=1,F197=0,F196=-1),1,0)</f>
        <v>0</v>
      </c>
      <c r="Y198">
        <f>IF(AND(Table2[[#This Row],[STATES in numeric format]]=0,F197=1,F196=1),1,0)</f>
        <v>1</v>
      </c>
      <c r="Z198">
        <f>IF(AND(Table2[[#This Row],[STATES in numeric format]]=0,F197=-1,F196=-1),1,0)</f>
        <v>0</v>
      </c>
      <c r="AA198">
        <f>IF(AND(Table2[[#This Row],[STATES in numeric format]]=0,F197=-1,F196=1),1,0)</f>
        <v>0</v>
      </c>
      <c r="AB198">
        <f>IF(AND(Table2[[#This Row],[STATES in numeric format]]=0,F197=1,F196=-1),1,0)</f>
        <v>0</v>
      </c>
      <c r="AC198">
        <f>IF(AND(Table2[[#This Row],[STATES in numeric format]]=0,F197=0,F196=0),1,0)</f>
        <v>0</v>
      </c>
      <c r="AD198">
        <f>IF(AND(Table2[[#This Row],[STATES in numeric format]]=0,F197=1,F196=0),1,0)</f>
        <v>0</v>
      </c>
      <c r="AE198">
        <f>IF(AND(Table2[[#This Row],[STATES in numeric format]]=0,F197=-1,F196=0),1,0)</f>
        <v>0</v>
      </c>
      <c r="AF198">
        <f>IF(AND(Table2[[#This Row],[STATES in numeric format]]=0,F197=0,F196=1),1,0)</f>
        <v>0</v>
      </c>
      <c r="AG198">
        <f>IF(AND(Table2[[#This Row],[STATES in numeric format]]=0,F197=0,F196=-1),1,0)</f>
        <v>0</v>
      </c>
    </row>
    <row r="199" spans="1:33" x14ac:dyDescent="0.3">
      <c r="A199" s="1">
        <v>44118</v>
      </c>
      <c r="B199">
        <v>40794.74</v>
      </c>
      <c r="C199">
        <f>Table2[[#This Row],[Close]]-0.001*Table2[[#This Row],[Close]]</f>
        <v>40753.94526</v>
      </c>
      <c r="D199">
        <f>Table2[[#This Row],[Close]]+0.001*Table2[[#This Row],[Close]]</f>
        <v>40835.534739999996</v>
      </c>
      <c r="E199" t="str">
        <f>IF(Table2[[#This Row],[Close]]&gt;D198,"up",IF(Table2[[#This Row],[Close]]&lt;C198,"down","constant"))</f>
        <v>up</v>
      </c>
      <c r="F199" s="3">
        <f>IF(Table2[[#This Row],[States]]="up",1,IF(Table2[[#This Row],[States]]="down",-1,0))</f>
        <v>1</v>
      </c>
      <c r="G199">
        <f>IF(AND(Table2[[#This Row],[STATES in numeric format]]=-1,F198=1,F197=1),1,0)</f>
        <v>0</v>
      </c>
      <c r="H199">
        <f>IF(AND(Table2[[#This Row],[STATES in numeric format]]=-1,F198=-1,F197=-1),1,0)</f>
        <v>0</v>
      </c>
      <c r="I199">
        <f>IF(AND(Table2[[#This Row],[STATES in numeric format]]=-1,F198=-1,F197=1),1,0)</f>
        <v>0</v>
      </c>
      <c r="J199">
        <f>IF(AND(Table2[[#This Row],[STATES in numeric format]]=-1,F198=1,F197=-1),1,0)</f>
        <v>0</v>
      </c>
      <c r="K199">
        <f>IF(AND(Table2[[#This Row],[STATES in numeric format]]=-1,F198=0,F197=0),1,0)</f>
        <v>0</v>
      </c>
      <c r="L199">
        <f>IF(AND(Table2[[#This Row],[STATES in numeric format]]=-1,F198=1,F197=0),1,0)</f>
        <v>0</v>
      </c>
      <c r="M199">
        <f>IF(AND(Table2[[#This Row],[STATES in numeric format]]=-1,F198=-1,F197=0),1,0)</f>
        <v>0</v>
      </c>
      <c r="N199">
        <f>IF(AND(Table2[[#This Row],[STATES in numeric format]]=-1,F198=0,F197=1),1,0)</f>
        <v>0</v>
      </c>
      <c r="O199">
        <f>IF(AND(Table2[[#This Row],[STATES in numeric format]]=-1,F198=0,F197=-1),1,0)</f>
        <v>0</v>
      </c>
      <c r="P199">
        <f>IF(AND(Table2[[#This Row],[STATES in numeric format]]=1,F198=1,F197=1),1,0)</f>
        <v>0</v>
      </c>
      <c r="Q199">
        <f>IF(AND(Table2[[#This Row],[STATES in numeric format]]=1,F198=-1,F197=-1),1,0)</f>
        <v>0</v>
      </c>
      <c r="R199">
        <f>IF(AND(Table2[[#This Row],[STATES in numeric format]]=1,F198=-1,F197=1),1,0)</f>
        <v>0</v>
      </c>
      <c r="S199">
        <f>IF(AND(Table2[[#This Row],[STATES in numeric format]]=1,F198=1,F197=-1),1,0)</f>
        <v>0</v>
      </c>
      <c r="T199">
        <f>IF(AND(Table2[[#This Row],[STATES in numeric format]]=1,F198=0,F197=0),1,0)</f>
        <v>0</v>
      </c>
      <c r="U199">
        <f>IF(AND(Table2[[#This Row],[STATES in numeric format]]=1,F198=1,F197=0),1,0)</f>
        <v>0</v>
      </c>
      <c r="V199">
        <f>IF(AND(Table2[[#This Row],[STATES in numeric format]]=1,F198=-1,F197=0),1,0)</f>
        <v>0</v>
      </c>
      <c r="W199">
        <f>IF(AND(Table2[[#This Row],[STATES in numeric format]]=1,F198=0,F197=1),1,0)</f>
        <v>1</v>
      </c>
      <c r="X199">
        <f>IF(AND(Table2[[#This Row],[STATES in numeric format]]=1,F198=0,F197=-1),1,0)</f>
        <v>0</v>
      </c>
      <c r="Y199">
        <f>IF(AND(Table2[[#This Row],[STATES in numeric format]]=0,F198=1,F197=1),1,0)</f>
        <v>0</v>
      </c>
      <c r="Z199">
        <f>IF(AND(Table2[[#This Row],[STATES in numeric format]]=0,F198=-1,F197=-1),1,0)</f>
        <v>0</v>
      </c>
      <c r="AA199">
        <f>IF(AND(Table2[[#This Row],[STATES in numeric format]]=0,F198=-1,F197=1),1,0)</f>
        <v>0</v>
      </c>
      <c r="AB199">
        <f>IF(AND(Table2[[#This Row],[STATES in numeric format]]=0,F198=1,F197=-1),1,0)</f>
        <v>0</v>
      </c>
      <c r="AC199">
        <f>IF(AND(Table2[[#This Row],[STATES in numeric format]]=0,F198=0,F197=0),1,0)</f>
        <v>0</v>
      </c>
      <c r="AD199">
        <f>IF(AND(Table2[[#This Row],[STATES in numeric format]]=0,F198=1,F197=0),1,0)</f>
        <v>0</v>
      </c>
      <c r="AE199">
        <f>IF(AND(Table2[[#This Row],[STATES in numeric format]]=0,F198=-1,F197=0),1,0)</f>
        <v>0</v>
      </c>
      <c r="AF199">
        <f>IF(AND(Table2[[#This Row],[STATES in numeric format]]=0,F198=0,F197=1),1,0)</f>
        <v>0</v>
      </c>
      <c r="AG199">
        <f>IF(AND(Table2[[#This Row],[STATES in numeric format]]=0,F198=0,F197=-1),1,0)</f>
        <v>0</v>
      </c>
    </row>
    <row r="200" spans="1:33" x14ac:dyDescent="0.3">
      <c r="A200" s="1">
        <v>44119</v>
      </c>
      <c r="B200">
        <v>39728.410000000003</v>
      </c>
      <c r="C200">
        <f>Table2[[#This Row],[Close]]-0.001*Table2[[#This Row],[Close]]</f>
        <v>39688.68159</v>
      </c>
      <c r="D200">
        <f>Table2[[#This Row],[Close]]+0.001*Table2[[#This Row],[Close]]</f>
        <v>39768.138410000007</v>
      </c>
      <c r="E200" t="str">
        <f>IF(Table2[[#This Row],[Close]]&gt;D199,"up",IF(Table2[[#This Row],[Close]]&lt;C199,"down","constant"))</f>
        <v>down</v>
      </c>
      <c r="F200" s="3">
        <f>IF(Table2[[#This Row],[States]]="up",1,IF(Table2[[#This Row],[States]]="down",-1,0))</f>
        <v>-1</v>
      </c>
      <c r="G200">
        <f>IF(AND(Table2[[#This Row],[STATES in numeric format]]=-1,F199=1,F198=1),1,0)</f>
        <v>0</v>
      </c>
      <c r="H200">
        <f>IF(AND(Table2[[#This Row],[STATES in numeric format]]=-1,F199=-1,F198=-1),1,0)</f>
        <v>0</v>
      </c>
      <c r="I200">
        <f>IF(AND(Table2[[#This Row],[STATES in numeric format]]=-1,F199=-1,F198=1),1,0)</f>
        <v>0</v>
      </c>
      <c r="J200">
        <f>IF(AND(Table2[[#This Row],[STATES in numeric format]]=-1,F199=1,F198=-1),1,0)</f>
        <v>0</v>
      </c>
      <c r="K200">
        <f>IF(AND(Table2[[#This Row],[STATES in numeric format]]=-1,F199=0,F198=0),1,0)</f>
        <v>0</v>
      </c>
      <c r="L200">
        <f>IF(AND(Table2[[#This Row],[STATES in numeric format]]=-1,F199=1,F198=0),1,0)</f>
        <v>1</v>
      </c>
      <c r="M200">
        <f>IF(AND(Table2[[#This Row],[STATES in numeric format]]=-1,F199=-1,F198=0),1,0)</f>
        <v>0</v>
      </c>
      <c r="N200">
        <f>IF(AND(Table2[[#This Row],[STATES in numeric format]]=-1,F199=0,F198=1),1,0)</f>
        <v>0</v>
      </c>
      <c r="O200">
        <f>IF(AND(Table2[[#This Row],[STATES in numeric format]]=-1,F199=0,F198=-1),1,0)</f>
        <v>0</v>
      </c>
      <c r="P200">
        <f>IF(AND(Table2[[#This Row],[STATES in numeric format]]=1,F199=1,F198=1),1,0)</f>
        <v>0</v>
      </c>
      <c r="Q200">
        <f>IF(AND(Table2[[#This Row],[STATES in numeric format]]=1,F199=-1,F198=-1),1,0)</f>
        <v>0</v>
      </c>
      <c r="R200">
        <f>IF(AND(Table2[[#This Row],[STATES in numeric format]]=1,F199=-1,F198=1),1,0)</f>
        <v>0</v>
      </c>
      <c r="S200">
        <f>IF(AND(Table2[[#This Row],[STATES in numeric format]]=1,F199=1,F198=-1),1,0)</f>
        <v>0</v>
      </c>
      <c r="T200">
        <f>IF(AND(Table2[[#This Row],[STATES in numeric format]]=1,F199=0,F198=0),1,0)</f>
        <v>0</v>
      </c>
      <c r="U200">
        <f>IF(AND(Table2[[#This Row],[STATES in numeric format]]=1,F199=1,F198=0),1,0)</f>
        <v>0</v>
      </c>
      <c r="V200">
        <f>IF(AND(Table2[[#This Row],[STATES in numeric format]]=1,F199=-1,F198=0),1,0)</f>
        <v>0</v>
      </c>
      <c r="W200">
        <f>IF(AND(Table2[[#This Row],[STATES in numeric format]]=1,F199=0,F198=1),1,0)</f>
        <v>0</v>
      </c>
      <c r="X200">
        <f>IF(AND(Table2[[#This Row],[STATES in numeric format]]=1,F199=0,F198=-1),1,0)</f>
        <v>0</v>
      </c>
      <c r="Y200">
        <f>IF(AND(Table2[[#This Row],[STATES in numeric format]]=0,F199=1,F198=1),1,0)</f>
        <v>0</v>
      </c>
      <c r="Z200">
        <f>IF(AND(Table2[[#This Row],[STATES in numeric format]]=0,F199=-1,F198=-1),1,0)</f>
        <v>0</v>
      </c>
      <c r="AA200">
        <f>IF(AND(Table2[[#This Row],[STATES in numeric format]]=0,F199=-1,F198=1),1,0)</f>
        <v>0</v>
      </c>
      <c r="AB200">
        <f>IF(AND(Table2[[#This Row],[STATES in numeric format]]=0,F199=1,F198=-1),1,0)</f>
        <v>0</v>
      </c>
      <c r="AC200">
        <f>IF(AND(Table2[[#This Row],[STATES in numeric format]]=0,F199=0,F198=0),1,0)</f>
        <v>0</v>
      </c>
      <c r="AD200">
        <f>IF(AND(Table2[[#This Row],[STATES in numeric format]]=0,F199=1,F198=0),1,0)</f>
        <v>0</v>
      </c>
      <c r="AE200">
        <f>IF(AND(Table2[[#This Row],[STATES in numeric format]]=0,F199=-1,F198=0),1,0)</f>
        <v>0</v>
      </c>
      <c r="AF200">
        <f>IF(AND(Table2[[#This Row],[STATES in numeric format]]=0,F199=0,F198=1),1,0)</f>
        <v>0</v>
      </c>
      <c r="AG200">
        <f>IF(AND(Table2[[#This Row],[STATES in numeric format]]=0,F199=0,F198=-1),1,0)</f>
        <v>0</v>
      </c>
    </row>
    <row r="201" spans="1:33" x14ac:dyDescent="0.3">
      <c r="A201" s="1">
        <v>44120</v>
      </c>
      <c r="B201">
        <v>39982.980000000003</v>
      </c>
      <c r="C201">
        <f>Table2[[#This Row],[Close]]-0.001*Table2[[#This Row],[Close]]</f>
        <v>39942.997020000003</v>
      </c>
      <c r="D201">
        <f>Table2[[#This Row],[Close]]+0.001*Table2[[#This Row],[Close]]</f>
        <v>40022.962980000004</v>
      </c>
      <c r="E201" t="str">
        <f>IF(Table2[[#This Row],[Close]]&gt;D200,"up",IF(Table2[[#This Row],[Close]]&lt;C200,"down","constant"))</f>
        <v>up</v>
      </c>
      <c r="F201" s="3">
        <f>IF(Table2[[#This Row],[States]]="up",1,IF(Table2[[#This Row],[States]]="down",-1,0))</f>
        <v>1</v>
      </c>
      <c r="G201">
        <f>IF(AND(Table2[[#This Row],[STATES in numeric format]]=-1,F200=1,F199=1),1,0)</f>
        <v>0</v>
      </c>
      <c r="H201">
        <f>IF(AND(Table2[[#This Row],[STATES in numeric format]]=-1,F200=-1,F199=-1),1,0)</f>
        <v>0</v>
      </c>
      <c r="I201">
        <f>IF(AND(Table2[[#This Row],[STATES in numeric format]]=-1,F200=-1,F199=1),1,0)</f>
        <v>0</v>
      </c>
      <c r="J201">
        <f>IF(AND(Table2[[#This Row],[STATES in numeric format]]=-1,F200=1,F199=-1),1,0)</f>
        <v>0</v>
      </c>
      <c r="K201">
        <f>IF(AND(Table2[[#This Row],[STATES in numeric format]]=-1,F200=0,F199=0),1,0)</f>
        <v>0</v>
      </c>
      <c r="L201">
        <f>IF(AND(Table2[[#This Row],[STATES in numeric format]]=-1,F200=1,F199=0),1,0)</f>
        <v>0</v>
      </c>
      <c r="M201">
        <f>IF(AND(Table2[[#This Row],[STATES in numeric format]]=-1,F200=-1,F199=0),1,0)</f>
        <v>0</v>
      </c>
      <c r="N201">
        <f>IF(AND(Table2[[#This Row],[STATES in numeric format]]=-1,F200=0,F199=1),1,0)</f>
        <v>0</v>
      </c>
      <c r="O201">
        <f>IF(AND(Table2[[#This Row],[STATES in numeric format]]=-1,F200=0,F199=-1),1,0)</f>
        <v>0</v>
      </c>
      <c r="P201">
        <f>IF(AND(Table2[[#This Row],[STATES in numeric format]]=1,F200=1,F199=1),1,0)</f>
        <v>0</v>
      </c>
      <c r="Q201">
        <f>IF(AND(Table2[[#This Row],[STATES in numeric format]]=1,F200=-1,F199=-1),1,0)</f>
        <v>0</v>
      </c>
      <c r="R201">
        <f>IF(AND(Table2[[#This Row],[STATES in numeric format]]=1,F200=-1,F199=1),1,0)</f>
        <v>1</v>
      </c>
      <c r="S201">
        <f>IF(AND(Table2[[#This Row],[STATES in numeric format]]=1,F200=1,F199=-1),1,0)</f>
        <v>0</v>
      </c>
      <c r="T201">
        <f>IF(AND(Table2[[#This Row],[STATES in numeric format]]=1,F200=0,F199=0),1,0)</f>
        <v>0</v>
      </c>
      <c r="U201">
        <f>IF(AND(Table2[[#This Row],[STATES in numeric format]]=1,F200=1,F199=0),1,0)</f>
        <v>0</v>
      </c>
      <c r="V201">
        <f>IF(AND(Table2[[#This Row],[STATES in numeric format]]=1,F200=-1,F199=0),1,0)</f>
        <v>0</v>
      </c>
      <c r="W201">
        <f>IF(AND(Table2[[#This Row],[STATES in numeric format]]=1,F200=0,F199=1),1,0)</f>
        <v>0</v>
      </c>
      <c r="X201">
        <f>IF(AND(Table2[[#This Row],[STATES in numeric format]]=1,F200=0,F199=-1),1,0)</f>
        <v>0</v>
      </c>
      <c r="Y201">
        <f>IF(AND(Table2[[#This Row],[STATES in numeric format]]=0,F200=1,F199=1),1,0)</f>
        <v>0</v>
      </c>
      <c r="Z201">
        <f>IF(AND(Table2[[#This Row],[STATES in numeric format]]=0,F200=-1,F199=-1),1,0)</f>
        <v>0</v>
      </c>
      <c r="AA201">
        <f>IF(AND(Table2[[#This Row],[STATES in numeric format]]=0,F200=-1,F199=1),1,0)</f>
        <v>0</v>
      </c>
      <c r="AB201">
        <f>IF(AND(Table2[[#This Row],[STATES in numeric format]]=0,F200=1,F199=-1),1,0)</f>
        <v>0</v>
      </c>
      <c r="AC201">
        <f>IF(AND(Table2[[#This Row],[STATES in numeric format]]=0,F200=0,F199=0),1,0)</f>
        <v>0</v>
      </c>
      <c r="AD201">
        <f>IF(AND(Table2[[#This Row],[STATES in numeric format]]=0,F200=1,F199=0),1,0)</f>
        <v>0</v>
      </c>
      <c r="AE201">
        <f>IF(AND(Table2[[#This Row],[STATES in numeric format]]=0,F200=-1,F199=0),1,0)</f>
        <v>0</v>
      </c>
      <c r="AF201">
        <f>IF(AND(Table2[[#This Row],[STATES in numeric format]]=0,F200=0,F199=1),1,0)</f>
        <v>0</v>
      </c>
      <c r="AG201">
        <f>IF(AND(Table2[[#This Row],[STATES in numeric format]]=0,F200=0,F199=-1),1,0)</f>
        <v>0</v>
      </c>
    </row>
    <row r="202" spans="1:33" x14ac:dyDescent="0.3">
      <c r="A202" s="1">
        <v>44123</v>
      </c>
      <c r="B202">
        <v>40431.599999999999</v>
      </c>
      <c r="C202">
        <f>Table2[[#This Row],[Close]]-0.001*Table2[[#This Row],[Close]]</f>
        <v>40391.168399999995</v>
      </c>
      <c r="D202">
        <f>Table2[[#This Row],[Close]]+0.001*Table2[[#This Row],[Close]]</f>
        <v>40472.031600000002</v>
      </c>
      <c r="E202" t="str">
        <f>IF(Table2[[#This Row],[Close]]&gt;D201,"up",IF(Table2[[#This Row],[Close]]&lt;C201,"down","constant"))</f>
        <v>up</v>
      </c>
      <c r="F202" s="3">
        <f>IF(Table2[[#This Row],[States]]="up",1,IF(Table2[[#This Row],[States]]="down",-1,0))</f>
        <v>1</v>
      </c>
      <c r="G202">
        <f>IF(AND(Table2[[#This Row],[STATES in numeric format]]=-1,F201=1,F200=1),1,0)</f>
        <v>0</v>
      </c>
      <c r="H202">
        <f>IF(AND(Table2[[#This Row],[STATES in numeric format]]=-1,F201=-1,F200=-1),1,0)</f>
        <v>0</v>
      </c>
      <c r="I202">
        <f>IF(AND(Table2[[#This Row],[STATES in numeric format]]=-1,F201=-1,F200=1),1,0)</f>
        <v>0</v>
      </c>
      <c r="J202">
        <f>IF(AND(Table2[[#This Row],[STATES in numeric format]]=-1,F201=1,F200=-1),1,0)</f>
        <v>0</v>
      </c>
      <c r="K202">
        <f>IF(AND(Table2[[#This Row],[STATES in numeric format]]=-1,F201=0,F200=0),1,0)</f>
        <v>0</v>
      </c>
      <c r="L202">
        <f>IF(AND(Table2[[#This Row],[STATES in numeric format]]=-1,F201=1,F200=0),1,0)</f>
        <v>0</v>
      </c>
      <c r="M202">
        <f>IF(AND(Table2[[#This Row],[STATES in numeric format]]=-1,F201=-1,F200=0),1,0)</f>
        <v>0</v>
      </c>
      <c r="N202">
        <f>IF(AND(Table2[[#This Row],[STATES in numeric format]]=-1,F201=0,F200=1),1,0)</f>
        <v>0</v>
      </c>
      <c r="O202">
        <f>IF(AND(Table2[[#This Row],[STATES in numeric format]]=-1,F201=0,F200=-1),1,0)</f>
        <v>0</v>
      </c>
      <c r="P202">
        <f>IF(AND(Table2[[#This Row],[STATES in numeric format]]=1,F201=1,F200=1),1,0)</f>
        <v>0</v>
      </c>
      <c r="Q202">
        <f>IF(AND(Table2[[#This Row],[STATES in numeric format]]=1,F201=-1,F200=-1),1,0)</f>
        <v>0</v>
      </c>
      <c r="R202">
        <f>IF(AND(Table2[[#This Row],[STATES in numeric format]]=1,F201=-1,F200=1),1,0)</f>
        <v>0</v>
      </c>
      <c r="S202">
        <f>IF(AND(Table2[[#This Row],[STATES in numeric format]]=1,F201=1,F200=-1),1,0)</f>
        <v>1</v>
      </c>
      <c r="T202">
        <f>IF(AND(Table2[[#This Row],[STATES in numeric format]]=1,F201=0,F200=0),1,0)</f>
        <v>0</v>
      </c>
      <c r="U202">
        <f>IF(AND(Table2[[#This Row],[STATES in numeric format]]=1,F201=1,F200=0),1,0)</f>
        <v>0</v>
      </c>
      <c r="V202">
        <f>IF(AND(Table2[[#This Row],[STATES in numeric format]]=1,F201=-1,F200=0),1,0)</f>
        <v>0</v>
      </c>
      <c r="W202">
        <f>IF(AND(Table2[[#This Row],[STATES in numeric format]]=1,F201=0,F200=1),1,0)</f>
        <v>0</v>
      </c>
      <c r="X202">
        <f>IF(AND(Table2[[#This Row],[STATES in numeric format]]=1,F201=0,F200=-1),1,0)</f>
        <v>0</v>
      </c>
      <c r="Y202">
        <f>IF(AND(Table2[[#This Row],[STATES in numeric format]]=0,F201=1,F200=1),1,0)</f>
        <v>0</v>
      </c>
      <c r="Z202">
        <f>IF(AND(Table2[[#This Row],[STATES in numeric format]]=0,F201=-1,F200=-1),1,0)</f>
        <v>0</v>
      </c>
      <c r="AA202">
        <f>IF(AND(Table2[[#This Row],[STATES in numeric format]]=0,F201=-1,F200=1),1,0)</f>
        <v>0</v>
      </c>
      <c r="AB202">
        <f>IF(AND(Table2[[#This Row],[STATES in numeric format]]=0,F201=1,F200=-1),1,0)</f>
        <v>0</v>
      </c>
      <c r="AC202">
        <f>IF(AND(Table2[[#This Row],[STATES in numeric format]]=0,F201=0,F200=0),1,0)</f>
        <v>0</v>
      </c>
      <c r="AD202">
        <f>IF(AND(Table2[[#This Row],[STATES in numeric format]]=0,F201=1,F200=0),1,0)</f>
        <v>0</v>
      </c>
      <c r="AE202">
        <f>IF(AND(Table2[[#This Row],[STATES in numeric format]]=0,F201=-1,F200=0),1,0)</f>
        <v>0</v>
      </c>
      <c r="AF202">
        <f>IF(AND(Table2[[#This Row],[STATES in numeric format]]=0,F201=0,F200=1),1,0)</f>
        <v>0</v>
      </c>
      <c r="AG202">
        <f>IF(AND(Table2[[#This Row],[STATES in numeric format]]=0,F201=0,F200=-1),1,0)</f>
        <v>0</v>
      </c>
    </row>
    <row r="203" spans="1:33" x14ac:dyDescent="0.3">
      <c r="A203" s="1">
        <v>44124</v>
      </c>
      <c r="B203">
        <v>40544.370000000003</v>
      </c>
      <c r="C203">
        <f>Table2[[#This Row],[Close]]-0.001*Table2[[#This Row],[Close]]</f>
        <v>40503.825629999999</v>
      </c>
      <c r="D203">
        <f>Table2[[#This Row],[Close]]+0.001*Table2[[#This Row],[Close]]</f>
        <v>40584.914370000006</v>
      </c>
      <c r="E203" t="str">
        <f>IF(Table2[[#This Row],[Close]]&gt;D202,"up",IF(Table2[[#This Row],[Close]]&lt;C202,"down","constant"))</f>
        <v>up</v>
      </c>
      <c r="F203" s="3">
        <f>IF(Table2[[#This Row],[States]]="up",1,IF(Table2[[#This Row],[States]]="down",-1,0))</f>
        <v>1</v>
      </c>
      <c r="G203">
        <f>IF(AND(Table2[[#This Row],[STATES in numeric format]]=-1,F202=1,F201=1),1,0)</f>
        <v>0</v>
      </c>
      <c r="H203">
        <f>IF(AND(Table2[[#This Row],[STATES in numeric format]]=-1,F202=-1,F201=-1),1,0)</f>
        <v>0</v>
      </c>
      <c r="I203">
        <f>IF(AND(Table2[[#This Row],[STATES in numeric format]]=-1,F202=-1,F201=1),1,0)</f>
        <v>0</v>
      </c>
      <c r="J203">
        <f>IF(AND(Table2[[#This Row],[STATES in numeric format]]=-1,F202=1,F201=-1),1,0)</f>
        <v>0</v>
      </c>
      <c r="K203">
        <f>IF(AND(Table2[[#This Row],[STATES in numeric format]]=-1,F202=0,F201=0),1,0)</f>
        <v>0</v>
      </c>
      <c r="L203">
        <f>IF(AND(Table2[[#This Row],[STATES in numeric format]]=-1,F202=1,F201=0),1,0)</f>
        <v>0</v>
      </c>
      <c r="M203">
        <f>IF(AND(Table2[[#This Row],[STATES in numeric format]]=-1,F202=-1,F201=0),1,0)</f>
        <v>0</v>
      </c>
      <c r="N203">
        <f>IF(AND(Table2[[#This Row],[STATES in numeric format]]=-1,F202=0,F201=1),1,0)</f>
        <v>0</v>
      </c>
      <c r="O203">
        <f>IF(AND(Table2[[#This Row],[STATES in numeric format]]=-1,F202=0,F201=-1),1,0)</f>
        <v>0</v>
      </c>
      <c r="P203">
        <f>IF(AND(Table2[[#This Row],[STATES in numeric format]]=1,F202=1,F201=1),1,0)</f>
        <v>1</v>
      </c>
      <c r="Q203">
        <f>IF(AND(Table2[[#This Row],[STATES in numeric format]]=1,F202=-1,F201=-1),1,0)</f>
        <v>0</v>
      </c>
      <c r="R203">
        <f>IF(AND(Table2[[#This Row],[STATES in numeric format]]=1,F202=-1,F201=1),1,0)</f>
        <v>0</v>
      </c>
      <c r="S203">
        <f>IF(AND(Table2[[#This Row],[STATES in numeric format]]=1,F202=1,F201=-1),1,0)</f>
        <v>0</v>
      </c>
      <c r="T203">
        <f>IF(AND(Table2[[#This Row],[STATES in numeric format]]=1,F202=0,F201=0),1,0)</f>
        <v>0</v>
      </c>
      <c r="U203">
        <f>IF(AND(Table2[[#This Row],[STATES in numeric format]]=1,F202=1,F201=0),1,0)</f>
        <v>0</v>
      </c>
      <c r="V203">
        <f>IF(AND(Table2[[#This Row],[STATES in numeric format]]=1,F202=-1,F201=0),1,0)</f>
        <v>0</v>
      </c>
      <c r="W203">
        <f>IF(AND(Table2[[#This Row],[STATES in numeric format]]=1,F202=0,F201=1),1,0)</f>
        <v>0</v>
      </c>
      <c r="X203">
        <f>IF(AND(Table2[[#This Row],[STATES in numeric format]]=1,F202=0,F201=-1),1,0)</f>
        <v>0</v>
      </c>
      <c r="Y203">
        <f>IF(AND(Table2[[#This Row],[STATES in numeric format]]=0,F202=1,F201=1),1,0)</f>
        <v>0</v>
      </c>
      <c r="Z203">
        <f>IF(AND(Table2[[#This Row],[STATES in numeric format]]=0,F202=-1,F201=-1),1,0)</f>
        <v>0</v>
      </c>
      <c r="AA203">
        <f>IF(AND(Table2[[#This Row],[STATES in numeric format]]=0,F202=-1,F201=1),1,0)</f>
        <v>0</v>
      </c>
      <c r="AB203">
        <f>IF(AND(Table2[[#This Row],[STATES in numeric format]]=0,F202=1,F201=-1),1,0)</f>
        <v>0</v>
      </c>
      <c r="AC203">
        <f>IF(AND(Table2[[#This Row],[STATES in numeric format]]=0,F202=0,F201=0),1,0)</f>
        <v>0</v>
      </c>
      <c r="AD203">
        <f>IF(AND(Table2[[#This Row],[STATES in numeric format]]=0,F202=1,F201=0),1,0)</f>
        <v>0</v>
      </c>
      <c r="AE203">
        <f>IF(AND(Table2[[#This Row],[STATES in numeric format]]=0,F202=-1,F201=0),1,0)</f>
        <v>0</v>
      </c>
      <c r="AF203">
        <f>IF(AND(Table2[[#This Row],[STATES in numeric format]]=0,F202=0,F201=1),1,0)</f>
        <v>0</v>
      </c>
      <c r="AG203">
        <f>IF(AND(Table2[[#This Row],[STATES in numeric format]]=0,F202=0,F201=-1),1,0)</f>
        <v>0</v>
      </c>
    </row>
    <row r="204" spans="1:33" x14ac:dyDescent="0.3">
      <c r="A204" s="1">
        <v>44125</v>
      </c>
      <c r="B204">
        <v>40707.31</v>
      </c>
      <c r="C204">
        <f>Table2[[#This Row],[Close]]-0.001*Table2[[#This Row],[Close]]</f>
        <v>40666.60269</v>
      </c>
      <c r="D204">
        <f>Table2[[#This Row],[Close]]+0.001*Table2[[#This Row],[Close]]</f>
        <v>40748.017309999996</v>
      </c>
      <c r="E204" t="str">
        <f>IF(Table2[[#This Row],[Close]]&gt;D203,"up",IF(Table2[[#This Row],[Close]]&lt;C203,"down","constant"))</f>
        <v>up</v>
      </c>
      <c r="F204" s="3">
        <f>IF(Table2[[#This Row],[States]]="up",1,IF(Table2[[#This Row],[States]]="down",-1,0))</f>
        <v>1</v>
      </c>
      <c r="G204">
        <f>IF(AND(Table2[[#This Row],[STATES in numeric format]]=-1,F203=1,F202=1),1,0)</f>
        <v>0</v>
      </c>
      <c r="H204">
        <f>IF(AND(Table2[[#This Row],[STATES in numeric format]]=-1,F203=-1,F202=-1),1,0)</f>
        <v>0</v>
      </c>
      <c r="I204">
        <f>IF(AND(Table2[[#This Row],[STATES in numeric format]]=-1,F203=-1,F202=1),1,0)</f>
        <v>0</v>
      </c>
      <c r="J204">
        <f>IF(AND(Table2[[#This Row],[STATES in numeric format]]=-1,F203=1,F202=-1),1,0)</f>
        <v>0</v>
      </c>
      <c r="K204">
        <f>IF(AND(Table2[[#This Row],[STATES in numeric format]]=-1,F203=0,F202=0),1,0)</f>
        <v>0</v>
      </c>
      <c r="L204">
        <f>IF(AND(Table2[[#This Row],[STATES in numeric format]]=-1,F203=1,F202=0),1,0)</f>
        <v>0</v>
      </c>
      <c r="M204">
        <f>IF(AND(Table2[[#This Row],[STATES in numeric format]]=-1,F203=-1,F202=0),1,0)</f>
        <v>0</v>
      </c>
      <c r="N204">
        <f>IF(AND(Table2[[#This Row],[STATES in numeric format]]=-1,F203=0,F202=1),1,0)</f>
        <v>0</v>
      </c>
      <c r="O204">
        <f>IF(AND(Table2[[#This Row],[STATES in numeric format]]=-1,F203=0,F202=-1),1,0)</f>
        <v>0</v>
      </c>
      <c r="P204">
        <f>IF(AND(Table2[[#This Row],[STATES in numeric format]]=1,F203=1,F202=1),1,0)</f>
        <v>1</v>
      </c>
      <c r="Q204">
        <f>IF(AND(Table2[[#This Row],[STATES in numeric format]]=1,F203=-1,F202=-1),1,0)</f>
        <v>0</v>
      </c>
      <c r="R204">
        <f>IF(AND(Table2[[#This Row],[STATES in numeric format]]=1,F203=-1,F202=1),1,0)</f>
        <v>0</v>
      </c>
      <c r="S204">
        <f>IF(AND(Table2[[#This Row],[STATES in numeric format]]=1,F203=1,F202=-1),1,0)</f>
        <v>0</v>
      </c>
      <c r="T204">
        <f>IF(AND(Table2[[#This Row],[STATES in numeric format]]=1,F203=0,F202=0),1,0)</f>
        <v>0</v>
      </c>
      <c r="U204">
        <f>IF(AND(Table2[[#This Row],[STATES in numeric format]]=1,F203=1,F202=0),1,0)</f>
        <v>0</v>
      </c>
      <c r="V204">
        <f>IF(AND(Table2[[#This Row],[STATES in numeric format]]=1,F203=-1,F202=0),1,0)</f>
        <v>0</v>
      </c>
      <c r="W204">
        <f>IF(AND(Table2[[#This Row],[STATES in numeric format]]=1,F203=0,F202=1),1,0)</f>
        <v>0</v>
      </c>
      <c r="X204">
        <f>IF(AND(Table2[[#This Row],[STATES in numeric format]]=1,F203=0,F202=-1),1,0)</f>
        <v>0</v>
      </c>
      <c r="Y204">
        <f>IF(AND(Table2[[#This Row],[STATES in numeric format]]=0,F203=1,F202=1),1,0)</f>
        <v>0</v>
      </c>
      <c r="Z204">
        <f>IF(AND(Table2[[#This Row],[STATES in numeric format]]=0,F203=-1,F202=-1),1,0)</f>
        <v>0</v>
      </c>
      <c r="AA204">
        <f>IF(AND(Table2[[#This Row],[STATES in numeric format]]=0,F203=-1,F202=1),1,0)</f>
        <v>0</v>
      </c>
      <c r="AB204">
        <f>IF(AND(Table2[[#This Row],[STATES in numeric format]]=0,F203=1,F202=-1),1,0)</f>
        <v>0</v>
      </c>
      <c r="AC204">
        <f>IF(AND(Table2[[#This Row],[STATES in numeric format]]=0,F203=0,F202=0),1,0)</f>
        <v>0</v>
      </c>
      <c r="AD204">
        <f>IF(AND(Table2[[#This Row],[STATES in numeric format]]=0,F203=1,F202=0),1,0)</f>
        <v>0</v>
      </c>
      <c r="AE204">
        <f>IF(AND(Table2[[#This Row],[STATES in numeric format]]=0,F203=-1,F202=0),1,0)</f>
        <v>0</v>
      </c>
      <c r="AF204">
        <f>IF(AND(Table2[[#This Row],[STATES in numeric format]]=0,F203=0,F202=1),1,0)</f>
        <v>0</v>
      </c>
      <c r="AG204">
        <f>IF(AND(Table2[[#This Row],[STATES in numeric format]]=0,F203=0,F202=-1),1,0)</f>
        <v>0</v>
      </c>
    </row>
    <row r="205" spans="1:33" x14ac:dyDescent="0.3">
      <c r="A205" s="1">
        <v>44126</v>
      </c>
      <c r="B205">
        <v>40558.49</v>
      </c>
      <c r="C205">
        <f>Table2[[#This Row],[Close]]-0.001*Table2[[#This Row],[Close]]</f>
        <v>40517.931509999995</v>
      </c>
      <c r="D205">
        <f>Table2[[#This Row],[Close]]+0.001*Table2[[#This Row],[Close]]</f>
        <v>40599.048490000001</v>
      </c>
      <c r="E205" t="str">
        <f>IF(Table2[[#This Row],[Close]]&gt;D204,"up",IF(Table2[[#This Row],[Close]]&lt;C204,"down","constant"))</f>
        <v>down</v>
      </c>
      <c r="F205" s="3">
        <f>IF(Table2[[#This Row],[States]]="up",1,IF(Table2[[#This Row],[States]]="down",-1,0))</f>
        <v>-1</v>
      </c>
      <c r="G205">
        <f>IF(AND(Table2[[#This Row],[STATES in numeric format]]=-1,F204=1,F203=1),1,0)</f>
        <v>1</v>
      </c>
      <c r="H205">
        <f>IF(AND(Table2[[#This Row],[STATES in numeric format]]=-1,F204=-1,F203=-1),1,0)</f>
        <v>0</v>
      </c>
      <c r="I205">
        <f>IF(AND(Table2[[#This Row],[STATES in numeric format]]=-1,F204=-1,F203=1),1,0)</f>
        <v>0</v>
      </c>
      <c r="J205">
        <f>IF(AND(Table2[[#This Row],[STATES in numeric format]]=-1,F204=1,F203=-1),1,0)</f>
        <v>0</v>
      </c>
      <c r="K205">
        <f>IF(AND(Table2[[#This Row],[STATES in numeric format]]=-1,F204=0,F203=0),1,0)</f>
        <v>0</v>
      </c>
      <c r="L205">
        <f>IF(AND(Table2[[#This Row],[STATES in numeric format]]=-1,F204=1,F203=0),1,0)</f>
        <v>0</v>
      </c>
      <c r="M205">
        <f>IF(AND(Table2[[#This Row],[STATES in numeric format]]=-1,F204=-1,F203=0),1,0)</f>
        <v>0</v>
      </c>
      <c r="N205">
        <f>IF(AND(Table2[[#This Row],[STATES in numeric format]]=-1,F204=0,F203=1),1,0)</f>
        <v>0</v>
      </c>
      <c r="O205">
        <f>IF(AND(Table2[[#This Row],[STATES in numeric format]]=-1,F204=0,F203=-1),1,0)</f>
        <v>0</v>
      </c>
      <c r="P205">
        <f>IF(AND(Table2[[#This Row],[STATES in numeric format]]=1,F204=1,F203=1),1,0)</f>
        <v>0</v>
      </c>
      <c r="Q205">
        <f>IF(AND(Table2[[#This Row],[STATES in numeric format]]=1,F204=-1,F203=-1),1,0)</f>
        <v>0</v>
      </c>
      <c r="R205">
        <f>IF(AND(Table2[[#This Row],[STATES in numeric format]]=1,F204=-1,F203=1),1,0)</f>
        <v>0</v>
      </c>
      <c r="S205">
        <f>IF(AND(Table2[[#This Row],[STATES in numeric format]]=1,F204=1,F203=-1),1,0)</f>
        <v>0</v>
      </c>
      <c r="T205">
        <f>IF(AND(Table2[[#This Row],[STATES in numeric format]]=1,F204=0,F203=0),1,0)</f>
        <v>0</v>
      </c>
      <c r="U205">
        <f>IF(AND(Table2[[#This Row],[STATES in numeric format]]=1,F204=1,F203=0),1,0)</f>
        <v>0</v>
      </c>
      <c r="V205">
        <f>IF(AND(Table2[[#This Row],[STATES in numeric format]]=1,F204=-1,F203=0),1,0)</f>
        <v>0</v>
      </c>
      <c r="W205">
        <f>IF(AND(Table2[[#This Row],[STATES in numeric format]]=1,F204=0,F203=1),1,0)</f>
        <v>0</v>
      </c>
      <c r="X205">
        <f>IF(AND(Table2[[#This Row],[STATES in numeric format]]=1,F204=0,F203=-1),1,0)</f>
        <v>0</v>
      </c>
      <c r="Y205">
        <f>IF(AND(Table2[[#This Row],[STATES in numeric format]]=0,F204=1,F203=1),1,0)</f>
        <v>0</v>
      </c>
      <c r="Z205">
        <f>IF(AND(Table2[[#This Row],[STATES in numeric format]]=0,F204=-1,F203=-1),1,0)</f>
        <v>0</v>
      </c>
      <c r="AA205">
        <f>IF(AND(Table2[[#This Row],[STATES in numeric format]]=0,F204=-1,F203=1),1,0)</f>
        <v>0</v>
      </c>
      <c r="AB205">
        <f>IF(AND(Table2[[#This Row],[STATES in numeric format]]=0,F204=1,F203=-1),1,0)</f>
        <v>0</v>
      </c>
      <c r="AC205">
        <f>IF(AND(Table2[[#This Row],[STATES in numeric format]]=0,F204=0,F203=0),1,0)</f>
        <v>0</v>
      </c>
      <c r="AD205">
        <f>IF(AND(Table2[[#This Row],[STATES in numeric format]]=0,F204=1,F203=0),1,0)</f>
        <v>0</v>
      </c>
      <c r="AE205">
        <f>IF(AND(Table2[[#This Row],[STATES in numeric format]]=0,F204=-1,F203=0),1,0)</f>
        <v>0</v>
      </c>
      <c r="AF205">
        <f>IF(AND(Table2[[#This Row],[STATES in numeric format]]=0,F204=0,F203=1),1,0)</f>
        <v>0</v>
      </c>
      <c r="AG205">
        <f>IF(AND(Table2[[#This Row],[STATES in numeric format]]=0,F204=0,F203=-1),1,0)</f>
        <v>0</v>
      </c>
    </row>
    <row r="206" spans="1:33" x14ac:dyDescent="0.3">
      <c r="A206" s="1">
        <v>44127</v>
      </c>
      <c r="B206">
        <v>40685.5</v>
      </c>
      <c r="C206">
        <f>Table2[[#This Row],[Close]]-0.001*Table2[[#This Row],[Close]]</f>
        <v>40644.8145</v>
      </c>
      <c r="D206">
        <f>Table2[[#This Row],[Close]]+0.001*Table2[[#This Row],[Close]]</f>
        <v>40726.1855</v>
      </c>
      <c r="E206" t="str">
        <f>IF(Table2[[#This Row],[Close]]&gt;D205,"up",IF(Table2[[#This Row],[Close]]&lt;C205,"down","constant"))</f>
        <v>up</v>
      </c>
      <c r="F206" s="3">
        <f>IF(Table2[[#This Row],[States]]="up",1,IF(Table2[[#This Row],[States]]="down",-1,0))</f>
        <v>1</v>
      </c>
      <c r="G206">
        <f>IF(AND(Table2[[#This Row],[STATES in numeric format]]=-1,F205=1,F204=1),1,0)</f>
        <v>0</v>
      </c>
      <c r="H206">
        <f>IF(AND(Table2[[#This Row],[STATES in numeric format]]=-1,F205=-1,F204=-1),1,0)</f>
        <v>0</v>
      </c>
      <c r="I206">
        <f>IF(AND(Table2[[#This Row],[STATES in numeric format]]=-1,F205=-1,F204=1),1,0)</f>
        <v>0</v>
      </c>
      <c r="J206">
        <f>IF(AND(Table2[[#This Row],[STATES in numeric format]]=-1,F205=1,F204=-1),1,0)</f>
        <v>0</v>
      </c>
      <c r="K206">
        <f>IF(AND(Table2[[#This Row],[STATES in numeric format]]=-1,F205=0,F204=0),1,0)</f>
        <v>0</v>
      </c>
      <c r="L206">
        <f>IF(AND(Table2[[#This Row],[STATES in numeric format]]=-1,F205=1,F204=0),1,0)</f>
        <v>0</v>
      </c>
      <c r="M206">
        <f>IF(AND(Table2[[#This Row],[STATES in numeric format]]=-1,F205=-1,F204=0),1,0)</f>
        <v>0</v>
      </c>
      <c r="N206">
        <f>IF(AND(Table2[[#This Row],[STATES in numeric format]]=-1,F205=0,F204=1),1,0)</f>
        <v>0</v>
      </c>
      <c r="O206">
        <f>IF(AND(Table2[[#This Row],[STATES in numeric format]]=-1,F205=0,F204=-1),1,0)</f>
        <v>0</v>
      </c>
      <c r="P206">
        <f>IF(AND(Table2[[#This Row],[STATES in numeric format]]=1,F205=1,F204=1),1,0)</f>
        <v>0</v>
      </c>
      <c r="Q206">
        <f>IF(AND(Table2[[#This Row],[STATES in numeric format]]=1,F205=-1,F204=-1),1,0)</f>
        <v>0</v>
      </c>
      <c r="R206">
        <f>IF(AND(Table2[[#This Row],[STATES in numeric format]]=1,F205=-1,F204=1),1,0)</f>
        <v>1</v>
      </c>
      <c r="S206">
        <f>IF(AND(Table2[[#This Row],[STATES in numeric format]]=1,F205=1,F204=-1),1,0)</f>
        <v>0</v>
      </c>
      <c r="T206">
        <f>IF(AND(Table2[[#This Row],[STATES in numeric format]]=1,F205=0,F204=0),1,0)</f>
        <v>0</v>
      </c>
      <c r="U206">
        <f>IF(AND(Table2[[#This Row],[STATES in numeric format]]=1,F205=1,F204=0),1,0)</f>
        <v>0</v>
      </c>
      <c r="V206">
        <f>IF(AND(Table2[[#This Row],[STATES in numeric format]]=1,F205=-1,F204=0),1,0)</f>
        <v>0</v>
      </c>
      <c r="W206">
        <f>IF(AND(Table2[[#This Row],[STATES in numeric format]]=1,F205=0,F204=1),1,0)</f>
        <v>0</v>
      </c>
      <c r="X206">
        <f>IF(AND(Table2[[#This Row],[STATES in numeric format]]=1,F205=0,F204=-1),1,0)</f>
        <v>0</v>
      </c>
      <c r="Y206">
        <f>IF(AND(Table2[[#This Row],[STATES in numeric format]]=0,F205=1,F204=1),1,0)</f>
        <v>0</v>
      </c>
      <c r="Z206">
        <f>IF(AND(Table2[[#This Row],[STATES in numeric format]]=0,F205=-1,F204=-1),1,0)</f>
        <v>0</v>
      </c>
      <c r="AA206">
        <f>IF(AND(Table2[[#This Row],[STATES in numeric format]]=0,F205=-1,F204=1),1,0)</f>
        <v>0</v>
      </c>
      <c r="AB206">
        <f>IF(AND(Table2[[#This Row],[STATES in numeric format]]=0,F205=1,F204=-1),1,0)</f>
        <v>0</v>
      </c>
      <c r="AC206">
        <f>IF(AND(Table2[[#This Row],[STATES in numeric format]]=0,F205=0,F204=0),1,0)</f>
        <v>0</v>
      </c>
      <c r="AD206">
        <f>IF(AND(Table2[[#This Row],[STATES in numeric format]]=0,F205=1,F204=0),1,0)</f>
        <v>0</v>
      </c>
      <c r="AE206">
        <f>IF(AND(Table2[[#This Row],[STATES in numeric format]]=0,F205=-1,F204=0),1,0)</f>
        <v>0</v>
      </c>
      <c r="AF206">
        <f>IF(AND(Table2[[#This Row],[STATES in numeric format]]=0,F205=0,F204=1),1,0)</f>
        <v>0</v>
      </c>
      <c r="AG206">
        <f>IF(AND(Table2[[#This Row],[STATES in numeric format]]=0,F205=0,F204=-1),1,0)</f>
        <v>0</v>
      </c>
    </row>
    <row r="207" spans="1:33" x14ac:dyDescent="0.3">
      <c r="A207" s="1">
        <v>44130</v>
      </c>
      <c r="B207">
        <v>40145.5</v>
      </c>
      <c r="C207">
        <f>Table2[[#This Row],[Close]]-0.001*Table2[[#This Row],[Close]]</f>
        <v>40105.354500000001</v>
      </c>
      <c r="D207">
        <f>Table2[[#This Row],[Close]]+0.001*Table2[[#This Row],[Close]]</f>
        <v>40185.645499999999</v>
      </c>
      <c r="E207" t="str">
        <f>IF(Table2[[#This Row],[Close]]&gt;D206,"up",IF(Table2[[#This Row],[Close]]&lt;C206,"down","constant"))</f>
        <v>down</v>
      </c>
      <c r="F207" s="3">
        <f>IF(Table2[[#This Row],[States]]="up",1,IF(Table2[[#This Row],[States]]="down",-1,0))</f>
        <v>-1</v>
      </c>
      <c r="G207">
        <f>IF(AND(Table2[[#This Row],[STATES in numeric format]]=-1,F206=1,F205=1),1,0)</f>
        <v>0</v>
      </c>
      <c r="H207">
        <f>IF(AND(Table2[[#This Row],[STATES in numeric format]]=-1,F206=-1,F205=-1),1,0)</f>
        <v>0</v>
      </c>
      <c r="I207">
        <f>IF(AND(Table2[[#This Row],[STATES in numeric format]]=-1,F206=-1,F205=1),1,0)</f>
        <v>0</v>
      </c>
      <c r="J207">
        <f>IF(AND(Table2[[#This Row],[STATES in numeric format]]=-1,F206=1,F205=-1),1,0)</f>
        <v>1</v>
      </c>
      <c r="K207">
        <f>IF(AND(Table2[[#This Row],[STATES in numeric format]]=-1,F206=0,F205=0),1,0)</f>
        <v>0</v>
      </c>
      <c r="L207">
        <f>IF(AND(Table2[[#This Row],[STATES in numeric format]]=-1,F206=1,F205=0),1,0)</f>
        <v>0</v>
      </c>
      <c r="M207">
        <f>IF(AND(Table2[[#This Row],[STATES in numeric format]]=-1,F206=-1,F205=0),1,0)</f>
        <v>0</v>
      </c>
      <c r="N207">
        <f>IF(AND(Table2[[#This Row],[STATES in numeric format]]=-1,F206=0,F205=1),1,0)</f>
        <v>0</v>
      </c>
      <c r="O207">
        <f>IF(AND(Table2[[#This Row],[STATES in numeric format]]=-1,F206=0,F205=-1),1,0)</f>
        <v>0</v>
      </c>
      <c r="P207">
        <f>IF(AND(Table2[[#This Row],[STATES in numeric format]]=1,F206=1,F205=1),1,0)</f>
        <v>0</v>
      </c>
      <c r="Q207">
        <f>IF(AND(Table2[[#This Row],[STATES in numeric format]]=1,F206=-1,F205=-1),1,0)</f>
        <v>0</v>
      </c>
      <c r="R207">
        <f>IF(AND(Table2[[#This Row],[STATES in numeric format]]=1,F206=-1,F205=1),1,0)</f>
        <v>0</v>
      </c>
      <c r="S207">
        <f>IF(AND(Table2[[#This Row],[STATES in numeric format]]=1,F206=1,F205=-1),1,0)</f>
        <v>0</v>
      </c>
      <c r="T207">
        <f>IF(AND(Table2[[#This Row],[STATES in numeric format]]=1,F206=0,F205=0),1,0)</f>
        <v>0</v>
      </c>
      <c r="U207">
        <f>IF(AND(Table2[[#This Row],[STATES in numeric format]]=1,F206=1,F205=0),1,0)</f>
        <v>0</v>
      </c>
      <c r="V207">
        <f>IF(AND(Table2[[#This Row],[STATES in numeric format]]=1,F206=-1,F205=0),1,0)</f>
        <v>0</v>
      </c>
      <c r="W207">
        <f>IF(AND(Table2[[#This Row],[STATES in numeric format]]=1,F206=0,F205=1),1,0)</f>
        <v>0</v>
      </c>
      <c r="X207">
        <f>IF(AND(Table2[[#This Row],[STATES in numeric format]]=1,F206=0,F205=-1),1,0)</f>
        <v>0</v>
      </c>
      <c r="Y207">
        <f>IF(AND(Table2[[#This Row],[STATES in numeric format]]=0,F206=1,F205=1),1,0)</f>
        <v>0</v>
      </c>
      <c r="Z207">
        <f>IF(AND(Table2[[#This Row],[STATES in numeric format]]=0,F206=-1,F205=-1),1,0)</f>
        <v>0</v>
      </c>
      <c r="AA207">
        <f>IF(AND(Table2[[#This Row],[STATES in numeric format]]=0,F206=-1,F205=1),1,0)</f>
        <v>0</v>
      </c>
      <c r="AB207">
        <f>IF(AND(Table2[[#This Row],[STATES in numeric format]]=0,F206=1,F205=-1),1,0)</f>
        <v>0</v>
      </c>
      <c r="AC207">
        <f>IF(AND(Table2[[#This Row],[STATES in numeric format]]=0,F206=0,F205=0),1,0)</f>
        <v>0</v>
      </c>
      <c r="AD207">
        <f>IF(AND(Table2[[#This Row],[STATES in numeric format]]=0,F206=1,F205=0),1,0)</f>
        <v>0</v>
      </c>
      <c r="AE207">
        <f>IF(AND(Table2[[#This Row],[STATES in numeric format]]=0,F206=-1,F205=0),1,0)</f>
        <v>0</v>
      </c>
      <c r="AF207">
        <f>IF(AND(Table2[[#This Row],[STATES in numeric format]]=0,F206=0,F205=1),1,0)</f>
        <v>0</v>
      </c>
      <c r="AG207">
        <f>IF(AND(Table2[[#This Row],[STATES in numeric format]]=0,F206=0,F205=-1),1,0)</f>
        <v>0</v>
      </c>
    </row>
    <row r="208" spans="1:33" x14ac:dyDescent="0.3">
      <c r="A208" s="1">
        <v>44131</v>
      </c>
      <c r="B208">
        <v>40522.1</v>
      </c>
      <c r="C208">
        <f>Table2[[#This Row],[Close]]-0.001*Table2[[#This Row],[Close]]</f>
        <v>40481.577899999997</v>
      </c>
      <c r="D208">
        <f>Table2[[#This Row],[Close]]+0.001*Table2[[#This Row],[Close]]</f>
        <v>40562.622100000001</v>
      </c>
      <c r="E208" t="str">
        <f>IF(Table2[[#This Row],[Close]]&gt;D207,"up",IF(Table2[[#This Row],[Close]]&lt;C207,"down","constant"))</f>
        <v>up</v>
      </c>
      <c r="F208" s="3">
        <f>IF(Table2[[#This Row],[States]]="up",1,IF(Table2[[#This Row],[States]]="down",-1,0))</f>
        <v>1</v>
      </c>
      <c r="G208">
        <f>IF(AND(Table2[[#This Row],[STATES in numeric format]]=-1,F207=1,F206=1),1,0)</f>
        <v>0</v>
      </c>
      <c r="H208">
        <f>IF(AND(Table2[[#This Row],[STATES in numeric format]]=-1,F207=-1,F206=-1),1,0)</f>
        <v>0</v>
      </c>
      <c r="I208">
        <f>IF(AND(Table2[[#This Row],[STATES in numeric format]]=-1,F207=-1,F206=1),1,0)</f>
        <v>0</v>
      </c>
      <c r="J208">
        <f>IF(AND(Table2[[#This Row],[STATES in numeric format]]=-1,F207=1,F206=-1),1,0)</f>
        <v>0</v>
      </c>
      <c r="K208">
        <f>IF(AND(Table2[[#This Row],[STATES in numeric format]]=-1,F207=0,F206=0),1,0)</f>
        <v>0</v>
      </c>
      <c r="L208">
        <f>IF(AND(Table2[[#This Row],[STATES in numeric format]]=-1,F207=1,F206=0),1,0)</f>
        <v>0</v>
      </c>
      <c r="M208">
        <f>IF(AND(Table2[[#This Row],[STATES in numeric format]]=-1,F207=-1,F206=0),1,0)</f>
        <v>0</v>
      </c>
      <c r="N208">
        <f>IF(AND(Table2[[#This Row],[STATES in numeric format]]=-1,F207=0,F206=1),1,0)</f>
        <v>0</v>
      </c>
      <c r="O208">
        <f>IF(AND(Table2[[#This Row],[STATES in numeric format]]=-1,F207=0,F206=-1),1,0)</f>
        <v>0</v>
      </c>
      <c r="P208">
        <f>IF(AND(Table2[[#This Row],[STATES in numeric format]]=1,F207=1,F206=1),1,0)</f>
        <v>0</v>
      </c>
      <c r="Q208">
        <f>IF(AND(Table2[[#This Row],[STATES in numeric format]]=1,F207=-1,F206=-1),1,0)</f>
        <v>0</v>
      </c>
      <c r="R208">
        <f>IF(AND(Table2[[#This Row],[STATES in numeric format]]=1,F207=-1,F206=1),1,0)</f>
        <v>1</v>
      </c>
      <c r="S208">
        <f>IF(AND(Table2[[#This Row],[STATES in numeric format]]=1,F207=1,F206=-1),1,0)</f>
        <v>0</v>
      </c>
      <c r="T208">
        <f>IF(AND(Table2[[#This Row],[STATES in numeric format]]=1,F207=0,F206=0),1,0)</f>
        <v>0</v>
      </c>
      <c r="U208">
        <f>IF(AND(Table2[[#This Row],[STATES in numeric format]]=1,F207=1,F206=0),1,0)</f>
        <v>0</v>
      </c>
      <c r="V208">
        <f>IF(AND(Table2[[#This Row],[STATES in numeric format]]=1,F207=-1,F206=0),1,0)</f>
        <v>0</v>
      </c>
      <c r="W208">
        <f>IF(AND(Table2[[#This Row],[STATES in numeric format]]=1,F207=0,F206=1),1,0)</f>
        <v>0</v>
      </c>
      <c r="X208">
        <f>IF(AND(Table2[[#This Row],[STATES in numeric format]]=1,F207=0,F206=-1),1,0)</f>
        <v>0</v>
      </c>
      <c r="Y208">
        <f>IF(AND(Table2[[#This Row],[STATES in numeric format]]=0,F207=1,F206=1),1,0)</f>
        <v>0</v>
      </c>
      <c r="Z208">
        <f>IF(AND(Table2[[#This Row],[STATES in numeric format]]=0,F207=-1,F206=-1),1,0)</f>
        <v>0</v>
      </c>
      <c r="AA208">
        <f>IF(AND(Table2[[#This Row],[STATES in numeric format]]=0,F207=-1,F206=1),1,0)</f>
        <v>0</v>
      </c>
      <c r="AB208">
        <f>IF(AND(Table2[[#This Row],[STATES in numeric format]]=0,F207=1,F206=-1),1,0)</f>
        <v>0</v>
      </c>
      <c r="AC208">
        <f>IF(AND(Table2[[#This Row],[STATES in numeric format]]=0,F207=0,F206=0),1,0)</f>
        <v>0</v>
      </c>
      <c r="AD208">
        <f>IF(AND(Table2[[#This Row],[STATES in numeric format]]=0,F207=1,F206=0),1,0)</f>
        <v>0</v>
      </c>
      <c r="AE208">
        <f>IF(AND(Table2[[#This Row],[STATES in numeric format]]=0,F207=-1,F206=0),1,0)</f>
        <v>0</v>
      </c>
      <c r="AF208">
        <f>IF(AND(Table2[[#This Row],[STATES in numeric format]]=0,F207=0,F206=1),1,0)</f>
        <v>0</v>
      </c>
      <c r="AG208">
        <f>IF(AND(Table2[[#This Row],[STATES in numeric format]]=0,F207=0,F206=-1),1,0)</f>
        <v>0</v>
      </c>
    </row>
    <row r="209" spans="1:33" x14ac:dyDescent="0.3">
      <c r="A209" s="1">
        <v>44132</v>
      </c>
      <c r="B209">
        <v>39922.46</v>
      </c>
      <c r="C209">
        <f>Table2[[#This Row],[Close]]-0.001*Table2[[#This Row],[Close]]</f>
        <v>39882.537539999998</v>
      </c>
      <c r="D209">
        <f>Table2[[#This Row],[Close]]+0.001*Table2[[#This Row],[Close]]</f>
        <v>39962.382460000001</v>
      </c>
      <c r="E209" t="str">
        <f>IF(Table2[[#This Row],[Close]]&gt;D208,"up",IF(Table2[[#This Row],[Close]]&lt;C208,"down","constant"))</f>
        <v>down</v>
      </c>
      <c r="F209" s="3">
        <f>IF(Table2[[#This Row],[States]]="up",1,IF(Table2[[#This Row],[States]]="down",-1,0))</f>
        <v>-1</v>
      </c>
      <c r="G209">
        <f>IF(AND(Table2[[#This Row],[STATES in numeric format]]=-1,F208=1,F207=1),1,0)</f>
        <v>0</v>
      </c>
      <c r="H209">
        <f>IF(AND(Table2[[#This Row],[STATES in numeric format]]=-1,F208=-1,F207=-1),1,0)</f>
        <v>0</v>
      </c>
      <c r="I209">
        <f>IF(AND(Table2[[#This Row],[STATES in numeric format]]=-1,F208=-1,F207=1),1,0)</f>
        <v>0</v>
      </c>
      <c r="J209">
        <f>IF(AND(Table2[[#This Row],[STATES in numeric format]]=-1,F208=1,F207=-1),1,0)</f>
        <v>1</v>
      </c>
      <c r="K209">
        <f>IF(AND(Table2[[#This Row],[STATES in numeric format]]=-1,F208=0,F207=0),1,0)</f>
        <v>0</v>
      </c>
      <c r="L209">
        <f>IF(AND(Table2[[#This Row],[STATES in numeric format]]=-1,F208=1,F207=0),1,0)</f>
        <v>0</v>
      </c>
      <c r="M209">
        <f>IF(AND(Table2[[#This Row],[STATES in numeric format]]=-1,F208=-1,F207=0),1,0)</f>
        <v>0</v>
      </c>
      <c r="N209">
        <f>IF(AND(Table2[[#This Row],[STATES in numeric format]]=-1,F208=0,F207=1),1,0)</f>
        <v>0</v>
      </c>
      <c r="O209">
        <f>IF(AND(Table2[[#This Row],[STATES in numeric format]]=-1,F208=0,F207=-1),1,0)</f>
        <v>0</v>
      </c>
      <c r="P209">
        <f>IF(AND(Table2[[#This Row],[STATES in numeric format]]=1,F208=1,F207=1),1,0)</f>
        <v>0</v>
      </c>
      <c r="Q209">
        <f>IF(AND(Table2[[#This Row],[STATES in numeric format]]=1,F208=-1,F207=-1),1,0)</f>
        <v>0</v>
      </c>
      <c r="R209">
        <f>IF(AND(Table2[[#This Row],[STATES in numeric format]]=1,F208=-1,F207=1),1,0)</f>
        <v>0</v>
      </c>
      <c r="S209">
        <f>IF(AND(Table2[[#This Row],[STATES in numeric format]]=1,F208=1,F207=-1),1,0)</f>
        <v>0</v>
      </c>
      <c r="T209">
        <f>IF(AND(Table2[[#This Row],[STATES in numeric format]]=1,F208=0,F207=0),1,0)</f>
        <v>0</v>
      </c>
      <c r="U209">
        <f>IF(AND(Table2[[#This Row],[STATES in numeric format]]=1,F208=1,F207=0),1,0)</f>
        <v>0</v>
      </c>
      <c r="V209">
        <f>IF(AND(Table2[[#This Row],[STATES in numeric format]]=1,F208=-1,F207=0),1,0)</f>
        <v>0</v>
      </c>
      <c r="W209">
        <f>IF(AND(Table2[[#This Row],[STATES in numeric format]]=1,F208=0,F207=1),1,0)</f>
        <v>0</v>
      </c>
      <c r="X209">
        <f>IF(AND(Table2[[#This Row],[STATES in numeric format]]=1,F208=0,F207=-1),1,0)</f>
        <v>0</v>
      </c>
      <c r="Y209">
        <f>IF(AND(Table2[[#This Row],[STATES in numeric format]]=0,F208=1,F207=1),1,0)</f>
        <v>0</v>
      </c>
      <c r="Z209">
        <f>IF(AND(Table2[[#This Row],[STATES in numeric format]]=0,F208=-1,F207=-1),1,0)</f>
        <v>0</v>
      </c>
      <c r="AA209">
        <f>IF(AND(Table2[[#This Row],[STATES in numeric format]]=0,F208=-1,F207=1),1,0)</f>
        <v>0</v>
      </c>
      <c r="AB209">
        <f>IF(AND(Table2[[#This Row],[STATES in numeric format]]=0,F208=1,F207=-1),1,0)</f>
        <v>0</v>
      </c>
      <c r="AC209">
        <f>IF(AND(Table2[[#This Row],[STATES in numeric format]]=0,F208=0,F207=0),1,0)</f>
        <v>0</v>
      </c>
      <c r="AD209">
        <f>IF(AND(Table2[[#This Row],[STATES in numeric format]]=0,F208=1,F207=0),1,0)</f>
        <v>0</v>
      </c>
      <c r="AE209">
        <f>IF(AND(Table2[[#This Row],[STATES in numeric format]]=0,F208=-1,F207=0),1,0)</f>
        <v>0</v>
      </c>
      <c r="AF209">
        <f>IF(AND(Table2[[#This Row],[STATES in numeric format]]=0,F208=0,F207=1),1,0)</f>
        <v>0</v>
      </c>
      <c r="AG209">
        <f>IF(AND(Table2[[#This Row],[STATES in numeric format]]=0,F208=0,F207=-1),1,0)</f>
        <v>0</v>
      </c>
    </row>
    <row r="210" spans="1:33" x14ac:dyDescent="0.3">
      <c r="A210" s="1">
        <v>44133</v>
      </c>
      <c r="B210">
        <v>39749.85</v>
      </c>
      <c r="C210">
        <f>Table2[[#This Row],[Close]]-0.001*Table2[[#This Row],[Close]]</f>
        <v>39710.100149999998</v>
      </c>
      <c r="D210">
        <f>Table2[[#This Row],[Close]]+0.001*Table2[[#This Row],[Close]]</f>
        <v>39789.599849999999</v>
      </c>
      <c r="E210" t="str">
        <f>IF(Table2[[#This Row],[Close]]&gt;D209,"up",IF(Table2[[#This Row],[Close]]&lt;C209,"down","constant"))</f>
        <v>down</v>
      </c>
      <c r="F210" s="3">
        <f>IF(Table2[[#This Row],[States]]="up",1,IF(Table2[[#This Row],[States]]="down",-1,0))</f>
        <v>-1</v>
      </c>
      <c r="G210">
        <f>IF(AND(Table2[[#This Row],[STATES in numeric format]]=-1,F209=1,F208=1),1,0)</f>
        <v>0</v>
      </c>
      <c r="H210">
        <f>IF(AND(Table2[[#This Row],[STATES in numeric format]]=-1,F209=-1,F208=-1),1,0)</f>
        <v>0</v>
      </c>
      <c r="I210">
        <f>IF(AND(Table2[[#This Row],[STATES in numeric format]]=-1,F209=-1,F208=1),1,0)</f>
        <v>1</v>
      </c>
      <c r="J210">
        <f>IF(AND(Table2[[#This Row],[STATES in numeric format]]=-1,F209=1,F208=-1),1,0)</f>
        <v>0</v>
      </c>
      <c r="K210">
        <f>IF(AND(Table2[[#This Row],[STATES in numeric format]]=-1,F209=0,F208=0),1,0)</f>
        <v>0</v>
      </c>
      <c r="L210">
        <f>IF(AND(Table2[[#This Row],[STATES in numeric format]]=-1,F209=1,F208=0),1,0)</f>
        <v>0</v>
      </c>
      <c r="M210">
        <f>IF(AND(Table2[[#This Row],[STATES in numeric format]]=-1,F209=-1,F208=0),1,0)</f>
        <v>0</v>
      </c>
      <c r="N210">
        <f>IF(AND(Table2[[#This Row],[STATES in numeric format]]=-1,F209=0,F208=1),1,0)</f>
        <v>0</v>
      </c>
      <c r="O210">
        <f>IF(AND(Table2[[#This Row],[STATES in numeric format]]=-1,F209=0,F208=-1),1,0)</f>
        <v>0</v>
      </c>
      <c r="P210">
        <f>IF(AND(Table2[[#This Row],[STATES in numeric format]]=1,F209=1,F208=1),1,0)</f>
        <v>0</v>
      </c>
      <c r="Q210">
        <f>IF(AND(Table2[[#This Row],[STATES in numeric format]]=1,F209=-1,F208=-1),1,0)</f>
        <v>0</v>
      </c>
      <c r="R210">
        <f>IF(AND(Table2[[#This Row],[STATES in numeric format]]=1,F209=-1,F208=1),1,0)</f>
        <v>0</v>
      </c>
      <c r="S210">
        <f>IF(AND(Table2[[#This Row],[STATES in numeric format]]=1,F209=1,F208=-1),1,0)</f>
        <v>0</v>
      </c>
      <c r="T210">
        <f>IF(AND(Table2[[#This Row],[STATES in numeric format]]=1,F209=0,F208=0),1,0)</f>
        <v>0</v>
      </c>
      <c r="U210">
        <f>IF(AND(Table2[[#This Row],[STATES in numeric format]]=1,F209=1,F208=0),1,0)</f>
        <v>0</v>
      </c>
      <c r="V210">
        <f>IF(AND(Table2[[#This Row],[STATES in numeric format]]=1,F209=-1,F208=0),1,0)</f>
        <v>0</v>
      </c>
      <c r="W210">
        <f>IF(AND(Table2[[#This Row],[STATES in numeric format]]=1,F209=0,F208=1),1,0)</f>
        <v>0</v>
      </c>
      <c r="X210">
        <f>IF(AND(Table2[[#This Row],[STATES in numeric format]]=1,F209=0,F208=-1),1,0)</f>
        <v>0</v>
      </c>
      <c r="Y210">
        <f>IF(AND(Table2[[#This Row],[STATES in numeric format]]=0,F209=1,F208=1),1,0)</f>
        <v>0</v>
      </c>
      <c r="Z210">
        <f>IF(AND(Table2[[#This Row],[STATES in numeric format]]=0,F209=-1,F208=-1),1,0)</f>
        <v>0</v>
      </c>
      <c r="AA210">
        <f>IF(AND(Table2[[#This Row],[STATES in numeric format]]=0,F209=-1,F208=1),1,0)</f>
        <v>0</v>
      </c>
      <c r="AB210">
        <f>IF(AND(Table2[[#This Row],[STATES in numeric format]]=0,F209=1,F208=-1),1,0)</f>
        <v>0</v>
      </c>
      <c r="AC210">
        <f>IF(AND(Table2[[#This Row],[STATES in numeric format]]=0,F209=0,F208=0),1,0)</f>
        <v>0</v>
      </c>
      <c r="AD210">
        <f>IF(AND(Table2[[#This Row],[STATES in numeric format]]=0,F209=1,F208=0),1,0)</f>
        <v>0</v>
      </c>
      <c r="AE210">
        <f>IF(AND(Table2[[#This Row],[STATES in numeric format]]=0,F209=-1,F208=0),1,0)</f>
        <v>0</v>
      </c>
      <c r="AF210">
        <f>IF(AND(Table2[[#This Row],[STATES in numeric format]]=0,F209=0,F208=1),1,0)</f>
        <v>0</v>
      </c>
      <c r="AG210">
        <f>IF(AND(Table2[[#This Row],[STATES in numeric format]]=0,F209=0,F208=-1),1,0)</f>
        <v>0</v>
      </c>
    </row>
    <row r="211" spans="1:33" x14ac:dyDescent="0.3">
      <c r="A211" s="1">
        <v>44134</v>
      </c>
      <c r="B211">
        <v>39614.07</v>
      </c>
      <c r="C211">
        <f>Table2[[#This Row],[Close]]-0.001*Table2[[#This Row],[Close]]</f>
        <v>39574.455929999996</v>
      </c>
      <c r="D211">
        <f>Table2[[#This Row],[Close]]+0.001*Table2[[#This Row],[Close]]</f>
        <v>39653.684070000003</v>
      </c>
      <c r="E211" t="str">
        <f>IF(Table2[[#This Row],[Close]]&gt;D210,"up",IF(Table2[[#This Row],[Close]]&lt;C210,"down","constant"))</f>
        <v>down</v>
      </c>
      <c r="F211" s="3">
        <f>IF(Table2[[#This Row],[States]]="up",1,IF(Table2[[#This Row],[States]]="down",-1,0))</f>
        <v>-1</v>
      </c>
      <c r="G211">
        <f>IF(AND(Table2[[#This Row],[STATES in numeric format]]=-1,F210=1,F209=1),1,0)</f>
        <v>0</v>
      </c>
      <c r="H211">
        <f>IF(AND(Table2[[#This Row],[STATES in numeric format]]=-1,F210=-1,F209=-1),1,0)</f>
        <v>1</v>
      </c>
      <c r="I211">
        <f>IF(AND(Table2[[#This Row],[STATES in numeric format]]=-1,F210=-1,F209=1),1,0)</f>
        <v>0</v>
      </c>
      <c r="J211">
        <f>IF(AND(Table2[[#This Row],[STATES in numeric format]]=-1,F210=1,F209=-1),1,0)</f>
        <v>0</v>
      </c>
      <c r="K211">
        <f>IF(AND(Table2[[#This Row],[STATES in numeric format]]=-1,F210=0,F209=0),1,0)</f>
        <v>0</v>
      </c>
      <c r="L211">
        <f>IF(AND(Table2[[#This Row],[STATES in numeric format]]=-1,F210=1,F209=0),1,0)</f>
        <v>0</v>
      </c>
      <c r="M211">
        <f>IF(AND(Table2[[#This Row],[STATES in numeric format]]=-1,F210=-1,F209=0),1,0)</f>
        <v>0</v>
      </c>
      <c r="N211">
        <f>IF(AND(Table2[[#This Row],[STATES in numeric format]]=-1,F210=0,F209=1),1,0)</f>
        <v>0</v>
      </c>
      <c r="O211">
        <f>IF(AND(Table2[[#This Row],[STATES in numeric format]]=-1,F210=0,F209=-1),1,0)</f>
        <v>0</v>
      </c>
      <c r="P211">
        <f>IF(AND(Table2[[#This Row],[STATES in numeric format]]=1,F210=1,F209=1),1,0)</f>
        <v>0</v>
      </c>
      <c r="Q211">
        <f>IF(AND(Table2[[#This Row],[STATES in numeric format]]=1,F210=-1,F209=-1),1,0)</f>
        <v>0</v>
      </c>
      <c r="R211">
        <f>IF(AND(Table2[[#This Row],[STATES in numeric format]]=1,F210=-1,F209=1),1,0)</f>
        <v>0</v>
      </c>
      <c r="S211">
        <f>IF(AND(Table2[[#This Row],[STATES in numeric format]]=1,F210=1,F209=-1),1,0)</f>
        <v>0</v>
      </c>
      <c r="T211">
        <f>IF(AND(Table2[[#This Row],[STATES in numeric format]]=1,F210=0,F209=0),1,0)</f>
        <v>0</v>
      </c>
      <c r="U211">
        <f>IF(AND(Table2[[#This Row],[STATES in numeric format]]=1,F210=1,F209=0),1,0)</f>
        <v>0</v>
      </c>
      <c r="V211">
        <f>IF(AND(Table2[[#This Row],[STATES in numeric format]]=1,F210=-1,F209=0),1,0)</f>
        <v>0</v>
      </c>
      <c r="W211">
        <f>IF(AND(Table2[[#This Row],[STATES in numeric format]]=1,F210=0,F209=1),1,0)</f>
        <v>0</v>
      </c>
      <c r="X211">
        <f>IF(AND(Table2[[#This Row],[STATES in numeric format]]=1,F210=0,F209=-1),1,0)</f>
        <v>0</v>
      </c>
      <c r="Y211">
        <f>IF(AND(Table2[[#This Row],[STATES in numeric format]]=0,F210=1,F209=1),1,0)</f>
        <v>0</v>
      </c>
      <c r="Z211">
        <f>IF(AND(Table2[[#This Row],[STATES in numeric format]]=0,F210=-1,F209=-1),1,0)</f>
        <v>0</v>
      </c>
      <c r="AA211">
        <f>IF(AND(Table2[[#This Row],[STATES in numeric format]]=0,F210=-1,F209=1),1,0)</f>
        <v>0</v>
      </c>
      <c r="AB211">
        <f>IF(AND(Table2[[#This Row],[STATES in numeric format]]=0,F210=1,F209=-1),1,0)</f>
        <v>0</v>
      </c>
      <c r="AC211">
        <f>IF(AND(Table2[[#This Row],[STATES in numeric format]]=0,F210=0,F209=0),1,0)</f>
        <v>0</v>
      </c>
      <c r="AD211">
        <f>IF(AND(Table2[[#This Row],[STATES in numeric format]]=0,F210=1,F209=0),1,0)</f>
        <v>0</v>
      </c>
      <c r="AE211">
        <f>IF(AND(Table2[[#This Row],[STATES in numeric format]]=0,F210=-1,F209=0),1,0)</f>
        <v>0</v>
      </c>
      <c r="AF211">
        <f>IF(AND(Table2[[#This Row],[STATES in numeric format]]=0,F210=0,F209=1),1,0)</f>
        <v>0</v>
      </c>
      <c r="AG211">
        <f>IF(AND(Table2[[#This Row],[STATES in numeric format]]=0,F210=0,F209=-1),1,0)</f>
        <v>0</v>
      </c>
    </row>
    <row r="212" spans="1:33" x14ac:dyDescent="0.3">
      <c r="A212" s="1">
        <v>44137</v>
      </c>
      <c r="B212">
        <v>39757.58</v>
      </c>
      <c r="C212">
        <f>Table2[[#This Row],[Close]]-0.001*Table2[[#This Row],[Close]]</f>
        <v>39717.822420000004</v>
      </c>
      <c r="D212">
        <f>Table2[[#This Row],[Close]]+0.001*Table2[[#This Row],[Close]]</f>
        <v>39797.337579999999</v>
      </c>
      <c r="E212" t="str">
        <f>IF(Table2[[#This Row],[Close]]&gt;D211,"up",IF(Table2[[#This Row],[Close]]&lt;C211,"down","constant"))</f>
        <v>up</v>
      </c>
      <c r="F212" s="3">
        <f>IF(Table2[[#This Row],[States]]="up",1,IF(Table2[[#This Row],[States]]="down",-1,0))</f>
        <v>1</v>
      </c>
      <c r="G212">
        <f>IF(AND(Table2[[#This Row],[STATES in numeric format]]=-1,F211=1,F210=1),1,0)</f>
        <v>0</v>
      </c>
      <c r="H212">
        <f>IF(AND(Table2[[#This Row],[STATES in numeric format]]=-1,F211=-1,F210=-1),1,0)</f>
        <v>0</v>
      </c>
      <c r="I212">
        <f>IF(AND(Table2[[#This Row],[STATES in numeric format]]=-1,F211=-1,F210=1),1,0)</f>
        <v>0</v>
      </c>
      <c r="J212">
        <f>IF(AND(Table2[[#This Row],[STATES in numeric format]]=-1,F211=1,F210=-1),1,0)</f>
        <v>0</v>
      </c>
      <c r="K212">
        <f>IF(AND(Table2[[#This Row],[STATES in numeric format]]=-1,F211=0,F210=0),1,0)</f>
        <v>0</v>
      </c>
      <c r="L212">
        <f>IF(AND(Table2[[#This Row],[STATES in numeric format]]=-1,F211=1,F210=0),1,0)</f>
        <v>0</v>
      </c>
      <c r="M212">
        <f>IF(AND(Table2[[#This Row],[STATES in numeric format]]=-1,F211=-1,F210=0),1,0)</f>
        <v>0</v>
      </c>
      <c r="N212">
        <f>IF(AND(Table2[[#This Row],[STATES in numeric format]]=-1,F211=0,F210=1),1,0)</f>
        <v>0</v>
      </c>
      <c r="O212">
        <f>IF(AND(Table2[[#This Row],[STATES in numeric format]]=-1,F211=0,F210=-1),1,0)</f>
        <v>0</v>
      </c>
      <c r="P212">
        <f>IF(AND(Table2[[#This Row],[STATES in numeric format]]=1,F211=1,F210=1),1,0)</f>
        <v>0</v>
      </c>
      <c r="Q212">
        <f>IF(AND(Table2[[#This Row],[STATES in numeric format]]=1,F211=-1,F210=-1),1,0)</f>
        <v>1</v>
      </c>
      <c r="R212">
        <f>IF(AND(Table2[[#This Row],[STATES in numeric format]]=1,F211=-1,F210=1),1,0)</f>
        <v>0</v>
      </c>
      <c r="S212">
        <f>IF(AND(Table2[[#This Row],[STATES in numeric format]]=1,F211=1,F210=-1),1,0)</f>
        <v>0</v>
      </c>
      <c r="T212">
        <f>IF(AND(Table2[[#This Row],[STATES in numeric format]]=1,F211=0,F210=0),1,0)</f>
        <v>0</v>
      </c>
      <c r="U212">
        <f>IF(AND(Table2[[#This Row],[STATES in numeric format]]=1,F211=1,F210=0),1,0)</f>
        <v>0</v>
      </c>
      <c r="V212">
        <f>IF(AND(Table2[[#This Row],[STATES in numeric format]]=1,F211=-1,F210=0),1,0)</f>
        <v>0</v>
      </c>
      <c r="W212">
        <f>IF(AND(Table2[[#This Row],[STATES in numeric format]]=1,F211=0,F210=1),1,0)</f>
        <v>0</v>
      </c>
      <c r="X212">
        <f>IF(AND(Table2[[#This Row],[STATES in numeric format]]=1,F211=0,F210=-1),1,0)</f>
        <v>0</v>
      </c>
      <c r="Y212">
        <f>IF(AND(Table2[[#This Row],[STATES in numeric format]]=0,F211=1,F210=1),1,0)</f>
        <v>0</v>
      </c>
      <c r="Z212">
        <f>IF(AND(Table2[[#This Row],[STATES in numeric format]]=0,F211=-1,F210=-1),1,0)</f>
        <v>0</v>
      </c>
      <c r="AA212">
        <f>IF(AND(Table2[[#This Row],[STATES in numeric format]]=0,F211=-1,F210=1),1,0)</f>
        <v>0</v>
      </c>
      <c r="AB212">
        <f>IF(AND(Table2[[#This Row],[STATES in numeric format]]=0,F211=1,F210=-1),1,0)</f>
        <v>0</v>
      </c>
      <c r="AC212">
        <f>IF(AND(Table2[[#This Row],[STATES in numeric format]]=0,F211=0,F210=0),1,0)</f>
        <v>0</v>
      </c>
      <c r="AD212">
        <f>IF(AND(Table2[[#This Row],[STATES in numeric format]]=0,F211=1,F210=0),1,0)</f>
        <v>0</v>
      </c>
      <c r="AE212">
        <f>IF(AND(Table2[[#This Row],[STATES in numeric format]]=0,F211=-1,F210=0),1,0)</f>
        <v>0</v>
      </c>
      <c r="AF212">
        <f>IF(AND(Table2[[#This Row],[STATES in numeric format]]=0,F211=0,F210=1),1,0)</f>
        <v>0</v>
      </c>
      <c r="AG212">
        <f>IF(AND(Table2[[#This Row],[STATES in numeric format]]=0,F211=0,F210=-1),1,0)</f>
        <v>0</v>
      </c>
    </row>
    <row r="213" spans="1:33" x14ac:dyDescent="0.3">
      <c r="A213" s="1">
        <v>44138</v>
      </c>
      <c r="B213">
        <v>40261.129999999997</v>
      </c>
      <c r="C213">
        <f>Table2[[#This Row],[Close]]-0.001*Table2[[#This Row],[Close]]</f>
        <v>40220.868869999998</v>
      </c>
      <c r="D213">
        <f>Table2[[#This Row],[Close]]+0.001*Table2[[#This Row],[Close]]</f>
        <v>40301.391129999996</v>
      </c>
      <c r="E213" t="str">
        <f>IF(Table2[[#This Row],[Close]]&gt;D212,"up",IF(Table2[[#This Row],[Close]]&lt;C212,"down","constant"))</f>
        <v>up</v>
      </c>
      <c r="F213" s="3">
        <f>IF(Table2[[#This Row],[States]]="up",1,IF(Table2[[#This Row],[States]]="down",-1,0))</f>
        <v>1</v>
      </c>
      <c r="G213">
        <f>IF(AND(Table2[[#This Row],[STATES in numeric format]]=-1,F212=1,F211=1),1,0)</f>
        <v>0</v>
      </c>
      <c r="H213">
        <f>IF(AND(Table2[[#This Row],[STATES in numeric format]]=-1,F212=-1,F211=-1),1,0)</f>
        <v>0</v>
      </c>
      <c r="I213">
        <f>IF(AND(Table2[[#This Row],[STATES in numeric format]]=-1,F212=-1,F211=1),1,0)</f>
        <v>0</v>
      </c>
      <c r="J213">
        <f>IF(AND(Table2[[#This Row],[STATES in numeric format]]=-1,F212=1,F211=-1),1,0)</f>
        <v>0</v>
      </c>
      <c r="K213">
        <f>IF(AND(Table2[[#This Row],[STATES in numeric format]]=-1,F212=0,F211=0),1,0)</f>
        <v>0</v>
      </c>
      <c r="L213">
        <f>IF(AND(Table2[[#This Row],[STATES in numeric format]]=-1,F212=1,F211=0),1,0)</f>
        <v>0</v>
      </c>
      <c r="M213">
        <f>IF(AND(Table2[[#This Row],[STATES in numeric format]]=-1,F212=-1,F211=0),1,0)</f>
        <v>0</v>
      </c>
      <c r="N213">
        <f>IF(AND(Table2[[#This Row],[STATES in numeric format]]=-1,F212=0,F211=1),1,0)</f>
        <v>0</v>
      </c>
      <c r="O213">
        <f>IF(AND(Table2[[#This Row],[STATES in numeric format]]=-1,F212=0,F211=-1),1,0)</f>
        <v>0</v>
      </c>
      <c r="P213">
        <f>IF(AND(Table2[[#This Row],[STATES in numeric format]]=1,F212=1,F211=1),1,0)</f>
        <v>0</v>
      </c>
      <c r="Q213">
        <f>IF(AND(Table2[[#This Row],[STATES in numeric format]]=1,F212=-1,F211=-1),1,0)</f>
        <v>0</v>
      </c>
      <c r="R213">
        <f>IF(AND(Table2[[#This Row],[STATES in numeric format]]=1,F212=-1,F211=1),1,0)</f>
        <v>0</v>
      </c>
      <c r="S213">
        <f>IF(AND(Table2[[#This Row],[STATES in numeric format]]=1,F212=1,F211=-1),1,0)</f>
        <v>1</v>
      </c>
      <c r="T213">
        <f>IF(AND(Table2[[#This Row],[STATES in numeric format]]=1,F212=0,F211=0),1,0)</f>
        <v>0</v>
      </c>
      <c r="U213">
        <f>IF(AND(Table2[[#This Row],[STATES in numeric format]]=1,F212=1,F211=0),1,0)</f>
        <v>0</v>
      </c>
      <c r="V213">
        <f>IF(AND(Table2[[#This Row],[STATES in numeric format]]=1,F212=-1,F211=0),1,0)</f>
        <v>0</v>
      </c>
      <c r="W213">
        <f>IF(AND(Table2[[#This Row],[STATES in numeric format]]=1,F212=0,F211=1),1,0)</f>
        <v>0</v>
      </c>
      <c r="X213">
        <f>IF(AND(Table2[[#This Row],[STATES in numeric format]]=1,F212=0,F211=-1),1,0)</f>
        <v>0</v>
      </c>
      <c r="Y213">
        <f>IF(AND(Table2[[#This Row],[STATES in numeric format]]=0,F212=1,F211=1),1,0)</f>
        <v>0</v>
      </c>
      <c r="Z213">
        <f>IF(AND(Table2[[#This Row],[STATES in numeric format]]=0,F212=-1,F211=-1),1,0)</f>
        <v>0</v>
      </c>
      <c r="AA213">
        <f>IF(AND(Table2[[#This Row],[STATES in numeric format]]=0,F212=-1,F211=1),1,0)</f>
        <v>0</v>
      </c>
      <c r="AB213">
        <f>IF(AND(Table2[[#This Row],[STATES in numeric format]]=0,F212=1,F211=-1),1,0)</f>
        <v>0</v>
      </c>
      <c r="AC213">
        <f>IF(AND(Table2[[#This Row],[STATES in numeric format]]=0,F212=0,F211=0),1,0)</f>
        <v>0</v>
      </c>
      <c r="AD213">
        <f>IF(AND(Table2[[#This Row],[STATES in numeric format]]=0,F212=1,F211=0),1,0)</f>
        <v>0</v>
      </c>
      <c r="AE213">
        <f>IF(AND(Table2[[#This Row],[STATES in numeric format]]=0,F212=-1,F211=0),1,0)</f>
        <v>0</v>
      </c>
      <c r="AF213">
        <f>IF(AND(Table2[[#This Row],[STATES in numeric format]]=0,F212=0,F211=1),1,0)</f>
        <v>0</v>
      </c>
      <c r="AG213">
        <f>IF(AND(Table2[[#This Row],[STATES in numeric format]]=0,F212=0,F211=-1),1,0)</f>
        <v>0</v>
      </c>
    </row>
    <row r="214" spans="1:33" x14ac:dyDescent="0.3">
      <c r="A214" s="1">
        <v>44139</v>
      </c>
      <c r="B214">
        <v>40616.14</v>
      </c>
      <c r="C214">
        <f>Table2[[#This Row],[Close]]-0.001*Table2[[#This Row],[Close]]</f>
        <v>40575.523860000001</v>
      </c>
      <c r="D214">
        <f>Table2[[#This Row],[Close]]+0.001*Table2[[#This Row],[Close]]</f>
        <v>40656.756139999998</v>
      </c>
      <c r="E214" t="str">
        <f>IF(Table2[[#This Row],[Close]]&gt;D213,"up",IF(Table2[[#This Row],[Close]]&lt;C213,"down","constant"))</f>
        <v>up</v>
      </c>
      <c r="F214" s="3">
        <f>IF(Table2[[#This Row],[States]]="up",1,IF(Table2[[#This Row],[States]]="down",-1,0))</f>
        <v>1</v>
      </c>
      <c r="G214">
        <f>IF(AND(Table2[[#This Row],[STATES in numeric format]]=-1,F213=1,F212=1),1,0)</f>
        <v>0</v>
      </c>
      <c r="H214">
        <f>IF(AND(Table2[[#This Row],[STATES in numeric format]]=-1,F213=-1,F212=-1),1,0)</f>
        <v>0</v>
      </c>
      <c r="I214">
        <f>IF(AND(Table2[[#This Row],[STATES in numeric format]]=-1,F213=-1,F212=1),1,0)</f>
        <v>0</v>
      </c>
      <c r="J214">
        <f>IF(AND(Table2[[#This Row],[STATES in numeric format]]=-1,F213=1,F212=-1),1,0)</f>
        <v>0</v>
      </c>
      <c r="K214">
        <f>IF(AND(Table2[[#This Row],[STATES in numeric format]]=-1,F213=0,F212=0),1,0)</f>
        <v>0</v>
      </c>
      <c r="L214">
        <f>IF(AND(Table2[[#This Row],[STATES in numeric format]]=-1,F213=1,F212=0),1,0)</f>
        <v>0</v>
      </c>
      <c r="M214">
        <f>IF(AND(Table2[[#This Row],[STATES in numeric format]]=-1,F213=-1,F212=0),1,0)</f>
        <v>0</v>
      </c>
      <c r="N214">
        <f>IF(AND(Table2[[#This Row],[STATES in numeric format]]=-1,F213=0,F212=1),1,0)</f>
        <v>0</v>
      </c>
      <c r="O214">
        <f>IF(AND(Table2[[#This Row],[STATES in numeric format]]=-1,F213=0,F212=-1),1,0)</f>
        <v>0</v>
      </c>
      <c r="P214">
        <f>IF(AND(Table2[[#This Row],[STATES in numeric format]]=1,F213=1,F212=1),1,0)</f>
        <v>1</v>
      </c>
      <c r="Q214">
        <f>IF(AND(Table2[[#This Row],[STATES in numeric format]]=1,F213=-1,F212=-1),1,0)</f>
        <v>0</v>
      </c>
      <c r="R214">
        <f>IF(AND(Table2[[#This Row],[STATES in numeric format]]=1,F213=-1,F212=1),1,0)</f>
        <v>0</v>
      </c>
      <c r="S214">
        <f>IF(AND(Table2[[#This Row],[STATES in numeric format]]=1,F213=1,F212=-1),1,0)</f>
        <v>0</v>
      </c>
      <c r="T214">
        <f>IF(AND(Table2[[#This Row],[STATES in numeric format]]=1,F213=0,F212=0),1,0)</f>
        <v>0</v>
      </c>
      <c r="U214">
        <f>IF(AND(Table2[[#This Row],[STATES in numeric format]]=1,F213=1,F212=0),1,0)</f>
        <v>0</v>
      </c>
      <c r="V214">
        <f>IF(AND(Table2[[#This Row],[STATES in numeric format]]=1,F213=-1,F212=0),1,0)</f>
        <v>0</v>
      </c>
      <c r="W214">
        <f>IF(AND(Table2[[#This Row],[STATES in numeric format]]=1,F213=0,F212=1),1,0)</f>
        <v>0</v>
      </c>
      <c r="X214">
        <f>IF(AND(Table2[[#This Row],[STATES in numeric format]]=1,F213=0,F212=-1),1,0)</f>
        <v>0</v>
      </c>
      <c r="Y214">
        <f>IF(AND(Table2[[#This Row],[STATES in numeric format]]=0,F213=1,F212=1),1,0)</f>
        <v>0</v>
      </c>
      <c r="Z214">
        <f>IF(AND(Table2[[#This Row],[STATES in numeric format]]=0,F213=-1,F212=-1),1,0)</f>
        <v>0</v>
      </c>
      <c r="AA214">
        <f>IF(AND(Table2[[#This Row],[STATES in numeric format]]=0,F213=-1,F212=1),1,0)</f>
        <v>0</v>
      </c>
      <c r="AB214">
        <f>IF(AND(Table2[[#This Row],[STATES in numeric format]]=0,F213=1,F212=-1),1,0)</f>
        <v>0</v>
      </c>
      <c r="AC214">
        <f>IF(AND(Table2[[#This Row],[STATES in numeric format]]=0,F213=0,F212=0),1,0)</f>
        <v>0</v>
      </c>
      <c r="AD214">
        <f>IF(AND(Table2[[#This Row],[STATES in numeric format]]=0,F213=1,F212=0),1,0)</f>
        <v>0</v>
      </c>
      <c r="AE214">
        <f>IF(AND(Table2[[#This Row],[STATES in numeric format]]=0,F213=-1,F212=0),1,0)</f>
        <v>0</v>
      </c>
      <c r="AF214">
        <f>IF(AND(Table2[[#This Row],[STATES in numeric format]]=0,F213=0,F212=1),1,0)</f>
        <v>0</v>
      </c>
      <c r="AG214">
        <f>IF(AND(Table2[[#This Row],[STATES in numeric format]]=0,F213=0,F212=-1),1,0)</f>
        <v>0</v>
      </c>
    </row>
    <row r="215" spans="1:33" x14ac:dyDescent="0.3">
      <c r="A215" s="1">
        <v>44140</v>
      </c>
      <c r="B215">
        <v>41340.160000000003</v>
      </c>
      <c r="C215">
        <f>Table2[[#This Row],[Close]]-0.001*Table2[[#This Row],[Close]]</f>
        <v>41298.819840000004</v>
      </c>
      <c r="D215">
        <f>Table2[[#This Row],[Close]]+0.001*Table2[[#This Row],[Close]]</f>
        <v>41381.500160000003</v>
      </c>
      <c r="E215" t="str">
        <f>IF(Table2[[#This Row],[Close]]&gt;D214,"up",IF(Table2[[#This Row],[Close]]&lt;C214,"down","constant"))</f>
        <v>up</v>
      </c>
      <c r="F215" s="3">
        <f>IF(Table2[[#This Row],[States]]="up",1,IF(Table2[[#This Row],[States]]="down",-1,0))</f>
        <v>1</v>
      </c>
      <c r="G215">
        <f>IF(AND(Table2[[#This Row],[STATES in numeric format]]=-1,F214=1,F213=1),1,0)</f>
        <v>0</v>
      </c>
      <c r="H215">
        <f>IF(AND(Table2[[#This Row],[STATES in numeric format]]=-1,F214=-1,F213=-1),1,0)</f>
        <v>0</v>
      </c>
      <c r="I215">
        <f>IF(AND(Table2[[#This Row],[STATES in numeric format]]=-1,F214=-1,F213=1),1,0)</f>
        <v>0</v>
      </c>
      <c r="J215">
        <f>IF(AND(Table2[[#This Row],[STATES in numeric format]]=-1,F214=1,F213=-1),1,0)</f>
        <v>0</v>
      </c>
      <c r="K215">
        <f>IF(AND(Table2[[#This Row],[STATES in numeric format]]=-1,F214=0,F213=0),1,0)</f>
        <v>0</v>
      </c>
      <c r="L215">
        <f>IF(AND(Table2[[#This Row],[STATES in numeric format]]=-1,F214=1,F213=0),1,0)</f>
        <v>0</v>
      </c>
      <c r="M215">
        <f>IF(AND(Table2[[#This Row],[STATES in numeric format]]=-1,F214=-1,F213=0),1,0)</f>
        <v>0</v>
      </c>
      <c r="N215">
        <f>IF(AND(Table2[[#This Row],[STATES in numeric format]]=-1,F214=0,F213=1),1,0)</f>
        <v>0</v>
      </c>
      <c r="O215">
        <f>IF(AND(Table2[[#This Row],[STATES in numeric format]]=-1,F214=0,F213=-1),1,0)</f>
        <v>0</v>
      </c>
      <c r="P215">
        <f>IF(AND(Table2[[#This Row],[STATES in numeric format]]=1,F214=1,F213=1),1,0)</f>
        <v>1</v>
      </c>
      <c r="Q215">
        <f>IF(AND(Table2[[#This Row],[STATES in numeric format]]=1,F214=-1,F213=-1),1,0)</f>
        <v>0</v>
      </c>
      <c r="R215">
        <f>IF(AND(Table2[[#This Row],[STATES in numeric format]]=1,F214=-1,F213=1),1,0)</f>
        <v>0</v>
      </c>
      <c r="S215">
        <f>IF(AND(Table2[[#This Row],[STATES in numeric format]]=1,F214=1,F213=-1),1,0)</f>
        <v>0</v>
      </c>
      <c r="T215">
        <f>IF(AND(Table2[[#This Row],[STATES in numeric format]]=1,F214=0,F213=0),1,0)</f>
        <v>0</v>
      </c>
      <c r="U215">
        <f>IF(AND(Table2[[#This Row],[STATES in numeric format]]=1,F214=1,F213=0),1,0)</f>
        <v>0</v>
      </c>
      <c r="V215">
        <f>IF(AND(Table2[[#This Row],[STATES in numeric format]]=1,F214=-1,F213=0),1,0)</f>
        <v>0</v>
      </c>
      <c r="W215">
        <f>IF(AND(Table2[[#This Row],[STATES in numeric format]]=1,F214=0,F213=1),1,0)</f>
        <v>0</v>
      </c>
      <c r="X215">
        <f>IF(AND(Table2[[#This Row],[STATES in numeric format]]=1,F214=0,F213=-1),1,0)</f>
        <v>0</v>
      </c>
      <c r="Y215">
        <f>IF(AND(Table2[[#This Row],[STATES in numeric format]]=0,F214=1,F213=1),1,0)</f>
        <v>0</v>
      </c>
      <c r="Z215">
        <f>IF(AND(Table2[[#This Row],[STATES in numeric format]]=0,F214=-1,F213=-1),1,0)</f>
        <v>0</v>
      </c>
      <c r="AA215">
        <f>IF(AND(Table2[[#This Row],[STATES in numeric format]]=0,F214=-1,F213=1),1,0)</f>
        <v>0</v>
      </c>
      <c r="AB215">
        <f>IF(AND(Table2[[#This Row],[STATES in numeric format]]=0,F214=1,F213=-1),1,0)</f>
        <v>0</v>
      </c>
      <c r="AC215">
        <f>IF(AND(Table2[[#This Row],[STATES in numeric format]]=0,F214=0,F213=0),1,0)</f>
        <v>0</v>
      </c>
      <c r="AD215">
        <f>IF(AND(Table2[[#This Row],[STATES in numeric format]]=0,F214=1,F213=0),1,0)</f>
        <v>0</v>
      </c>
      <c r="AE215">
        <f>IF(AND(Table2[[#This Row],[STATES in numeric format]]=0,F214=-1,F213=0),1,0)</f>
        <v>0</v>
      </c>
      <c r="AF215">
        <f>IF(AND(Table2[[#This Row],[STATES in numeric format]]=0,F214=0,F213=1),1,0)</f>
        <v>0</v>
      </c>
      <c r="AG215">
        <f>IF(AND(Table2[[#This Row],[STATES in numeric format]]=0,F214=0,F213=-1),1,0)</f>
        <v>0</v>
      </c>
    </row>
    <row r="216" spans="1:33" x14ac:dyDescent="0.3">
      <c r="A216" s="1">
        <v>44141</v>
      </c>
      <c r="B216">
        <v>41893.06</v>
      </c>
      <c r="C216">
        <f>Table2[[#This Row],[Close]]-0.001*Table2[[#This Row],[Close]]</f>
        <v>41851.166939999996</v>
      </c>
      <c r="D216">
        <f>Table2[[#This Row],[Close]]+0.001*Table2[[#This Row],[Close]]</f>
        <v>41934.95306</v>
      </c>
      <c r="E216" t="str">
        <f>IF(Table2[[#This Row],[Close]]&gt;D215,"up",IF(Table2[[#This Row],[Close]]&lt;C215,"down","constant"))</f>
        <v>up</v>
      </c>
      <c r="F216" s="3">
        <f>IF(Table2[[#This Row],[States]]="up",1,IF(Table2[[#This Row],[States]]="down",-1,0))</f>
        <v>1</v>
      </c>
      <c r="G216">
        <f>IF(AND(Table2[[#This Row],[STATES in numeric format]]=-1,F215=1,F214=1),1,0)</f>
        <v>0</v>
      </c>
      <c r="H216">
        <f>IF(AND(Table2[[#This Row],[STATES in numeric format]]=-1,F215=-1,F214=-1),1,0)</f>
        <v>0</v>
      </c>
      <c r="I216">
        <f>IF(AND(Table2[[#This Row],[STATES in numeric format]]=-1,F215=-1,F214=1),1,0)</f>
        <v>0</v>
      </c>
      <c r="J216">
        <f>IF(AND(Table2[[#This Row],[STATES in numeric format]]=-1,F215=1,F214=-1),1,0)</f>
        <v>0</v>
      </c>
      <c r="K216">
        <f>IF(AND(Table2[[#This Row],[STATES in numeric format]]=-1,F215=0,F214=0),1,0)</f>
        <v>0</v>
      </c>
      <c r="L216">
        <f>IF(AND(Table2[[#This Row],[STATES in numeric format]]=-1,F215=1,F214=0),1,0)</f>
        <v>0</v>
      </c>
      <c r="M216">
        <f>IF(AND(Table2[[#This Row],[STATES in numeric format]]=-1,F215=-1,F214=0),1,0)</f>
        <v>0</v>
      </c>
      <c r="N216">
        <f>IF(AND(Table2[[#This Row],[STATES in numeric format]]=-1,F215=0,F214=1),1,0)</f>
        <v>0</v>
      </c>
      <c r="O216">
        <f>IF(AND(Table2[[#This Row],[STATES in numeric format]]=-1,F215=0,F214=-1),1,0)</f>
        <v>0</v>
      </c>
      <c r="P216">
        <f>IF(AND(Table2[[#This Row],[STATES in numeric format]]=1,F215=1,F214=1),1,0)</f>
        <v>1</v>
      </c>
      <c r="Q216">
        <f>IF(AND(Table2[[#This Row],[STATES in numeric format]]=1,F215=-1,F214=-1),1,0)</f>
        <v>0</v>
      </c>
      <c r="R216">
        <f>IF(AND(Table2[[#This Row],[STATES in numeric format]]=1,F215=-1,F214=1),1,0)</f>
        <v>0</v>
      </c>
      <c r="S216">
        <f>IF(AND(Table2[[#This Row],[STATES in numeric format]]=1,F215=1,F214=-1),1,0)</f>
        <v>0</v>
      </c>
      <c r="T216">
        <f>IF(AND(Table2[[#This Row],[STATES in numeric format]]=1,F215=0,F214=0),1,0)</f>
        <v>0</v>
      </c>
      <c r="U216">
        <f>IF(AND(Table2[[#This Row],[STATES in numeric format]]=1,F215=1,F214=0),1,0)</f>
        <v>0</v>
      </c>
      <c r="V216">
        <f>IF(AND(Table2[[#This Row],[STATES in numeric format]]=1,F215=-1,F214=0),1,0)</f>
        <v>0</v>
      </c>
      <c r="W216">
        <f>IF(AND(Table2[[#This Row],[STATES in numeric format]]=1,F215=0,F214=1),1,0)</f>
        <v>0</v>
      </c>
      <c r="X216">
        <f>IF(AND(Table2[[#This Row],[STATES in numeric format]]=1,F215=0,F214=-1),1,0)</f>
        <v>0</v>
      </c>
      <c r="Y216">
        <f>IF(AND(Table2[[#This Row],[STATES in numeric format]]=0,F215=1,F214=1),1,0)</f>
        <v>0</v>
      </c>
      <c r="Z216">
        <f>IF(AND(Table2[[#This Row],[STATES in numeric format]]=0,F215=-1,F214=-1),1,0)</f>
        <v>0</v>
      </c>
      <c r="AA216">
        <f>IF(AND(Table2[[#This Row],[STATES in numeric format]]=0,F215=-1,F214=1),1,0)</f>
        <v>0</v>
      </c>
      <c r="AB216">
        <f>IF(AND(Table2[[#This Row],[STATES in numeric format]]=0,F215=1,F214=-1),1,0)</f>
        <v>0</v>
      </c>
      <c r="AC216">
        <f>IF(AND(Table2[[#This Row],[STATES in numeric format]]=0,F215=0,F214=0),1,0)</f>
        <v>0</v>
      </c>
      <c r="AD216">
        <f>IF(AND(Table2[[#This Row],[STATES in numeric format]]=0,F215=1,F214=0),1,0)</f>
        <v>0</v>
      </c>
      <c r="AE216">
        <f>IF(AND(Table2[[#This Row],[STATES in numeric format]]=0,F215=-1,F214=0),1,0)</f>
        <v>0</v>
      </c>
      <c r="AF216">
        <f>IF(AND(Table2[[#This Row],[STATES in numeric format]]=0,F215=0,F214=1),1,0)</f>
        <v>0</v>
      </c>
      <c r="AG216">
        <f>IF(AND(Table2[[#This Row],[STATES in numeric format]]=0,F215=0,F214=-1),1,0)</f>
        <v>0</v>
      </c>
    </row>
    <row r="217" spans="1:33" x14ac:dyDescent="0.3">
      <c r="A217" s="1">
        <v>44144</v>
      </c>
      <c r="B217">
        <v>42597.43</v>
      </c>
      <c r="C217">
        <f>Table2[[#This Row],[Close]]-0.001*Table2[[#This Row],[Close]]</f>
        <v>42554.832569999999</v>
      </c>
      <c r="D217">
        <f>Table2[[#This Row],[Close]]+0.001*Table2[[#This Row],[Close]]</f>
        <v>42640.027430000002</v>
      </c>
      <c r="E217" t="str">
        <f>IF(Table2[[#This Row],[Close]]&gt;D216,"up",IF(Table2[[#This Row],[Close]]&lt;C216,"down","constant"))</f>
        <v>up</v>
      </c>
      <c r="F217" s="3">
        <f>IF(Table2[[#This Row],[States]]="up",1,IF(Table2[[#This Row],[States]]="down",-1,0))</f>
        <v>1</v>
      </c>
      <c r="G217">
        <f>IF(AND(Table2[[#This Row],[STATES in numeric format]]=-1,F216=1,F215=1),1,0)</f>
        <v>0</v>
      </c>
      <c r="H217">
        <f>IF(AND(Table2[[#This Row],[STATES in numeric format]]=-1,F216=-1,F215=-1),1,0)</f>
        <v>0</v>
      </c>
      <c r="I217">
        <f>IF(AND(Table2[[#This Row],[STATES in numeric format]]=-1,F216=-1,F215=1),1,0)</f>
        <v>0</v>
      </c>
      <c r="J217">
        <f>IF(AND(Table2[[#This Row],[STATES in numeric format]]=-1,F216=1,F215=-1),1,0)</f>
        <v>0</v>
      </c>
      <c r="K217">
        <f>IF(AND(Table2[[#This Row],[STATES in numeric format]]=-1,F216=0,F215=0),1,0)</f>
        <v>0</v>
      </c>
      <c r="L217">
        <f>IF(AND(Table2[[#This Row],[STATES in numeric format]]=-1,F216=1,F215=0),1,0)</f>
        <v>0</v>
      </c>
      <c r="M217">
        <f>IF(AND(Table2[[#This Row],[STATES in numeric format]]=-1,F216=-1,F215=0),1,0)</f>
        <v>0</v>
      </c>
      <c r="N217">
        <f>IF(AND(Table2[[#This Row],[STATES in numeric format]]=-1,F216=0,F215=1),1,0)</f>
        <v>0</v>
      </c>
      <c r="O217">
        <f>IF(AND(Table2[[#This Row],[STATES in numeric format]]=-1,F216=0,F215=-1),1,0)</f>
        <v>0</v>
      </c>
      <c r="P217">
        <f>IF(AND(Table2[[#This Row],[STATES in numeric format]]=1,F216=1,F215=1),1,0)</f>
        <v>1</v>
      </c>
      <c r="Q217">
        <f>IF(AND(Table2[[#This Row],[STATES in numeric format]]=1,F216=-1,F215=-1),1,0)</f>
        <v>0</v>
      </c>
      <c r="R217">
        <f>IF(AND(Table2[[#This Row],[STATES in numeric format]]=1,F216=-1,F215=1),1,0)</f>
        <v>0</v>
      </c>
      <c r="S217">
        <f>IF(AND(Table2[[#This Row],[STATES in numeric format]]=1,F216=1,F215=-1),1,0)</f>
        <v>0</v>
      </c>
      <c r="T217">
        <f>IF(AND(Table2[[#This Row],[STATES in numeric format]]=1,F216=0,F215=0),1,0)</f>
        <v>0</v>
      </c>
      <c r="U217">
        <f>IF(AND(Table2[[#This Row],[STATES in numeric format]]=1,F216=1,F215=0),1,0)</f>
        <v>0</v>
      </c>
      <c r="V217">
        <f>IF(AND(Table2[[#This Row],[STATES in numeric format]]=1,F216=-1,F215=0),1,0)</f>
        <v>0</v>
      </c>
      <c r="W217">
        <f>IF(AND(Table2[[#This Row],[STATES in numeric format]]=1,F216=0,F215=1),1,0)</f>
        <v>0</v>
      </c>
      <c r="X217">
        <f>IF(AND(Table2[[#This Row],[STATES in numeric format]]=1,F216=0,F215=-1),1,0)</f>
        <v>0</v>
      </c>
      <c r="Y217">
        <f>IF(AND(Table2[[#This Row],[STATES in numeric format]]=0,F216=1,F215=1),1,0)</f>
        <v>0</v>
      </c>
      <c r="Z217">
        <f>IF(AND(Table2[[#This Row],[STATES in numeric format]]=0,F216=-1,F215=-1),1,0)</f>
        <v>0</v>
      </c>
      <c r="AA217">
        <f>IF(AND(Table2[[#This Row],[STATES in numeric format]]=0,F216=-1,F215=1),1,0)</f>
        <v>0</v>
      </c>
      <c r="AB217">
        <f>IF(AND(Table2[[#This Row],[STATES in numeric format]]=0,F216=1,F215=-1),1,0)</f>
        <v>0</v>
      </c>
      <c r="AC217">
        <f>IF(AND(Table2[[#This Row],[STATES in numeric format]]=0,F216=0,F215=0),1,0)</f>
        <v>0</v>
      </c>
      <c r="AD217">
        <f>IF(AND(Table2[[#This Row],[STATES in numeric format]]=0,F216=1,F215=0),1,0)</f>
        <v>0</v>
      </c>
      <c r="AE217">
        <f>IF(AND(Table2[[#This Row],[STATES in numeric format]]=0,F216=-1,F215=0),1,0)</f>
        <v>0</v>
      </c>
      <c r="AF217">
        <f>IF(AND(Table2[[#This Row],[STATES in numeric format]]=0,F216=0,F215=1),1,0)</f>
        <v>0</v>
      </c>
      <c r="AG217">
        <f>IF(AND(Table2[[#This Row],[STATES in numeric format]]=0,F216=0,F215=-1),1,0)</f>
        <v>0</v>
      </c>
    </row>
    <row r="218" spans="1:33" x14ac:dyDescent="0.3">
      <c r="A218" s="1">
        <v>44145</v>
      </c>
      <c r="B218">
        <v>43277.65</v>
      </c>
      <c r="C218">
        <f>Table2[[#This Row],[Close]]-0.001*Table2[[#This Row],[Close]]</f>
        <v>43234.372349999998</v>
      </c>
      <c r="D218">
        <f>Table2[[#This Row],[Close]]+0.001*Table2[[#This Row],[Close]]</f>
        <v>43320.927650000005</v>
      </c>
      <c r="E218" t="str">
        <f>IF(Table2[[#This Row],[Close]]&gt;D217,"up",IF(Table2[[#This Row],[Close]]&lt;C217,"down","constant"))</f>
        <v>up</v>
      </c>
      <c r="F218" s="3">
        <f>IF(Table2[[#This Row],[States]]="up",1,IF(Table2[[#This Row],[States]]="down",-1,0))</f>
        <v>1</v>
      </c>
      <c r="G218">
        <f>IF(AND(Table2[[#This Row],[STATES in numeric format]]=-1,F217=1,F216=1),1,0)</f>
        <v>0</v>
      </c>
      <c r="H218">
        <f>IF(AND(Table2[[#This Row],[STATES in numeric format]]=-1,F217=-1,F216=-1),1,0)</f>
        <v>0</v>
      </c>
      <c r="I218">
        <f>IF(AND(Table2[[#This Row],[STATES in numeric format]]=-1,F217=-1,F216=1),1,0)</f>
        <v>0</v>
      </c>
      <c r="J218">
        <f>IF(AND(Table2[[#This Row],[STATES in numeric format]]=-1,F217=1,F216=-1),1,0)</f>
        <v>0</v>
      </c>
      <c r="K218">
        <f>IF(AND(Table2[[#This Row],[STATES in numeric format]]=-1,F217=0,F216=0),1,0)</f>
        <v>0</v>
      </c>
      <c r="L218">
        <f>IF(AND(Table2[[#This Row],[STATES in numeric format]]=-1,F217=1,F216=0),1,0)</f>
        <v>0</v>
      </c>
      <c r="M218">
        <f>IF(AND(Table2[[#This Row],[STATES in numeric format]]=-1,F217=-1,F216=0),1,0)</f>
        <v>0</v>
      </c>
      <c r="N218">
        <f>IF(AND(Table2[[#This Row],[STATES in numeric format]]=-1,F217=0,F216=1),1,0)</f>
        <v>0</v>
      </c>
      <c r="O218">
        <f>IF(AND(Table2[[#This Row],[STATES in numeric format]]=-1,F217=0,F216=-1),1,0)</f>
        <v>0</v>
      </c>
      <c r="P218">
        <f>IF(AND(Table2[[#This Row],[STATES in numeric format]]=1,F217=1,F216=1),1,0)</f>
        <v>1</v>
      </c>
      <c r="Q218">
        <f>IF(AND(Table2[[#This Row],[STATES in numeric format]]=1,F217=-1,F216=-1),1,0)</f>
        <v>0</v>
      </c>
      <c r="R218">
        <f>IF(AND(Table2[[#This Row],[STATES in numeric format]]=1,F217=-1,F216=1),1,0)</f>
        <v>0</v>
      </c>
      <c r="S218">
        <f>IF(AND(Table2[[#This Row],[STATES in numeric format]]=1,F217=1,F216=-1),1,0)</f>
        <v>0</v>
      </c>
      <c r="T218">
        <f>IF(AND(Table2[[#This Row],[STATES in numeric format]]=1,F217=0,F216=0),1,0)</f>
        <v>0</v>
      </c>
      <c r="U218">
        <f>IF(AND(Table2[[#This Row],[STATES in numeric format]]=1,F217=1,F216=0),1,0)</f>
        <v>0</v>
      </c>
      <c r="V218">
        <f>IF(AND(Table2[[#This Row],[STATES in numeric format]]=1,F217=-1,F216=0),1,0)</f>
        <v>0</v>
      </c>
      <c r="W218">
        <f>IF(AND(Table2[[#This Row],[STATES in numeric format]]=1,F217=0,F216=1),1,0)</f>
        <v>0</v>
      </c>
      <c r="X218">
        <f>IF(AND(Table2[[#This Row],[STATES in numeric format]]=1,F217=0,F216=-1),1,0)</f>
        <v>0</v>
      </c>
      <c r="Y218">
        <f>IF(AND(Table2[[#This Row],[STATES in numeric format]]=0,F217=1,F216=1),1,0)</f>
        <v>0</v>
      </c>
      <c r="Z218">
        <f>IF(AND(Table2[[#This Row],[STATES in numeric format]]=0,F217=-1,F216=-1),1,0)</f>
        <v>0</v>
      </c>
      <c r="AA218">
        <f>IF(AND(Table2[[#This Row],[STATES in numeric format]]=0,F217=-1,F216=1),1,0)</f>
        <v>0</v>
      </c>
      <c r="AB218">
        <f>IF(AND(Table2[[#This Row],[STATES in numeric format]]=0,F217=1,F216=-1),1,0)</f>
        <v>0</v>
      </c>
      <c r="AC218">
        <f>IF(AND(Table2[[#This Row],[STATES in numeric format]]=0,F217=0,F216=0),1,0)</f>
        <v>0</v>
      </c>
      <c r="AD218">
        <f>IF(AND(Table2[[#This Row],[STATES in numeric format]]=0,F217=1,F216=0),1,0)</f>
        <v>0</v>
      </c>
      <c r="AE218">
        <f>IF(AND(Table2[[#This Row],[STATES in numeric format]]=0,F217=-1,F216=0),1,0)</f>
        <v>0</v>
      </c>
      <c r="AF218">
        <f>IF(AND(Table2[[#This Row],[STATES in numeric format]]=0,F217=0,F216=1),1,0)</f>
        <v>0</v>
      </c>
      <c r="AG218">
        <f>IF(AND(Table2[[#This Row],[STATES in numeric format]]=0,F217=0,F216=-1),1,0)</f>
        <v>0</v>
      </c>
    </row>
    <row r="219" spans="1:33" x14ac:dyDescent="0.3">
      <c r="A219" s="1">
        <v>44146</v>
      </c>
      <c r="B219">
        <v>43593.67</v>
      </c>
      <c r="C219">
        <f>Table2[[#This Row],[Close]]-0.001*Table2[[#This Row],[Close]]</f>
        <v>43550.076329999996</v>
      </c>
      <c r="D219">
        <f>Table2[[#This Row],[Close]]+0.001*Table2[[#This Row],[Close]]</f>
        <v>43637.26367</v>
      </c>
      <c r="E219" t="str">
        <f>IF(Table2[[#This Row],[Close]]&gt;D218,"up",IF(Table2[[#This Row],[Close]]&lt;C218,"down","constant"))</f>
        <v>up</v>
      </c>
      <c r="F219" s="3">
        <f>IF(Table2[[#This Row],[States]]="up",1,IF(Table2[[#This Row],[States]]="down",-1,0))</f>
        <v>1</v>
      </c>
      <c r="G219">
        <f>IF(AND(Table2[[#This Row],[STATES in numeric format]]=-1,F218=1,F217=1),1,0)</f>
        <v>0</v>
      </c>
      <c r="H219">
        <f>IF(AND(Table2[[#This Row],[STATES in numeric format]]=-1,F218=-1,F217=-1),1,0)</f>
        <v>0</v>
      </c>
      <c r="I219">
        <f>IF(AND(Table2[[#This Row],[STATES in numeric format]]=-1,F218=-1,F217=1),1,0)</f>
        <v>0</v>
      </c>
      <c r="J219">
        <f>IF(AND(Table2[[#This Row],[STATES in numeric format]]=-1,F218=1,F217=-1),1,0)</f>
        <v>0</v>
      </c>
      <c r="K219">
        <f>IF(AND(Table2[[#This Row],[STATES in numeric format]]=-1,F218=0,F217=0),1,0)</f>
        <v>0</v>
      </c>
      <c r="L219">
        <f>IF(AND(Table2[[#This Row],[STATES in numeric format]]=-1,F218=1,F217=0),1,0)</f>
        <v>0</v>
      </c>
      <c r="M219">
        <f>IF(AND(Table2[[#This Row],[STATES in numeric format]]=-1,F218=-1,F217=0),1,0)</f>
        <v>0</v>
      </c>
      <c r="N219">
        <f>IF(AND(Table2[[#This Row],[STATES in numeric format]]=-1,F218=0,F217=1),1,0)</f>
        <v>0</v>
      </c>
      <c r="O219">
        <f>IF(AND(Table2[[#This Row],[STATES in numeric format]]=-1,F218=0,F217=-1),1,0)</f>
        <v>0</v>
      </c>
      <c r="P219">
        <f>IF(AND(Table2[[#This Row],[STATES in numeric format]]=1,F218=1,F217=1),1,0)</f>
        <v>1</v>
      </c>
      <c r="Q219">
        <f>IF(AND(Table2[[#This Row],[STATES in numeric format]]=1,F218=-1,F217=-1),1,0)</f>
        <v>0</v>
      </c>
      <c r="R219">
        <f>IF(AND(Table2[[#This Row],[STATES in numeric format]]=1,F218=-1,F217=1),1,0)</f>
        <v>0</v>
      </c>
      <c r="S219">
        <f>IF(AND(Table2[[#This Row],[STATES in numeric format]]=1,F218=1,F217=-1),1,0)</f>
        <v>0</v>
      </c>
      <c r="T219">
        <f>IF(AND(Table2[[#This Row],[STATES in numeric format]]=1,F218=0,F217=0),1,0)</f>
        <v>0</v>
      </c>
      <c r="U219">
        <f>IF(AND(Table2[[#This Row],[STATES in numeric format]]=1,F218=1,F217=0),1,0)</f>
        <v>0</v>
      </c>
      <c r="V219">
        <f>IF(AND(Table2[[#This Row],[STATES in numeric format]]=1,F218=-1,F217=0),1,0)</f>
        <v>0</v>
      </c>
      <c r="W219">
        <f>IF(AND(Table2[[#This Row],[STATES in numeric format]]=1,F218=0,F217=1),1,0)</f>
        <v>0</v>
      </c>
      <c r="X219">
        <f>IF(AND(Table2[[#This Row],[STATES in numeric format]]=1,F218=0,F217=-1),1,0)</f>
        <v>0</v>
      </c>
      <c r="Y219">
        <f>IF(AND(Table2[[#This Row],[STATES in numeric format]]=0,F218=1,F217=1),1,0)</f>
        <v>0</v>
      </c>
      <c r="Z219">
        <f>IF(AND(Table2[[#This Row],[STATES in numeric format]]=0,F218=-1,F217=-1),1,0)</f>
        <v>0</v>
      </c>
      <c r="AA219">
        <f>IF(AND(Table2[[#This Row],[STATES in numeric format]]=0,F218=-1,F217=1),1,0)</f>
        <v>0</v>
      </c>
      <c r="AB219">
        <f>IF(AND(Table2[[#This Row],[STATES in numeric format]]=0,F218=1,F217=-1),1,0)</f>
        <v>0</v>
      </c>
      <c r="AC219">
        <f>IF(AND(Table2[[#This Row],[STATES in numeric format]]=0,F218=0,F217=0),1,0)</f>
        <v>0</v>
      </c>
      <c r="AD219">
        <f>IF(AND(Table2[[#This Row],[STATES in numeric format]]=0,F218=1,F217=0),1,0)</f>
        <v>0</v>
      </c>
      <c r="AE219">
        <f>IF(AND(Table2[[#This Row],[STATES in numeric format]]=0,F218=-1,F217=0),1,0)</f>
        <v>0</v>
      </c>
      <c r="AF219">
        <f>IF(AND(Table2[[#This Row],[STATES in numeric format]]=0,F218=0,F217=1),1,0)</f>
        <v>0</v>
      </c>
      <c r="AG219">
        <f>IF(AND(Table2[[#This Row],[STATES in numeric format]]=0,F218=0,F217=-1),1,0)</f>
        <v>0</v>
      </c>
    </row>
    <row r="220" spans="1:33" x14ac:dyDescent="0.3">
      <c r="A220" s="1">
        <v>44147</v>
      </c>
      <c r="B220">
        <v>43357.19</v>
      </c>
      <c r="C220">
        <f>Table2[[#This Row],[Close]]-0.001*Table2[[#This Row],[Close]]</f>
        <v>43313.83281</v>
      </c>
      <c r="D220">
        <f>Table2[[#This Row],[Close]]+0.001*Table2[[#This Row],[Close]]</f>
        <v>43400.547190000005</v>
      </c>
      <c r="E220" t="str">
        <f>IF(Table2[[#This Row],[Close]]&gt;D219,"up",IF(Table2[[#This Row],[Close]]&lt;C219,"down","constant"))</f>
        <v>down</v>
      </c>
      <c r="F220" s="3">
        <f>IF(Table2[[#This Row],[States]]="up",1,IF(Table2[[#This Row],[States]]="down",-1,0))</f>
        <v>-1</v>
      </c>
      <c r="G220">
        <f>IF(AND(Table2[[#This Row],[STATES in numeric format]]=-1,F219=1,F218=1),1,0)</f>
        <v>1</v>
      </c>
      <c r="H220">
        <f>IF(AND(Table2[[#This Row],[STATES in numeric format]]=-1,F219=-1,F218=-1),1,0)</f>
        <v>0</v>
      </c>
      <c r="I220">
        <f>IF(AND(Table2[[#This Row],[STATES in numeric format]]=-1,F219=-1,F218=1),1,0)</f>
        <v>0</v>
      </c>
      <c r="J220">
        <f>IF(AND(Table2[[#This Row],[STATES in numeric format]]=-1,F219=1,F218=-1),1,0)</f>
        <v>0</v>
      </c>
      <c r="K220">
        <f>IF(AND(Table2[[#This Row],[STATES in numeric format]]=-1,F219=0,F218=0),1,0)</f>
        <v>0</v>
      </c>
      <c r="L220">
        <f>IF(AND(Table2[[#This Row],[STATES in numeric format]]=-1,F219=1,F218=0),1,0)</f>
        <v>0</v>
      </c>
      <c r="M220">
        <f>IF(AND(Table2[[#This Row],[STATES in numeric format]]=-1,F219=-1,F218=0),1,0)</f>
        <v>0</v>
      </c>
      <c r="N220">
        <f>IF(AND(Table2[[#This Row],[STATES in numeric format]]=-1,F219=0,F218=1),1,0)</f>
        <v>0</v>
      </c>
      <c r="O220">
        <f>IF(AND(Table2[[#This Row],[STATES in numeric format]]=-1,F219=0,F218=-1),1,0)</f>
        <v>0</v>
      </c>
      <c r="P220">
        <f>IF(AND(Table2[[#This Row],[STATES in numeric format]]=1,F219=1,F218=1),1,0)</f>
        <v>0</v>
      </c>
      <c r="Q220">
        <f>IF(AND(Table2[[#This Row],[STATES in numeric format]]=1,F219=-1,F218=-1),1,0)</f>
        <v>0</v>
      </c>
      <c r="R220">
        <f>IF(AND(Table2[[#This Row],[STATES in numeric format]]=1,F219=-1,F218=1),1,0)</f>
        <v>0</v>
      </c>
      <c r="S220">
        <f>IF(AND(Table2[[#This Row],[STATES in numeric format]]=1,F219=1,F218=-1),1,0)</f>
        <v>0</v>
      </c>
      <c r="T220">
        <f>IF(AND(Table2[[#This Row],[STATES in numeric format]]=1,F219=0,F218=0),1,0)</f>
        <v>0</v>
      </c>
      <c r="U220">
        <f>IF(AND(Table2[[#This Row],[STATES in numeric format]]=1,F219=1,F218=0),1,0)</f>
        <v>0</v>
      </c>
      <c r="V220">
        <f>IF(AND(Table2[[#This Row],[STATES in numeric format]]=1,F219=-1,F218=0),1,0)</f>
        <v>0</v>
      </c>
      <c r="W220">
        <f>IF(AND(Table2[[#This Row],[STATES in numeric format]]=1,F219=0,F218=1),1,0)</f>
        <v>0</v>
      </c>
      <c r="X220">
        <f>IF(AND(Table2[[#This Row],[STATES in numeric format]]=1,F219=0,F218=-1),1,0)</f>
        <v>0</v>
      </c>
      <c r="Y220">
        <f>IF(AND(Table2[[#This Row],[STATES in numeric format]]=0,F219=1,F218=1),1,0)</f>
        <v>0</v>
      </c>
      <c r="Z220">
        <f>IF(AND(Table2[[#This Row],[STATES in numeric format]]=0,F219=-1,F218=-1),1,0)</f>
        <v>0</v>
      </c>
      <c r="AA220">
        <f>IF(AND(Table2[[#This Row],[STATES in numeric format]]=0,F219=-1,F218=1),1,0)</f>
        <v>0</v>
      </c>
      <c r="AB220">
        <f>IF(AND(Table2[[#This Row],[STATES in numeric format]]=0,F219=1,F218=-1),1,0)</f>
        <v>0</v>
      </c>
      <c r="AC220">
        <f>IF(AND(Table2[[#This Row],[STATES in numeric format]]=0,F219=0,F218=0),1,0)</f>
        <v>0</v>
      </c>
      <c r="AD220">
        <f>IF(AND(Table2[[#This Row],[STATES in numeric format]]=0,F219=1,F218=0),1,0)</f>
        <v>0</v>
      </c>
      <c r="AE220">
        <f>IF(AND(Table2[[#This Row],[STATES in numeric format]]=0,F219=-1,F218=0),1,0)</f>
        <v>0</v>
      </c>
      <c r="AF220">
        <f>IF(AND(Table2[[#This Row],[STATES in numeric format]]=0,F219=0,F218=1),1,0)</f>
        <v>0</v>
      </c>
      <c r="AG220">
        <f>IF(AND(Table2[[#This Row],[STATES in numeric format]]=0,F219=0,F218=-1),1,0)</f>
        <v>0</v>
      </c>
    </row>
    <row r="221" spans="1:33" x14ac:dyDescent="0.3">
      <c r="A221" s="1">
        <v>44148</v>
      </c>
      <c r="B221">
        <v>43443</v>
      </c>
      <c r="C221">
        <f>Table2[[#This Row],[Close]]-0.001*Table2[[#This Row],[Close]]</f>
        <v>43399.557000000001</v>
      </c>
      <c r="D221">
        <f>Table2[[#This Row],[Close]]+0.001*Table2[[#This Row],[Close]]</f>
        <v>43486.442999999999</v>
      </c>
      <c r="E221" t="str">
        <f>IF(Table2[[#This Row],[Close]]&gt;D220,"up",IF(Table2[[#This Row],[Close]]&lt;C220,"down","constant"))</f>
        <v>up</v>
      </c>
      <c r="F221" s="3">
        <f>IF(Table2[[#This Row],[States]]="up",1,IF(Table2[[#This Row],[States]]="down",-1,0))</f>
        <v>1</v>
      </c>
      <c r="G221">
        <f>IF(AND(Table2[[#This Row],[STATES in numeric format]]=-1,F220=1,F219=1),1,0)</f>
        <v>0</v>
      </c>
      <c r="H221">
        <f>IF(AND(Table2[[#This Row],[STATES in numeric format]]=-1,F220=-1,F219=-1),1,0)</f>
        <v>0</v>
      </c>
      <c r="I221">
        <f>IF(AND(Table2[[#This Row],[STATES in numeric format]]=-1,F220=-1,F219=1),1,0)</f>
        <v>0</v>
      </c>
      <c r="J221">
        <f>IF(AND(Table2[[#This Row],[STATES in numeric format]]=-1,F220=1,F219=-1),1,0)</f>
        <v>0</v>
      </c>
      <c r="K221">
        <f>IF(AND(Table2[[#This Row],[STATES in numeric format]]=-1,F220=0,F219=0),1,0)</f>
        <v>0</v>
      </c>
      <c r="L221">
        <f>IF(AND(Table2[[#This Row],[STATES in numeric format]]=-1,F220=1,F219=0),1,0)</f>
        <v>0</v>
      </c>
      <c r="M221">
        <f>IF(AND(Table2[[#This Row],[STATES in numeric format]]=-1,F220=-1,F219=0),1,0)</f>
        <v>0</v>
      </c>
      <c r="N221">
        <f>IF(AND(Table2[[#This Row],[STATES in numeric format]]=-1,F220=0,F219=1),1,0)</f>
        <v>0</v>
      </c>
      <c r="O221">
        <f>IF(AND(Table2[[#This Row],[STATES in numeric format]]=-1,F220=0,F219=-1),1,0)</f>
        <v>0</v>
      </c>
      <c r="P221">
        <f>IF(AND(Table2[[#This Row],[STATES in numeric format]]=1,F220=1,F219=1),1,0)</f>
        <v>0</v>
      </c>
      <c r="Q221">
        <f>IF(AND(Table2[[#This Row],[STATES in numeric format]]=1,F220=-1,F219=-1),1,0)</f>
        <v>0</v>
      </c>
      <c r="R221">
        <f>IF(AND(Table2[[#This Row],[STATES in numeric format]]=1,F220=-1,F219=1),1,0)</f>
        <v>1</v>
      </c>
      <c r="S221">
        <f>IF(AND(Table2[[#This Row],[STATES in numeric format]]=1,F220=1,F219=-1),1,0)</f>
        <v>0</v>
      </c>
      <c r="T221">
        <f>IF(AND(Table2[[#This Row],[STATES in numeric format]]=1,F220=0,F219=0),1,0)</f>
        <v>0</v>
      </c>
      <c r="U221">
        <f>IF(AND(Table2[[#This Row],[STATES in numeric format]]=1,F220=1,F219=0),1,0)</f>
        <v>0</v>
      </c>
      <c r="V221">
        <f>IF(AND(Table2[[#This Row],[STATES in numeric format]]=1,F220=-1,F219=0),1,0)</f>
        <v>0</v>
      </c>
      <c r="W221">
        <f>IF(AND(Table2[[#This Row],[STATES in numeric format]]=1,F220=0,F219=1),1,0)</f>
        <v>0</v>
      </c>
      <c r="X221">
        <f>IF(AND(Table2[[#This Row],[STATES in numeric format]]=1,F220=0,F219=-1),1,0)</f>
        <v>0</v>
      </c>
      <c r="Y221">
        <f>IF(AND(Table2[[#This Row],[STATES in numeric format]]=0,F220=1,F219=1),1,0)</f>
        <v>0</v>
      </c>
      <c r="Z221">
        <f>IF(AND(Table2[[#This Row],[STATES in numeric format]]=0,F220=-1,F219=-1),1,0)</f>
        <v>0</v>
      </c>
      <c r="AA221">
        <f>IF(AND(Table2[[#This Row],[STATES in numeric format]]=0,F220=-1,F219=1),1,0)</f>
        <v>0</v>
      </c>
      <c r="AB221">
        <f>IF(AND(Table2[[#This Row],[STATES in numeric format]]=0,F220=1,F219=-1),1,0)</f>
        <v>0</v>
      </c>
      <c r="AC221">
        <f>IF(AND(Table2[[#This Row],[STATES in numeric format]]=0,F220=0,F219=0),1,0)</f>
        <v>0</v>
      </c>
      <c r="AD221">
        <f>IF(AND(Table2[[#This Row],[STATES in numeric format]]=0,F220=1,F219=0),1,0)</f>
        <v>0</v>
      </c>
      <c r="AE221">
        <f>IF(AND(Table2[[#This Row],[STATES in numeric format]]=0,F220=-1,F219=0),1,0)</f>
        <v>0</v>
      </c>
      <c r="AF221">
        <f>IF(AND(Table2[[#This Row],[STATES in numeric format]]=0,F220=0,F219=1),1,0)</f>
        <v>0</v>
      </c>
      <c r="AG221">
        <f>IF(AND(Table2[[#This Row],[STATES in numeric format]]=0,F220=0,F219=-1),1,0)</f>
        <v>0</v>
      </c>
    </row>
    <row r="222" spans="1:33" x14ac:dyDescent="0.3">
      <c r="A222" s="1">
        <v>44149</v>
      </c>
      <c r="B222">
        <v>43637.98</v>
      </c>
      <c r="C222">
        <f>Table2[[#This Row],[Close]]-0.001*Table2[[#This Row],[Close]]</f>
        <v>43594.342020000004</v>
      </c>
      <c r="D222">
        <f>Table2[[#This Row],[Close]]+0.001*Table2[[#This Row],[Close]]</f>
        <v>43681.617980000003</v>
      </c>
      <c r="E222" t="str">
        <f>IF(Table2[[#This Row],[Close]]&gt;D221,"up",IF(Table2[[#This Row],[Close]]&lt;C221,"down","constant"))</f>
        <v>up</v>
      </c>
      <c r="F222" s="3">
        <f>IF(Table2[[#This Row],[States]]="up",1,IF(Table2[[#This Row],[States]]="down",-1,0))</f>
        <v>1</v>
      </c>
      <c r="G222">
        <f>IF(AND(Table2[[#This Row],[STATES in numeric format]]=-1,F221=1,F220=1),1,0)</f>
        <v>0</v>
      </c>
      <c r="H222">
        <f>IF(AND(Table2[[#This Row],[STATES in numeric format]]=-1,F221=-1,F220=-1),1,0)</f>
        <v>0</v>
      </c>
      <c r="I222">
        <f>IF(AND(Table2[[#This Row],[STATES in numeric format]]=-1,F221=-1,F220=1),1,0)</f>
        <v>0</v>
      </c>
      <c r="J222">
        <f>IF(AND(Table2[[#This Row],[STATES in numeric format]]=-1,F221=1,F220=-1),1,0)</f>
        <v>0</v>
      </c>
      <c r="K222">
        <f>IF(AND(Table2[[#This Row],[STATES in numeric format]]=-1,F221=0,F220=0),1,0)</f>
        <v>0</v>
      </c>
      <c r="L222">
        <f>IF(AND(Table2[[#This Row],[STATES in numeric format]]=-1,F221=1,F220=0),1,0)</f>
        <v>0</v>
      </c>
      <c r="M222">
        <f>IF(AND(Table2[[#This Row],[STATES in numeric format]]=-1,F221=-1,F220=0),1,0)</f>
        <v>0</v>
      </c>
      <c r="N222">
        <f>IF(AND(Table2[[#This Row],[STATES in numeric format]]=-1,F221=0,F220=1),1,0)</f>
        <v>0</v>
      </c>
      <c r="O222">
        <f>IF(AND(Table2[[#This Row],[STATES in numeric format]]=-1,F221=0,F220=-1),1,0)</f>
        <v>0</v>
      </c>
      <c r="P222">
        <f>IF(AND(Table2[[#This Row],[STATES in numeric format]]=1,F221=1,F220=1),1,0)</f>
        <v>0</v>
      </c>
      <c r="Q222">
        <f>IF(AND(Table2[[#This Row],[STATES in numeric format]]=1,F221=-1,F220=-1),1,0)</f>
        <v>0</v>
      </c>
      <c r="R222">
        <f>IF(AND(Table2[[#This Row],[STATES in numeric format]]=1,F221=-1,F220=1),1,0)</f>
        <v>0</v>
      </c>
      <c r="S222">
        <f>IF(AND(Table2[[#This Row],[STATES in numeric format]]=1,F221=1,F220=-1),1,0)</f>
        <v>1</v>
      </c>
      <c r="T222">
        <f>IF(AND(Table2[[#This Row],[STATES in numeric format]]=1,F221=0,F220=0),1,0)</f>
        <v>0</v>
      </c>
      <c r="U222">
        <f>IF(AND(Table2[[#This Row],[STATES in numeric format]]=1,F221=1,F220=0),1,0)</f>
        <v>0</v>
      </c>
      <c r="V222">
        <f>IF(AND(Table2[[#This Row],[STATES in numeric format]]=1,F221=-1,F220=0),1,0)</f>
        <v>0</v>
      </c>
      <c r="W222">
        <f>IF(AND(Table2[[#This Row],[STATES in numeric format]]=1,F221=0,F220=1),1,0)</f>
        <v>0</v>
      </c>
      <c r="X222">
        <f>IF(AND(Table2[[#This Row],[STATES in numeric format]]=1,F221=0,F220=-1),1,0)</f>
        <v>0</v>
      </c>
      <c r="Y222">
        <f>IF(AND(Table2[[#This Row],[STATES in numeric format]]=0,F221=1,F220=1),1,0)</f>
        <v>0</v>
      </c>
      <c r="Z222">
        <f>IF(AND(Table2[[#This Row],[STATES in numeric format]]=0,F221=-1,F220=-1),1,0)</f>
        <v>0</v>
      </c>
      <c r="AA222">
        <f>IF(AND(Table2[[#This Row],[STATES in numeric format]]=0,F221=-1,F220=1),1,0)</f>
        <v>0</v>
      </c>
      <c r="AB222">
        <f>IF(AND(Table2[[#This Row],[STATES in numeric format]]=0,F221=1,F220=-1),1,0)</f>
        <v>0</v>
      </c>
      <c r="AC222">
        <f>IF(AND(Table2[[#This Row],[STATES in numeric format]]=0,F221=0,F220=0),1,0)</f>
        <v>0</v>
      </c>
      <c r="AD222">
        <f>IF(AND(Table2[[#This Row],[STATES in numeric format]]=0,F221=1,F220=0),1,0)</f>
        <v>0</v>
      </c>
      <c r="AE222">
        <f>IF(AND(Table2[[#This Row],[STATES in numeric format]]=0,F221=-1,F220=0),1,0)</f>
        <v>0</v>
      </c>
      <c r="AF222">
        <f>IF(AND(Table2[[#This Row],[STATES in numeric format]]=0,F221=0,F220=1),1,0)</f>
        <v>0</v>
      </c>
      <c r="AG222">
        <f>IF(AND(Table2[[#This Row],[STATES in numeric format]]=0,F221=0,F220=-1),1,0)</f>
        <v>0</v>
      </c>
    </row>
    <row r="223" spans="1:33" x14ac:dyDescent="0.3">
      <c r="A223" s="1">
        <v>44152</v>
      </c>
      <c r="B223">
        <v>43952.71</v>
      </c>
      <c r="C223">
        <f>Table2[[#This Row],[Close]]-0.001*Table2[[#This Row],[Close]]</f>
        <v>43908.757290000001</v>
      </c>
      <c r="D223">
        <f>Table2[[#This Row],[Close]]+0.001*Table2[[#This Row],[Close]]</f>
        <v>43996.662709999997</v>
      </c>
      <c r="E223" t="str">
        <f>IF(Table2[[#This Row],[Close]]&gt;D222,"up",IF(Table2[[#This Row],[Close]]&lt;C222,"down","constant"))</f>
        <v>up</v>
      </c>
      <c r="F223" s="3">
        <f>IF(Table2[[#This Row],[States]]="up",1,IF(Table2[[#This Row],[States]]="down",-1,0))</f>
        <v>1</v>
      </c>
      <c r="G223">
        <f>IF(AND(Table2[[#This Row],[STATES in numeric format]]=-1,F222=1,F221=1),1,0)</f>
        <v>0</v>
      </c>
      <c r="H223">
        <f>IF(AND(Table2[[#This Row],[STATES in numeric format]]=-1,F222=-1,F221=-1),1,0)</f>
        <v>0</v>
      </c>
      <c r="I223">
        <f>IF(AND(Table2[[#This Row],[STATES in numeric format]]=-1,F222=-1,F221=1),1,0)</f>
        <v>0</v>
      </c>
      <c r="J223">
        <f>IF(AND(Table2[[#This Row],[STATES in numeric format]]=-1,F222=1,F221=-1),1,0)</f>
        <v>0</v>
      </c>
      <c r="K223">
        <f>IF(AND(Table2[[#This Row],[STATES in numeric format]]=-1,F222=0,F221=0),1,0)</f>
        <v>0</v>
      </c>
      <c r="L223">
        <f>IF(AND(Table2[[#This Row],[STATES in numeric format]]=-1,F222=1,F221=0),1,0)</f>
        <v>0</v>
      </c>
      <c r="M223">
        <f>IF(AND(Table2[[#This Row],[STATES in numeric format]]=-1,F222=-1,F221=0),1,0)</f>
        <v>0</v>
      </c>
      <c r="N223">
        <f>IF(AND(Table2[[#This Row],[STATES in numeric format]]=-1,F222=0,F221=1),1,0)</f>
        <v>0</v>
      </c>
      <c r="O223">
        <f>IF(AND(Table2[[#This Row],[STATES in numeric format]]=-1,F222=0,F221=-1),1,0)</f>
        <v>0</v>
      </c>
      <c r="P223">
        <f>IF(AND(Table2[[#This Row],[STATES in numeric format]]=1,F222=1,F221=1),1,0)</f>
        <v>1</v>
      </c>
      <c r="Q223">
        <f>IF(AND(Table2[[#This Row],[STATES in numeric format]]=1,F222=-1,F221=-1),1,0)</f>
        <v>0</v>
      </c>
      <c r="R223">
        <f>IF(AND(Table2[[#This Row],[STATES in numeric format]]=1,F222=-1,F221=1),1,0)</f>
        <v>0</v>
      </c>
      <c r="S223">
        <f>IF(AND(Table2[[#This Row],[STATES in numeric format]]=1,F222=1,F221=-1),1,0)</f>
        <v>0</v>
      </c>
      <c r="T223">
        <f>IF(AND(Table2[[#This Row],[STATES in numeric format]]=1,F222=0,F221=0),1,0)</f>
        <v>0</v>
      </c>
      <c r="U223">
        <f>IF(AND(Table2[[#This Row],[STATES in numeric format]]=1,F222=1,F221=0),1,0)</f>
        <v>0</v>
      </c>
      <c r="V223">
        <f>IF(AND(Table2[[#This Row],[STATES in numeric format]]=1,F222=-1,F221=0),1,0)</f>
        <v>0</v>
      </c>
      <c r="W223">
        <f>IF(AND(Table2[[#This Row],[STATES in numeric format]]=1,F222=0,F221=1),1,0)</f>
        <v>0</v>
      </c>
      <c r="X223">
        <f>IF(AND(Table2[[#This Row],[STATES in numeric format]]=1,F222=0,F221=-1),1,0)</f>
        <v>0</v>
      </c>
      <c r="Y223">
        <f>IF(AND(Table2[[#This Row],[STATES in numeric format]]=0,F222=1,F221=1),1,0)</f>
        <v>0</v>
      </c>
      <c r="Z223">
        <f>IF(AND(Table2[[#This Row],[STATES in numeric format]]=0,F222=-1,F221=-1),1,0)</f>
        <v>0</v>
      </c>
      <c r="AA223">
        <f>IF(AND(Table2[[#This Row],[STATES in numeric format]]=0,F222=-1,F221=1),1,0)</f>
        <v>0</v>
      </c>
      <c r="AB223">
        <f>IF(AND(Table2[[#This Row],[STATES in numeric format]]=0,F222=1,F221=-1),1,0)</f>
        <v>0</v>
      </c>
      <c r="AC223">
        <f>IF(AND(Table2[[#This Row],[STATES in numeric format]]=0,F222=0,F221=0),1,0)</f>
        <v>0</v>
      </c>
      <c r="AD223">
        <f>IF(AND(Table2[[#This Row],[STATES in numeric format]]=0,F222=1,F221=0),1,0)</f>
        <v>0</v>
      </c>
      <c r="AE223">
        <f>IF(AND(Table2[[#This Row],[STATES in numeric format]]=0,F222=-1,F221=0),1,0)</f>
        <v>0</v>
      </c>
      <c r="AF223">
        <f>IF(AND(Table2[[#This Row],[STATES in numeric format]]=0,F222=0,F221=1),1,0)</f>
        <v>0</v>
      </c>
      <c r="AG223">
        <f>IF(AND(Table2[[#This Row],[STATES in numeric format]]=0,F222=0,F221=-1),1,0)</f>
        <v>0</v>
      </c>
    </row>
    <row r="224" spans="1:33" x14ac:dyDescent="0.3">
      <c r="A224" s="1">
        <v>44153</v>
      </c>
      <c r="B224">
        <v>44180.05</v>
      </c>
      <c r="C224">
        <f>Table2[[#This Row],[Close]]-0.001*Table2[[#This Row],[Close]]</f>
        <v>44135.86995</v>
      </c>
      <c r="D224">
        <f>Table2[[#This Row],[Close]]+0.001*Table2[[#This Row],[Close]]</f>
        <v>44224.230050000006</v>
      </c>
      <c r="E224" t="str">
        <f>IF(Table2[[#This Row],[Close]]&gt;D223,"up",IF(Table2[[#This Row],[Close]]&lt;C223,"down","constant"))</f>
        <v>up</v>
      </c>
      <c r="F224" s="3">
        <f>IF(Table2[[#This Row],[States]]="up",1,IF(Table2[[#This Row],[States]]="down",-1,0))</f>
        <v>1</v>
      </c>
      <c r="G224">
        <f>IF(AND(Table2[[#This Row],[STATES in numeric format]]=-1,F223=1,F222=1),1,0)</f>
        <v>0</v>
      </c>
      <c r="H224">
        <f>IF(AND(Table2[[#This Row],[STATES in numeric format]]=-1,F223=-1,F222=-1),1,0)</f>
        <v>0</v>
      </c>
      <c r="I224">
        <f>IF(AND(Table2[[#This Row],[STATES in numeric format]]=-1,F223=-1,F222=1),1,0)</f>
        <v>0</v>
      </c>
      <c r="J224">
        <f>IF(AND(Table2[[#This Row],[STATES in numeric format]]=-1,F223=1,F222=-1),1,0)</f>
        <v>0</v>
      </c>
      <c r="K224">
        <f>IF(AND(Table2[[#This Row],[STATES in numeric format]]=-1,F223=0,F222=0),1,0)</f>
        <v>0</v>
      </c>
      <c r="L224">
        <f>IF(AND(Table2[[#This Row],[STATES in numeric format]]=-1,F223=1,F222=0),1,0)</f>
        <v>0</v>
      </c>
      <c r="M224">
        <f>IF(AND(Table2[[#This Row],[STATES in numeric format]]=-1,F223=-1,F222=0),1,0)</f>
        <v>0</v>
      </c>
      <c r="N224">
        <f>IF(AND(Table2[[#This Row],[STATES in numeric format]]=-1,F223=0,F222=1),1,0)</f>
        <v>0</v>
      </c>
      <c r="O224">
        <f>IF(AND(Table2[[#This Row],[STATES in numeric format]]=-1,F223=0,F222=-1),1,0)</f>
        <v>0</v>
      </c>
      <c r="P224">
        <f>IF(AND(Table2[[#This Row],[STATES in numeric format]]=1,F223=1,F222=1),1,0)</f>
        <v>1</v>
      </c>
      <c r="Q224">
        <f>IF(AND(Table2[[#This Row],[STATES in numeric format]]=1,F223=-1,F222=-1),1,0)</f>
        <v>0</v>
      </c>
      <c r="R224">
        <f>IF(AND(Table2[[#This Row],[STATES in numeric format]]=1,F223=-1,F222=1),1,0)</f>
        <v>0</v>
      </c>
      <c r="S224">
        <f>IF(AND(Table2[[#This Row],[STATES in numeric format]]=1,F223=1,F222=-1),1,0)</f>
        <v>0</v>
      </c>
      <c r="T224">
        <f>IF(AND(Table2[[#This Row],[STATES in numeric format]]=1,F223=0,F222=0),1,0)</f>
        <v>0</v>
      </c>
      <c r="U224">
        <f>IF(AND(Table2[[#This Row],[STATES in numeric format]]=1,F223=1,F222=0),1,0)</f>
        <v>0</v>
      </c>
      <c r="V224">
        <f>IF(AND(Table2[[#This Row],[STATES in numeric format]]=1,F223=-1,F222=0),1,0)</f>
        <v>0</v>
      </c>
      <c r="W224">
        <f>IF(AND(Table2[[#This Row],[STATES in numeric format]]=1,F223=0,F222=1),1,0)</f>
        <v>0</v>
      </c>
      <c r="X224">
        <f>IF(AND(Table2[[#This Row],[STATES in numeric format]]=1,F223=0,F222=-1),1,0)</f>
        <v>0</v>
      </c>
      <c r="Y224">
        <f>IF(AND(Table2[[#This Row],[STATES in numeric format]]=0,F223=1,F222=1),1,0)</f>
        <v>0</v>
      </c>
      <c r="Z224">
        <f>IF(AND(Table2[[#This Row],[STATES in numeric format]]=0,F223=-1,F222=-1),1,0)</f>
        <v>0</v>
      </c>
      <c r="AA224">
        <f>IF(AND(Table2[[#This Row],[STATES in numeric format]]=0,F223=-1,F222=1),1,0)</f>
        <v>0</v>
      </c>
      <c r="AB224">
        <f>IF(AND(Table2[[#This Row],[STATES in numeric format]]=0,F223=1,F222=-1),1,0)</f>
        <v>0</v>
      </c>
      <c r="AC224">
        <f>IF(AND(Table2[[#This Row],[STATES in numeric format]]=0,F223=0,F222=0),1,0)</f>
        <v>0</v>
      </c>
      <c r="AD224">
        <f>IF(AND(Table2[[#This Row],[STATES in numeric format]]=0,F223=1,F222=0),1,0)</f>
        <v>0</v>
      </c>
      <c r="AE224">
        <f>IF(AND(Table2[[#This Row],[STATES in numeric format]]=0,F223=-1,F222=0),1,0)</f>
        <v>0</v>
      </c>
      <c r="AF224">
        <f>IF(AND(Table2[[#This Row],[STATES in numeric format]]=0,F223=0,F222=1),1,0)</f>
        <v>0</v>
      </c>
      <c r="AG224">
        <f>IF(AND(Table2[[#This Row],[STATES in numeric format]]=0,F223=0,F222=-1),1,0)</f>
        <v>0</v>
      </c>
    </row>
    <row r="225" spans="1:33" x14ac:dyDescent="0.3">
      <c r="A225" s="1">
        <v>44154</v>
      </c>
      <c r="B225">
        <v>43599.96</v>
      </c>
      <c r="C225">
        <f>Table2[[#This Row],[Close]]-0.001*Table2[[#This Row],[Close]]</f>
        <v>43556.36004</v>
      </c>
      <c r="D225">
        <f>Table2[[#This Row],[Close]]+0.001*Table2[[#This Row],[Close]]</f>
        <v>43643.559959999999</v>
      </c>
      <c r="E225" t="str">
        <f>IF(Table2[[#This Row],[Close]]&gt;D224,"up",IF(Table2[[#This Row],[Close]]&lt;C224,"down","constant"))</f>
        <v>down</v>
      </c>
      <c r="F225" s="3">
        <f>IF(Table2[[#This Row],[States]]="up",1,IF(Table2[[#This Row],[States]]="down",-1,0))</f>
        <v>-1</v>
      </c>
      <c r="G225">
        <f>IF(AND(Table2[[#This Row],[STATES in numeric format]]=-1,F224=1,F223=1),1,0)</f>
        <v>1</v>
      </c>
      <c r="H225">
        <f>IF(AND(Table2[[#This Row],[STATES in numeric format]]=-1,F224=-1,F223=-1),1,0)</f>
        <v>0</v>
      </c>
      <c r="I225">
        <f>IF(AND(Table2[[#This Row],[STATES in numeric format]]=-1,F224=-1,F223=1),1,0)</f>
        <v>0</v>
      </c>
      <c r="J225">
        <f>IF(AND(Table2[[#This Row],[STATES in numeric format]]=-1,F224=1,F223=-1),1,0)</f>
        <v>0</v>
      </c>
      <c r="K225">
        <f>IF(AND(Table2[[#This Row],[STATES in numeric format]]=-1,F224=0,F223=0),1,0)</f>
        <v>0</v>
      </c>
      <c r="L225">
        <f>IF(AND(Table2[[#This Row],[STATES in numeric format]]=-1,F224=1,F223=0),1,0)</f>
        <v>0</v>
      </c>
      <c r="M225">
        <f>IF(AND(Table2[[#This Row],[STATES in numeric format]]=-1,F224=-1,F223=0),1,0)</f>
        <v>0</v>
      </c>
      <c r="N225">
        <f>IF(AND(Table2[[#This Row],[STATES in numeric format]]=-1,F224=0,F223=1),1,0)</f>
        <v>0</v>
      </c>
      <c r="O225">
        <f>IF(AND(Table2[[#This Row],[STATES in numeric format]]=-1,F224=0,F223=-1),1,0)</f>
        <v>0</v>
      </c>
      <c r="P225">
        <f>IF(AND(Table2[[#This Row],[STATES in numeric format]]=1,F224=1,F223=1),1,0)</f>
        <v>0</v>
      </c>
      <c r="Q225">
        <f>IF(AND(Table2[[#This Row],[STATES in numeric format]]=1,F224=-1,F223=-1),1,0)</f>
        <v>0</v>
      </c>
      <c r="R225">
        <f>IF(AND(Table2[[#This Row],[STATES in numeric format]]=1,F224=-1,F223=1),1,0)</f>
        <v>0</v>
      </c>
      <c r="S225">
        <f>IF(AND(Table2[[#This Row],[STATES in numeric format]]=1,F224=1,F223=-1),1,0)</f>
        <v>0</v>
      </c>
      <c r="T225">
        <f>IF(AND(Table2[[#This Row],[STATES in numeric format]]=1,F224=0,F223=0),1,0)</f>
        <v>0</v>
      </c>
      <c r="U225">
        <f>IF(AND(Table2[[#This Row],[STATES in numeric format]]=1,F224=1,F223=0),1,0)</f>
        <v>0</v>
      </c>
      <c r="V225">
        <f>IF(AND(Table2[[#This Row],[STATES in numeric format]]=1,F224=-1,F223=0),1,0)</f>
        <v>0</v>
      </c>
      <c r="W225">
        <f>IF(AND(Table2[[#This Row],[STATES in numeric format]]=1,F224=0,F223=1),1,0)</f>
        <v>0</v>
      </c>
      <c r="X225">
        <f>IF(AND(Table2[[#This Row],[STATES in numeric format]]=1,F224=0,F223=-1),1,0)</f>
        <v>0</v>
      </c>
      <c r="Y225">
        <f>IF(AND(Table2[[#This Row],[STATES in numeric format]]=0,F224=1,F223=1),1,0)</f>
        <v>0</v>
      </c>
      <c r="Z225">
        <f>IF(AND(Table2[[#This Row],[STATES in numeric format]]=0,F224=-1,F223=-1),1,0)</f>
        <v>0</v>
      </c>
      <c r="AA225">
        <f>IF(AND(Table2[[#This Row],[STATES in numeric format]]=0,F224=-1,F223=1),1,0)</f>
        <v>0</v>
      </c>
      <c r="AB225">
        <f>IF(AND(Table2[[#This Row],[STATES in numeric format]]=0,F224=1,F223=-1),1,0)</f>
        <v>0</v>
      </c>
      <c r="AC225">
        <f>IF(AND(Table2[[#This Row],[STATES in numeric format]]=0,F224=0,F223=0),1,0)</f>
        <v>0</v>
      </c>
      <c r="AD225">
        <f>IF(AND(Table2[[#This Row],[STATES in numeric format]]=0,F224=1,F223=0),1,0)</f>
        <v>0</v>
      </c>
      <c r="AE225">
        <f>IF(AND(Table2[[#This Row],[STATES in numeric format]]=0,F224=-1,F223=0),1,0)</f>
        <v>0</v>
      </c>
      <c r="AF225">
        <f>IF(AND(Table2[[#This Row],[STATES in numeric format]]=0,F224=0,F223=1),1,0)</f>
        <v>0</v>
      </c>
      <c r="AG225">
        <f>IF(AND(Table2[[#This Row],[STATES in numeric format]]=0,F224=0,F223=-1),1,0)</f>
        <v>0</v>
      </c>
    </row>
    <row r="226" spans="1:33" x14ac:dyDescent="0.3">
      <c r="A226" s="1">
        <v>44155</v>
      </c>
      <c r="B226">
        <v>43882.25</v>
      </c>
      <c r="C226">
        <f>Table2[[#This Row],[Close]]-0.001*Table2[[#This Row],[Close]]</f>
        <v>43838.367749999998</v>
      </c>
      <c r="D226">
        <f>Table2[[#This Row],[Close]]+0.001*Table2[[#This Row],[Close]]</f>
        <v>43926.132250000002</v>
      </c>
      <c r="E226" t="str">
        <f>IF(Table2[[#This Row],[Close]]&gt;D225,"up",IF(Table2[[#This Row],[Close]]&lt;C225,"down","constant"))</f>
        <v>up</v>
      </c>
      <c r="F226" s="3">
        <f>IF(Table2[[#This Row],[States]]="up",1,IF(Table2[[#This Row],[States]]="down",-1,0))</f>
        <v>1</v>
      </c>
      <c r="G226">
        <f>IF(AND(Table2[[#This Row],[STATES in numeric format]]=-1,F225=1,F224=1),1,0)</f>
        <v>0</v>
      </c>
      <c r="H226">
        <f>IF(AND(Table2[[#This Row],[STATES in numeric format]]=-1,F225=-1,F224=-1),1,0)</f>
        <v>0</v>
      </c>
      <c r="I226">
        <f>IF(AND(Table2[[#This Row],[STATES in numeric format]]=-1,F225=-1,F224=1),1,0)</f>
        <v>0</v>
      </c>
      <c r="J226">
        <f>IF(AND(Table2[[#This Row],[STATES in numeric format]]=-1,F225=1,F224=-1),1,0)</f>
        <v>0</v>
      </c>
      <c r="K226">
        <f>IF(AND(Table2[[#This Row],[STATES in numeric format]]=-1,F225=0,F224=0),1,0)</f>
        <v>0</v>
      </c>
      <c r="L226">
        <f>IF(AND(Table2[[#This Row],[STATES in numeric format]]=-1,F225=1,F224=0),1,0)</f>
        <v>0</v>
      </c>
      <c r="M226">
        <f>IF(AND(Table2[[#This Row],[STATES in numeric format]]=-1,F225=-1,F224=0),1,0)</f>
        <v>0</v>
      </c>
      <c r="N226">
        <f>IF(AND(Table2[[#This Row],[STATES in numeric format]]=-1,F225=0,F224=1),1,0)</f>
        <v>0</v>
      </c>
      <c r="O226">
        <f>IF(AND(Table2[[#This Row],[STATES in numeric format]]=-1,F225=0,F224=-1),1,0)</f>
        <v>0</v>
      </c>
      <c r="P226">
        <f>IF(AND(Table2[[#This Row],[STATES in numeric format]]=1,F225=1,F224=1),1,0)</f>
        <v>0</v>
      </c>
      <c r="Q226">
        <f>IF(AND(Table2[[#This Row],[STATES in numeric format]]=1,F225=-1,F224=-1),1,0)</f>
        <v>0</v>
      </c>
      <c r="R226">
        <f>IF(AND(Table2[[#This Row],[STATES in numeric format]]=1,F225=-1,F224=1),1,0)</f>
        <v>1</v>
      </c>
      <c r="S226">
        <f>IF(AND(Table2[[#This Row],[STATES in numeric format]]=1,F225=1,F224=-1),1,0)</f>
        <v>0</v>
      </c>
      <c r="T226">
        <f>IF(AND(Table2[[#This Row],[STATES in numeric format]]=1,F225=0,F224=0),1,0)</f>
        <v>0</v>
      </c>
      <c r="U226">
        <f>IF(AND(Table2[[#This Row],[STATES in numeric format]]=1,F225=1,F224=0),1,0)</f>
        <v>0</v>
      </c>
      <c r="V226">
        <f>IF(AND(Table2[[#This Row],[STATES in numeric format]]=1,F225=-1,F224=0),1,0)</f>
        <v>0</v>
      </c>
      <c r="W226">
        <f>IF(AND(Table2[[#This Row],[STATES in numeric format]]=1,F225=0,F224=1),1,0)</f>
        <v>0</v>
      </c>
      <c r="X226">
        <f>IF(AND(Table2[[#This Row],[STATES in numeric format]]=1,F225=0,F224=-1),1,0)</f>
        <v>0</v>
      </c>
      <c r="Y226">
        <f>IF(AND(Table2[[#This Row],[STATES in numeric format]]=0,F225=1,F224=1),1,0)</f>
        <v>0</v>
      </c>
      <c r="Z226">
        <f>IF(AND(Table2[[#This Row],[STATES in numeric format]]=0,F225=-1,F224=-1),1,0)</f>
        <v>0</v>
      </c>
      <c r="AA226">
        <f>IF(AND(Table2[[#This Row],[STATES in numeric format]]=0,F225=-1,F224=1),1,0)</f>
        <v>0</v>
      </c>
      <c r="AB226">
        <f>IF(AND(Table2[[#This Row],[STATES in numeric format]]=0,F225=1,F224=-1),1,0)</f>
        <v>0</v>
      </c>
      <c r="AC226">
        <f>IF(AND(Table2[[#This Row],[STATES in numeric format]]=0,F225=0,F224=0),1,0)</f>
        <v>0</v>
      </c>
      <c r="AD226">
        <f>IF(AND(Table2[[#This Row],[STATES in numeric format]]=0,F225=1,F224=0),1,0)</f>
        <v>0</v>
      </c>
      <c r="AE226">
        <f>IF(AND(Table2[[#This Row],[STATES in numeric format]]=0,F225=-1,F224=0),1,0)</f>
        <v>0</v>
      </c>
      <c r="AF226">
        <f>IF(AND(Table2[[#This Row],[STATES in numeric format]]=0,F225=0,F224=1),1,0)</f>
        <v>0</v>
      </c>
      <c r="AG226">
        <f>IF(AND(Table2[[#This Row],[STATES in numeric format]]=0,F225=0,F224=-1),1,0)</f>
        <v>0</v>
      </c>
    </row>
    <row r="227" spans="1:33" x14ac:dyDescent="0.3">
      <c r="A227" s="1">
        <v>44158</v>
      </c>
      <c r="B227">
        <v>44077.15</v>
      </c>
      <c r="C227">
        <f>Table2[[#This Row],[Close]]-0.001*Table2[[#This Row],[Close]]</f>
        <v>44033.072850000004</v>
      </c>
      <c r="D227">
        <f>Table2[[#This Row],[Close]]+0.001*Table2[[#This Row],[Close]]</f>
        <v>44121.227149999999</v>
      </c>
      <c r="E227" t="str">
        <f>IF(Table2[[#This Row],[Close]]&gt;D226,"up",IF(Table2[[#This Row],[Close]]&lt;C226,"down","constant"))</f>
        <v>up</v>
      </c>
      <c r="F227" s="3">
        <f>IF(Table2[[#This Row],[States]]="up",1,IF(Table2[[#This Row],[States]]="down",-1,0))</f>
        <v>1</v>
      </c>
      <c r="G227">
        <f>IF(AND(Table2[[#This Row],[STATES in numeric format]]=-1,F226=1,F225=1),1,0)</f>
        <v>0</v>
      </c>
      <c r="H227">
        <f>IF(AND(Table2[[#This Row],[STATES in numeric format]]=-1,F226=-1,F225=-1),1,0)</f>
        <v>0</v>
      </c>
      <c r="I227">
        <f>IF(AND(Table2[[#This Row],[STATES in numeric format]]=-1,F226=-1,F225=1),1,0)</f>
        <v>0</v>
      </c>
      <c r="J227">
        <f>IF(AND(Table2[[#This Row],[STATES in numeric format]]=-1,F226=1,F225=-1),1,0)</f>
        <v>0</v>
      </c>
      <c r="K227">
        <f>IF(AND(Table2[[#This Row],[STATES in numeric format]]=-1,F226=0,F225=0),1,0)</f>
        <v>0</v>
      </c>
      <c r="L227">
        <f>IF(AND(Table2[[#This Row],[STATES in numeric format]]=-1,F226=1,F225=0),1,0)</f>
        <v>0</v>
      </c>
      <c r="M227">
        <f>IF(AND(Table2[[#This Row],[STATES in numeric format]]=-1,F226=-1,F225=0),1,0)</f>
        <v>0</v>
      </c>
      <c r="N227">
        <f>IF(AND(Table2[[#This Row],[STATES in numeric format]]=-1,F226=0,F225=1),1,0)</f>
        <v>0</v>
      </c>
      <c r="O227">
        <f>IF(AND(Table2[[#This Row],[STATES in numeric format]]=-1,F226=0,F225=-1),1,0)</f>
        <v>0</v>
      </c>
      <c r="P227">
        <f>IF(AND(Table2[[#This Row],[STATES in numeric format]]=1,F226=1,F225=1),1,0)</f>
        <v>0</v>
      </c>
      <c r="Q227">
        <f>IF(AND(Table2[[#This Row],[STATES in numeric format]]=1,F226=-1,F225=-1),1,0)</f>
        <v>0</v>
      </c>
      <c r="R227">
        <f>IF(AND(Table2[[#This Row],[STATES in numeric format]]=1,F226=-1,F225=1),1,0)</f>
        <v>0</v>
      </c>
      <c r="S227">
        <f>IF(AND(Table2[[#This Row],[STATES in numeric format]]=1,F226=1,F225=-1),1,0)</f>
        <v>1</v>
      </c>
      <c r="T227">
        <f>IF(AND(Table2[[#This Row],[STATES in numeric format]]=1,F226=0,F225=0),1,0)</f>
        <v>0</v>
      </c>
      <c r="U227">
        <f>IF(AND(Table2[[#This Row],[STATES in numeric format]]=1,F226=1,F225=0),1,0)</f>
        <v>0</v>
      </c>
      <c r="V227">
        <f>IF(AND(Table2[[#This Row],[STATES in numeric format]]=1,F226=-1,F225=0),1,0)</f>
        <v>0</v>
      </c>
      <c r="W227">
        <f>IF(AND(Table2[[#This Row],[STATES in numeric format]]=1,F226=0,F225=1),1,0)</f>
        <v>0</v>
      </c>
      <c r="X227">
        <f>IF(AND(Table2[[#This Row],[STATES in numeric format]]=1,F226=0,F225=-1),1,0)</f>
        <v>0</v>
      </c>
      <c r="Y227">
        <f>IF(AND(Table2[[#This Row],[STATES in numeric format]]=0,F226=1,F225=1),1,0)</f>
        <v>0</v>
      </c>
      <c r="Z227">
        <f>IF(AND(Table2[[#This Row],[STATES in numeric format]]=0,F226=-1,F225=-1),1,0)</f>
        <v>0</v>
      </c>
      <c r="AA227">
        <f>IF(AND(Table2[[#This Row],[STATES in numeric format]]=0,F226=-1,F225=1),1,0)</f>
        <v>0</v>
      </c>
      <c r="AB227">
        <f>IF(AND(Table2[[#This Row],[STATES in numeric format]]=0,F226=1,F225=-1),1,0)</f>
        <v>0</v>
      </c>
      <c r="AC227">
        <f>IF(AND(Table2[[#This Row],[STATES in numeric format]]=0,F226=0,F225=0),1,0)</f>
        <v>0</v>
      </c>
      <c r="AD227">
        <f>IF(AND(Table2[[#This Row],[STATES in numeric format]]=0,F226=1,F225=0),1,0)</f>
        <v>0</v>
      </c>
      <c r="AE227">
        <f>IF(AND(Table2[[#This Row],[STATES in numeric format]]=0,F226=-1,F225=0),1,0)</f>
        <v>0</v>
      </c>
      <c r="AF227">
        <f>IF(AND(Table2[[#This Row],[STATES in numeric format]]=0,F226=0,F225=1),1,0)</f>
        <v>0</v>
      </c>
      <c r="AG227">
        <f>IF(AND(Table2[[#This Row],[STATES in numeric format]]=0,F226=0,F225=-1),1,0)</f>
        <v>0</v>
      </c>
    </row>
    <row r="228" spans="1:33" x14ac:dyDescent="0.3">
      <c r="A228" s="1">
        <v>44159</v>
      </c>
      <c r="B228">
        <v>44523.02</v>
      </c>
      <c r="C228">
        <f>Table2[[#This Row],[Close]]-0.001*Table2[[#This Row],[Close]]</f>
        <v>44478.496979999996</v>
      </c>
      <c r="D228">
        <f>Table2[[#This Row],[Close]]+0.001*Table2[[#This Row],[Close]]</f>
        <v>44567.543019999997</v>
      </c>
      <c r="E228" t="str">
        <f>IF(Table2[[#This Row],[Close]]&gt;D227,"up",IF(Table2[[#This Row],[Close]]&lt;C227,"down","constant"))</f>
        <v>up</v>
      </c>
      <c r="F228" s="3">
        <f>IF(Table2[[#This Row],[States]]="up",1,IF(Table2[[#This Row],[States]]="down",-1,0))</f>
        <v>1</v>
      </c>
      <c r="G228">
        <f>IF(AND(Table2[[#This Row],[STATES in numeric format]]=-1,F227=1,F226=1),1,0)</f>
        <v>0</v>
      </c>
      <c r="H228">
        <f>IF(AND(Table2[[#This Row],[STATES in numeric format]]=-1,F227=-1,F226=-1),1,0)</f>
        <v>0</v>
      </c>
      <c r="I228">
        <f>IF(AND(Table2[[#This Row],[STATES in numeric format]]=-1,F227=-1,F226=1),1,0)</f>
        <v>0</v>
      </c>
      <c r="J228">
        <f>IF(AND(Table2[[#This Row],[STATES in numeric format]]=-1,F227=1,F226=-1),1,0)</f>
        <v>0</v>
      </c>
      <c r="K228">
        <f>IF(AND(Table2[[#This Row],[STATES in numeric format]]=-1,F227=0,F226=0),1,0)</f>
        <v>0</v>
      </c>
      <c r="L228">
        <f>IF(AND(Table2[[#This Row],[STATES in numeric format]]=-1,F227=1,F226=0),1,0)</f>
        <v>0</v>
      </c>
      <c r="M228">
        <f>IF(AND(Table2[[#This Row],[STATES in numeric format]]=-1,F227=-1,F226=0),1,0)</f>
        <v>0</v>
      </c>
      <c r="N228">
        <f>IF(AND(Table2[[#This Row],[STATES in numeric format]]=-1,F227=0,F226=1),1,0)</f>
        <v>0</v>
      </c>
      <c r="O228">
        <f>IF(AND(Table2[[#This Row],[STATES in numeric format]]=-1,F227=0,F226=-1),1,0)</f>
        <v>0</v>
      </c>
      <c r="P228">
        <f>IF(AND(Table2[[#This Row],[STATES in numeric format]]=1,F227=1,F226=1),1,0)</f>
        <v>1</v>
      </c>
      <c r="Q228">
        <f>IF(AND(Table2[[#This Row],[STATES in numeric format]]=1,F227=-1,F226=-1),1,0)</f>
        <v>0</v>
      </c>
      <c r="R228">
        <f>IF(AND(Table2[[#This Row],[STATES in numeric format]]=1,F227=-1,F226=1),1,0)</f>
        <v>0</v>
      </c>
      <c r="S228">
        <f>IF(AND(Table2[[#This Row],[STATES in numeric format]]=1,F227=1,F226=-1),1,0)</f>
        <v>0</v>
      </c>
      <c r="T228">
        <f>IF(AND(Table2[[#This Row],[STATES in numeric format]]=1,F227=0,F226=0),1,0)</f>
        <v>0</v>
      </c>
      <c r="U228">
        <f>IF(AND(Table2[[#This Row],[STATES in numeric format]]=1,F227=1,F226=0),1,0)</f>
        <v>0</v>
      </c>
      <c r="V228">
        <f>IF(AND(Table2[[#This Row],[STATES in numeric format]]=1,F227=-1,F226=0),1,0)</f>
        <v>0</v>
      </c>
      <c r="W228">
        <f>IF(AND(Table2[[#This Row],[STATES in numeric format]]=1,F227=0,F226=1),1,0)</f>
        <v>0</v>
      </c>
      <c r="X228">
        <f>IF(AND(Table2[[#This Row],[STATES in numeric format]]=1,F227=0,F226=-1),1,0)</f>
        <v>0</v>
      </c>
      <c r="Y228">
        <f>IF(AND(Table2[[#This Row],[STATES in numeric format]]=0,F227=1,F226=1),1,0)</f>
        <v>0</v>
      </c>
      <c r="Z228">
        <f>IF(AND(Table2[[#This Row],[STATES in numeric format]]=0,F227=-1,F226=-1),1,0)</f>
        <v>0</v>
      </c>
      <c r="AA228">
        <f>IF(AND(Table2[[#This Row],[STATES in numeric format]]=0,F227=-1,F226=1),1,0)</f>
        <v>0</v>
      </c>
      <c r="AB228">
        <f>IF(AND(Table2[[#This Row],[STATES in numeric format]]=0,F227=1,F226=-1),1,0)</f>
        <v>0</v>
      </c>
      <c r="AC228">
        <f>IF(AND(Table2[[#This Row],[STATES in numeric format]]=0,F227=0,F226=0),1,0)</f>
        <v>0</v>
      </c>
      <c r="AD228">
        <f>IF(AND(Table2[[#This Row],[STATES in numeric format]]=0,F227=1,F226=0),1,0)</f>
        <v>0</v>
      </c>
      <c r="AE228">
        <f>IF(AND(Table2[[#This Row],[STATES in numeric format]]=0,F227=-1,F226=0),1,0)</f>
        <v>0</v>
      </c>
      <c r="AF228">
        <f>IF(AND(Table2[[#This Row],[STATES in numeric format]]=0,F227=0,F226=1),1,0)</f>
        <v>0</v>
      </c>
      <c r="AG228">
        <f>IF(AND(Table2[[#This Row],[STATES in numeric format]]=0,F227=0,F226=-1),1,0)</f>
        <v>0</v>
      </c>
    </row>
    <row r="229" spans="1:33" x14ac:dyDescent="0.3">
      <c r="A229" s="1">
        <v>44160</v>
      </c>
      <c r="B229">
        <v>43828.1</v>
      </c>
      <c r="C229">
        <f>Table2[[#This Row],[Close]]-0.001*Table2[[#This Row],[Close]]</f>
        <v>43784.2719</v>
      </c>
      <c r="D229">
        <f>Table2[[#This Row],[Close]]+0.001*Table2[[#This Row],[Close]]</f>
        <v>43871.928099999997</v>
      </c>
      <c r="E229" t="str">
        <f>IF(Table2[[#This Row],[Close]]&gt;D228,"up",IF(Table2[[#This Row],[Close]]&lt;C228,"down","constant"))</f>
        <v>down</v>
      </c>
      <c r="F229" s="3">
        <f>IF(Table2[[#This Row],[States]]="up",1,IF(Table2[[#This Row],[States]]="down",-1,0))</f>
        <v>-1</v>
      </c>
      <c r="G229">
        <f>IF(AND(Table2[[#This Row],[STATES in numeric format]]=-1,F228=1,F227=1),1,0)</f>
        <v>1</v>
      </c>
      <c r="H229">
        <f>IF(AND(Table2[[#This Row],[STATES in numeric format]]=-1,F228=-1,F227=-1),1,0)</f>
        <v>0</v>
      </c>
      <c r="I229">
        <f>IF(AND(Table2[[#This Row],[STATES in numeric format]]=-1,F228=-1,F227=1),1,0)</f>
        <v>0</v>
      </c>
      <c r="J229">
        <f>IF(AND(Table2[[#This Row],[STATES in numeric format]]=-1,F228=1,F227=-1),1,0)</f>
        <v>0</v>
      </c>
      <c r="K229">
        <f>IF(AND(Table2[[#This Row],[STATES in numeric format]]=-1,F228=0,F227=0),1,0)</f>
        <v>0</v>
      </c>
      <c r="L229">
        <f>IF(AND(Table2[[#This Row],[STATES in numeric format]]=-1,F228=1,F227=0),1,0)</f>
        <v>0</v>
      </c>
      <c r="M229">
        <f>IF(AND(Table2[[#This Row],[STATES in numeric format]]=-1,F228=-1,F227=0),1,0)</f>
        <v>0</v>
      </c>
      <c r="N229">
        <f>IF(AND(Table2[[#This Row],[STATES in numeric format]]=-1,F228=0,F227=1),1,0)</f>
        <v>0</v>
      </c>
      <c r="O229">
        <f>IF(AND(Table2[[#This Row],[STATES in numeric format]]=-1,F228=0,F227=-1),1,0)</f>
        <v>0</v>
      </c>
      <c r="P229">
        <f>IF(AND(Table2[[#This Row],[STATES in numeric format]]=1,F228=1,F227=1),1,0)</f>
        <v>0</v>
      </c>
      <c r="Q229">
        <f>IF(AND(Table2[[#This Row],[STATES in numeric format]]=1,F228=-1,F227=-1),1,0)</f>
        <v>0</v>
      </c>
      <c r="R229">
        <f>IF(AND(Table2[[#This Row],[STATES in numeric format]]=1,F228=-1,F227=1),1,0)</f>
        <v>0</v>
      </c>
      <c r="S229">
        <f>IF(AND(Table2[[#This Row],[STATES in numeric format]]=1,F228=1,F227=-1),1,0)</f>
        <v>0</v>
      </c>
      <c r="T229">
        <f>IF(AND(Table2[[#This Row],[STATES in numeric format]]=1,F228=0,F227=0),1,0)</f>
        <v>0</v>
      </c>
      <c r="U229">
        <f>IF(AND(Table2[[#This Row],[STATES in numeric format]]=1,F228=1,F227=0),1,0)</f>
        <v>0</v>
      </c>
      <c r="V229">
        <f>IF(AND(Table2[[#This Row],[STATES in numeric format]]=1,F228=-1,F227=0),1,0)</f>
        <v>0</v>
      </c>
      <c r="W229">
        <f>IF(AND(Table2[[#This Row],[STATES in numeric format]]=1,F228=0,F227=1),1,0)</f>
        <v>0</v>
      </c>
      <c r="X229">
        <f>IF(AND(Table2[[#This Row],[STATES in numeric format]]=1,F228=0,F227=-1),1,0)</f>
        <v>0</v>
      </c>
      <c r="Y229">
        <f>IF(AND(Table2[[#This Row],[STATES in numeric format]]=0,F228=1,F227=1),1,0)</f>
        <v>0</v>
      </c>
      <c r="Z229">
        <f>IF(AND(Table2[[#This Row],[STATES in numeric format]]=0,F228=-1,F227=-1),1,0)</f>
        <v>0</v>
      </c>
      <c r="AA229">
        <f>IF(AND(Table2[[#This Row],[STATES in numeric format]]=0,F228=-1,F227=1),1,0)</f>
        <v>0</v>
      </c>
      <c r="AB229">
        <f>IF(AND(Table2[[#This Row],[STATES in numeric format]]=0,F228=1,F227=-1),1,0)</f>
        <v>0</v>
      </c>
      <c r="AC229">
        <f>IF(AND(Table2[[#This Row],[STATES in numeric format]]=0,F228=0,F227=0),1,0)</f>
        <v>0</v>
      </c>
      <c r="AD229">
        <f>IF(AND(Table2[[#This Row],[STATES in numeric format]]=0,F228=1,F227=0),1,0)</f>
        <v>0</v>
      </c>
      <c r="AE229">
        <f>IF(AND(Table2[[#This Row],[STATES in numeric format]]=0,F228=-1,F227=0),1,0)</f>
        <v>0</v>
      </c>
      <c r="AF229">
        <f>IF(AND(Table2[[#This Row],[STATES in numeric format]]=0,F228=0,F227=1),1,0)</f>
        <v>0</v>
      </c>
      <c r="AG229">
        <f>IF(AND(Table2[[#This Row],[STATES in numeric format]]=0,F228=0,F227=-1),1,0)</f>
        <v>0</v>
      </c>
    </row>
    <row r="230" spans="1:33" x14ac:dyDescent="0.3">
      <c r="A230" s="1">
        <v>44161</v>
      </c>
      <c r="B230">
        <v>44259.74</v>
      </c>
      <c r="C230">
        <f>Table2[[#This Row],[Close]]-0.001*Table2[[#This Row],[Close]]</f>
        <v>44215.480259999997</v>
      </c>
      <c r="D230">
        <f>Table2[[#This Row],[Close]]+0.001*Table2[[#This Row],[Close]]</f>
        <v>44303.999739999999</v>
      </c>
      <c r="E230" t="str">
        <f>IF(Table2[[#This Row],[Close]]&gt;D229,"up",IF(Table2[[#This Row],[Close]]&lt;C229,"down","constant"))</f>
        <v>up</v>
      </c>
      <c r="F230" s="3">
        <f>IF(Table2[[#This Row],[States]]="up",1,IF(Table2[[#This Row],[States]]="down",-1,0))</f>
        <v>1</v>
      </c>
      <c r="G230">
        <f>IF(AND(Table2[[#This Row],[STATES in numeric format]]=-1,F229=1,F228=1),1,0)</f>
        <v>0</v>
      </c>
      <c r="H230">
        <f>IF(AND(Table2[[#This Row],[STATES in numeric format]]=-1,F229=-1,F228=-1),1,0)</f>
        <v>0</v>
      </c>
      <c r="I230">
        <f>IF(AND(Table2[[#This Row],[STATES in numeric format]]=-1,F229=-1,F228=1),1,0)</f>
        <v>0</v>
      </c>
      <c r="J230">
        <f>IF(AND(Table2[[#This Row],[STATES in numeric format]]=-1,F229=1,F228=-1),1,0)</f>
        <v>0</v>
      </c>
      <c r="K230">
        <f>IF(AND(Table2[[#This Row],[STATES in numeric format]]=-1,F229=0,F228=0),1,0)</f>
        <v>0</v>
      </c>
      <c r="L230">
        <f>IF(AND(Table2[[#This Row],[STATES in numeric format]]=-1,F229=1,F228=0),1,0)</f>
        <v>0</v>
      </c>
      <c r="M230">
        <f>IF(AND(Table2[[#This Row],[STATES in numeric format]]=-1,F229=-1,F228=0),1,0)</f>
        <v>0</v>
      </c>
      <c r="N230">
        <f>IF(AND(Table2[[#This Row],[STATES in numeric format]]=-1,F229=0,F228=1),1,0)</f>
        <v>0</v>
      </c>
      <c r="O230">
        <f>IF(AND(Table2[[#This Row],[STATES in numeric format]]=-1,F229=0,F228=-1),1,0)</f>
        <v>0</v>
      </c>
      <c r="P230">
        <f>IF(AND(Table2[[#This Row],[STATES in numeric format]]=1,F229=1,F228=1),1,0)</f>
        <v>0</v>
      </c>
      <c r="Q230">
        <f>IF(AND(Table2[[#This Row],[STATES in numeric format]]=1,F229=-1,F228=-1),1,0)</f>
        <v>0</v>
      </c>
      <c r="R230">
        <f>IF(AND(Table2[[#This Row],[STATES in numeric format]]=1,F229=-1,F228=1),1,0)</f>
        <v>1</v>
      </c>
      <c r="S230">
        <f>IF(AND(Table2[[#This Row],[STATES in numeric format]]=1,F229=1,F228=-1),1,0)</f>
        <v>0</v>
      </c>
      <c r="T230">
        <f>IF(AND(Table2[[#This Row],[STATES in numeric format]]=1,F229=0,F228=0),1,0)</f>
        <v>0</v>
      </c>
      <c r="U230">
        <f>IF(AND(Table2[[#This Row],[STATES in numeric format]]=1,F229=1,F228=0),1,0)</f>
        <v>0</v>
      </c>
      <c r="V230">
        <f>IF(AND(Table2[[#This Row],[STATES in numeric format]]=1,F229=-1,F228=0),1,0)</f>
        <v>0</v>
      </c>
      <c r="W230">
        <f>IF(AND(Table2[[#This Row],[STATES in numeric format]]=1,F229=0,F228=1),1,0)</f>
        <v>0</v>
      </c>
      <c r="X230">
        <f>IF(AND(Table2[[#This Row],[STATES in numeric format]]=1,F229=0,F228=-1),1,0)</f>
        <v>0</v>
      </c>
      <c r="Y230">
        <f>IF(AND(Table2[[#This Row],[STATES in numeric format]]=0,F229=1,F228=1),1,0)</f>
        <v>0</v>
      </c>
      <c r="Z230">
        <f>IF(AND(Table2[[#This Row],[STATES in numeric format]]=0,F229=-1,F228=-1),1,0)</f>
        <v>0</v>
      </c>
      <c r="AA230">
        <f>IF(AND(Table2[[#This Row],[STATES in numeric format]]=0,F229=-1,F228=1),1,0)</f>
        <v>0</v>
      </c>
      <c r="AB230">
        <f>IF(AND(Table2[[#This Row],[STATES in numeric format]]=0,F229=1,F228=-1),1,0)</f>
        <v>0</v>
      </c>
      <c r="AC230">
        <f>IF(AND(Table2[[#This Row],[STATES in numeric format]]=0,F229=0,F228=0),1,0)</f>
        <v>0</v>
      </c>
      <c r="AD230">
        <f>IF(AND(Table2[[#This Row],[STATES in numeric format]]=0,F229=1,F228=0),1,0)</f>
        <v>0</v>
      </c>
      <c r="AE230">
        <f>IF(AND(Table2[[#This Row],[STATES in numeric format]]=0,F229=-1,F228=0),1,0)</f>
        <v>0</v>
      </c>
      <c r="AF230">
        <f>IF(AND(Table2[[#This Row],[STATES in numeric format]]=0,F229=0,F228=1),1,0)</f>
        <v>0</v>
      </c>
      <c r="AG230">
        <f>IF(AND(Table2[[#This Row],[STATES in numeric format]]=0,F229=0,F228=-1),1,0)</f>
        <v>0</v>
      </c>
    </row>
    <row r="231" spans="1:33" x14ac:dyDescent="0.3">
      <c r="A231" s="1">
        <v>44162</v>
      </c>
      <c r="B231">
        <v>44149.72</v>
      </c>
      <c r="C231">
        <f>Table2[[#This Row],[Close]]-0.001*Table2[[#This Row],[Close]]</f>
        <v>44105.57028</v>
      </c>
      <c r="D231">
        <f>Table2[[#This Row],[Close]]+0.001*Table2[[#This Row],[Close]]</f>
        <v>44193.869720000002</v>
      </c>
      <c r="E231" t="str">
        <f>IF(Table2[[#This Row],[Close]]&gt;D230,"up",IF(Table2[[#This Row],[Close]]&lt;C230,"down","constant"))</f>
        <v>down</v>
      </c>
      <c r="F231" s="3">
        <f>IF(Table2[[#This Row],[States]]="up",1,IF(Table2[[#This Row],[States]]="down",-1,0))</f>
        <v>-1</v>
      </c>
      <c r="G231">
        <f>IF(AND(Table2[[#This Row],[STATES in numeric format]]=-1,F230=1,F229=1),1,0)</f>
        <v>0</v>
      </c>
      <c r="H231">
        <f>IF(AND(Table2[[#This Row],[STATES in numeric format]]=-1,F230=-1,F229=-1),1,0)</f>
        <v>0</v>
      </c>
      <c r="I231">
        <f>IF(AND(Table2[[#This Row],[STATES in numeric format]]=-1,F230=-1,F229=1),1,0)</f>
        <v>0</v>
      </c>
      <c r="J231">
        <f>IF(AND(Table2[[#This Row],[STATES in numeric format]]=-1,F230=1,F229=-1),1,0)</f>
        <v>1</v>
      </c>
      <c r="K231">
        <f>IF(AND(Table2[[#This Row],[STATES in numeric format]]=-1,F230=0,F229=0),1,0)</f>
        <v>0</v>
      </c>
      <c r="L231">
        <f>IF(AND(Table2[[#This Row],[STATES in numeric format]]=-1,F230=1,F229=0),1,0)</f>
        <v>0</v>
      </c>
      <c r="M231">
        <f>IF(AND(Table2[[#This Row],[STATES in numeric format]]=-1,F230=-1,F229=0),1,0)</f>
        <v>0</v>
      </c>
      <c r="N231">
        <f>IF(AND(Table2[[#This Row],[STATES in numeric format]]=-1,F230=0,F229=1),1,0)</f>
        <v>0</v>
      </c>
      <c r="O231">
        <f>IF(AND(Table2[[#This Row],[STATES in numeric format]]=-1,F230=0,F229=-1),1,0)</f>
        <v>0</v>
      </c>
      <c r="P231">
        <f>IF(AND(Table2[[#This Row],[STATES in numeric format]]=1,F230=1,F229=1),1,0)</f>
        <v>0</v>
      </c>
      <c r="Q231">
        <f>IF(AND(Table2[[#This Row],[STATES in numeric format]]=1,F230=-1,F229=-1),1,0)</f>
        <v>0</v>
      </c>
      <c r="R231">
        <f>IF(AND(Table2[[#This Row],[STATES in numeric format]]=1,F230=-1,F229=1),1,0)</f>
        <v>0</v>
      </c>
      <c r="S231">
        <f>IF(AND(Table2[[#This Row],[STATES in numeric format]]=1,F230=1,F229=-1),1,0)</f>
        <v>0</v>
      </c>
      <c r="T231">
        <f>IF(AND(Table2[[#This Row],[STATES in numeric format]]=1,F230=0,F229=0),1,0)</f>
        <v>0</v>
      </c>
      <c r="U231">
        <f>IF(AND(Table2[[#This Row],[STATES in numeric format]]=1,F230=1,F229=0),1,0)</f>
        <v>0</v>
      </c>
      <c r="V231">
        <f>IF(AND(Table2[[#This Row],[STATES in numeric format]]=1,F230=-1,F229=0),1,0)</f>
        <v>0</v>
      </c>
      <c r="W231">
        <f>IF(AND(Table2[[#This Row],[STATES in numeric format]]=1,F230=0,F229=1),1,0)</f>
        <v>0</v>
      </c>
      <c r="X231">
        <f>IF(AND(Table2[[#This Row],[STATES in numeric format]]=1,F230=0,F229=-1),1,0)</f>
        <v>0</v>
      </c>
      <c r="Y231">
        <f>IF(AND(Table2[[#This Row],[STATES in numeric format]]=0,F230=1,F229=1),1,0)</f>
        <v>0</v>
      </c>
      <c r="Z231">
        <f>IF(AND(Table2[[#This Row],[STATES in numeric format]]=0,F230=-1,F229=-1),1,0)</f>
        <v>0</v>
      </c>
      <c r="AA231">
        <f>IF(AND(Table2[[#This Row],[STATES in numeric format]]=0,F230=-1,F229=1),1,0)</f>
        <v>0</v>
      </c>
      <c r="AB231">
        <f>IF(AND(Table2[[#This Row],[STATES in numeric format]]=0,F230=1,F229=-1),1,0)</f>
        <v>0</v>
      </c>
      <c r="AC231">
        <f>IF(AND(Table2[[#This Row],[STATES in numeric format]]=0,F230=0,F229=0),1,0)</f>
        <v>0</v>
      </c>
      <c r="AD231">
        <f>IF(AND(Table2[[#This Row],[STATES in numeric format]]=0,F230=1,F229=0),1,0)</f>
        <v>0</v>
      </c>
      <c r="AE231">
        <f>IF(AND(Table2[[#This Row],[STATES in numeric format]]=0,F230=-1,F229=0),1,0)</f>
        <v>0</v>
      </c>
      <c r="AF231">
        <f>IF(AND(Table2[[#This Row],[STATES in numeric format]]=0,F230=0,F229=1),1,0)</f>
        <v>0</v>
      </c>
      <c r="AG231">
        <f>IF(AND(Table2[[#This Row],[STATES in numeric format]]=0,F230=0,F229=-1),1,0)</f>
        <v>0</v>
      </c>
    </row>
    <row r="232" spans="1:33" x14ac:dyDescent="0.3">
      <c r="A232" s="1">
        <v>44166</v>
      </c>
      <c r="B232">
        <v>44655.44</v>
      </c>
      <c r="C232">
        <f>Table2[[#This Row],[Close]]-0.001*Table2[[#This Row],[Close]]</f>
        <v>44610.78456</v>
      </c>
      <c r="D232">
        <f>Table2[[#This Row],[Close]]+0.001*Table2[[#This Row],[Close]]</f>
        <v>44700.095440000005</v>
      </c>
      <c r="E232" t="str">
        <f>IF(Table2[[#This Row],[Close]]&gt;D231,"up",IF(Table2[[#This Row],[Close]]&lt;C231,"down","constant"))</f>
        <v>up</v>
      </c>
      <c r="F232" s="3">
        <f>IF(Table2[[#This Row],[States]]="up",1,IF(Table2[[#This Row],[States]]="down",-1,0))</f>
        <v>1</v>
      </c>
      <c r="G232">
        <f>IF(AND(Table2[[#This Row],[STATES in numeric format]]=-1,F231=1,F230=1),1,0)</f>
        <v>0</v>
      </c>
      <c r="H232">
        <f>IF(AND(Table2[[#This Row],[STATES in numeric format]]=-1,F231=-1,F230=-1),1,0)</f>
        <v>0</v>
      </c>
      <c r="I232">
        <f>IF(AND(Table2[[#This Row],[STATES in numeric format]]=-1,F231=-1,F230=1),1,0)</f>
        <v>0</v>
      </c>
      <c r="J232">
        <f>IF(AND(Table2[[#This Row],[STATES in numeric format]]=-1,F231=1,F230=-1),1,0)</f>
        <v>0</v>
      </c>
      <c r="K232">
        <f>IF(AND(Table2[[#This Row],[STATES in numeric format]]=-1,F231=0,F230=0),1,0)</f>
        <v>0</v>
      </c>
      <c r="L232">
        <f>IF(AND(Table2[[#This Row],[STATES in numeric format]]=-1,F231=1,F230=0),1,0)</f>
        <v>0</v>
      </c>
      <c r="M232">
        <f>IF(AND(Table2[[#This Row],[STATES in numeric format]]=-1,F231=-1,F230=0),1,0)</f>
        <v>0</v>
      </c>
      <c r="N232">
        <f>IF(AND(Table2[[#This Row],[STATES in numeric format]]=-1,F231=0,F230=1),1,0)</f>
        <v>0</v>
      </c>
      <c r="O232">
        <f>IF(AND(Table2[[#This Row],[STATES in numeric format]]=-1,F231=0,F230=-1),1,0)</f>
        <v>0</v>
      </c>
      <c r="P232">
        <f>IF(AND(Table2[[#This Row],[STATES in numeric format]]=1,F231=1,F230=1),1,0)</f>
        <v>0</v>
      </c>
      <c r="Q232">
        <f>IF(AND(Table2[[#This Row],[STATES in numeric format]]=1,F231=-1,F230=-1),1,0)</f>
        <v>0</v>
      </c>
      <c r="R232">
        <f>IF(AND(Table2[[#This Row],[STATES in numeric format]]=1,F231=-1,F230=1),1,0)</f>
        <v>1</v>
      </c>
      <c r="S232">
        <f>IF(AND(Table2[[#This Row],[STATES in numeric format]]=1,F231=1,F230=-1),1,0)</f>
        <v>0</v>
      </c>
      <c r="T232">
        <f>IF(AND(Table2[[#This Row],[STATES in numeric format]]=1,F231=0,F230=0),1,0)</f>
        <v>0</v>
      </c>
      <c r="U232">
        <f>IF(AND(Table2[[#This Row],[STATES in numeric format]]=1,F231=1,F230=0),1,0)</f>
        <v>0</v>
      </c>
      <c r="V232">
        <f>IF(AND(Table2[[#This Row],[STATES in numeric format]]=1,F231=-1,F230=0),1,0)</f>
        <v>0</v>
      </c>
      <c r="W232">
        <f>IF(AND(Table2[[#This Row],[STATES in numeric format]]=1,F231=0,F230=1),1,0)</f>
        <v>0</v>
      </c>
      <c r="X232">
        <f>IF(AND(Table2[[#This Row],[STATES in numeric format]]=1,F231=0,F230=-1),1,0)</f>
        <v>0</v>
      </c>
      <c r="Y232">
        <f>IF(AND(Table2[[#This Row],[STATES in numeric format]]=0,F231=1,F230=1),1,0)</f>
        <v>0</v>
      </c>
      <c r="Z232">
        <f>IF(AND(Table2[[#This Row],[STATES in numeric format]]=0,F231=-1,F230=-1),1,0)</f>
        <v>0</v>
      </c>
      <c r="AA232">
        <f>IF(AND(Table2[[#This Row],[STATES in numeric format]]=0,F231=-1,F230=1),1,0)</f>
        <v>0</v>
      </c>
      <c r="AB232">
        <f>IF(AND(Table2[[#This Row],[STATES in numeric format]]=0,F231=1,F230=-1),1,0)</f>
        <v>0</v>
      </c>
      <c r="AC232">
        <f>IF(AND(Table2[[#This Row],[STATES in numeric format]]=0,F231=0,F230=0),1,0)</f>
        <v>0</v>
      </c>
      <c r="AD232">
        <f>IF(AND(Table2[[#This Row],[STATES in numeric format]]=0,F231=1,F230=0),1,0)</f>
        <v>0</v>
      </c>
      <c r="AE232">
        <f>IF(AND(Table2[[#This Row],[STATES in numeric format]]=0,F231=-1,F230=0),1,0)</f>
        <v>0</v>
      </c>
      <c r="AF232">
        <f>IF(AND(Table2[[#This Row],[STATES in numeric format]]=0,F231=0,F230=1),1,0)</f>
        <v>0</v>
      </c>
      <c r="AG232">
        <f>IF(AND(Table2[[#This Row],[STATES in numeric format]]=0,F231=0,F230=-1),1,0)</f>
        <v>0</v>
      </c>
    </row>
    <row r="233" spans="1:33" x14ac:dyDescent="0.3">
      <c r="A233" s="1">
        <v>44167</v>
      </c>
      <c r="B233">
        <v>44618.04</v>
      </c>
      <c r="C233">
        <f>Table2[[#This Row],[Close]]-0.001*Table2[[#This Row],[Close]]</f>
        <v>44573.42196</v>
      </c>
      <c r="D233">
        <f>Table2[[#This Row],[Close]]+0.001*Table2[[#This Row],[Close]]</f>
        <v>44662.658040000002</v>
      </c>
      <c r="E233" t="str">
        <f>IF(Table2[[#This Row],[Close]]&gt;D232,"up",IF(Table2[[#This Row],[Close]]&lt;C232,"down","constant"))</f>
        <v>constant</v>
      </c>
      <c r="F233" s="3">
        <f>IF(Table2[[#This Row],[States]]="up",1,IF(Table2[[#This Row],[States]]="down",-1,0))</f>
        <v>0</v>
      </c>
      <c r="G233">
        <f>IF(AND(Table2[[#This Row],[STATES in numeric format]]=-1,F232=1,F231=1),1,0)</f>
        <v>0</v>
      </c>
      <c r="H233">
        <f>IF(AND(Table2[[#This Row],[STATES in numeric format]]=-1,F232=-1,F231=-1),1,0)</f>
        <v>0</v>
      </c>
      <c r="I233">
        <f>IF(AND(Table2[[#This Row],[STATES in numeric format]]=-1,F232=-1,F231=1),1,0)</f>
        <v>0</v>
      </c>
      <c r="J233">
        <f>IF(AND(Table2[[#This Row],[STATES in numeric format]]=-1,F232=1,F231=-1),1,0)</f>
        <v>0</v>
      </c>
      <c r="K233">
        <f>IF(AND(Table2[[#This Row],[STATES in numeric format]]=-1,F232=0,F231=0),1,0)</f>
        <v>0</v>
      </c>
      <c r="L233">
        <f>IF(AND(Table2[[#This Row],[STATES in numeric format]]=-1,F232=1,F231=0),1,0)</f>
        <v>0</v>
      </c>
      <c r="M233">
        <f>IF(AND(Table2[[#This Row],[STATES in numeric format]]=-1,F232=-1,F231=0),1,0)</f>
        <v>0</v>
      </c>
      <c r="N233">
        <f>IF(AND(Table2[[#This Row],[STATES in numeric format]]=-1,F232=0,F231=1),1,0)</f>
        <v>0</v>
      </c>
      <c r="O233">
        <f>IF(AND(Table2[[#This Row],[STATES in numeric format]]=-1,F232=0,F231=-1),1,0)</f>
        <v>0</v>
      </c>
      <c r="P233">
        <f>IF(AND(Table2[[#This Row],[STATES in numeric format]]=1,F232=1,F231=1),1,0)</f>
        <v>0</v>
      </c>
      <c r="Q233">
        <f>IF(AND(Table2[[#This Row],[STATES in numeric format]]=1,F232=-1,F231=-1),1,0)</f>
        <v>0</v>
      </c>
      <c r="R233">
        <f>IF(AND(Table2[[#This Row],[STATES in numeric format]]=1,F232=-1,F231=1),1,0)</f>
        <v>0</v>
      </c>
      <c r="S233">
        <f>IF(AND(Table2[[#This Row],[STATES in numeric format]]=1,F232=1,F231=-1),1,0)</f>
        <v>0</v>
      </c>
      <c r="T233">
        <f>IF(AND(Table2[[#This Row],[STATES in numeric format]]=1,F232=0,F231=0),1,0)</f>
        <v>0</v>
      </c>
      <c r="U233">
        <f>IF(AND(Table2[[#This Row],[STATES in numeric format]]=1,F232=1,F231=0),1,0)</f>
        <v>0</v>
      </c>
      <c r="V233">
        <f>IF(AND(Table2[[#This Row],[STATES in numeric format]]=1,F232=-1,F231=0),1,0)</f>
        <v>0</v>
      </c>
      <c r="W233">
        <f>IF(AND(Table2[[#This Row],[STATES in numeric format]]=1,F232=0,F231=1),1,0)</f>
        <v>0</v>
      </c>
      <c r="X233">
        <f>IF(AND(Table2[[#This Row],[STATES in numeric format]]=1,F232=0,F231=-1),1,0)</f>
        <v>0</v>
      </c>
      <c r="Y233">
        <f>IF(AND(Table2[[#This Row],[STATES in numeric format]]=0,F232=1,F231=1),1,0)</f>
        <v>0</v>
      </c>
      <c r="Z233">
        <f>IF(AND(Table2[[#This Row],[STATES in numeric format]]=0,F232=-1,F231=-1),1,0)</f>
        <v>0</v>
      </c>
      <c r="AA233">
        <f>IF(AND(Table2[[#This Row],[STATES in numeric format]]=0,F232=-1,F231=1),1,0)</f>
        <v>0</v>
      </c>
      <c r="AB233">
        <f>IF(AND(Table2[[#This Row],[STATES in numeric format]]=0,F232=1,F231=-1),1,0)</f>
        <v>1</v>
      </c>
      <c r="AC233">
        <f>IF(AND(Table2[[#This Row],[STATES in numeric format]]=0,F232=0,F231=0),1,0)</f>
        <v>0</v>
      </c>
      <c r="AD233">
        <f>IF(AND(Table2[[#This Row],[STATES in numeric format]]=0,F232=1,F231=0),1,0)</f>
        <v>0</v>
      </c>
      <c r="AE233">
        <f>IF(AND(Table2[[#This Row],[STATES in numeric format]]=0,F232=-1,F231=0),1,0)</f>
        <v>0</v>
      </c>
      <c r="AF233">
        <f>IF(AND(Table2[[#This Row],[STATES in numeric format]]=0,F232=0,F231=1),1,0)</f>
        <v>0</v>
      </c>
      <c r="AG233">
        <f>IF(AND(Table2[[#This Row],[STATES in numeric format]]=0,F232=0,F231=-1),1,0)</f>
        <v>0</v>
      </c>
    </row>
    <row r="234" spans="1:33" x14ac:dyDescent="0.3">
      <c r="A234" s="1">
        <v>44168</v>
      </c>
      <c r="B234">
        <v>44632.65</v>
      </c>
      <c r="C234">
        <f>Table2[[#This Row],[Close]]-0.001*Table2[[#This Row],[Close]]</f>
        <v>44588.017350000002</v>
      </c>
      <c r="D234">
        <f>Table2[[#This Row],[Close]]+0.001*Table2[[#This Row],[Close]]</f>
        <v>44677.282650000001</v>
      </c>
      <c r="E234" t="str">
        <f>IF(Table2[[#This Row],[Close]]&gt;D233,"up",IF(Table2[[#This Row],[Close]]&lt;C233,"down","constant"))</f>
        <v>constant</v>
      </c>
      <c r="F234" s="3">
        <f>IF(Table2[[#This Row],[States]]="up",1,IF(Table2[[#This Row],[States]]="down",-1,0))</f>
        <v>0</v>
      </c>
      <c r="G234">
        <f>IF(AND(Table2[[#This Row],[STATES in numeric format]]=-1,F233=1,F232=1),1,0)</f>
        <v>0</v>
      </c>
      <c r="H234">
        <f>IF(AND(Table2[[#This Row],[STATES in numeric format]]=-1,F233=-1,F232=-1),1,0)</f>
        <v>0</v>
      </c>
      <c r="I234">
        <f>IF(AND(Table2[[#This Row],[STATES in numeric format]]=-1,F233=-1,F232=1),1,0)</f>
        <v>0</v>
      </c>
      <c r="J234">
        <f>IF(AND(Table2[[#This Row],[STATES in numeric format]]=-1,F233=1,F232=-1),1,0)</f>
        <v>0</v>
      </c>
      <c r="K234">
        <f>IF(AND(Table2[[#This Row],[STATES in numeric format]]=-1,F233=0,F232=0),1,0)</f>
        <v>0</v>
      </c>
      <c r="L234">
        <f>IF(AND(Table2[[#This Row],[STATES in numeric format]]=-1,F233=1,F232=0),1,0)</f>
        <v>0</v>
      </c>
      <c r="M234">
        <f>IF(AND(Table2[[#This Row],[STATES in numeric format]]=-1,F233=-1,F232=0),1,0)</f>
        <v>0</v>
      </c>
      <c r="N234">
        <f>IF(AND(Table2[[#This Row],[STATES in numeric format]]=-1,F233=0,F232=1),1,0)</f>
        <v>0</v>
      </c>
      <c r="O234">
        <f>IF(AND(Table2[[#This Row],[STATES in numeric format]]=-1,F233=0,F232=-1),1,0)</f>
        <v>0</v>
      </c>
      <c r="P234">
        <f>IF(AND(Table2[[#This Row],[STATES in numeric format]]=1,F233=1,F232=1),1,0)</f>
        <v>0</v>
      </c>
      <c r="Q234">
        <f>IF(AND(Table2[[#This Row],[STATES in numeric format]]=1,F233=-1,F232=-1),1,0)</f>
        <v>0</v>
      </c>
      <c r="R234">
        <f>IF(AND(Table2[[#This Row],[STATES in numeric format]]=1,F233=-1,F232=1),1,0)</f>
        <v>0</v>
      </c>
      <c r="S234">
        <f>IF(AND(Table2[[#This Row],[STATES in numeric format]]=1,F233=1,F232=-1),1,0)</f>
        <v>0</v>
      </c>
      <c r="T234">
        <f>IF(AND(Table2[[#This Row],[STATES in numeric format]]=1,F233=0,F232=0),1,0)</f>
        <v>0</v>
      </c>
      <c r="U234">
        <f>IF(AND(Table2[[#This Row],[STATES in numeric format]]=1,F233=1,F232=0),1,0)</f>
        <v>0</v>
      </c>
      <c r="V234">
        <f>IF(AND(Table2[[#This Row],[STATES in numeric format]]=1,F233=-1,F232=0),1,0)</f>
        <v>0</v>
      </c>
      <c r="W234">
        <f>IF(AND(Table2[[#This Row],[STATES in numeric format]]=1,F233=0,F232=1),1,0)</f>
        <v>0</v>
      </c>
      <c r="X234">
        <f>IF(AND(Table2[[#This Row],[STATES in numeric format]]=1,F233=0,F232=-1),1,0)</f>
        <v>0</v>
      </c>
      <c r="Y234">
        <f>IF(AND(Table2[[#This Row],[STATES in numeric format]]=0,F233=1,F232=1),1,0)</f>
        <v>0</v>
      </c>
      <c r="Z234">
        <f>IF(AND(Table2[[#This Row],[STATES in numeric format]]=0,F233=-1,F232=-1),1,0)</f>
        <v>0</v>
      </c>
      <c r="AA234">
        <f>IF(AND(Table2[[#This Row],[STATES in numeric format]]=0,F233=-1,F232=1),1,0)</f>
        <v>0</v>
      </c>
      <c r="AB234">
        <f>IF(AND(Table2[[#This Row],[STATES in numeric format]]=0,F233=1,F232=-1),1,0)</f>
        <v>0</v>
      </c>
      <c r="AC234">
        <f>IF(AND(Table2[[#This Row],[STATES in numeric format]]=0,F233=0,F232=0),1,0)</f>
        <v>0</v>
      </c>
      <c r="AD234">
        <f>IF(AND(Table2[[#This Row],[STATES in numeric format]]=0,F233=1,F232=0),1,0)</f>
        <v>0</v>
      </c>
      <c r="AE234">
        <f>IF(AND(Table2[[#This Row],[STATES in numeric format]]=0,F233=-1,F232=0),1,0)</f>
        <v>0</v>
      </c>
      <c r="AF234">
        <f>IF(AND(Table2[[#This Row],[STATES in numeric format]]=0,F233=0,F232=1),1,0)</f>
        <v>1</v>
      </c>
      <c r="AG234">
        <f>IF(AND(Table2[[#This Row],[STATES in numeric format]]=0,F233=0,F232=-1),1,0)</f>
        <v>0</v>
      </c>
    </row>
    <row r="235" spans="1:33" x14ac:dyDescent="0.3">
      <c r="A235" s="1">
        <v>44169</v>
      </c>
      <c r="B235">
        <v>45079.55</v>
      </c>
      <c r="C235">
        <f>Table2[[#This Row],[Close]]-0.001*Table2[[#This Row],[Close]]</f>
        <v>45034.470450000001</v>
      </c>
      <c r="D235">
        <f>Table2[[#This Row],[Close]]+0.001*Table2[[#This Row],[Close]]</f>
        <v>45124.629550000005</v>
      </c>
      <c r="E235" t="str">
        <f>IF(Table2[[#This Row],[Close]]&gt;D234,"up",IF(Table2[[#This Row],[Close]]&lt;C234,"down","constant"))</f>
        <v>up</v>
      </c>
      <c r="F235" s="3">
        <f>IF(Table2[[#This Row],[States]]="up",1,IF(Table2[[#This Row],[States]]="down",-1,0))</f>
        <v>1</v>
      </c>
      <c r="G235">
        <f>IF(AND(Table2[[#This Row],[STATES in numeric format]]=-1,F234=1,F233=1),1,0)</f>
        <v>0</v>
      </c>
      <c r="H235">
        <f>IF(AND(Table2[[#This Row],[STATES in numeric format]]=-1,F234=-1,F233=-1),1,0)</f>
        <v>0</v>
      </c>
      <c r="I235">
        <f>IF(AND(Table2[[#This Row],[STATES in numeric format]]=-1,F234=-1,F233=1),1,0)</f>
        <v>0</v>
      </c>
      <c r="J235">
        <f>IF(AND(Table2[[#This Row],[STATES in numeric format]]=-1,F234=1,F233=-1),1,0)</f>
        <v>0</v>
      </c>
      <c r="K235">
        <f>IF(AND(Table2[[#This Row],[STATES in numeric format]]=-1,F234=0,F233=0),1,0)</f>
        <v>0</v>
      </c>
      <c r="L235">
        <f>IF(AND(Table2[[#This Row],[STATES in numeric format]]=-1,F234=1,F233=0),1,0)</f>
        <v>0</v>
      </c>
      <c r="M235">
        <f>IF(AND(Table2[[#This Row],[STATES in numeric format]]=-1,F234=-1,F233=0),1,0)</f>
        <v>0</v>
      </c>
      <c r="N235">
        <f>IF(AND(Table2[[#This Row],[STATES in numeric format]]=-1,F234=0,F233=1),1,0)</f>
        <v>0</v>
      </c>
      <c r="O235">
        <f>IF(AND(Table2[[#This Row],[STATES in numeric format]]=-1,F234=0,F233=-1),1,0)</f>
        <v>0</v>
      </c>
      <c r="P235">
        <f>IF(AND(Table2[[#This Row],[STATES in numeric format]]=1,F234=1,F233=1),1,0)</f>
        <v>0</v>
      </c>
      <c r="Q235">
        <f>IF(AND(Table2[[#This Row],[STATES in numeric format]]=1,F234=-1,F233=-1),1,0)</f>
        <v>0</v>
      </c>
      <c r="R235">
        <f>IF(AND(Table2[[#This Row],[STATES in numeric format]]=1,F234=-1,F233=1),1,0)</f>
        <v>0</v>
      </c>
      <c r="S235">
        <f>IF(AND(Table2[[#This Row],[STATES in numeric format]]=1,F234=1,F233=-1),1,0)</f>
        <v>0</v>
      </c>
      <c r="T235">
        <f>IF(AND(Table2[[#This Row],[STATES in numeric format]]=1,F234=0,F233=0),1,0)</f>
        <v>1</v>
      </c>
      <c r="U235">
        <f>IF(AND(Table2[[#This Row],[STATES in numeric format]]=1,F234=1,F233=0),1,0)</f>
        <v>0</v>
      </c>
      <c r="V235">
        <f>IF(AND(Table2[[#This Row],[STATES in numeric format]]=1,F234=-1,F233=0),1,0)</f>
        <v>0</v>
      </c>
      <c r="W235">
        <f>IF(AND(Table2[[#This Row],[STATES in numeric format]]=1,F234=0,F233=1),1,0)</f>
        <v>0</v>
      </c>
      <c r="X235">
        <f>IF(AND(Table2[[#This Row],[STATES in numeric format]]=1,F234=0,F233=-1),1,0)</f>
        <v>0</v>
      </c>
      <c r="Y235">
        <f>IF(AND(Table2[[#This Row],[STATES in numeric format]]=0,F234=1,F233=1),1,0)</f>
        <v>0</v>
      </c>
      <c r="Z235">
        <f>IF(AND(Table2[[#This Row],[STATES in numeric format]]=0,F234=-1,F233=-1),1,0)</f>
        <v>0</v>
      </c>
      <c r="AA235">
        <f>IF(AND(Table2[[#This Row],[STATES in numeric format]]=0,F234=-1,F233=1),1,0)</f>
        <v>0</v>
      </c>
      <c r="AB235">
        <f>IF(AND(Table2[[#This Row],[STATES in numeric format]]=0,F234=1,F233=-1),1,0)</f>
        <v>0</v>
      </c>
      <c r="AC235">
        <f>IF(AND(Table2[[#This Row],[STATES in numeric format]]=0,F234=0,F233=0),1,0)</f>
        <v>0</v>
      </c>
      <c r="AD235">
        <f>IF(AND(Table2[[#This Row],[STATES in numeric format]]=0,F234=1,F233=0),1,0)</f>
        <v>0</v>
      </c>
      <c r="AE235">
        <f>IF(AND(Table2[[#This Row],[STATES in numeric format]]=0,F234=-1,F233=0),1,0)</f>
        <v>0</v>
      </c>
      <c r="AF235">
        <f>IF(AND(Table2[[#This Row],[STATES in numeric format]]=0,F234=0,F233=1),1,0)</f>
        <v>0</v>
      </c>
      <c r="AG235">
        <f>IF(AND(Table2[[#This Row],[STATES in numeric format]]=0,F234=0,F233=-1),1,0)</f>
        <v>0</v>
      </c>
    </row>
    <row r="236" spans="1:33" x14ac:dyDescent="0.3">
      <c r="A236" s="1">
        <v>44172</v>
      </c>
      <c r="B236">
        <v>45426.97</v>
      </c>
      <c r="C236">
        <f>Table2[[#This Row],[Close]]-0.001*Table2[[#This Row],[Close]]</f>
        <v>45381.543030000001</v>
      </c>
      <c r="D236">
        <f>Table2[[#This Row],[Close]]+0.001*Table2[[#This Row],[Close]]</f>
        <v>45472.396970000002</v>
      </c>
      <c r="E236" t="str">
        <f>IF(Table2[[#This Row],[Close]]&gt;D235,"up",IF(Table2[[#This Row],[Close]]&lt;C235,"down","constant"))</f>
        <v>up</v>
      </c>
      <c r="F236" s="3">
        <f>IF(Table2[[#This Row],[States]]="up",1,IF(Table2[[#This Row],[States]]="down",-1,0))</f>
        <v>1</v>
      </c>
      <c r="G236">
        <f>IF(AND(Table2[[#This Row],[STATES in numeric format]]=-1,F235=1,F234=1),1,0)</f>
        <v>0</v>
      </c>
      <c r="H236">
        <f>IF(AND(Table2[[#This Row],[STATES in numeric format]]=-1,F235=-1,F234=-1),1,0)</f>
        <v>0</v>
      </c>
      <c r="I236">
        <f>IF(AND(Table2[[#This Row],[STATES in numeric format]]=-1,F235=-1,F234=1),1,0)</f>
        <v>0</v>
      </c>
      <c r="J236">
        <f>IF(AND(Table2[[#This Row],[STATES in numeric format]]=-1,F235=1,F234=-1),1,0)</f>
        <v>0</v>
      </c>
      <c r="K236">
        <f>IF(AND(Table2[[#This Row],[STATES in numeric format]]=-1,F235=0,F234=0),1,0)</f>
        <v>0</v>
      </c>
      <c r="L236">
        <f>IF(AND(Table2[[#This Row],[STATES in numeric format]]=-1,F235=1,F234=0),1,0)</f>
        <v>0</v>
      </c>
      <c r="M236">
        <f>IF(AND(Table2[[#This Row],[STATES in numeric format]]=-1,F235=-1,F234=0),1,0)</f>
        <v>0</v>
      </c>
      <c r="N236">
        <f>IF(AND(Table2[[#This Row],[STATES in numeric format]]=-1,F235=0,F234=1),1,0)</f>
        <v>0</v>
      </c>
      <c r="O236">
        <f>IF(AND(Table2[[#This Row],[STATES in numeric format]]=-1,F235=0,F234=-1),1,0)</f>
        <v>0</v>
      </c>
      <c r="P236">
        <f>IF(AND(Table2[[#This Row],[STATES in numeric format]]=1,F235=1,F234=1),1,0)</f>
        <v>0</v>
      </c>
      <c r="Q236">
        <f>IF(AND(Table2[[#This Row],[STATES in numeric format]]=1,F235=-1,F234=-1),1,0)</f>
        <v>0</v>
      </c>
      <c r="R236">
        <f>IF(AND(Table2[[#This Row],[STATES in numeric format]]=1,F235=-1,F234=1),1,0)</f>
        <v>0</v>
      </c>
      <c r="S236">
        <f>IF(AND(Table2[[#This Row],[STATES in numeric format]]=1,F235=1,F234=-1),1,0)</f>
        <v>0</v>
      </c>
      <c r="T236">
        <f>IF(AND(Table2[[#This Row],[STATES in numeric format]]=1,F235=0,F234=0),1,0)</f>
        <v>0</v>
      </c>
      <c r="U236">
        <f>IF(AND(Table2[[#This Row],[STATES in numeric format]]=1,F235=1,F234=0),1,0)</f>
        <v>1</v>
      </c>
      <c r="V236">
        <f>IF(AND(Table2[[#This Row],[STATES in numeric format]]=1,F235=-1,F234=0),1,0)</f>
        <v>0</v>
      </c>
      <c r="W236">
        <f>IF(AND(Table2[[#This Row],[STATES in numeric format]]=1,F235=0,F234=1),1,0)</f>
        <v>0</v>
      </c>
      <c r="X236">
        <f>IF(AND(Table2[[#This Row],[STATES in numeric format]]=1,F235=0,F234=-1),1,0)</f>
        <v>0</v>
      </c>
      <c r="Y236">
        <f>IF(AND(Table2[[#This Row],[STATES in numeric format]]=0,F235=1,F234=1),1,0)</f>
        <v>0</v>
      </c>
      <c r="Z236">
        <f>IF(AND(Table2[[#This Row],[STATES in numeric format]]=0,F235=-1,F234=-1),1,0)</f>
        <v>0</v>
      </c>
      <c r="AA236">
        <f>IF(AND(Table2[[#This Row],[STATES in numeric format]]=0,F235=-1,F234=1),1,0)</f>
        <v>0</v>
      </c>
      <c r="AB236">
        <f>IF(AND(Table2[[#This Row],[STATES in numeric format]]=0,F235=1,F234=-1),1,0)</f>
        <v>0</v>
      </c>
      <c r="AC236">
        <f>IF(AND(Table2[[#This Row],[STATES in numeric format]]=0,F235=0,F234=0),1,0)</f>
        <v>0</v>
      </c>
      <c r="AD236">
        <f>IF(AND(Table2[[#This Row],[STATES in numeric format]]=0,F235=1,F234=0),1,0)</f>
        <v>0</v>
      </c>
      <c r="AE236">
        <f>IF(AND(Table2[[#This Row],[STATES in numeric format]]=0,F235=-1,F234=0),1,0)</f>
        <v>0</v>
      </c>
      <c r="AF236">
        <f>IF(AND(Table2[[#This Row],[STATES in numeric format]]=0,F235=0,F234=1),1,0)</f>
        <v>0</v>
      </c>
      <c r="AG236">
        <f>IF(AND(Table2[[#This Row],[STATES in numeric format]]=0,F235=0,F234=-1),1,0)</f>
        <v>0</v>
      </c>
    </row>
    <row r="237" spans="1:33" x14ac:dyDescent="0.3">
      <c r="A237" s="1">
        <v>44173</v>
      </c>
      <c r="B237">
        <v>45608.51</v>
      </c>
      <c r="C237">
        <f>Table2[[#This Row],[Close]]-0.001*Table2[[#This Row],[Close]]</f>
        <v>45562.901490000004</v>
      </c>
      <c r="D237">
        <f>Table2[[#This Row],[Close]]+0.001*Table2[[#This Row],[Close]]</f>
        <v>45654.11851</v>
      </c>
      <c r="E237" t="str">
        <f>IF(Table2[[#This Row],[Close]]&gt;D236,"up",IF(Table2[[#This Row],[Close]]&lt;C236,"down","constant"))</f>
        <v>up</v>
      </c>
      <c r="F237" s="3">
        <f>IF(Table2[[#This Row],[States]]="up",1,IF(Table2[[#This Row],[States]]="down",-1,0))</f>
        <v>1</v>
      </c>
      <c r="G237">
        <f>IF(AND(Table2[[#This Row],[STATES in numeric format]]=-1,F236=1,F235=1),1,0)</f>
        <v>0</v>
      </c>
      <c r="H237">
        <f>IF(AND(Table2[[#This Row],[STATES in numeric format]]=-1,F236=-1,F235=-1),1,0)</f>
        <v>0</v>
      </c>
      <c r="I237">
        <f>IF(AND(Table2[[#This Row],[STATES in numeric format]]=-1,F236=-1,F235=1),1,0)</f>
        <v>0</v>
      </c>
      <c r="J237">
        <f>IF(AND(Table2[[#This Row],[STATES in numeric format]]=-1,F236=1,F235=-1),1,0)</f>
        <v>0</v>
      </c>
      <c r="K237">
        <f>IF(AND(Table2[[#This Row],[STATES in numeric format]]=-1,F236=0,F235=0),1,0)</f>
        <v>0</v>
      </c>
      <c r="L237">
        <f>IF(AND(Table2[[#This Row],[STATES in numeric format]]=-1,F236=1,F235=0),1,0)</f>
        <v>0</v>
      </c>
      <c r="M237">
        <f>IF(AND(Table2[[#This Row],[STATES in numeric format]]=-1,F236=-1,F235=0),1,0)</f>
        <v>0</v>
      </c>
      <c r="N237">
        <f>IF(AND(Table2[[#This Row],[STATES in numeric format]]=-1,F236=0,F235=1),1,0)</f>
        <v>0</v>
      </c>
      <c r="O237">
        <f>IF(AND(Table2[[#This Row],[STATES in numeric format]]=-1,F236=0,F235=-1),1,0)</f>
        <v>0</v>
      </c>
      <c r="P237">
        <f>IF(AND(Table2[[#This Row],[STATES in numeric format]]=1,F236=1,F235=1),1,0)</f>
        <v>1</v>
      </c>
      <c r="Q237">
        <f>IF(AND(Table2[[#This Row],[STATES in numeric format]]=1,F236=-1,F235=-1),1,0)</f>
        <v>0</v>
      </c>
      <c r="R237">
        <f>IF(AND(Table2[[#This Row],[STATES in numeric format]]=1,F236=-1,F235=1),1,0)</f>
        <v>0</v>
      </c>
      <c r="S237">
        <f>IF(AND(Table2[[#This Row],[STATES in numeric format]]=1,F236=1,F235=-1),1,0)</f>
        <v>0</v>
      </c>
      <c r="T237">
        <f>IF(AND(Table2[[#This Row],[STATES in numeric format]]=1,F236=0,F235=0),1,0)</f>
        <v>0</v>
      </c>
      <c r="U237">
        <f>IF(AND(Table2[[#This Row],[STATES in numeric format]]=1,F236=1,F235=0),1,0)</f>
        <v>0</v>
      </c>
      <c r="V237">
        <f>IF(AND(Table2[[#This Row],[STATES in numeric format]]=1,F236=-1,F235=0),1,0)</f>
        <v>0</v>
      </c>
      <c r="W237">
        <f>IF(AND(Table2[[#This Row],[STATES in numeric format]]=1,F236=0,F235=1),1,0)</f>
        <v>0</v>
      </c>
      <c r="X237">
        <f>IF(AND(Table2[[#This Row],[STATES in numeric format]]=1,F236=0,F235=-1),1,0)</f>
        <v>0</v>
      </c>
      <c r="Y237">
        <f>IF(AND(Table2[[#This Row],[STATES in numeric format]]=0,F236=1,F235=1),1,0)</f>
        <v>0</v>
      </c>
      <c r="Z237">
        <f>IF(AND(Table2[[#This Row],[STATES in numeric format]]=0,F236=-1,F235=-1),1,0)</f>
        <v>0</v>
      </c>
      <c r="AA237">
        <f>IF(AND(Table2[[#This Row],[STATES in numeric format]]=0,F236=-1,F235=1),1,0)</f>
        <v>0</v>
      </c>
      <c r="AB237">
        <f>IF(AND(Table2[[#This Row],[STATES in numeric format]]=0,F236=1,F235=-1),1,0)</f>
        <v>0</v>
      </c>
      <c r="AC237">
        <f>IF(AND(Table2[[#This Row],[STATES in numeric format]]=0,F236=0,F235=0),1,0)</f>
        <v>0</v>
      </c>
      <c r="AD237">
        <f>IF(AND(Table2[[#This Row],[STATES in numeric format]]=0,F236=1,F235=0),1,0)</f>
        <v>0</v>
      </c>
      <c r="AE237">
        <f>IF(AND(Table2[[#This Row],[STATES in numeric format]]=0,F236=-1,F235=0),1,0)</f>
        <v>0</v>
      </c>
      <c r="AF237">
        <f>IF(AND(Table2[[#This Row],[STATES in numeric format]]=0,F236=0,F235=1),1,0)</f>
        <v>0</v>
      </c>
      <c r="AG237">
        <f>IF(AND(Table2[[#This Row],[STATES in numeric format]]=0,F236=0,F235=-1),1,0)</f>
        <v>0</v>
      </c>
    </row>
    <row r="238" spans="1:33" x14ac:dyDescent="0.3">
      <c r="A238" s="1">
        <v>44174</v>
      </c>
      <c r="B238">
        <v>46103.5</v>
      </c>
      <c r="C238">
        <f>Table2[[#This Row],[Close]]-0.001*Table2[[#This Row],[Close]]</f>
        <v>46057.396500000003</v>
      </c>
      <c r="D238">
        <f>Table2[[#This Row],[Close]]+0.001*Table2[[#This Row],[Close]]</f>
        <v>46149.603499999997</v>
      </c>
      <c r="E238" t="str">
        <f>IF(Table2[[#This Row],[Close]]&gt;D237,"up",IF(Table2[[#This Row],[Close]]&lt;C237,"down","constant"))</f>
        <v>up</v>
      </c>
      <c r="F238" s="3">
        <f>IF(Table2[[#This Row],[States]]="up",1,IF(Table2[[#This Row],[States]]="down",-1,0))</f>
        <v>1</v>
      </c>
      <c r="G238">
        <f>IF(AND(Table2[[#This Row],[STATES in numeric format]]=-1,F237=1,F236=1),1,0)</f>
        <v>0</v>
      </c>
      <c r="H238">
        <f>IF(AND(Table2[[#This Row],[STATES in numeric format]]=-1,F237=-1,F236=-1),1,0)</f>
        <v>0</v>
      </c>
      <c r="I238">
        <f>IF(AND(Table2[[#This Row],[STATES in numeric format]]=-1,F237=-1,F236=1),1,0)</f>
        <v>0</v>
      </c>
      <c r="J238">
        <f>IF(AND(Table2[[#This Row],[STATES in numeric format]]=-1,F237=1,F236=-1),1,0)</f>
        <v>0</v>
      </c>
      <c r="K238">
        <f>IF(AND(Table2[[#This Row],[STATES in numeric format]]=-1,F237=0,F236=0),1,0)</f>
        <v>0</v>
      </c>
      <c r="L238">
        <f>IF(AND(Table2[[#This Row],[STATES in numeric format]]=-1,F237=1,F236=0),1,0)</f>
        <v>0</v>
      </c>
      <c r="M238">
        <f>IF(AND(Table2[[#This Row],[STATES in numeric format]]=-1,F237=-1,F236=0),1,0)</f>
        <v>0</v>
      </c>
      <c r="N238">
        <f>IF(AND(Table2[[#This Row],[STATES in numeric format]]=-1,F237=0,F236=1),1,0)</f>
        <v>0</v>
      </c>
      <c r="O238">
        <f>IF(AND(Table2[[#This Row],[STATES in numeric format]]=-1,F237=0,F236=-1),1,0)</f>
        <v>0</v>
      </c>
      <c r="P238">
        <f>IF(AND(Table2[[#This Row],[STATES in numeric format]]=1,F237=1,F236=1),1,0)</f>
        <v>1</v>
      </c>
      <c r="Q238">
        <f>IF(AND(Table2[[#This Row],[STATES in numeric format]]=1,F237=-1,F236=-1),1,0)</f>
        <v>0</v>
      </c>
      <c r="R238">
        <f>IF(AND(Table2[[#This Row],[STATES in numeric format]]=1,F237=-1,F236=1),1,0)</f>
        <v>0</v>
      </c>
      <c r="S238">
        <f>IF(AND(Table2[[#This Row],[STATES in numeric format]]=1,F237=1,F236=-1),1,0)</f>
        <v>0</v>
      </c>
      <c r="T238">
        <f>IF(AND(Table2[[#This Row],[STATES in numeric format]]=1,F237=0,F236=0),1,0)</f>
        <v>0</v>
      </c>
      <c r="U238">
        <f>IF(AND(Table2[[#This Row],[STATES in numeric format]]=1,F237=1,F236=0),1,0)</f>
        <v>0</v>
      </c>
      <c r="V238">
        <f>IF(AND(Table2[[#This Row],[STATES in numeric format]]=1,F237=-1,F236=0),1,0)</f>
        <v>0</v>
      </c>
      <c r="W238">
        <f>IF(AND(Table2[[#This Row],[STATES in numeric format]]=1,F237=0,F236=1),1,0)</f>
        <v>0</v>
      </c>
      <c r="X238">
        <f>IF(AND(Table2[[#This Row],[STATES in numeric format]]=1,F237=0,F236=-1),1,0)</f>
        <v>0</v>
      </c>
      <c r="Y238">
        <f>IF(AND(Table2[[#This Row],[STATES in numeric format]]=0,F237=1,F236=1),1,0)</f>
        <v>0</v>
      </c>
      <c r="Z238">
        <f>IF(AND(Table2[[#This Row],[STATES in numeric format]]=0,F237=-1,F236=-1),1,0)</f>
        <v>0</v>
      </c>
      <c r="AA238">
        <f>IF(AND(Table2[[#This Row],[STATES in numeric format]]=0,F237=-1,F236=1),1,0)</f>
        <v>0</v>
      </c>
      <c r="AB238">
        <f>IF(AND(Table2[[#This Row],[STATES in numeric format]]=0,F237=1,F236=-1),1,0)</f>
        <v>0</v>
      </c>
      <c r="AC238">
        <f>IF(AND(Table2[[#This Row],[STATES in numeric format]]=0,F237=0,F236=0),1,0)</f>
        <v>0</v>
      </c>
      <c r="AD238">
        <f>IF(AND(Table2[[#This Row],[STATES in numeric format]]=0,F237=1,F236=0),1,0)</f>
        <v>0</v>
      </c>
      <c r="AE238">
        <f>IF(AND(Table2[[#This Row],[STATES in numeric format]]=0,F237=-1,F236=0),1,0)</f>
        <v>0</v>
      </c>
      <c r="AF238">
        <f>IF(AND(Table2[[#This Row],[STATES in numeric format]]=0,F237=0,F236=1),1,0)</f>
        <v>0</v>
      </c>
      <c r="AG238">
        <f>IF(AND(Table2[[#This Row],[STATES in numeric format]]=0,F237=0,F236=-1),1,0)</f>
        <v>0</v>
      </c>
    </row>
    <row r="239" spans="1:33" x14ac:dyDescent="0.3">
      <c r="A239" s="1">
        <v>44175</v>
      </c>
      <c r="B239">
        <v>45959.88</v>
      </c>
      <c r="C239">
        <f>Table2[[#This Row],[Close]]-0.001*Table2[[#This Row],[Close]]</f>
        <v>45913.920119999995</v>
      </c>
      <c r="D239">
        <f>Table2[[#This Row],[Close]]+0.001*Table2[[#This Row],[Close]]</f>
        <v>46005.83988</v>
      </c>
      <c r="E239" t="str">
        <f>IF(Table2[[#This Row],[Close]]&gt;D238,"up",IF(Table2[[#This Row],[Close]]&lt;C238,"down","constant"))</f>
        <v>down</v>
      </c>
      <c r="F239" s="3">
        <f>IF(Table2[[#This Row],[States]]="up",1,IF(Table2[[#This Row],[States]]="down",-1,0))</f>
        <v>-1</v>
      </c>
      <c r="G239">
        <f>IF(AND(Table2[[#This Row],[STATES in numeric format]]=-1,F238=1,F237=1),1,0)</f>
        <v>1</v>
      </c>
      <c r="H239">
        <f>IF(AND(Table2[[#This Row],[STATES in numeric format]]=-1,F238=-1,F237=-1),1,0)</f>
        <v>0</v>
      </c>
      <c r="I239">
        <f>IF(AND(Table2[[#This Row],[STATES in numeric format]]=-1,F238=-1,F237=1),1,0)</f>
        <v>0</v>
      </c>
      <c r="J239">
        <f>IF(AND(Table2[[#This Row],[STATES in numeric format]]=-1,F238=1,F237=-1),1,0)</f>
        <v>0</v>
      </c>
      <c r="K239">
        <f>IF(AND(Table2[[#This Row],[STATES in numeric format]]=-1,F238=0,F237=0),1,0)</f>
        <v>0</v>
      </c>
      <c r="L239">
        <f>IF(AND(Table2[[#This Row],[STATES in numeric format]]=-1,F238=1,F237=0),1,0)</f>
        <v>0</v>
      </c>
      <c r="M239">
        <f>IF(AND(Table2[[#This Row],[STATES in numeric format]]=-1,F238=-1,F237=0),1,0)</f>
        <v>0</v>
      </c>
      <c r="N239">
        <f>IF(AND(Table2[[#This Row],[STATES in numeric format]]=-1,F238=0,F237=1),1,0)</f>
        <v>0</v>
      </c>
      <c r="O239">
        <f>IF(AND(Table2[[#This Row],[STATES in numeric format]]=-1,F238=0,F237=-1),1,0)</f>
        <v>0</v>
      </c>
      <c r="P239">
        <f>IF(AND(Table2[[#This Row],[STATES in numeric format]]=1,F238=1,F237=1),1,0)</f>
        <v>0</v>
      </c>
      <c r="Q239">
        <f>IF(AND(Table2[[#This Row],[STATES in numeric format]]=1,F238=-1,F237=-1),1,0)</f>
        <v>0</v>
      </c>
      <c r="R239">
        <f>IF(AND(Table2[[#This Row],[STATES in numeric format]]=1,F238=-1,F237=1),1,0)</f>
        <v>0</v>
      </c>
      <c r="S239">
        <f>IF(AND(Table2[[#This Row],[STATES in numeric format]]=1,F238=1,F237=-1),1,0)</f>
        <v>0</v>
      </c>
      <c r="T239">
        <f>IF(AND(Table2[[#This Row],[STATES in numeric format]]=1,F238=0,F237=0),1,0)</f>
        <v>0</v>
      </c>
      <c r="U239">
        <f>IF(AND(Table2[[#This Row],[STATES in numeric format]]=1,F238=1,F237=0),1,0)</f>
        <v>0</v>
      </c>
      <c r="V239">
        <f>IF(AND(Table2[[#This Row],[STATES in numeric format]]=1,F238=-1,F237=0),1,0)</f>
        <v>0</v>
      </c>
      <c r="W239">
        <f>IF(AND(Table2[[#This Row],[STATES in numeric format]]=1,F238=0,F237=1),1,0)</f>
        <v>0</v>
      </c>
      <c r="X239">
        <f>IF(AND(Table2[[#This Row],[STATES in numeric format]]=1,F238=0,F237=-1),1,0)</f>
        <v>0</v>
      </c>
      <c r="Y239">
        <f>IF(AND(Table2[[#This Row],[STATES in numeric format]]=0,F238=1,F237=1),1,0)</f>
        <v>0</v>
      </c>
      <c r="Z239">
        <f>IF(AND(Table2[[#This Row],[STATES in numeric format]]=0,F238=-1,F237=-1),1,0)</f>
        <v>0</v>
      </c>
      <c r="AA239">
        <f>IF(AND(Table2[[#This Row],[STATES in numeric format]]=0,F238=-1,F237=1),1,0)</f>
        <v>0</v>
      </c>
      <c r="AB239">
        <f>IF(AND(Table2[[#This Row],[STATES in numeric format]]=0,F238=1,F237=-1),1,0)</f>
        <v>0</v>
      </c>
      <c r="AC239">
        <f>IF(AND(Table2[[#This Row],[STATES in numeric format]]=0,F238=0,F237=0),1,0)</f>
        <v>0</v>
      </c>
      <c r="AD239">
        <f>IF(AND(Table2[[#This Row],[STATES in numeric format]]=0,F238=1,F237=0),1,0)</f>
        <v>0</v>
      </c>
      <c r="AE239">
        <f>IF(AND(Table2[[#This Row],[STATES in numeric format]]=0,F238=-1,F237=0),1,0)</f>
        <v>0</v>
      </c>
      <c r="AF239">
        <f>IF(AND(Table2[[#This Row],[STATES in numeric format]]=0,F238=0,F237=1),1,0)</f>
        <v>0</v>
      </c>
      <c r="AG239">
        <f>IF(AND(Table2[[#This Row],[STATES in numeric format]]=0,F238=0,F237=-1),1,0)</f>
        <v>0</v>
      </c>
    </row>
    <row r="240" spans="1:33" x14ac:dyDescent="0.3">
      <c r="A240" s="1">
        <v>44176</v>
      </c>
      <c r="B240">
        <v>46099.01</v>
      </c>
      <c r="C240">
        <f>Table2[[#This Row],[Close]]-0.001*Table2[[#This Row],[Close]]</f>
        <v>46052.910990000004</v>
      </c>
      <c r="D240">
        <f>Table2[[#This Row],[Close]]+0.001*Table2[[#This Row],[Close]]</f>
        <v>46145.10901</v>
      </c>
      <c r="E240" t="str">
        <f>IF(Table2[[#This Row],[Close]]&gt;D239,"up",IF(Table2[[#This Row],[Close]]&lt;C239,"down","constant"))</f>
        <v>up</v>
      </c>
      <c r="F240" s="3">
        <f>IF(Table2[[#This Row],[States]]="up",1,IF(Table2[[#This Row],[States]]="down",-1,0))</f>
        <v>1</v>
      </c>
      <c r="G240">
        <f>IF(AND(Table2[[#This Row],[STATES in numeric format]]=-1,F239=1,F238=1),1,0)</f>
        <v>0</v>
      </c>
      <c r="H240">
        <f>IF(AND(Table2[[#This Row],[STATES in numeric format]]=-1,F239=-1,F238=-1),1,0)</f>
        <v>0</v>
      </c>
      <c r="I240">
        <f>IF(AND(Table2[[#This Row],[STATES in numeric format]]=-1,F239=-1,F238=1),1,0)</f>
        <v>0</v>
      </c>
      <c r="J240">
        <f>IF(AND(Table2[[#This Row],[STATES in numeric format]]=-1,F239=1,F238=-1),1,0)</f>
        <v>0</v>
      </c>
      <c r="K240">
        <f>IF(AND(Table2[[#This Row],[STATES in numeric format]]=-1,F239=0,F238=0),1,0)</f>
        <v>0</v>
      </c>
      <c r="L240">
        <f>IF(AND(Table2[[#This Row],[STATES in numeric format]]=-1,F239=1,F238=0),1,0)</f>
        <v>0</v>
      </c>
      <c r="M240">
        <f>IF(AND(Table2[[#This Row],[STATES in numeric format]]=-1,F239=-1,F238=0),1,0)</f>
        <v>0</v>
      </c>
      <c r="N240">
        <f>IF(AND(Table2[[#This Row],[STATES in numeric format]]=-1,F239=0,F238=1),1,0)</f>
        <v>0</v>
      </c>
      <c r="O240">
        <f>IF(AND(Table2[[#This Row],[STATES in numeric format]]=-1,F239=0,F238=-1),1,0)</f>
        <v>0</v>
      </c>
      <c r="P240">
        <f>IF(AND(Table2[[#This Row],[STATES in numeric format]]=1,F239=1,F238=1),1,0)</f>
        <v>0</v>
      </c>
      <c r="Q240">
        <f>IF(AND(Table2[[#This Row],[STATES in numeric format]]=1,F239=-1,F238=-1),1,0)</f>
        <v>0</v>
      </c>
      <c r="R240">
        <f>IF(AND(Table2[[#This Row],[STATES in numeric format]]=1,F239=-1,F238=1),1,0)</f>
        <v>1</v>
      </c>
      <c r="S240">
        <f>IF(AND(Table2[[#This Row],[STATES in numeric format]]=1,F239=1,F238=-1),1,0)</f>
        <v>0</v>
      </c>
      <c r="T240">
        <f>IF(AND(Table2[[#This Row],[STATES in numeric format]]=1,F239=0,F238=0),1,0)</f>
        <v>0</v>
      </c>
      <c r="U240">
        <f>IF(AND(Table2[[#This Row],[STATES in numeric format]]=1,F239=1,F238=0),1,0)</f>
        <v>0</v>
      </c>
      <c r="V240">
        <f>IF(AND(Table2[[#This Row],[STATES in numeric format]]=1,F239=-1,F238=0),1,0)</f>
        <v>0</v>
      </c>
      <c r="W240">
        <f>IF(AND(Table2[[#This Row],[STATES in numeric format]]=1,F239=0,F238=1),1,0)</f>
        <v>0</v>
      </c>
      <c r="X240">
        <f>IF(AND(Table2[[#This Row],[STATES in numeric format]]=1,F239=0,F238=-1),1,0)</f>
        <v>0</v>
      </c>
      <c r="Y240">
        <f>IF(AND(Table2[[#This Row],[STATES in numeric format]]=0,F239=1,F238=1),1,0)</f>
        <v>0</v>
      </c>
      <c r="Z240">
        <f>IF(AND(Table2[[#This Row],[STATES in numeric format]]=0,F239=-1,F238=-1),1,0)</f>
        <v>0</v>
      </c>
      <c r="AA240">
        <f>IF(AND(Table2[[#This Row],[STATES in numeric format]]=0,F239=-1,F238=1),1,0)</f>
        <v>0</v>
      </c>
      <c r="AB240">
        <f>IF(AND(Table2[[#This Row],[STATES in numeric format]]=0,F239=1,F238=-1),1,0)</f>
        <v>0</v>
      </c>
      <c r="AC240">
        <f>IF(AND(Table2[[#This Row],[STATES in numeric format]]=0,F239=0,F238=0),1,0)</f>
        <v>0</v>
      </c>
      <c r="AD240">
        <f>IF(AND(Table2[[#This Row],[STATES in numeric format]]=0,F239=1,F238=0),1,0)</f>
        <v>0</v>
      </c>
      <c r="AE240">
        <f>IF(AND(Table2[[#This Row],[STATES in numeric format]]=0,F239=-1,F238=0),1,0)</f>
        <v>0</v>
      </c>
      <c r="AF240">
        <f>IF(AND(Table2[[#This Row],[STATES in numeric format]]=0,F239=0,F238=1),1,0)</f>
        <v>0</v>
      </c>
      <c r="AG240">
        <f>IF(AND(Table2[[#This Row],[STATES in numeric format]]=0,F239=0,F238=-1),1,0)</f>
        <v>0</v>
      </c>
    </row>
    <row r="241" spans="1:33" x14ac:dyDescent="0.3">
      <c r="A241" s="1">
        <v>44179</v>
      </c>
      <c r="B241">
        <v>46253.46</v>
      </c>
      <c r="C241">
        <f>Table2[[#This Row],[Close]]-0.001*Table2[[#This Row],[Close]]</f>
        <v>46207.206539999999</v>
      </c>
      <c r="D241">
        <f>Table2[[#This Row],[Close]]+0.001*Table2[[#This Row],[Close]]</f>
        <v>46299.713459999999</v>
      </c>
      <c r="E241" t="str">
        <f>IF(Table2[[#This Row],[Close]]&gt;D240,"up",IF(Table2[[#This Row],[Close]]&lt;C240,"down","constant"))</f>
        <v>up</v>
      </c>
      <c r="F241" s="3">
        <f>IF(Table2[[#This Row],[States]]="up",1,IF(Table2[[#This Row],[States]]="down",-1,0))</f>
        <v>1</v>
      </c>
      <c r="G241">
        <f>IF(AND(Table2[[#This Row],[STATES in numeric format]]=-1,F240=1,F239=1),1,0)</f>
        <v>0</v>
      </c>
      <c r="H241">
        <f>IF(AND(Table2[[#This Row],[STATES in numeric format]]=-1,F240=-1,F239=-1),1,0)</f>
        <v>0</v>
      </c>
      <c r="I241">
        <f>IF(AND(Table2[[#This Row],[STATES in numeric format]]=-1,F240=-1,F239=1),1,0)</f>
        <v>0</v>
      </c>
      <c r="J241">
        <f>IF(AND(Table2[[#This Row],[STATES in numeric format]]=-1,F240=1,F239=-1),1,0)</f>
        <v>0</v>
      </c>
      <c r="K241">
        <f>IF(AND(Table2[[#This Row],[STATES in numeric format]]=-1,F240=0,F239=0),1,0)</f>
        <v>0</v>
      </c>
      <c r="L241">
        <f>IF(AND(Table2[[#This Row],[STATES in numeric format]]=-1,F240=1,F239=0),1,0)</f>
        <v>0</v>
      </c>
      <c r="M241">
        <f>IF(AND(Table2[[#This Row],[STATES in numeric format]]=-1,F240=-1,F239=0),1,0)</f>
        <v>0</v>
      </c>
      <c r="N241">
        <f>IF(AND(Table2[[#This Row],[STATES in numeric format]]=-1,F240=0,F239=1),1,0)</f>
        <v>0</v>
      </c>
      <c r="O241">
        <f>IF(AND(Table2[[#This Row],[STATES in numeric format]]=-1,F240=0,F239=-1),1,0)</f>
        <v>0</v>
      </c>
      <c r="P241">
        <f>IF(AND(Table2[[#This Row],[STATES in numeric format]]=1,F240=1,F239=1),1,0)</f>
        <v>0</v>
      </c>
      <c r="Q241">
        <f>IF(AND(Table2[[#This Row],[STATES in numeric format]]=1,F240=-1,F239=-1),1,0)</f>
        <v>0</v>
      </c>
      <c r="R241">
        <f>IF(AND(Table2[[#This Row],[STATES in numeric format]]=1,F240=-1,F239=1),1,0)</f>
        <v>0</v>
      </c>
      <c r="S241">
        <f>IF(AND(Table2[[#This Row],[STATES in numeric format]]=1,F240=1,F239=-1),1,0)</f>
        <v>1</v>
      </c>
      <c r="T241">
        <f>IF(AND(Table2[[#This Row],[STATES in numeric format]]=1,F240=0,F239=0),1,0)</f>
        <v>0</v>
      </c>
      <c r="U241">
        <f>IF(AND(Table2[[#This Row],[STATES in numeric format]]=1,F240=1,F239=0),1,0)</f>
        <v>0</v>
      </c>
      <c r="V241">
        <f>IF(AND(Table2[[#This Row],[STATES in numeric format]]=1,F240=-1,F239=0),1,0)</f>
        <v>0</v>
      </c>
      <c r="W241">
        <f>IF(AND(Table2[[#This Row],[STATES in numeric format]]=1,F240=0,F239=1),1,0)</f>
        <v>0</v>
      </c>
      <c r="X241">
        <f>IF(AND(Table2[[#This Row],[STATES in numeric format]]=1,F240=0,F239=-1),1,0)</f>
        <v>0</v>
      </c>
      <c r="Y241">
        <f>IF(AND(Table2[[#This Row],[STATES in numeric format]]=0,F240=1,F239=1),1,0)</f>
        <v>0</v>
      </c>
      <c r="Z241">
        <f>IF(AND(Table2[[#This Row],[STATES in numeric format]]=0,F240=-1,F239=-1),1,0)</f>
        <v>0</v>
      </c>
      <c r="AA241">
        <f>IF(AND(Table2[[#This Row],[STATES in numeric format]]=0,F240=-1,F239=1),1,0)</f>
        <v>0</v>
      </c>
      <c r="AB241">
        <f>IF(AND(Table2[[#This Row],[STATES in numeric format]]=0,F240=1,F239=-1),1,0)</f>
        <v>0</v>
      </c>
      <c r="AC241">
        <f>IF(AND(Table2[[#This Row],[STATES in numeric format]]=0,F240=0,F239=0),1,0)</f>
        <v>0</v>
      </c>
      <c r="AD241">
        <f>IF(AND(Table2[[#This Row],[STATES in numeric format]]=0,F240=1,F239=0),1,0)</f>
        <v>0</v>
      </c>
      <c r="AE241">
        <f>IF(AND(Table2[[#This Row],[STATES in numeric format]]=0,F240=-1,F239=0),1,0)</f>
        <v>0</v>
      </c>
      <c r="AF241">
        <f>IF(AND(Table2[[#This Row],[STATES in numeric format]]=0,F240=0,F239=1),1,0)</f>
        <v>0</v>
      </c>
      <c r="AG241">
        <f>IF(AND(Table2[[#This Row],[STATES in numeric format]]=0,F240=0,F239=-1),1,0)</f>
        <v>0</v>
      </c>
    </row>
    <row r="242" spans="1:33" x14ac:dyDescent="0.3">
      <c r="A242" s="1">
        <v>44180</v>
      </c>
      <c r="B242">
        <v>46263.17</v>
      </c>
      <c r="C242">
        <f>Table2[[#This Row],[Close]]-0.001*Table2[[#This Row],[Close]]</f>
        <v>46216.90683</v>
      </c>
      <c r="D242">
        <f>Table2[[#This Row],[Close]]+0.001*Table2[[#This Row],[Close]]</f>
        <v>46309.433169999997</v>
      </c>
      <c r="E242" t="str">
        <f>IF(Table2[[#This Row],[Close]]&gt;D241,"up",IF(Table2[[#This Row],[Close]]&lt;C241,"down","constant"))</f>
        <v>constant</v>
      </c>
      <c r="F242" s="3">
        <f>IF(Table2[[#This Row],[States]]="up",1,IF(Table2[[#This Row],[States]]="down",-1,0))</f>
        <v>0</v>
      </c>
      <c r="G242">
        <f>IF(AND(Table2[[#This Row],[STATES in numeric format]]=-1,F241=1,F240=1),1,0)</f>
        <v>0</v>
      </c>
      <c r="H242">
        <f>IF(AND(Table2[[#This Row],[STATES in numeric format]]=-1,F241=-1,F240=-1),1,0)</f>
        <v>0</v>
      </c>
      <c r="I242">
        <f>IF(AND(Table2[[#This Row],[STATES in numeric format]]=-1,F241=-1,F240=1),1,0)</f>
        <v>0</v>
      </c>
      <c r="J242">
        <f>IF(AND(Table2[[#This Row],[STATES in numeric format]]=-1,F241=1,F240=-1),1,0)</f>
        <v>0</v>
      </c>
      <c r="K242">
        <f>IF(AND(Table2[[#This Row],[STATES in numeric format]]=-1,F241=0,F240=0),1,0)</f>
        <v>0</v>
      </c>
      <c r="L242">
        <f>IF(AND(Table2[[#This Row],[STATES in numeric format]]=-1,F241=1,F240=0),1,0)</f>
        <v>0</v>
      </c>
      <c r="M242">
        <f>IF(AND(Table2[[#This Row],[STATES in numeric format]]=-1,F241=-1,F240=0),1,0)</f>
        <v>0</v>
      </c>
      <c r="N242">
        <f>IF(AND(Table2[[#This Row],[STATES in numeric format]]=-1,F241=0,F240=1),1,0)</f>
        <v>0</v>
      </c>
      <c r="O242">
        <f>IF(AND(Table2[[#This Row],[STATES in numeric format]]=-1,F241=0,F240=-1),1,0)</f>
        <v>0</v>
      </c>
      <c r="P242">
        <f>IF(AND(Table2[[#This Row],[STATES in numeric format]]=1,F241=1,F240=1),1,0)</f>
        <v>0</v>
      </c>
      <c r="Q242">
        <f>IF(AND(Table2[[#This Row],[STATES in numeric format]]=1,F241=-1,F240=-1),1,0)</f>
        <v>0</v>
      </c>
      <c r="R242">
        <f>IF(AND(Table2[[#This Row],[STATES in numeric format]]=1,F241=-1,F240=1),1,0)</f>
        <v>0</v>
      </c>
      <c r="S242">
        <f>IF(AND(Table2[[#This Row],[STATES in numeric format]]=1,F241=1,F240=-1),1,0)</f>
        <v>0</v>
      </c>
      <c r="T242">
        <f>IF(AND(Table2[[#This Row],[STATES in numeric format]]=1,F241=0,F240=0),1,0)</f>
        <v>0</v>
      </c>
      <c r="U242">
        <f>IF(AND(Table2[[#This Row],[STATES in numeric format]]=1,F241=1,F240=0),1,0)</f>
        <v>0</v>
      </c>
      <c r="V242">
        <f>IF(AND(Table2[[#This Row],[STATES in numeric format]]=1,F241=-1,F240=0),1,0)</f>
        <v>0</v>
      </c>
      <c r="W242">
        <f>IF(AND(Table2[[#This Row],[STATES in numeric format]]=1,F241=0,F240=1),1,0)</f>
        <v>0</v>
      </c>
      <c r="X242">
        <f>IF(AND(Table2[[#This Row],[STATES in numeric format]]=1,F241=0,F240=-1),1,0)</f>
        <v>0</v>
      </c>
      <c r="Y242">
        <f>IF(AND(Table2[[#This Row],[STATES in numeric format]]=0,F241=1,F240=1),1,0)</f>
        <v>1</v>
      </c>
      <c r="Z242">
        <f>IF(AND(Table2[[#This Row],[STATES in numeric format]]=0,F241=-1,F240=-1),1,0)</f>
        <v>0</v>
      </c>
      <c r="AA242">
        <f>IF(AND(Table2[[#This Row],[STATES in numeric format]]=0,F241=-1,F240=1),1,0)</f>
        <v>0</v>
      </c>
      <c r="AB242">
        <f>IF(AND(Table2[[#This Row],[STATES in numeric format]]=0,F241=1,F240=-1),1,0)</f>
        <v>0</v>
      </c>
      <c r="AC242">
        <f>IF(AND(Table2[[#This Row],[STATES in numeric format]]=0,F241=0,F240=0),1,0)</f>
        <v>0</v>
      </c>
      <c r="AD242">
        <f>IF(AND(Table2[[#This Row],[STATES in numeric format]]=0,F241=1,F240=0),1,0)</f>
        <v>0</v>
      </c>
      <c r="AE242">
        <f>IF(AND(Table2[[#This Row],[STATES in numeric format]]=0,F241=-1,F240=0),1,0)</f>
        <v>0</v>
      </c>
      <c r="AF242">
        <f>IF(AND(Table2[[#This Row],[STATES in numeric format]]=0,F241=0,F240=1),1,0)</f>
        <v>0</v>
      </c>
      <c r="AG242">
        <f>IF(AND(Table2[[#This Row],[STATES in numeric format]]=0,F241=0,F240=-1),1,0)</f>
        <v>0</v>
      </c>
    </row>
    <row r="243" spans="1:33" x14ac:dyDescent="0.3">
      <c r="A243" s="1">
        <v>44181</v>
      </c>
      <c r="B243">
        <v>46666.46</v>
      </c>
      <c r="C243">
        <f>Table2[[#This Row],[Close]]-0.001*Table2[[#This Row],[Close]]</f>
        <v>46619.793539999999</v>
      </c>
      <c r="D243">
        <f>Table2[[#This Row],[Close]]+0.001*Table2[[#This Row],[Close]]</f>
        <v>46713.126459999999</v>
      </c>
      <c r="E243" t="str">
        <f>IF(Table2[[#This Row],[Close]]&gt;D242,"up",IF(Table2[[#This Row],[Close]]&lt;C242,"down","constant"))</f>
        <v>up</v>
      </c>
      <c r="F243" s="3">
        <f>IF(Table2[[#This Row],[States]]="up",1,IF(Table2[[#This Row],[States]]="down",-1,0))</f>
        <v>1</v>
      </c>
      <c r="G243">
        <f>IF(AND(Table2[[#This Row],[STATES in numeric format]]=-1,F242=1,F241=1),1,0)</f>
        <v>0</v>
      </c>
      <c r="H243">
        <f>IF(AND(Table2[[#This Row],[STATES in numeric format]]=-1,F242=-1,F241=-1),1,0)</f>
        <v>0</v>
      </c>
      <c r="I243">
        <f>IF(AND(Table2[[#This Row],[STATES in numeric format]]=-1,F242=-1,F241=1),1,0)</f>
        <v>0</v>
      </c>
      <c r="J243">
        <f>IF(AND(Table2[[#This Row],[STATES in numeric format]]=-1,F242=1,F241=-1),1,0)</f>
        <v>0</v>
      </c>
      <c r="K243">
        <f>IF(AND(Table2[[#This Row],[STATES in numeric format]]=-1,F242=0,F241=0),1,0)</f>
        <v>0</v>
      </c>
      <c r="L243">
        <f>IF(AND(Table2[[#This Row],[STATES in numeric format]]=-1,F242=1,F241=0),1,0)</f>
        <v>0</v>
      </c>
      <c r="M243">
        <f>IF(AND(Table2[[#This Row],[STATES in numeric format]]=-1,F242=-1,F241=0),1,0)</f>
        <v>0</v>
      </c>
      <c r="N243">
        <f>IF(AND(Table2[[#This Row],[STATES in numeric format]]=-1,F242=0,F241=1),1,0)</f>
        <v>0</v>
      </c>
      <c r="O243">
        <f>IF(AND(Table2[[#This Row],[STATES in numeric format]]=-1,F242=0,F241=-1),1,0)</f>
        <v>0</v>
      </c>
      <c r="P243">
        <f>IF(AND(Table2[[#This Row],[STATES in numeric format]]=1,F242=1,F241=1),1,0)</f>
        <v>0</v>
      </c>
      <c r="Q243">
        <f>IF(AND(Table2[[#This Row],[STATES in numeric format]]=1,F242=-1,F241=-1),1,0)</f>
        <v>0</v>
      </c>
      <c r="R243">
        <f>IF(AND(Table2[[#This Row],[STATES in numeric format]]=1,F242=-1,F241=1),1,0)</f>
        <v>0</v>
      </c>
      <c r="S243">
        <f>IF(AND(Table2[[#This Row],[STATES in numeric format]]=1,F242=1,F241=-1),1,0)</f>
        <v>0</v>
      </c>
      <c r="T243">
        <f>IF(AND(Table2[[#This Row],[STATES in numeric format]]=1,F242=0,F241=0),1,0)</f>
        <v>0</v>
      </c>
      <c r="U243">
        <f>IF(AND(Table2[[#This Row],[STATES in numeric format]]=1,F242=1,F241=0),1,0)</f>
        <v>0</v>
      </c>
      <c r="V243">
        <f>IF(AND(Table2[[#This Row],[STATES in numeric format]]=1,F242=-1,F241=0),1,0)</f>
        <v>0</v>
      </c>
      <c r="W243">
        <f>IF(AND(Table2[[#This Row],[STATES in numeric format]]=1,F242=0,F241=1),1,0)</f>
        <v>1</v>
      </c>
      <c r="X243">
        <f>IF(AND(Table2[[#This Row],[STATES in numeric format]]=1,F242=0,F241=-1),1,0)</f>
        <v>0</v>
      </c>
      <c r="Y243">
        <f>IF(AND(Table2[[#This Row],[STATES in numeric format]]=0,F242=1,F241=1),1,0)</f>
        <v>0</v>
      </c>
      <c r="Z243">
        <f>IF(AND(Table2[[#This Row],[STATES in numeric format]]=0,F242=-1,F241=-1),1,0)</f>
        <v>0</v>
      </c>
      <c r="AA243">
        <f>IF(AND(Table2[[#This Row],[STATES in numeric format]]=0,F242=-1,F241=1),1,0)</f>
        <v>0</v>
      </c>
      <c r="AB243">
        <f>IF(AND(Table2[[#This Row],[STATES in numeric format]]=0,F242=1,F241=-1),1,0)</f>
        <v>0</v>
      </c>
      <c r="AC243">
        <f>IF(AND(Table2[[#This Row],[STATES in numeric format]]=0,F242=0,F241=0),1,0)</f>
        <v>0</v>
      </c>
      <c r="AD243">
        <f>IF(AND(Table2[[#This Row],[STATES in numeric format]]=0,F242=1,F241=0),1,0)</f>
        <v>0</v>
      </c>
      <c r="AE243">
        <f>IF(AND(Table2[[#This Row],[STATES in numeric format]]=0,F242=-1,F241=0),1,0)</f>
        <v>0</v>
      </c>
      <c r="AF243">
        <f>IF(AND(Table2[[#This Row],[STATES in numeric format]]=0,F242=0,F241=1),1,0)</f>
        <v>0</v>
      </c>
      <c r="AG243">
        <f>IF(AND(Table2[[#This Row],[STATES in numeric format]]=0,F242=0,F241=-1),1,0)</f>
        <v>0</v>
      </c>
    </row>
    <row r="244" spans="1:33" x14ac:dyDescent="0.3">
      <c r="A244" s="1">
        <v>44182</v>
      </c>
      <c r="B244">
        <v>46890.34</v>
      </c>
      <c r="C244">
        <f>Table2[[#This Row],[Close]]-0.001*Table2[[#This Row],[Close]]</f>
        <v>46843.449659999998</v>
      </c>
      <c r="D244">
        <f>Table2[[#This Row],[Close]]+0.001*Table2[[#This Row],[Close]]</f>
        <v>46937.230339999995</v>
      </c>
      <c r="E244" t="str">
        <f>IF(Table2[[#This Row],[Close]]&gt;D243,"up",IF(Table2[[#This Row],[Close]]&lt;C243,"down","constant"))</f>
        <v>up</v>
      </c>
      <c r="F244" s="3">
        <f>IF(Table2[[#This Row],[States]]="up",1,IF(Table2[[#This Row],[States]]="down",-1,0))</f>
        <v>1</v>
      </c>
      <c r="G244">
        <f>IF(AND(Table2[[#This Row],[STATES in numeric format]]=-1,F243=1,F242=1),1,0)</f>
        <v>0</v>
      </c>
      <c r="H244">
        <f>IF(AND(Table2[[#This Row],[STATES in numeric format]]=-1,F243=-1,F242=-1),1,0)</f>
        <v>0</v>
      </c>
      <c r="I244">
        <f>IF(AND(Table2[[#This Row],[STATES in numeric format]]=-1,F243=-1,F242=1),1,0)</f>
        <v>0</v>
      </c>
      <c r="J244">
        <f>IF(AND(Table2[[#This Row],[STATES in numeric format]]=-1,F243=1,F242=-1),1,0)</f>
        <v>0</v>
      </c>
      <c r="K244">
        <f>IF(AND(Table2[[#This Row],[STATES in numeric format]]=-1,F243=0,F242=0),1,0)</f>
        <v>0</v>
      </c>
      <c r="L244">
        <f>IF(AND(Table2[[#This Row],[STATES in numeric format]]=-1,F243=1,F242=0),1,0)</f>
        <v>0</v>
      </c>
      <c r="M244">
        <f>IF(AND(Table2[[#This Row],[STATES in numeric format]]=-1,F243=-1,F242=0),1,0)</f>
        <v>0</v>
      </c>
      <c r="N244">
        <f>IF(AND(Table2[[#This Row],[STATES in numeric format]]=-1,F243=0,F242=1),1,0)</f>
        <v>0</v>
      </c>
      <c r="O244">
        <f>IF(AND(Table2[[#This Row],[STATES in numeric format]]=-1,F243=0,F242=-1),1,0)</f>
        <v>0</v>
      </c>
      <c r="P244">
        <f>IF(AND(Table2[[#This Row],[STATES in numeric format]]=1,F243=1,F242=1),1,0)</f>
        <v>0</v>
      </c>
      <c r="Q244">
        <f>IF(AND(Table2[[#This Row],[STATES in numeric format]]=1,F243=-1,F242=-1),1,0)</f>
        <v>0</v>
      </c>
      <c r="R244">
        <f>IF(AND(Table2[[#This Row],[STATES in numeric format]]=1,F243=-1,F242=1),1,0)</f>
        <v>0</v>
      </c>
      <c r="S244">
        <f>IF(AND(Table2[[#This Row],[STATES in numeric format]]=1,F243=1,F242=-1),1,0)</f>
        <v>0</v>
      </c>
      <c r="T244">
        <f>IF(AND(Table2[[#This Row],[STATES in numeric format]]=1,F243=0,F242=0),1,0)</f>
        <v>0</v>
      </c>
      <c r="U244">
        <f>IF(AND(Table2[[#This Row],[STATES in numeric format]]=1,F243=1,F242=0),1,0)</f>
        <v>1</v>
      </c>
      <c r="V244">
        <f>IF(AND(Table2[[#This Row],[STATES in numeric format]]=1,F243=-1,F242=0),1,0)</f>
        <v>0</v>
      </c>
      <c r="W244">
        <f>IF(AND(Table2[[#This Row],[STATES in numeric format]]=1,F243=0,F242=1),1,0)</f>
        <v>0</v>
      </c>
      <c r="X244">
        <f>IF(AND(Table2[[#This Row],[STATES in numeric format]]=1,F243=0,F242=-1),1,0)</f>
        <v>0</v>
      </c>
      <c r="Y244">
        <f>IF(AND(Table2[[#This Row],[STATES in numeric format]]=0,F243=1,F242=1),1,0)</f>
        <v>0</v>
      </c>
      <c r="Z244">
        <f>IF(AND(Table2[[#This Row],[STATES in numeric format]]=0,F243=-1,F242=-1),1,0)</f>
        <v>0</v>
      </c>
      <c r="AA244">
        <f>IF(AND(Table2[[#This Row],[STATES in numeric format]]=0,F243=-1,F242=1),1,0)</f>
        <v>0</v>
      </c>
      <c r="AB244">
        <f>IF(AND(Table2[[#This Row],[STATES in numeric format]]=0,F243=1,F242=-1),1,0)</f>
        <v>0</v>
      </c>
      <c r="AC244">
        <f>IF(AND(Table2[[#This Row],[STATES in numeric format]]=0,F243=0,F242=0),1,0)</f>
        <v>0</v>
      </c>
      <c r="AD244">
        <f>IF(AND(Table2[[#This Row],[STATES in numeric format]]=0,F243=1,F242=0),1,0)</f>
        <v>0</v>
      </c>
      <c r="AE244">
        <f>IF(AND(Table2[[#This Row],[STATES in numeric format]]=0,F243=-1,F242=0),1,0)</f>
        <v>0</v>
      </c>
      <c r="AF244">
        <f>IF(AND(Table2[[#This Row],[STATES in numeric format]]=0,F243=0,F242=1),1,0)</f>
        <v>0</v>
      </c>
      <c r="AG244">
        <f>IF(AND(Table2[[#This Row],[STATES in numeric format]]=0,F243=0,F242=-1),1,0)</f>
        <v>0</v>
      </c>
    </row>
    <row r="245" spans="1:33" x14ac:dyDescent="0.3">
      <c r="A245" s="1">
        <v>44183</v>
      </c>
      <c r="B245">
        <v>46960.69</v>
      </c>
      <c r="C245">
        <f>Table2[[#This Row],[Close]]-0.001*Table2[[#This Row],[Close]]</f>
        <v>46913.729310000002</v>
      </c>
      <c r="D245">
        <f>Table2[[#This Row],[Close]]+0.001*Table2[[#This Row],[Close]]</f>
        <v>47007.650690000002</v>
      </c>
      <c r="E245" t="str">
        <f>IF(Table2[[#This Row],[Close]]&gt;D244,"up",IF(Table2[[#This Row],[Close]]&lt;C244,"down","constant"))</f>
        <v>up</v>
      </c>
      <c r="F245" s="3">
        <f>IF(Table2[[#This Row],[States]]="up",1,IF(Table2[[#This Row],[States]]="down",-1,0))</f>
        <v>1</v>
      </c>
      <c r="G245">
        <f>IF(AND(Table2[[#This Row],[STATES in numeric format]]=-1,F244=1,F243=1),1,0)</f>
        <v>0</v>
      </c>
      <c r="H245">
        <f>IF(AND(Table2[[#This Row],[STATES in numeric format]]=-1,F244=-1,F243=-1),1,0)</f>
        <v>0</v>
      </c>
      <c r="I245">
        <f>IF(AND(Table2[[#This Row],[STATES in numeric format]]=-1,F244=-1,F243=1),1,0)</f>
        <v>0</v>
      </c>
      <c r="J245">
        <f>IF(AND(Table2[[#This Row],[STATES in numeric format]]=-1,F244=1,F243=-1),1,0)</f>
        <v>0</v>
      </c>
      <c r="K245">
        <f>IF(AND(Table2[[#This Row],[STATES in numeric format]]=-1,F244=0,F243=0),1,0)</f>
        <v>0</v>
      </c>
      <c r="L245">
        <f>IF(AND(Table2[[#This Row],[STATES in numeric format]]=-1,F244=1,F243=0),1,0)</f>
        <v>0</v>
      </c>
      <c r="M245">
        <f>IF(AND(Table2[[#This Row],[STATES in numeric format]]=-1,F244=-1,F243=0),1,0)</f>
        <v>0</v>
      </c>
      <c r="N245">
        <f>IF(AND(Table2[[#This Row],[STATES in numeric format]]=-1,F244=0,F243=1),1,0)</f>
        <v>0</v>
      </c>
      <c r="O245">
        <f>IF(AND(Table2[[#This Row],[STATES in numeric format]]=-1,F244=0,F243=-1),1,0)</f>
        <v>0</v>
      </c>
      <c r="P245">
        <f>IF(AND(Table2[[#This Row],[STATES in numeric format]]=1,F244=1,F243=1),1,0)</f>
        <v>1</v>
      </c>
      <c r="Q245">
        <f>IF(AND(Table2[[#This Row],[STATES in numeric format]]=1,F244=-1,F243=-1),1,0)</f>
        <v>0</v>
      </c>
      <c r="R245">
        <f>IF(AND(Table2[[#This Row],[STATES in numeric format]]=1,F244=-1,F243=1),1,0)</f>
        <v>0</v>
      </c>
      <c r="S245">
        <f>IF(AND(Table2[[#This Row],[STATES in numeric format]]=1,F244=1,F243=-1),1,0)</f>
        <v>0</v>
      </c>
      <c r="T245">
        <f>IF(AND(Table2[[#This Row],[STATES in numeric format]]=1,F244=0,F243=0),1,0)</f>
        <v>0</v>
      </c>
      <c r="U245">
        <f>IF(AND(Table2[[#This Row],[STATES in numeric format]]=1,F244=1,F243=0),1,0)</f>
        <v>0</v>
      </c>
      <c r="V245">
        <f>IF(AND(Table2[[#This Row],[STATES in numeric format]]=1,F244=-1,F243=0),1,0)</f>
        <v>0</v>
      </c>
      <c r="W245">
        <f>IF(AND(Table2[[#This Row],[STATES in numeric format]]=1,F244=0,F243=1),1,0)</f>
        <v>0</v>
      </c>
      <c r="X245">
        <f>IF(AND(Table2[[#This Row],[STATES in numeric format]]=1,F244=0,F243=-1),1,0)</f>
        <v>0</v>
      </c>
      <c r="Y245">
        <f>IF(AND(Table2[[#This Row],[STATES in numeric format]]=0,F244=1,F243=1),1,0)</f>
        <v>0</v>
      </c>
      <c r="Z245">
        <f>IF(AND(Table2[[#This Row],[STATES in numeric format]]=0,F244=-1,F243=-1),1,0)</f>
        <v>0</v>
      </c>
      <c r="AA245">
        <f>IF(AND(Table2[[#This Row],[STATES in numeric format]]=0,F244=-1,F243=1),1,0)</f>
        <v>0</v>
      </c>
      <c r="AB245">
        <f>IF(AND(Table2[[#This Row],[STATES in numeric format]]=0,F244=1,F243=-1),1,0)</f>
        <v>0</v>
      </c>
      <c r="AC245">
        <f>IF(AND(Table2[[#This Row],[STATES in numeric format]]=0,F244=0,F243=0),1,0)</f>
        <v>0</v>
      </c>
      <c r="AD245">
        <f>IF(AND(Table2[[#This Row],[STATES in numeric format]]=0,F244=1,F243=0),1,0)</f>
        <v>0</v>
      </c>
      <c r="AE245">
        <f>IF(AND(Table2[[#This Row],[STATES in numeric format]]=0,F244=-1,F243=0),1,0)</f>
        <v>0</v>
      </c>
      <c r="AF245">
        <f>IF(AND(Table2[[#This Row],[STATES in numeric format]]=0,F244=0,F243=1),1,0)</f>
        <v>0</v>
      </c>
      <c r="AG245">
        <f>IF(AND(Table2[[#This Row],[STATES in numeric format]]=0,F244=0,F243=-1),1,0)</f>
        <v>0</v>
      </c>
    </row>
    <row r="246" spans="1:33" x14ac:dyDescent="0.3">
      <c r="A246" s="1">
        <v>44186</v>
      </c>
      <c r="B246">
        <v>45553.96</v>
      </c>
      <c r="C246">
        <f>Table2[[#This Row],[Close]]-0.001*Table2[[#This Row],[Close]]</f>
        <v>45508.406040000002</v>
      </c>
      <c r="D246">
        <f>Table2[[#This Row],[Close]]+0.001*Table2[[#This Row],[Close]]</f>
        <v>45599.513959999997</v>
      </c>
      <c r="E246" t="str">
        <f>IF(Table2[[#This Row],[Close]]&gt;D245,"up",IF(Table2[[#This Row],[Close]]&lt;C245,"down","constant"))</f>
        <v>down</v>
      </c>
      <c r="F246" s="3">
        <f>IF(Table2[[#This Row],[States]]="up",1,IF(Table2[[#This Row],[States]]="down",-1,0))</f>
        <v>-1</v>
      </c>
      <c r="G246">
        <f>IF(AND(Table2[[#This Row],[STATES in numeric format]]=-1,F245=1,F244=1),1,0)</f>
        <v>1</v>
      </c>
      <c r="H246">
        <f>IF(AND(Table2[[#This Row],[STATES in numeric format]]=-1,F245=-1,F244=-1),1,0)</f>
        <v>0</v>
      </c>
      <c r="I246">
        <f>IF(AND(Table2[[#This Row],[STATES in numeric format]]=-1,F245=-1,F244=1),1,0)</f>
        <v>0</v>
      </c>
      <c r="J246">
        <f>IF(AND(Table2[[#This Row],[STATES in numeric format]]=-1,F245=1,F244=-1),1,0)</f>
        <v>0</v>
      </c>
      <c r="K246">
        <f>IF(AND(Table2[[#This Row],[STATES in numeric format]]=-1,F245=0,F244=0),1,0)</f>
        <v>0</v>
      </c>
      <c r="L246">
        <f>IF(AND(Table2[[#This Row],[STATES in numeric format]]=-1,F245=1,F244=0),1,0)</f>
        <v>0</v>
      </c>
      <c r="M246">
        <f>IF(AND(Table2[[#This Row],[STATES in numeric format]]=-1,F245=-1,F244=0),1,0)</f>
        <v>0</v>
      </c>
      <c r="N246">
        <f>IF(AND(Table2[[#This Row],[STATES in numeric format]]=-1,F245=0,F244=1),1,0)</f>
        <v>0</v>
      </c>
      <c r="O246">
        <f>IF(AND(Table2[[#This Row],[STATES in numeric format]]=-1,F245=0,F244=-1),1,0)</f>
        <v>0</v>
      </c>
      <c r="P246">
        <f>IF(AND(Table2[[#This Row],[STATES in numeric format]]=1,F245=1,F244=1),1,0)</f>
        <v>0</v>
      </c>
      <c r="Q246">
        <f>IF(AND(Table2[[#This Row],[STATES in numeric format]]=1,F245=-1,F244=-1),1,0)</f>
        <v>0</v>
      </c>
      <c r="R246">
        <f>IF(AND(Table2[[#This Row],[STATES in numeric format]]=1,F245=-1,F244=1),1,0)</f>
        <v>0</v>
      </c>
      <c r="S246">
        <f>IF(AND(Table2[[#This Row],[STATES in numeric format]]=1,F245=1,F244=-1),1,0)</f>
        <v>0</v>
      </c>
      <c r="T246">
        <f>IF(AND(Table2[[#This Row],[STATES in numeric format]]=1,F245=0,F244=0),1,0)</f>
        <v>0</v>
      </c>
      <c r="U246">
        <f>IF(AND(Table2[[#This Row],[STATES in numeric format]]=1,F245=1,F244=0),1,0)</f>
        <v>0</v>
      </c>
      <c r="V246">
        <f>IF(AND(Table2[[#This Row],[STATES in numeric format]]=1,F245=-1,F244=0),1,0)</f>
        <v>0</v>
      </c>
      <c r="W246">
        <f>IF(AND(Table2[[#This Row],[STATES in numeric format]]=1,F245=0,F244=1),1,0)</f>
        <v>0</v>
      </c>
      <c r="X246">
        <f>IF(AND(Table2[[#This Row],[STATES in numeric format]]=1,F245=0,F244=-1),1,0)</f>
        <v>0</v>
      </c>
      <c r="Y246">
        <f>IF(AND(Table2[[#This Row],[STATES in numeric format]]=0,F245=1,F244=1),1,0)</f>
        <v>0</v>
      </c>
      <c r="Z246">
        <f>IF(AND(Table2[[#This Row],[STATES in numeric format]]=0,F245=-1,F244=-1),1,0)</f>
        <v>0</v>
      </c>
      <c r="AA246">
        <f>IF(AND(Table2[[#This Row],[STATES in numeric format]]=0,F245=-1,F244=1),1,0)</f>
        <v>0</v>
      </c>
      <c r="AB246">
        <f>IF(AND(Table2[[#This Row],[STATES in numeric format]]=0,F245=1,F244=-1),1,0)</f>
        <v>0</v>
      </c>
      <c r="AC246">
        <f>IF(AND(Table2[[#This Row],[STATES in numeric format]]=0,F245=0,F244=0),1,0)</f>
        <v>0</v>
      </c>
      <c r="AD246">
        <f>IF(AND(Table2[[#This Row],[STATES in numeric format]]=0,F245=1,F244=0),1,0)</f>
        <v>0</v>
      </c>
      <c r="AE246">
        <f>IF(AND(Table2[[#This Row],[STATES in numeric format]]=0,F245=-1,F244=0),1,0)</f>
        <v>0</v>
      </c>
      <c r="AF246">
        <f>IF(AND(Table2[[#This Row],[STATES in numeric format]]=0,F245=0,F244=1),1,0)</f>
        <v>0</v>
      </c>
      <c r="AG246">
        <f>IF(AND(Table2[[#This Row],[STATES in numeric format]]=0,F245=0,F244=-1),1,0)</f>
        <v>0</v>
      </c>
    </row>
    <row r="247" spans="1:33" x14ac:dyDescent="0.3">
      <c r="A247" s="1">
        <v>44187</v>
      </c>
      <c r="B247">
        <v>46006.69</v>
      </c>
      <c r="C247">
        <f>Table2[[#This Row],[Close]]-0.001*Table2[[#This Row],[Close]]</f>
        <v>45960.68331</v>
      </c>
      <c r="D247">
        <f>Table2[[#This Row],[Close]]+0.001*Table2[[#This Row],[Close]]</f>
        <v>46052.696690000004</v>
      </c>
      <c r="E247" t="str">
        <f>IF(Table2[[#This Row],[Close]]&gt;D246,"up",IF(Table2[[#This Row],[Close]]&lt;C246,"down","constant"))</f>
        <v>up</v>
      </c>
      <c r="F247" s="3">
        <f>IF(Table2[[#This Row],[States]]="up",1,IF(Table2[[#This Row],[States]]="down",-1,0))</f>
        <v>1</v>
      </c>
      <c r="G247">
        <f>IF(AND(Table2[[#This Row],[STATES in numeric format]]=-1,F246=1,F245=1),1,0)</f>
        <v>0</v>
      </c>
      <c r="H247">
        <f>IF(AND(Table2[[#This Row],[STATES in numeric format]]=-1,F246=-1,F245=-1),1,0)</f>
        <v>0</v>
      </c>
      <c r="I247">
        <f>IF(AND(Table2[[#This Row],[STATES in numeric format]]=-1,F246=-1,F245=1),1,0)</f>
        <v>0</v>
      </c>
      <c r="J247">
        <f>IF(AND(Table2[[#This Row],[STATES in numeric format]]=-1,F246=1,F245=-1),1,0)</f>
        <v>0</v>
      </c>
      <c r="K247">
        <f>IF(AND(Table2[[#This Row],[STATES in numeric format]]=-1,F246=0,F245=0),1,0)</f>
        <v>0</v>
      </c>
      <c r="L247">
        <f>IF(AND(Table2[[#This Row],[STATES in numeric format]]=-1,F246=1,F245=0),1,0)</f>
        <v>0</v>
      </c>
      <c r="M247">
        <f>IF(AND(Table2[[#This Row],[STATES in numeric format]]=-1,F246=-1,F245=0),1,0)</f>
        <v>0</v>
      </c>
      <c r="N247">
        <f>IF(AND(Table2[[#This Row],[STATES in numeric format]]=-1,F246=0,F245=1),1,0)</f>
        <v>0</v>
      </c>
      <c r="O247">
        <f>IF(AND(Table2[[#This Row],[STATES in numeric format]]=-1,F246=0,F245=-1),1,0)</f>
        <v>0</v>
      </c>
      <c r="P247">
        <f>IF(AND(Table2[[#This Row],[STATES in numeric format]]=1,F246=1,F245=1),1,0)</f>
        <v>0</v>
      </c>
      <c r="Q247">
        <f>IF(AND(Table2[[#This Row],[STATES in numeric format]]=1,F246=-1,F245=-1),1,0)</f>
        <v>0</v>
      </c>
      <c r="R247">
        <f>IF(AND(Table2[[#This Row],[STATES in numeric format]]=1,F246=-1,F245=1),1,0)</f>
        <v>1</v>
      </c>
      <c r="S247">
        <f>IF(AND(Table2[[#This Row],[STATES in numeric format]]=1,F246=1,F245=-1),1,0)</f>
        <v>0</v>
      </c>
      <c r="T247">
        <f>IF(AND(Table2[[#This Row],[STATES in numeric format]]=1,F246=0,F245=0),1,0)</f>
        <v>0</v>
      </c>
      <c r="U247">
        <f>IF(AND(Table2[[#This Row],[STATES in numeric format]]=1,F246=1,F245=0),1,0)</f>
        <v>0</v>
      </c>
      <c r="V247">
        <f>IF(AND(Table2[[#This Row],[STATES in numeric format]]=1,F246=-1,F245=0),1,0)</f>
        <v>0</v>
      </c>
      <c r="W247">
        <f>IF(AND(Table2[[#This Row],[STATES in numeric format]]=1,F246=0,F245=1),1,0)</f>
        <v>0</v>
      </c>
      <c r="X247">
        <f>IF(AND(Table2[[#This Row],[STATES in numeric format]]=1,F246=0,F245=-1),1,0)</f>
        <v>0</v>
      </c>
      <c r="Y247">
        <f>IF(AND(Table2[[#This Row],[STATES in numeric format]]=0,F246=1,F245=1),1,0)</f>
        <v>0</v>
      </c>
      <c r="Z247">
        <f>IF(AND(Table2[[#This Row],[STATES in numeric format]]=0,F246=-1,F245=-1),1,0)</f>
        <v>0</v>
      </c>
      <c r="AA247">
        <f>IF(AND(Table2[[#This Row],[STATES in numeric format]]=0,F246=-1,F245=1),1,0)</f>
        <v>0</v>
      </c>
      <c r="AB247">
        <f>IF(AND(Table2[[#This Row],[STATES in numeric format]]=0,F246=1,F245=-1),1,0)</f>
        <v>0</v>
      </c>
      <c r="AC247">
        <f>IF(AND(Table2[[#This Row],[STATES in numeric format]]=0,F246=0,F245=0),1,0)</f>
        <v>0</v>
      </c>
      <c r="AD247">
        <f>IF(AND(Table2[[#This Row],[STATES in numeric format]]=0,F246=1,F245=0),1,0)</f>
        <v>0</v>
      </c>
      <c r="AE247">
        <f>IF(AND(Table2[[#This Row],[STATES in numeric format]]=0,F246=-1,F245=0),1,0)</f>
        <v>0</v>
      </c>
      <c r="AF247">
        <f>IF(AND(Table2[[#This Row],[STATES in numeric format]]=0,F246=0,F245=1),1,0)</f>
        <v>0</v>
      </c>
      <c r="AG247">
        <f>IF(AND(Table2[[#This Row],[STATES in numeric format]]=0,F246=0,F245=-1),1,0)</f>
        <v>0</v>
      </c>
    </row>
    <row r="248" spans="1:33" x14ac:dyDescent="0.3">
      <c r="A248" s="1">
        <v>44188</v>
      </c>
      <c r="B248">
        <v>46444.18</v>
      </c>
      <c r="C248">
        <f>Table2[[#This Row],[Close]]-0.001*Table2[[#This Row],[Close]]</f>
        <v>46397.735820000002</v>
      </c>
      <c r="D248">
        <f>Table2[[#This Row],[Close]]+0.001*Table2[[#This Row],[Close]]</f>
        <v>46490.624179999999</v>
      </c>
      <c r="E248" t="str">
        <f>IF(Table2[[#This Row],[Close]]&gt;D247,"up",IF(Table2[[#This Row],[Close]]&lt;C247,"down","constant"))</f>
        <v>up</v>
      </c>
      <c r="F248" s="3">
        <f>IF(Table2[[#This Row],[States]]="up",1,IF(Table2[[#This Row],[States]]="down",-1,0))</f>
        <v>1</v>
      </c>
      <c r="G248">
        <f>IF(AND(Table2[[#This Row],[STATES in numeric format]]=-1,F247=1,F246=1),1,0)</f>
        <v>0</v>
      </c>
      <c r="H248">
        <f>IF(AND(Table2[[#This Row],[STATES in numeric format]]=-1,F247=-1,F246=-1),1,0)</f>
        <v>0</v>
      </c>
      <c r="I248">
        <f>IF(AND(Table2[[#This Row],[STATES in numeric format]]=-1,F247=-1,F246=1),1,0)</f>
        <v>0</v>
      </c>
      <c r="J248">
        <f>IF(AND(Table2[[#This Row],[STATES in numeric format]]=-1,F247=1,F246=-1),1,0)</f>
        <v>0</v>
      </c>
      <c r="K248">
        <f>IF(AND(Table2[[#This Row],[STATES in numeric format]]=-1,F247=0,F246=0),1,0)</f>
        <v>0</v>
      </c>
      <c r="L248">
        <f>IF(AND(Table2[[#This Row],[STATES in numeric format]]=-1,F247=1,F246=0),1,0)</f>
        <v>0</v>
      </c>
      <c r="M248">
        <f>IF(AND(Table2[[#This Row],[STATES in numeric format]]=-1,F247=-1,F246=0),1,0)</f>
        <v>0</v>
      </c>
      <c r="N248">
        <f>IF(AND(Table2[[#This Row],[STATES in numeric format]]=-1,F247=0,F246=1),1,0)</f>
        <v>0</v>
      </c>
      <c r="O248">
        <f>IF(AND(Table2[[#This Row],[STATES in numeric format]]=-1,F247=0,F246=-1),1,0)</f>
        <v>0</v>
      </c>
      <c r="P248">
        <f>IF(AND(Table2[[#This Row],[STATES in numeric format]]=1,F247=1,F246=1),1,0)</f>
        <v>0</v>
      </c>
      <c r="Q248">
        <f>IF(AND(Table2[[#This Row],[STATES in numeric format]]=1,F247=-1,F246=-1),1,0)</f>
        <v>0</v>
      </c>
      <c r="R248">
        <f>IF(AND(Table2[[#This Row],[STATES in numeric format]]=1,F247=-1,F246=1),1,0)</f>
        <v>0</v>
      </c>
      <c r="S248">
        <f>IF(AND(Table2[[#This Row],[STATES in numeric format]]=1,F247=1,F246=-1),1,0)</f>
        <v>1</v>
      </c>
      <c r="T248">
        <f>IF(AND(Table2[[#This Row],[STATES in numeric format]]=1,F247=0,F246=0),1,0)</f>
        <v>0</v>
      </c>
      <c r="U248">
        <f>IF(AND(Table2[[#This Row],[STATES in numeric format]]=1,F247=1,F246=0),1,0)</f>
        <v>0</v>
      </c>
      <c r="V248">
        <f>IF(AND(Table2[[#This Row],[STATES in numeric format]]=1,F247=-1,F246=0),1,0)</f>
        <v>0</v>
      </c>
      <c r="W248">
        <f>IF(AND(Table2[[#This Row],[STATES in numeric format]]=1,F247=0,F246=1),1,0)</f>
        <v>0</v>
      </c>
      <c r="X248">
        <f>IF(AND(Table2[[#This Row],[STATES in numeric format]]=1,F247=0,F246=-1),1,0)</f>
        <v>0</v>
      </c>
      <c r="Y248">
        <f>IF(AND(Table2[[#This Row],[STATES in numeric format]]=0,F247=1,F246=1),1,0)</f>
        <v>0</v>
      </c>
      <c r="Z248">
        <f>IF(AND(Table2[[#This Row],[STATES in numeric format]]=0,F247=-1,F246=-1),1,0)</f>
        <v>0</v>
      </c>
      <c r="AA248">
        <f>IF(AND(Table2[[#This Row],[STATES in numeric format]]=0,F247=-1,F246=1),1,0)</f>
        <v>0</v>
      </c>
      <c r="AB248">
        <f>IF(AND(Table2[[#This Row],[STATES in numeric format]]=0,F247=1,F246=-1),1,0)</f>
        <v>0</v>
      </c>
      <c r="AC248">
        <f>IF(AND(Table2[[#This Row],[STATES in numeric format]]=0,F247=0,F246=0),1,0)</f>
        <v>0</v>
      </c>
      <c r="AD248">
        <f>IF(AND(Table2[[#This Row],[STATES in numeric format]]=0,F247=1,F246=0),1,0)</f>
        <v>0</v>
      </c>
      <c r="AE248">
        <f>IF(AND(Table2[[#This Row],[STATES in numeric format]]=0,F247=-1,F246=0),1,0)</f>
        <v>0</v>
      </c>
      <c r="AF248">
        <f>IF(AND(Table2[[#This Row],[STATES in numeric format]]=0,F247=0,F246=1),1,0)</f>
        <v>0</v>
      </c>
      <c r="AG248">
        <f>IF(AND(Table2[[#This Row],[STATES in numeric format]]=0,F247=0,F246=-1),1,0)</f>
        <v>0</v>
      </c>
    </row>
    <row r="249" spans="1:33" x14ac:dyDescent="0.3">
      <c r="A249" s="1">
        <v>44189</v>
      </c>
      <c r="B249">
        <v>46973.54</v>
      </c>
      <c r="C249">
        <f>Table2[[#This Row],[Close]]-0.001*Table2[[#This Row],[Close]]</f>
        <v>46926.566460000002</v>
      </c>
      <c r="D249">
        <f>Table2[[#This Row],[Close]]+0.001*Table2[[#This Row],[Close]]</f>
        <v>47020.51354</v>
      </c>
      <c r="E249" t="str">
        <f>IF(Table2[[#This Row],[Close]]&gt;D248,"up",IF(Table2[[#This Row],[Close]]&lt;C248,"down","constant"))</f>
        <v>up</v>
      </c>
      <c r="F249" s="3">
        <f>IF(Table2[[#This Row],[States]]="up",1,IF(Table2[[#This Row],[States]]="down",-1,0))</f>
        <v>1</v>
      </c>
      <c r="G249">
        <f>IF(AND(Table2[[#This Row],[STATES in numeric format]]=-1,F248=1,F247=1),1,0)</f>
        <v>0</v>
      </c>
      <c r="H249">
        <f>IF(AND(Table2[[#This Row],[STATES in numeric format]]=-1,F248=-1,F247=-1),1,0)</f>
        <v>0</v>
      </c>
      <c r="I249">
        <f>IF(AND(Table2[[#This Row],[STATES in numeric format]]=-1,F248=-1,F247=1),1,0)</f>
        <v>0</v>
      </c>
      <c r="J249">
        <f>IF(AND(Table2[[#This Row],[STATES in numeric format]]=-1,F248=1,F247=-1),1,0)</f>
        <v>0</v>
      </c>
      <c r="K249">
        <f>IF(AND(Table2[[#This Row],[STATES in numeric format]]=-1,F248=0,F247=0),1,0)</f>
        <v>0</v>
      </c>
      <c r="L249">
        <f>IF(AND(Table2[[#This Row],[STATES in numeric format]]=-1,F248=1,F247=0),1,0)</f>
        <v>0</v>
      </c>
      <c r="M249">
        <f>IF(AND(Table2[[#This Row],[STATES in numeric format]]=-1,F248=-1,F247=0),1,0)</f>
        <v>0</v>
      </c>
      <c r="N249">
        <f>IF(AND(Table2[[#This Row],[STATES in numeric format]]=-1,F248=0,F247=1),1,0)</f>
        <v>0</v>
      </c>
      <c r="O249">
        <f>IF(AND(Table2[[#This Row],[STATES in numeric format]]=-1,F248=0,F247=-1),1,0)</f>
        <v>0</v>
      </c>
      <c r="P249">
        <f>IF(AND(Table2[[#This Row],[STATES in numeric format]]=1,F248=1,F247=1),1,0)</f>
        <v>1</v>
      </c>
      <c r="Q249">
        <f>IF(AND(Table2[[#This Row],[STATES in numeric format]]=1,F248=-1,F247=-1),1,0)</f>
        <v>0</v>
      </c>
      <c r="R249">
        <f>IF(AND(Table2[[#This Row],[STATES in numeric format]]=1,F248=-1,F247=1),1,0)</f>
        <v>0</v>
      </c>
      <c r="S249">
        <f>IF(AND(Table2[[#This Row],[STATES in numeric format]]=1,F248=1,F247=-1),1,0)</f>
        <v>0</v>
      </c>
      <c r="T249">
        <f>IF(AND(Table2[[#This Row],[STATES in numeric format]]=1,F248=0,F247=0),1,0)</f>
        <v>0</v>
      </c>
      <c r="U249">
        <f>IF(AND(Table2[[#This Row],[STATES in numeric format]]=1,F248=1,F247=0),1,0)</f>
        <v>0</v>
      </c>
      <c r="V249">
        <f>IF(AND(Table2[[#This Row],[STATES in numeric format]]=1,F248=-1,F247=0),1,0)</f>
        <v>0</v>
      </c>
      <c r="W249">
        <f>IF(AND(Table2[[#This Row],[STATES in numeric format]]=1,F248=0,F247=1),1,0)</f>
        <v>0</v>
      </c>
      <c r="X249">
        <f>IF(AND(Table2[[#This Row],[STATES in numeric format]]=1,F248=0,F247=-1),1,0)</f>
        <v>0</v>
      </c>
      <c r="Y249">
        <f>IF(AND(Table2[[#This Row],[STATES in numeric format]]=0,F248=1,F247=1),1,0)</f>
        <v>0</v>
      </c>
      <c r="Z249">
        <f>IF(AND(Table2[[#This Row],[STATES in numeric format]]=0,F248=-1,F247=-1),1,0)</f>
        <v>0</v>
      </c>
      <c r="AA249">
        <f>IF(AND(Table2[[#This Row],[STATES in numeric format]]=0,F248=-1,F247=1),1,0)</f>
        <v>0</v>
      </c>
      <c r="AB249">
        <f>IF(AND(Table2[[#This Row],[STATES in numeric format]]=0,F248=1,F247=-1),1,0)</f>
        <v>0</v>
      </c>
      <c r="AC249">
        <f>IF(AND(Table2[[#This Row],[STATES in numeric format]]=0,F248=0,F247=0),1,0)</f>
        <v>0</v>
      </c>
      <c r="AD249">
        <f>IF(AND(Table2[[#This Row],[STATES in numeric format]]=0,F248=1,F247=0),1,0)</f>
        <v>0</v>
      </c>
      <c r="AE249">
        <f>IF(AND(Table2[[#This Row],[STATES in numeric format]]=0,F248=-1,F247=0),1,0)</f>
        <v>0</v>
      </c>
      <c r="AF249">
        <f>IF(AND(Table2[[#This Row],[STATES in numeric format]]=0,F248=0,F247=1),1,0)</f>
        <v>0</v>
      </c>
      <c r="AG249">
        <f>IF(AND(Table2[[#This Row],[STATES in numeric format]]=0,F248=0,F247=-1),1,0)</f>
        <v>0</v>
      </c>
    </row>
    <row r="250" spans="1:33" x14ac:dyDescent="0.3">
      <c r="A250" s="1">
        <v>44193</v>
      </c>
      <c r="B250">
        <v>47353.75</v>
      </c>
      <c r="C250">
        <f>Table2[[#This Row],[Close]]-0.001*Table2[[#This Row],[Close]]</f>
        <v>47306.396249999998</v>
      </c>
      <c r="D250">
        <f>Table2[[#This Row],[Close]]+0.001*Table2[[#This Row],[Close]]</f>
        <v>47401.103750000002</v>
      </c>
      <c r="E250" t="str">
        <f>IF(Table2[[#This Row],[Close]]&gt;D249,"up",IF(Table2[[#This Row],[Close]]&lt;C249,"down","constant"))</f>
        <v>up</v>
      </c>
      <c r="F250" s="3">
        <f>IF(Table2[[#This Row],[States]]="up",1,IF(Table2[[#This Row],[States]]="down",-1,0))</f>
        <v>1</v>
      </c>
      <c r="G250">
        <f>IF(AND(Table2[[#This Row],[STATES in numeric format]]=-1,F249=1,F248=1),1,0)</f>
        <v>0</v>
      </c>
      <c r="H250">
        <f>IF(AND(Table2[[#This Row],[STATES in numeric format]]=-1,F249=-1,F248=-1),1,0)</f>
        <v>0</v>
      </c>
      <c r="I250">
        <f>IF(AND(Table2[[#This Row],[STATES in numeric format]]=-1,F249=-1,F248=1),1,0)</f>
        <v>0</v>
      </c>
      <c r="J250">
        <f>IF(AND(Table2[[#This Row],[STATES in numeric format]]=-1,F249=1,F248=-1),1,0)</f>
        <v>0</v>
      </c>
      <c r="K250">
        <f>IF(AND(Table2[[#This Row],[STATES in numeric format]]=-1,F249=0,F248=0),1,0)</f>
        <v>0</v>
      </c>
      <c r="L250">
        <f>IF(AND(Table2[[#This Row],[STATES in numeric format]]=-1,F249=1,F248=0),1,0)</f>
        <v>0</v>
      </c>
      <c r="M250">
        <f>IF(AND(Table2[[#This Row],[STATES in numeric format]]=-1,F249=-1,F248=0),1,0)</f>
        <v>0</v>
      </c>
      <c r="N250">
        <f>IF(AND(Table2[[#This Row],[STATES in numeric format]]=-1,F249=0,F248=1),1,0)</f>
        <v>0</v>
      </c>
      <c r="O250">
        <f>IF(AND(Table2[[#This Row],[STATES in numeric format]]=-1,F249=0,F248=-1),1,0)</f>
        <v>0</v>
      </c>
      <c r="P250">
        <f>IF(AND(Table2[[#This Row],[STATES in numeric format]]=1,F249=1,F248=1),1,0)</f>
        <v>1</v>
      </c>
      <c r="Q250">
        <f>IF(AND(Table2[[#This Row],[STATES in numeric format]]=1,F249=-1,F248=-1),1,0)</f>
        <v>0</v>
      </c>
      <c r="R250">
        <f>IF(AND(Table2[[#This Row],[STATES in numeric format]]=1,F249=-1,F248=1),1,0)</f>
        <v>0</v>
      </c>
      <c r="S250">
        <f>IF(AND(Table2[[#This Row],[STATES in numeric format]]=1,F249=1,F248=-1),1,0)</f>
        <v>0</v>
      </c>
      <c r="T250">
        <f>IF(AND(Table2[[#This Row],[STATES in numeric format]]=1,F249=0,F248=0),1,0)</f>
        <v>0</v>
      </c>
      <c r="U250">
        <f>IF(AND(Table2[[#This Row],[STATES in numeric format]]=1,F249=1,F248=0),1,0)</f>
        <v>0</v>
      </c>
      <c r="V250">
        <f>IF(AND(Table2[[#This Row],[STATES in numeric format]]=1,F249=-1,F248=0),1,0)</f>
        <v>0</v>
      </c>
      <c r="W250">
        <f>IF(AND(Table2[[#This Row],[STATES in numeric format]]=1,F249=0,F248=1),1,0)</f>
        <v>0</v>
      </c>
      <c r="X250">
        <f>IF(AND(Table2[[#This Row],[STATES in numeric format]]=1,F249=0,F248=-1),1,0)</f>
        <v>0</v>
      </c>
      <c r="Y250">
        <f>IF(AND(Table2[[#This Row],[STATES in numeric format]]=0,F249=1,F248=1),1,0)</f>
        <v>0</v>
      </c>
      <c r="Z250">
        <f>IF(AND(Table2[[#This Row],[STATES in numeric format]]=0,F249=-1,F248=-1),1,0)</f>
        <v>0</v>
      </c>
      <c r="AA250">
        <f>IF(AND(Table2[[#This Row],[STATES in numeric format]]=0,F249=-1,F248=1),1,0)</f>
        <v>0</v>
      </c>
      <c r="AB250">
        <f>IF(AND(Table2[[#This Row],[STATES in numeric format]]=0,F249=1,F248=-1),1,0)</f>
        <v>0</v>
      </c>
      <c r="AC250">
        <f>IF(AND(Table2[[#This Row],[STATES in numeric format]]=0,F249=0,F248=0),1,0)</f>
        <v>0</v>
      </c>
      <c r="AD250">
        <f>IF(AND(Table2[[#This Row],[STATES in numeric format]]=0,F249=1,F248=0),1,0)</f>
        <v>0</v>
      </c>
      <c r="AE250">
        <f>IF(AND(Table2[[#This Row],[STATES in numeric format]]=0,F249=-1,F248=0),1,0)</f>
        <v>0</v>
      </c>
      <c r="AF250">
        <f>IF(AND(Table2[[#This Row],[STATES in numeric format]]=0,F249=0,F248=1),1,0)</f>
        <v>0</v>
      </c>
      <c r="AG250">
        <f>IF(AND(Table2[[#This Row],[STATES in numeric format]]=0,F249=0,F248=-1),1,0)</f>
        <v>0</v>
      </c>
    </row>
    <row r="251" spans="1:33" x14ac:dyDescent="0.3">
      <c r="A251" s="1">
        <v>44194</v>
      </c>
      <c r="B251">
        <v>47613.08</v>
      </c>
      <c r="C251">
        <f>Table2[[#This Row],[Close]]-0.001*Table2[[#This Row],[Close]]</f>
        <v>47565.466919999999</v>
      </c>
      <c r="D251">
        <f>Table2[[#This Row],[Close]]+0.001*Table2[[#This Row],[Close]]</f>
        <v>47660.693080000005</v>
      </c>
      <c r="E251" t="str">
        <f>IF(Table2[[#This Row],[Close]]&gt;D250,"up",IF(Table2[[#This Row],[Close]]&lt;C250,"down","constant"))</f>
        <v>up</v>
      </c>
      <c r="F251" s="3">
        <f>IF(Table2[[#This Row],[States]]="up",1,IF(Table2[[#This Row],[States]]="down",-1,0))</f>
        <v>1</v>
      </c>
      <c r="G251">
        <f>IF(AND(Table2[[#This Row],[STATES in numeric format]]=-1,F250=1,F249=1),1,0)</f>
        <v>0</v>
      </c>
      <c r="H251">
        <f>IF(AND(Table2[[#This Row],[STATES in numeric format]]=-1,F250=-1,F249=-1),1,0)</f>
        <v>0</v>
      </c>
      <c r="I251">
        <f>IF(AND(Table2[[#This Row],[STATES in numeric format]]=-1,F250=-1,F249=1),1,0)</f>
        <v>0</v>
      </c>
      <c r="J251">
        <f>IF(AND(Table2[[#This Row],[STATES in numeric format]]=-1,F250=1,F249=-1),1,0)</f>
        <v>0</v>
      </c>
      <c r="K251">
        <f>IF(AND(Table2[[#This Row],[STATES in numeric format]]=-1,F250=0,F249=0),1,0)</f>
        <v>0</v>
      </c>
      <c r="L251">
        <f>IF(AND(Table2[[#This Row],[STATES in numeric format]]=-1,F250=1,F249=0),1,0)</f>
        <v>0</v>
      </c>
      <c r="M251">
        <f>IF(AND(Table2[[#This Row],[STATES in numeric format]]=-1,F250=-1,F249=0),1,0)</f>
        <v>0</v>
      </c>
      <c r="N251">
        <f>IF(AND(Table2[[#This Row],[STATES in numeric format]]=-1,F250=0,F249=1),1,0)</f>
        <v>0</v>
      </c>
      <c r="O251">
        <f>IF(AND(Table2[[#This Row],[STATES in numeric format]]=-1,F250=0,F249=-1),1,0)</f>
        <v>0</v>
      </c>
      <c r="P251">
        <f>IF(AND(Table2[[#This Row],[STATES in numeric format]]=1,F250=1,F249=1),1,0)</f>
        <v>1</v>
      </c>
      <c r="Q251">
        <f>IF(AND(Table2[[#This Row],[STATES in numeric format]]=1,F250=-1,F249=-1),1,0)</f>
        <v>0</v>
      </c>
      <c r="R251">
        <f>IF(AND(Table2[[#This Row],[STATES in numeric format]]=1,F250=-1,F249=1),1,0)</f>
        <v>0</v>
      </c>
      <c r="S251">
        <f>IF(AND(Table2[[#This Row],[STATES in numeric format]]=1,F250=1,F249=-1),1,0)</f>
        <v>0</v>
      </c>
      <c r="T251">
        <f>IF(AND(Table2[[#This Row],[STATES in numeric format]]=1,F250=0,F249=0),1,0)</f>
        <v>0</v>
      </c>
      <c r="U251">
        <f>IF(AND(Table2[[#This Row],[STATES in numeric format]]=1,F250=1,F249=0),1,0)</f>
        <v>0</v>
      </c>
      <c r="V251">
        <f>IF(AND(Table2[[#This Row],[STATES in numeric format]]=1,F250=-1,F249=0),1,0)</f>
        <v>0</v>
      </c>
      <c r="W251">
        <f>IF(AND(Table2[[#This Row],[STATES in numeric format]]=1,F250=0,F249=1),1,0)</f>
        <v>0</v>
      </c>
      <c r="X251">
        <f>IF(AND(Table2[[#This Row],[STATES in numeric format]]=1,F250=0,F249=-1),1,0)</f>
        <v>0</v>
      </c>
      <c r="Y251">
        <f>IF(AND(Table2[[#This Row],[STATES in numeric format]]=0,F250=1,F249=1),1,0)</f>
        <v>0</v>
      </c>
      <c r="Z251">
        <f>IF(AND(Table2[[#This Row],[STATES in numeric format]]=0,F250=-1,F249=-1),1,0)</f>
        <v>0</v>
      </c>
      <c r="AA251">
        <f>IF(AND(Table2[[#This Row],[STATES in numeric format]]=0,F250=-1,F249=1),1,0)</f>
        <v>0</v>
      </c>
      <c r="AB251">
        <f>IF(AND(Table2[[#This Row],[STATES in numeric format]]=0,F250=1,F249=-1),1,0)</f>
        <v>0</v>
      </c>
      <c r="AC251">
        <f>IF(AND(Table2[[#This Row],[STATES in numeric format]]=0,F250=0,F249=0),1,0)</f>
        <v>0</v>
      </c>
      <c r="AD251">
        <f>IF(AND(Table2[[#This Row],[STATES in numeric format]]=0,F250=1,F249=0),1,0)</f>
        <v>0</v>
      </c>
      <c r="AE251">
        <f>IF(AND(Table2[[#This Row],[STATES in numeric format]]=0,F250=-1,F249=0),1,0)</f>
        <v>0</v>
      </c>
      <c r="AF251">
        <f>IF(AND(Table2[[#This Row],[STATES in numeric format]]=0,F250=0,F249=1),1,0)</f>
        <v>0</v>
      </c>
      <c r="AG251">
        <f>IF(AND(Table2[[#This Row],[STATES in numeric format]]=0,F250=0,F249=-1),1,0)</f>
        <v>0</v>
      </c>
    </row>
    <row r="252" spans="1:33" x14ac:dyDescent="0.3">
      <c r="A252" s="1">
        <v>44195</v>
      </c>
      <c r="B252">
        <v>47746.22</v>
      </c>
      <c r="C252">
        <f>Table2[[#This Row],[Close]]-0.001*Table2[[#This Row],[Close]]</f>
        <v>47698.47378</v>
      </c>
      <c r="D252">
        <f>Table2[[#This Row],[Close]]+0.001*Table2[[#This Row],[Close]]</f>
        <v>47793.966220000002</v>
      </c>
      <c r="E252" t="str">
        <f>IF(Table2[[#This Row],[Close]]&gt;D251,"up",IF(Table2[[#This Row],[Close]]&lt;C251,"down","constant"))</f>
        <v>up</v>
      </c>
      <c r="F252" s="3">
        <f>IF(Table2[[#This Row],[States]]="up",1,IF(Table2[[#This Row],[States]]="down",-1,0))</f>
        <v>1</v>
      </c>
      <c r="G252">
        <f>IF(AND(Table2[[#This Row],[STATES in numeric format]]=-1,F251=1,F250=1),1,0)</f>
        <v>0</v>
      </c>
      <c r="H252">
        <f>IF(AND(Table2[[#This Row],[STATES in numeric format]]=-1,F251=-1,F250=-1),1,0)</f>
        <v>0</v>
      </c>
      <c r="I252">
        <f>IF(AND(Table2[[#This Row],[STATES in numeric format]]=-1,F251=-1,F250=1),1,0)</f>
        <v>0</v>
      </c>
      <c r="J252">
        <f>IF(AND(Table2[[#This Row],[STATES in numeric format]]=-1,F251=1,F250=-1),1,0)</f>
        <v>0</v>
      </c>
      <c r="K252">
        <f>IF(AND(Table2[[#This Row],[STATES in numeric format]]=-1,F251=0,F250=0),1,0)</f>
        <v>0</v>
      </c>
      <c r="L252">
        <f>IF(AND(Table2[[#This Row],[STATES in numeric format]]=-1,F251=1,F250=0),1,0)</f>
        <v>0</v>
      </c>
      <c r="M252">
        <f>IF(AND(Table2[[#This Row],[STATES in numeric format]]=-1,F251=-1,F250=0),1,0)</f>
        <v>0</v>
      </c>
      <c r="N252">
        <f>IF(AND(Table2[[#This Row],[STATES in numeric format]]=-1,F251=0,F250=1),1,0)</f>
        <v>0</v>
      </c>
      <c r="O252">
        <f>IF(AND(Table2[[#This Row],[STATES in numeric format]]=-1,F251=0,F250=-1),1,0)</f>
        <v>0</v>
      </c>
      <c r="P252">
        <f>IF(AND(Table2[[#This Row],[STATES in numeric format]]=1,F251=1,F250=1),1,0)</f>
        <v>1</v>
      </c>
      <c r="Q252">
        <f>IF(AND(Table2[[#This Row],[STATES in numeric format]]=1,F251=-1,F250=-1),1,0)</f>
        <v>0</v>
      </c>
      <c r="R252">
        <f>IF(AND(Table2[[#This Row],[STATES in numeric format]]=1,F251=-1,F250=1),1,0)</f>
        <v>0</v>
      </c>
      <c r="S252">
        <f>IF(AND(Table2[[#This Row],[STATES in numeric format]]=1,F251=1,F250=-1),1,0)</f>
        <v>0</v>
      </c>
      <c r="T252">
        <f>IF(AND(Table2[[#This Row],[STATES in numeric format]]=1,F251=0,F250=0),1,0)</f>
        <v>0</v>
      </c>
      <c r="U252">
        <f>IF(AND(Table2[[#This Row],[STATES in numeric format]]=1,F251=1,F250=0),1,0)</f>
        <v>0</v>
      </c>
      <c r="V252">
        <f>IF(AND(Table2[[#This Row],[STATES in numeric format]]=1,F251=-1,F250=0),1,0)</f>
        <v>0</v>
      </c>
      <c r="W252">
        <f>IF(AND(Table2[[#This Row],[STATES in numeric format]]=1,F251=0,F250=1),1,0)</f>
        <v>0</v>
      </c>
      <c r="X252">
        <f>IF(AND(Table2[[#This Row],[STATES in numeric format]]=1,F251=0,F250=-1),1,0)</f>
        <v>0</v>
      </c>
      <c r="Y252">
        <f>IF(AND(Table2[[#This Row],[STATES in numeric format]]=0,F251=1,F250=1),1,0)</f>
        <v>0</v>
      </c>
      <c r="Z252">
        <f>IF(AND(Table2[[#This Row],[STATES in numeric format]]=0,F251=-1,F250=-1),1,0)</f>
        <v>0</v>
      </c>
      <c r="AA252">
        <f>IF(AND(Table2[[#This Row],[STATES in numeric format]]=0,F251=-1,F250=1),1,0)</f>
        <v>0</v>
      </c>
      <c r="AB252">
        <f>IF(AND(Table2[[#This Row],[STATES in numeric format]]=0,F251=1,F250=-1),1,0)</f>
        <v>0</v>
      </c>
      <c r="AC252">
        <f>IF(AND(Table2[[#This Row],[STATES in numeric format]]=0,F251=0,F250=0),1,0)</f>
        <v>0</v>
      </c>
      <c r="AD252">
        <f>IF(AND(Table2[[#This Row],[STATES in numeric format]]=0,F251=1,F250=0),1,0)</f>
        <v>0</v>
      </c>
      <c r="AE252">
        <f>IF(AND(Table2[[#This Row],[STATES in numeric format]]=0,F251=-1,F250=0),1,0)</f>
        <v>0</v>
      </c>
      <c r="AF252">
        <f>IF(AND(Table2[[#This Row],[STATES in numeric format]]=0,F251=0,F250=1),1,0)</f>
        <v>0</v>
      </c>
      <c r="AG252">
        <f>IF(AND(Table2[[#This Row],[STATES in numeric format]]=0,F251=0,F250=-1),1,0)</f>
        <v>0</v>
      </c>
    </row>
    <row r="253" spans="1:33" x14ac:dyDescent="0.3">
      <c r="A253" s="1">
        <v>44196</v>
      </c>
      <c r="B253">
        <v>47751.33</v>
      </c>
      <c r="C253">
        <f>Table2[[#This Row],[Close]]-0.001*Table2[[#This Row],[Close]]</f>
        <v>47703.578670000003</v>
      </c>
      <c r="D253">
        <f>Table2[[#This Row],[Close]]+0.001*Table2[[#This Row],[Close]]</f>
        <v>47799.081330000001</v>
      </c>
      <c r="E253" t="str">
        <f>IF(Table2[[#This Row],[Close]]&gt;D252,"up",IF(Table2[[#This Row],[Close]]&lt;C252,"down","constant"))</f>
        <v>constant</v>
      </c>
      <c r="F253" s="3">
        <f>IF(Table2[[#This Row],[States]]="up",1,IF(Table2[[#This Row],[States]]="down",-1,0))</f>
        <v>0</v>
      </c>
      <c r="G253">
        <f>IF(AND(Table2[[#This Row],[STATES in numeric format]]=-1,F252=1,F251=1),1,0)</f>
        <v>0</v>
      </c>
      <c r="H253">
        <f>IF(AND(Table2[[#This Row],[STATES in numeric format]]=-1,F252=-1,F251=-1),1,0)</f>
        <v>0</v>
      </c>
      <c r="I253">
        <f>IF(AND(Table2[[#This Row],[STATES in numeric format]]=-1,F252=-1,F251=1),1,0)</f>
        <v>0</v>
      </c>
      <c r="J253">
        <f>IF(AND(Table2[[#This Row],[STATES in numeric format]]=-1,F252=1,F251=-1),1,0)</f>
        <v>0</v>
      </c>
      <c r="K253">
        <f>IF(AND(Table2[[#This Row],[STATES in numeric format]]=-1,F252=0,F251=0),1,0)</f>
        <v>0</v>
      </c>
      <c r="L253">
        <f>IF(AND(Table2[[#This Row],[STATES in numeric format]]=-1,F252=1,F251=0),1,0)</f>
        <v>0</v>
      </c>
      <c r="M253">
        <f>IF(AND(Table2[[#This Row],[STATES in numeric format]]=-1,F252=-1,F251=0),1,0)</f>
        <v>0</v>
      </c>
      <c r="N253">
        <f>IF(AND(Table2[[#This Row],[STATES in numeric format]]=-1,F252=0,F251=1),1,0)</f>
        <v>0</v>
      </c>
      <c r="O253">
        <f>IF(AND(Table2[[#This Row],[STATES in numeric format]]=-1,F252=0,F251=-1),1,0)</f>
        <v>0</v>
      </c>
      <c r="P253">
        <f>IF(AND(Table2[[#This Row],[STATES in numeric format]]=1,F252=1,F251=1),1,0)</f>
        <v>0</v>
      </c>
      <c r="Q253">
        <f>IF(AND(Table2[[#This Row],[STATES in numeric format]]=1,F252=-1,F251=-1),1,0)</f>
        <v>0</v>
      </c>
      <c r="R253">
        <f>IF(AND(Table2[[#This Row],[STATES in numeric format]]=1,F252=-1,F251=1),1,0)</f>
        <v>0</v>
      </c>
      <c r="S253">
        <f>IF(AND(Table2[[#This Row],[STATES in numeric format]]=1,F252=1,F251=-1),1,0)</f>
        <v>0</v>
      </c>
      <c r="T253">
        <f>IF(AND(Table2[[#This Row],[STATES in numeric format]]=1,F252=0,F251=0),1,0)</f>
        <v>0</v>
      </c>
      <c r="U253">
        <f>IF(AND(Table2[[#This Row],[STATES in numeric format]]=1,F252=1,F251=0),1,0)</f>
        <v>0</v>
      </c>
      <c r="V253">
        <f>IF(AND(Table2[[#This Row],[STATES in numeric format]]=1,F252=-1,F251=0),1,0)</f>
        <v>0</v>
      </c>
      <c r="W253">
        <f>IF(AND(Table2[[#This Row],[STATES in numeric format]]=1,F252=0,F251=1),1,0)</f>
        <v>0</v>
      </c>
      <c r="X253">
        <f>IF(AND(Table2[[#This Row],[STATES in numeric format]]=1,F252=0,F251=-1),1,0)</f>
        <v>0</v>
      </c>
      <c r="Y253">
        <f>IF(AND(Table2[[#This Row],[STATES in numeric format]]=0,F252=1,F251=1),1,0)</f>
        <v>1</v>
      </c>
      <c r="Z253">
        <f>IF(AND(Table2[[#This Row],[STATES in numeric format]]=0,F252=-1,F251=-1),1,0)</f>
        <v>0</v>
      </c>
      <c r="AA253">
        <f>IF(AND(Table2[[#This Row],[STATES in numeric format]]=0,F252=-1,F251=1),1,0)</f>
        <v>0</v>
      </c>
      <c r="AB253">
        <f>IF(AND(Table2[[#This Row],[STATES in numeric format]]=0,F252=1,F251=-1),1,0)</f>
        <v>0</v>
      </c>
      <c r="AC253">
        <f>IF(AND(Table2[[#This Row],[STATES in numeric format]]=0,F252=0,F251=0),1,0)</f>
        <v>0</v>
      </c>
      <c r="AD253">
        <f>IF(AND(Table2[[#This Row],[STATES in numeric format]]=0,F252=1,F251=0),1,0)</f>
        <v>0</v>
      </c>
      <c r="AE253">
        <f>IF(AND(Table2[[#This Row],[STATES in numeric format]]=0,F252=-1,F251=0),1,0)</f>
        <v>0</v>
      </c>
      <c r="AF253">
        <f>IF(AND(Table2[[#This Row],[STATES in numeric format]]=0,F252=0,F251=1),1,0)</f>
        <v>0</v>
      </c>
      <c r="AG253">
        <f>IF(AND(Table2[[#This Row],[STATES in numeric format]]=0,F252=0,F251=-1),1,0)</f>
        <v>0</v>
      </c>
    </row>
    <row r="254" spans="1:33" x14ac:dyDescent="0.3">
      <c r="A254" s="1">
        <v>44197</v>
      </c>
      <c r="B254" s="18">
        <v>47868.98</v>
      </c>
      <c r="C254">
        <f>Table2[[#This Row],[Close]]-0.001*Table2[[#This Row],[Close]]</f>
        <v>47821.111020000004</v>
      </c>
      <c r="D254">
        <f>Table2[[#This Row],[Close]]+0.001*Table2[[#This Row],[Close]]</f>
        <v>47916.848980000002</v>
      </c>
      <c r="E254" s="18" t="str">
        <f>IF(Table2[[#This Row],[Close]]&gt;D253,"up",IF(Table2[[#This Row],[Close]]&lt;C253,"down","constant"))</f>
        <v>up</v>
      </c>
      <c r="F254" s="3"/>
    </row>
    <row r="255" spans="1:33" x14ac:dyDescent="0.3">
      <c r="A255" s="1">
        <v>44200</v>
      </c>
      <c r="B255" s="18">
        <v>48176.800000000003</v>
      </c>
      <c r="C255" s="18">
        <f>Table2[[#This Row],[Close]]-0.001*Table2[[#This Row],[Close]]</f>
        <v>48128.623200000002</v>
      </c>
      <c r="D255" s="18">
        <f>Table2[[#This Row],[Close]]+0.001*Table2[[#This Row],[Close]]</f>
        <v>48224.976800000004</v>
      </c>
      <c r="E255" s="18" t="str">
        <f>IF(Table2[[#This Row],[Close]]&gt;D254,"up",IF(Table2[[#This Row],[Close]]&lt;C254,"down","constant"))</f>
        <v>up</v>
      </c>
      <c r="F255" s="3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</row>
    <row r="256" spans="1:33" x14ac:dyDescent="0.3">
      <c r="A256" s="1">
        <v>44201</v>
      </c>
      <c r="B256" s="18">
        <v>48437.78</v>
      </c>
      <c r="C256" s="18">
        <f>Table2[[#This Row],[Close]]-0.001*Table2[[#This Row],[Close]]</f>
        <v>48389.342219999999</v>
      </c>
      <c r="D256" s="18">
        <f>Table2[[#This Row],[Close]]+0.001*Table2[[#This Row],[Close]]</f>
        <v>48486.217779999999</v>
      </c>
      <c r="E256" s="18" t="str">
        <f>IF(Table2[[#This Row],[Close]]&gt;D255,"up",IF(Table2[[#This Row],[Close]]&lt;C255,"down","constant"))</f>
        <v>up</v>
      </c>
      <c r="F256" s="3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</row>
    <row r="257" spans="1:33" x14ac:dyDescent="0.3">
      <c r="A257" s="1">
        <v>44202</v>
      </c>
      <c r="B257" s="18">
        <v>48174.06</v>
      </c>
      <c r="C257" s="18">
        <f>Table2[[#This Row],[Close]]-0.001*Table2[[#This Row],[Close]]</f>
        <v>48125.88594</v>
      </c>
      <c r="D257" s="18">
        <f>Table2[[#This Row],[Close]]+0.001*Table2[[#This Row],[Close]]</f>
        <v>48222.234059999995</v>
      </c>
      <c r="E257" s="18" t="str">
        <f>IF(Table2[[#This Row],[Close]]&gt;D256,"up",IF(Table2[[#This Row],[Close]]&lt;C256,"down","constant"))</f>
        <v>down</v>
      </c>
      <c r="F257" s="3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</row>
    <row r="258" spans="1:33" x14ac:dyDescent="0.3">
      <c r="A258" s="1">
        <v>44203</v>
      </c>
      <c r="B258" s="18">
        <v>48093.32</v>
      </c>
      <c r="C258" s="18">
        <f>Table2[[#This Row],[Close]]-0.001*Table2[[#This Row],[Close]]</f>
        <v>48045.22668</v>
      </c>
      <c r="D258" s="18">
        <f>Table2[[#This Row],[Close]]+0.001*Table2[[#This Row],[Close]]</f>
        <v>48141.41332</v>
      </c>
      <c r="E258" s="18" t="str">
        <f>IF(Table2[[#This Row],[Close]]&gt;D257,"up",IF(Table2[[#This Row],[Close]]&lt;C257,"down","constant"))</f>
        <v>down</v>
      </c>
      <c r="F258" s="3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</row>
    <row r="259" spans="1:33" x14ac:dyDescent="0.3">
      <c r="A259" s="1">
        <v>44204</v>
      </c>
      <c r="B259" s="18">
        <v>48782.51</v>
      </c>
      <c r="C259" s="18">
        <f>Table2[[#This Row],[Close]]-0.001*Table2[[#This Row],[Close]]</f>
        <v>48733.727490000005</v>
      </c>
      <c r="D259" s="18">
        <f>Table2[[#This Row],[Close]]+0.001*Table2[[#This Row],[Close]]</f>
        <v>48831.292509999999</v>
      </c>
      <c r="E259" s="18" t="str">
        <f>IF(Table2[[#This Row],[Close]]&gt;D258,"up",IF(Table2[[#This Row],[Close]]&lt;C258,"down","constant"))</f>
        <v>up</v>
      </c>
      <c r="F259" s="3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</row>
    <row r="260" spans="1:33" x14ac:dyDescent="0.3">
      <c r="A260" s="1">
        <v>44207</v>
      </c>
      <c r="B260" s="18">
        <v>49269.32</v>
      </c>
      <c r="C260" s="18">
        <f>Table2[[#This Row],[Close]]-0.001*Table2[[#This Row],[Close]]</f>
        <v>49220.05068</v>
      </c>
      <c r="D260" s="18">
        <f>Table2[[#This Row],[Close]]+0.001*Table2[[#This Row],[Close]]</f>
        <v>49318.589319999999</v>
      </c>
      <c r="E260" s="18" t="str">
        <f>IF(Table2[[#This Row],[Close]]&gt;D259,"up",IF(Table2[[#This Row],[Close]]&lt;C259,"down","constant"))</f>
        <v>up</v>
      </c>
      <c r="F260" s="3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</row>
    <row r="261" spans="1:33" x14ac:dyDescent="0.3">
      <c r="A261" s="1">
        <v>44208</v>
      </c>
      <c r="B261" s="18">
        <v>49517.11</v>
      </c>
      <c r="C261" s="18">
        <f>Table2[[#This Row],[Close]]-0.001*Table2[[#This Row],[Close]]</f>
        <v>49467.59289</v>
      </c>
      <c r="D261" s="18">
        <f>Table2[[#This Row],[Close]]+0.001*Table2[[#This Row],[Close]]</f>
        <v>49566.627110000001</v>
      </c>
      <c r="E261" s="18" t="str">
        <f>IF(Table2[[#This Row],[Close]]&gt;D260,"up",IF(Table2[[#This Row],[Close]]&lt;C260,"down","constant"))</f>
        <v>up</v>
      </c>
      <c r="F261" s="3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</row>
    <row r="262" spans="1:33" x14ac:dyDescent="0.3">
      <c r="A262" s="1">
        <v>44209</v>
      </c>
      <c r="B262" s="18">
        <v>49492.32</v>
      </c>
      <c r="C262" s="18">
        <f>Table2[[#This Row],[Close]]-0.001*Table2[[#This Row],[Close]]</f>
        <v>49442.827680000002</v>
      </c>
      <c r="D262" s="18">
        <f>Table2[[#This Row],[Close]]+0.001*Table2[[#This Row],[Close]]</f>
        <v>49541.812319999997</v>
      </c>
      <c r="E262" s="18" t="str">
        <f>IF(Table2[[#This Row],[Close]]&gt;D261,"up",IF(Table2[[#This Row],[Close]]&lt;C261,"down","constant"))</f>
        <v>constant</v>
      </c>
      <c r="F262" s="3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</row>
    <row r="263" spans="1:33" x14ac:dyDescent="0.3">
      <c r="A263" s="1">
        <v>44210</v>
      </c>
      <c r="B263" s="18">
        <v>49584.160000000003</v>
      </c>
      <c r="C263" s="18">
        <f>Table2[[#This Row],[Close]]-0.001*Table2[[#This Row],[Close]]</f>
        <v>49534.575840000005</v>
      </c>
      <c r="D263" s="18">
        <f>Table2[[#This Row],[Close]]+0.001*Table2[[#This Row],[Close]]</f>
        <v>49633.744160000002</v>
      </c>
      <c r="E263" s="18" t="str">
        <f>IF(Table2[[#This Row],[Close]]&gt;D262,"up",IF(Table2[[#This Row],[Close]]&lt;C262,"down","constant"))</f>
        <v>up</v>
      </c>
      <c r="F263" s="3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</row>
    <row r="264" spans="1:33" x14ac:dyDescent="0.3">
      <c r="A264" s="1">
        <v>44211</v>
      </c>
      <c r="B264" s="18">
        <v>49034.67</v>
      </c>
      <c r="C264" s="18">
        <f>Table2[[#This Row],[Close]]-0.001*Table2[[#This Row],[Close]]</f>
        <v>48985.635329999997</v>
      </c>
      <c r="D264" s="18">
        <f>Table2[[#This Row],[Close]]+0.001*Table2[[#This Row],[Close]]</f>
        <v>49083.704669999999</v>
      </c>
      <c r="E264" s="18" t="str">
        <f>IF(Table2[[#This Row],[Close]]&gt;D263,"up",IF(Table2[[#This Row],[Close]]&lt;C263,"down","constant"))</f>
        <v>down</v>
      </c>
      <c r="F264" s="3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</row>
    <row r="265" spans="1:33" x14ac:dyDescent="0.3">
      <c r="A265" s="1">
        <v>44214</v>
      </c>
      <c r="B265" s="18">
        <v>48564.27</v>
      </c>
      <c r="C265" s="18">
        <f>Table2[[#This Row],[Close]]-0.001*Table2[[#This Row],[Close]]</f>
        <v>48515.705729999994</v>
      </c>
      <c r="D265" s="18">
        <f>Table2[[#This Row],[Close]]+0.001*Table2[[#This Row],[Close]]</f>
        <v>48612.834269999999</v>
      </c>
      <c r="E265" s="18" t="str">
        <f>IF(Table2[[#This Row],[Close]]&gt;D264,"up",IF(Table2[[#This Row],[Close]]&lt;C264,"down","constant"))</f>
        <v>down</v>
      </c>
      <c r="F265" s="3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</row>
    <row r="266" spans="1:33" x14ac:dyDescent="0.3">
      <c r="A266" s="1">
        <v>44215</v>
      </c>
      <c r="B266" s="18">
        <v>49398.29</v>
      </c>
      <c r="C266" s="18">
        <f>Table2[[#This Row],[Close]]-0.001*Table2[[#This Row],[Close]]</f>
        <v>49348.891710000004</v>
      </c>
      <c r="D266" s="18">
        <f>Table2[[#This Row],[Close]]+0.001*Table2[[#This Row],[Close]]</f>
        <v>49447.688289999998</v>
      </c>
      <c r="E266" s="18" t="str">
        <f>IF(Table2[[#This Row],[Close]]&gt;D265,"up",IF(Table2[[#This Row],[Close]]&lt;C265,"down","constant"))</f>
        <v>up</v>
      </c>
      <c r="F266" s="3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</row>
    <row r="267" spans="1:33" x14ac:dyDescent="0.3">
      <c r="A267" s="1">
        <v>44216</v>
      </c>
      <c r="B267" s="18">
        <v>49792.12</v>
      </c>
      <c r="C267" s="18">
        <f>Table2[[#This Row],[Close]]-0.001*Table2[[#This Row],[Close]]</f>
        <v>49742.327880000004</v>
      </c>
      <c r="D267" s="18">
        <f>Table2[[#This Row],[Close]]+0.001*Table2[[#This Row],[Close]]</f>
        <v>49841.912120000001</v>
      </c>
      <c r="E267" s="18" t="str">
        <f>IF(Table2[[#This Row],[Close]]&gt;D266,"up",IF(Table2[[#This Row],[Close]]&lt;C266,"down","constant"))</f>
        <v>up</v>
      </c>
      <c r="F267" s="3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</row>
    <row r="268" spans="1:33" x14ac:dyDescent="0.3">
      <c r="A268" s="1">
        <v>44217</v>
      </c>
      <c r="B268" s="18">
        <v>49624.76</v>
      </c>
      <c r="C268" s="18">
        <f>Table2[[#This Row],[Close]]-0.001*Table2[[#This Row],[Close]]</f>
        <v>49575.135240000003</v>
      </c>
      <c r="D268" s="18">
        <f>Table2[[#This Row],[Close]]+0.001*Table2[[#This Row],[Close]]</f>
        <v>49674.384760000001</v>
      </c>
      <c r="E268" s="18" t="str">
        <f>IF(Table2[[#This Row],[Close]]&gt;D267,"up",IF(Table2[[#This Row],[Close]]&lt;C267,"down","constant"))</f>
        <v>down</v>
      </c>
      <c r="F268" s="3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</row>
    <row r="269" spans="1:33" x14ac:dyDescent="0.3">
      <c r="A269" s="1">
        <v>44218</v>
      </c>
      <c r="B269" s="18">
        <v>48878.54</v>
      </c>
      <c r="C269" s="18">
        <f>Table2[[#This Row],[Close]]-0.001*Table2[[#This Row],[Close]]</f>
        <v>48829.661460000003</v>
      </c>
      <c r="D269" s="18">
        <f>Table2[[#This Row],[Close]]+0.001*Table2[[#This Row],[Close]]</f>
        <v>48927.418539999999</v>
      </c>
      <c r="E269" s="18" t="str">
        <f>IF(Table2[[#This Row],[Close]]&gt;D268,"up",IF(Table2[[#This Row],[Close]]&lt;C268,"down","constant"))</f>
        <v>down</v>
      </c>
      <c r="F269" s="3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</row>
    <row r="270" spans="1:33" x14ac:dyDescent="0.3">
      <c r="A270" s="1">
        <v>44221</v>
      </c>
      <c r="B270" s="18">
        <v>48347.59</v>
      </c>
      <c r="C270" s="18">
        <f>Table2[[#This Row],[Close]]-0.001*Table2[[#This Row],[Close]]</f>
        <v>48299.242409999999</v>
      </c>
      <c r="D270" s="18">
        <f>Table2[[#This Row],[Close]]+0.001*Table2[[#This Row],[Close]]</f>
        <v>48395.937589999994</v>
      </c>
      <c r="E270" s="18" t="str">
        <f>IF(Table2[[#This Row],[Close]]&gt;D269,"up",IF(Table2[[#This Row],[Close]]&lt;C269,"down","constant"))</f>
        <v>down</v>
      </c>
      <c r="F270" s="3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</row>
    <row r="271" spans="1:33" x14ac:dyDescent="0.3">
      <c r="A271" s="1">
        <v>44223</v>
      </c>
      <c r="B271" s="18">
        <v>47409.93</v>
      </c>
      <c r="C271" s="18">
        <f>Table2[[#This Row],[Close]]-0.001*Table2[[#This Row],[Close]]</f>
        <v>47362.520069999999</v>
      </c>
      <c r="D271" s="18">
        <f>Table2[[#This Row],[Close]]+0.001*Table2[[#This Row],[Close]]</f>
        <v>47457.339930000002</v>
      </c>
      <c r="E271" s="18" t="str">
        <f>IF(Table2[[#This Row],[Close]]&gt;D270,"up",IF(Table2[[#This Row],[Close]]&lt;C270,"down","constant"))</f>
        <v>down</v>
      </c>
      <c r="F271" s="3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</row>
    <row r="272" spans="1:33" x14ac:dyDescent="0.3">
      <c r="A272" s="1">
        <v>44224</v>
      </c>
      <c r="B272" s="18">
        <v>46874.36</v>
      </c>
      <c r="C272" s="18">
        <f>Table2[[#This Row],[Close]]-0.001*Table2[[#This Row],[Close]]</f>
        <v>46827.485639999999</v>
      </c>
      <c r="D272" s="18">
        <f>Table2[[#This Row],[Close]]+0.001*Table2[[#This Row],[Close]]</f>
        <v>46921.234360000002</v>
      </c>
      <c r="E272" s="18" t="str">
        <f>IF(Table2[[#This Row],[Close]]&gt;D271,"up",IF(Table2[[#This Row],[Close]]&lt;C271,"down","constant"))</f>
        <v>down</v>
      </c>
      <c r="F272" s="3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</row>
    <row r="273" spans="1:33" x14ac:dyDescent="0.3">
      <c r="A273" s="1">
        <v>44225</v>
      </c>
      <c r="B273" s="18">
        <v>46285.77</v>
      </c>
      <c r="C273" s="18">
        <f>Table2[[#This Row],[Close]]-0.001*Table2[[#This Row],[Close]]</f>
        <v>46239.484229999995</v>
      </c>
      <c r="D273" s="18">
        <f>Table2[[#This Row],[Close]]+0.001*Table2[[#This Row],[Close]]</f>
        <v>46332.055769999999</v>
      </c>
      <c r="E273" s="18" t="str">
        <f>IF(Table2[[#This Row],[Close]]&gt;D272,"up",IF(Table2[[#This Row],[Close]]&lt;C272,"down","constant"))</f>
        <v>down</v>
      </c>
      <c r="F273" s="3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</row>
    <row r="274" spans="1:33" x14ac:dyDescent="0.3">
      <c r="A274" s="1">
        <v>44228</v>
      </c>
      <c r="B274" s="18">
        <v>48600.61</v>
      </c>
      <c r="C274" s="18">
        <f>Table2[[#This Row],[Close]]-0.001*Table2[[#This Row],[Close]]</f>
        <v>48552.009389999999</v>
      </c>
      <c r="D274" s="18">
        <f>Table2[[#This Row],[Close]]+0.001*Table2[[#This Row],[Close]]</f>
        <v>48649.210610000002</v>
      </c>
      <c r="E274" s="18" t="str">
        <f>IF(Table2[[#This Row],[Close]]&gt;D273,"up",IF(Table2[[#This Row],[Close]]&lt;C273,"down","constant"))</f>
        <v>up</v>
      </c>
      <c r="F274" s="3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</row>
    <row r="275" spans="1:33" x14ac:dyDescent="0.3">
      <c r="A275" s="1">
        <v>44229</v>
      </c>
      <c r="B275" s="18">
        <v>49797.72</v>
      </c>
      <c r="C275" s="18">
        <f>Table2[[#This Row],[Close]]-0.001*Table2[[#This Row],[Close]]</f>
        <v>49747.922279999999</v>
      </c>
      <c r="D275" s="18">
        <f>Table2[[#This Row],[Close]]+0.001*Table2[[#This Row],[Close]]</f>
        <v>49847.517720000003</v>
      </c>
      <c r="E275" s="18" t="str">
        <f>IF(Table2[[#This Row],[Close]]&gt;D274,"up",IF(Table2[[#This Row],[Close]]&lt;C274,"down","constant"))</f>
        <v>up</v>
      </c>
      <c r="F275" s="3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</row>
    <row r="276" spans="1:33" x14ac:dyDescent="0.3">
      <c r="A276" s="1">
        <v>44230</v>
      </c>
      <c r="B276" s="18">
        <v>50255.75</v>
      </c>
      <c r="C276" s="18">
        <f>Table2[[#This Row],[Close]]-0.001*Table2[[#This Row],[Close]]</f>
        <v>50205.494250000003</v>
      </c>
      <c r="D276" s="18">
        <f>Table2[[#This Row],[Close]]+0.001*Table2[[#This Row],[Close]]</f>
        <v>50306.005749999997</v>
      </c>
      <c r="E276" s="18" t="str">
        <f>IF(Table2[[#This Row],[Close]]&gt;D275,"up",IF(Table2[[#This Row],[Close]]&lt;C275,"down","constant"))</f>
        <v>up</v>
      </c>
      <c r="F276" s="3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</row>
    <row r="277" spans="1:33" x14ac:dyDescent="0.3">
      <c r="A277" s="1">
        <v>44231</v>
      </c>
      <c r="B277" s="18">
        <v>50614.29</v>
      </c>
      <c r="C277" s="18">
        <f>Table2[[#This Row],[Close]]-0.001*Table2[[#This Row],[Close]]</f>
        <v>50563.675710000003</v>
      </c>
      <c r="D277" s="18">
        <f>Table2[[#This Row],[Close]]+0.001*Table2[[#This Row],[Close]]</f>
        <v>50664.904289999999</v>
      </c>
      <c r="E277" s="18" t="str">
        <f>IF(Table2[[#This Row],[Close]]&gt;D276,"up",IF(Table2[[#This Row],[Close]]&lt;C276,"down","constant"))</f>
        <v>up</v>
      </c>
      <c r="F277" s="3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</row>
    <row r="278" spans="1:33" x14ac:dyDescent="0.3">
      <c r="A278" s="1">
        <v>44232</v>
      </c>
      <c r="B278" s="18">
        <v>50731.63</v>
      </c>
      <c r="C278" s="18">
        <f>Table2[[#This Row],[Close]]-0.001*Table2[[#This Row],[Close]]</f>
        <v>50680.898369999995</v>
      </c>
      <c r="D278" s="18">
        <f>Table2[[#This Row],[Close]]+0.001*Table2[[#This Row],[Close]]</f>
        <v>50782.361629999999</v>
      </c>
      <c r="E278" s="18" t="str">
        <f>IF(Table2[[#This Row],[Close]]&gt;D277,"up",IF(Table2[[#This Row],[Close]]&lt;C277,"down","constant"))</f>
        <v>up</v>
      </c>
      <c r="F278" s="3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</row>
    <row r="279" spans="1:33" x14ac:dyDescent="0.3">
      <c r="A279" s="1">
        <v>44235</v>
      </c>
      <c r="B279" s="18">
        <v>51348.77</v>
      </c>
      <c r="C279" s="18">
        <f>Table2[[#This Row],[Close]]-0.001*Table2[[#This Row],[Close]]</f>
        <v>51297.42123</v>
      </c>
      <c r="D279" s="18">
        <f>Table2[[#This Row],[Close]]+0.001*Table2[[#This Row],[Close]]</f>
        <v>51400.118769999994</v>
      </c>
      <c r="E279" s="18" t="str">
        <f>IF(Table2[[#This Row],[Close]]&gt;D278,"up",IF(Table2[[#This Row],[Close]]&lt;C278,"down","constant"))</f>
        <v>up</v>
      </c>
      <c r="F279" s="3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</row>
    <row r="280" spans="1:33" x14ac:dyDescent="0.3">
      <c r="A280" s="1">
        <v>44236</v>
      </c>
      <c r="B280" s="18">
        <v>51329.08</v>
      </c>
      <c r="C280" s="18">
        <f>Table2[[#This Row],[Close]]-0.001*Table2[[#This Row],[Close]]</f>
        <v>51277.750919999999</v>
      </c>
      <c r="D280" s="18">
        <f>Table2[[#This Row],[Close]]+0.001*Table2[[#This Row],[Close]]</f>
        <v>51380.409080000005</v>
      </c>
      <c r="E280" s="18" t="str">
        <f>IF(Table2[[#This Row],[Close]]&gt;D279,"up",IF(Table2[[#This Row],[Close]]&lt;C279,"down","constant"))</f>
        <v>constant</v>
      </c>
      <c r="F280" s="3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</row>
    <row r="281" spans="1:33" x14ac:dyDescent="0.3">
      <c r="A281" s="1">
        <v>44237</v>
      </c>
      <c r="B281" s="18">
        <v>51309.39</v>
      </c>
      <c r="C281" s="18">
        <f>Table2[[#This Row],[Close]]-0.001*Table2[[#This Row],[Close]]</f>
        <v>51258.080609999997</v>
      </c>
      <c r="D281" s="18">
        <f>Table2[[#This Row],[Close]]+0.001*Table2[[#This Row],[Close]]</f>
        <v>51360.699390000002</v>
      </c>
      <c r="E281" s="18" t="str">
        <f>IF(Table2[[#This Row],[Close]]&gt;D280,"up",IF(Table2[[#This Row],[Close]]&lt;C280,"down","constant"))</f>
        <v>constant</v>
      </c>
      <c r="F281" s="3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</row>
    <row r="282" spans="1:33" x14ac:dyDescent="0.3">
      <c r="A282" s="1">
        <v>44238</v>
      </c>
      <c r="B282" s="18">
        <v>51531.519999999997</v>
      </c>
      <c r="C282" s="18">
        <f>Table2[[#This Row],[Close]]-0.001*Table2[[#This Row],[Close]]</f>
        <v>51479.98848</v>
      </c>
      <c r="D282" s="18">
        <f>Table2[[#This Row],[Close]]+0.001*Table2[[#This Row],[Close]]</f>
        <v>51583.051519999994</v>
      </c>
      <c r="E282" s="18" t="str">
        <f>IF(Table2[[#This Row],[Close]]&gt;D281,"up",IF(Table2[[#This Row],[Close]]&lt;C281,"down","constant"))</f>
        <v>up</v>
      </c>
      <c r="F282" s="3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</row>
    <row r="283" spans="1:33" x14ac:dyDescent="0.3">
      <c r="A283" s="1">
        <v>44239</v>
      </c>
      <c r="B283" s="18">
        <v>51544.3</v>
      </c>
      <c r="C283" s="18">
        <f>Table2[[#This Row],[Close]]-0.001*Table2[[#This Row],[Close]]</f>
        <v>51492.755700000002</v>
      </c>
      <c r="D283" s="18">
        <f>Table2[[#This Row],[Close]]+0.001*Table2[[#This Row],[Close]]</f>
        <v>51595.844300000004</v>
      </c>
      <c r="E283" s="18" t="str">
        <f>IF(Table2[[#This Row],[Close]]&gt;D282,"up",IF(Table2[[#This Row],[Close]]&lt;C282,"down","constant"))</f>
        <v>constant</v>
      </c>
      <c r="F283" s="3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</row>
    <row r="284" spans="1:33" x14ac:dyDescent="0.3">
      <c r="A284" s="1">
        <v>44242</v>
      </c>
      <c r="B284" s="18">
        <v>52154.13</v>
      </c>
      <c r="C284" s="18">
        <f>Table2[[#This Row],[Close]]-0.001*Table2[[#This Row],[Close]]</f>
        <v>52101.975869999995</v>
      </c>
      <c r="D284" s="18">
        <f>Table2[[#This Row],[Close]]+0.001*Table2[[#This Row],[Close]]</f>
        <v>52206.28413</v>
      </c>
      <c r="E284" s="18" t="str">
        <f>IF(Table2[[#This Row],[Close]]&gt;D283,"up",IF(Table2[[#This Row],[Close]]&lt;C283,"down","constant"))</f>
        <v>up</v>
      </c>
      <c r="F284" s="3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</row>
    <row r="285" spans="1:33" x14ac:dyDescent="0.3">
      <c r="A285" s="1">
        <v>44243</v>
      </c>
      <c r="B285" s="18">
        <v>52104.17</v>
      </c>
      <c r="C285" s="18">
        <f>Table2[[#This Row],[Close]]-0.001*Table2[[#This Row],[Close]]</f>
        <v>52052.06583</v>
      </c>
      <c r="D285" s="18">
        <f>Table2[[#This Row],[Close]]+0.001*Table2[[#This Row],[Close]]</f>
        <v>52156.274169999997</v>
      </c>
      <c r="E285" s="18" t="str">
        <f>IF(Table2[[#This Row],[Close]]&gt;D284,"up",IF(Table2[[#This Row],[Close]]&lt;C284,"down","constant"))</f>
        <v>constant</v>
      </c>
      <c r="F285" s="3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</row>
    <row r="286" spans="1:33" x14ac:dyDescent="0.3">
      <c r="A286" s="1">
        <v>44244</v>
      </c>
      <c r="B286" s="18">
        <v>51703.83</v>
      </c>
      <c r="C286" s="18">
        <f>Table2[[#This Row],[Close]]-0.001*Table2[[#This Row],[Close]]</f>
        <v>51652.126170000003</v>
      </c>
      <c r="D286" s="18">
        <f>Table2[[#This Row],[Close]]+0.001*Table2[[#This Row],[Close]]</f>
        <v>51755.53383</v>
      </c>
      <c r="E286" s="18" t="str">
        <f>IF(Table2[[#This Row],[Close]]&gt;D285,"up",IF(Table2[[#This Row],[Close]]&lt;C285,"down","constant"))</f>
        <v>down</v>
      </c>
      <c r="F286" s="3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</row>
    <row r="287" spans="1:33" x14ac:dyDescent="0.3">
      <c r="A287" s="1">
        <v>44245</v>
      </c>
      <c r="B287" s="18">
        <v>51324.69</v>
      </c>
      <c r="C287" s="18">
        <f>Table2[[#This Row],[Close]]-0.001*Table2[[#This Row],[Close]]</f>
        <v>51273.365310000001</v>
      </c>
      <c r="D287" s="18">
        <f>Table2[[#This Row],[Close]]+0.001*Table2[[#This Row],[Close]]</f>
        <v>51376.014690000004</v>
      </c>
      <c r="E287" s="18" t="str">
        <f>IF(Table2[[#This Row],[Close]]&gt;D286,"up",IF(Table2[[#This Row],[Close]]&lt;C286,"down","constant"))</f>
        <v>down</v>
      </c>
      <c r="F287" s="3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</row>
    <row r="288" spans="1:33" x14ac:dyDescent="0.3">
      <c r="A288" s="1">
        <v>44246</v>
      </c>
      <c r="B288" s="18">
        <v>50889.760000000002</v>
      </c>
      <c r="C288" s="18">
        <f>Table2[[#This Row],[Close]]-0.001*Table2[[#This Row],[Close]]</f>
        <v>50838.870240000004</v>
      </c>
      <c r="D288" s="18">
        <f>Table2[[#This Row],[Close]]+0.001*Table2[[#This Row],[Close]]</f>
        <v>50940.64976</v>
      </c>
      <c r="E288" s="18" t="str">
        <f>IF(Table2[[#This Row],[Close]]&gt;D287,"up",IF(Table2[[#This Row],[Close]]&lt;C287,"down","constant"))</f>
        <v>down</v>
      </c>
      <c r="F288" s="3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</row>
    <row r="289" spans="1:33" x14ac:dyDescent="0.3">
      <c r="A289" s="1">
        <v>44249</v>
      </c>
      <c r="B289" s="18">
        <v>49744.32</v>
      </c>
      <c r="C289" s="18">
        <f>Table2[[#This Row],[Close]]-0.001*Table2[[#This Row],[Close]]</f>
        <v>49694.575680000002</v>
      </c>
      <c r="D289" s="18">
        <f>Table2[[#This Row],[Close]]+0.001*Table2[[#This Row],[Close]]</f>
        <v>49794.064319999998</v>
      </c>
      <c r="E289" s="18" t="str">
        <f>IF(Table2[[#This Row],[Close]]&gt;D288,"up",IF(Table2[[#This Row],[Close]]&lt;C288,"down","constant"))</f>
        <v>down</v>
      </c>
      <c r="F289" s="3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</row>
    <row r="290" spans="1:33" x14ac:dyDescent="0.3">
      <c r="A290" s="1">
        <v>44250</v>
      </c>
      <c r="B290" s="18">
        <v>49751.41</v>
      </c>
      <c r="C290" s="18">
        <f>Table2[[#This Row],[Close]]-0.001*Table2[[#This Row],[Close]]</f>
        <v>49701.658590000006</v>
      </c>
      <c r="D290" s="18">
        <f>Table2[[#This Row],[Close]]+0.001*Table2[[#This Row],[Close]]</f>
        <v>49801.161410000001</v>
      </c>
      <c r="E290" s="18" t="str">
        <f>IF(Table2[[#This Row],[Close]]&gt;D289,"up",IF(Table2[[#This Row],[Close]]&lt;C289,"down","constant"))</f>
        <v>constant</v>
      </c>
      <c r="F290" s="3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</row>
    <row r="291" spans="1:33" x14ac:dyDescent="0.3">
      <c r="A291" s="1">
        <v>44251</v>
      </c>
      <c r="B291" s="18">
        <v>50781.69</v>
      </c>
      <c r="C291" s="18">
        <f>Table2[[#This Row],[Close]]-0.001*Table2[[#This Row],[Close]]</f>
        <v>50730.908309999999</v>
      </c>
      <c r="D291" s="18">
        <f>Table2[[#This Row],[Close]]+0.001*Table2[[#This Row],[Close]]</f>
        <v>50832.471690000006</v>
      </c>
      <c r="E291" s="18" t="str">
        <f>IF(Table2[[#This Row],[Close]]&gt;D290,"up",IF(Table2[[#This Row],[Close]]&lt;C290,"down","constant"))</f>
        <v>up</v>
      </c>
      <c r="F291" s="3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</row>
    <row r="292" spans="1:33" x14ac:dyDescent="0.3">
      <c r="A292" s="1">
        <v>44252</v>
      </c>
      <c r="B292" s="18">
        <v>51039.31</v>
      </c>
      <c r="C292" s="18">
        <f>Table2[[#This Row],[Close]]-0.001*Table2[[#This Row],[Close]]</f>
        <v>50988.270689999998</v>
      </c>
      <c r="D292" s="18">
        <f>Table2[[#This Row],[Close]]+0.001*Table2[[#This Row],[Close]]</f>
        <v>51090.349309999998</v>
      </c>
      <c r="E292" s="18" t="str">
        <f>IF(Table2[[#This Row],[Close]]&gt;D291,"up",IF(Table2[[#This Row],[Close]]&lt;C291,"down","constant"))</f>
        <v>up</v>
      </c>
      <c r="F292" s="3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</row>
    <row r="293" spans="1:33" x14ac:dyDescent="0.3">
      <c r="A293" s="1">
        <v>44253</v>
      </c>
      <c r="B293" s="18">
        <v>49099.99</v>
      </c>
      <c r="C293" s="18">
        <f>Table2[[#This Row],[Close]]-0.001*Table2[[#This Row],[Close]]</f>
        <v>49050.890009999996</v>
      </c>
      <c r="D293" s="18">
        <f>Table2[[#This Row],[Close]]+0.001*Table2[[#This Row],[Close]]</f>
        <v>49149.08999</v>
      </c>
      <c r="E293" s="18" t="str">
        <f>IF(Table2[[#This Row],[Close]]&gt;D292,"up",IF(Table2[[#This Row],[Close]]&lt;C292,"down","constant"))</f>
        <v>down</v>
      </c>
      <c r="F293" s="3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</row>
    <row r="294" spans="1:33" x14ac:dyDescent="0.3">
      <c r="A294" s="1">
        <v>44256</v>
      </c>
      <c r="B294" s="18">
        <v>49849.84</v>
      </c>
      <c r="C294" s="18">
        <f>Table2[[#This Row],[Close]]-0.001*Table2[[#This Row],[Close]]</f>
        <v>49799.990159999994</v>
      </c>
      <c r="D294" s="18">
        <f>Table2[[#This Row],[Close]]+0.001*Table2[[#This Row],[Close]]</f>
        <v>49899.689839999999</v>
      </c>
      <c r="E294" s="18" t="str">
        <f>IF(Table2[[#This Row],[Close]]&gt;D293,"up",IF(Table2[[#This Row],[Close]]&lt;C293,"down","constant"))</f>
        <v>up</v>
      </c>
      <c r="F294" s="3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</row>
    <row r="295" spans="1:33" x14ac:dyDescent="0.3">
      <c r="A295" s="1">
        <v>44257</v>
      </c>
      <c r="B295" s="18">
        <v>50296.89</v>
      </c>
      <c r="C295" s="18">
        <f>Table2[[#This Row],[Close]]-0.001*Table2[[#This Row],[Close]]</f>
        <v>50246.593110000002</v>
      </c>
      <c r="D295" s="18">
        <f>Table2[[#This Row],[Close]]+0.001*Table2[[#This Row],[Close]]</f>
        <v>50347.186889999997</v>
      </c>
      <c r="E295" s="18" t="str">
        <f>IF(Table2[[#This Row],[Close]]&gt;D294,"up",IF(Table2[[#This Row],[Close]]&lt;C294,"down","constant"))</f>
        <v>up</v>
      </c>
      <c r="F295" s="3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</row>
    <row r="296" spans="1:33" x14ac:dyDescent="0.3">
      <c r="A296" s="1">
        <v>44258</v>
      </c>
      <c r="B296" s="18">
        <v>51444.65</v>
      </c>
      <c r="C296" s="18">
        <f>Table2[[#This Row],[Close]]-0.001*Table2[[#This Row],[Close]]</f>
        <v>51393.205350000004</v>
      </c>
      <c r="D296" s="18">
        <f>Table2[[#This Row],[Close]]+0.001*Table2[[#This Row],[Close]]</f>
        <v>51496.094649999999</v>
      </c>
      <c r="E296" s="18" t="str">
        <f>IF(Table2[[#This Row],[Close]]&gt;D295,"up",IF(Table2[[#This Row],[Close]]&lt;C295,"down","constant"))</f>
        <v>up</v>
      </c>
      <c r="F296" s="3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</row>
    <row r="297" spans="1:33" x14ac:dyDescent="0.3">
      <c r="A297" s="1">
        <v>44259</v>
      </c>
      <c r="B297" s="18">
        <v>50846.080000000002</v>
      </c>
      <c r="C297" s="18">
        <f>Table2[[#This Row],[Close]]-0.001*Table2[[#This Row],[Close]]</f>
        <v>50795.233919999999</v>
      </c>
      <c r="D297" s="18">
        <f>Table2[[#This Row],[Close]]+0.001*Table2[[#This Row],[Close]]</f>
        <v>50896.926080000005</v>
      </c>
      <c r="E297" s="18" t="str">
        <f>IF(Table2[[#This Row],[Close]]&gt;D296,"up",IF(Table2[[#This Row],[Close]]&lt;C296,"down","constant"))</f>
        <v>down</v>
      </c>
      <c r="F297" s="3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</row>
    <row r="298" spans="1:33" x14ac:dyDescent="0.3">
      <c r="A298" s="1">
        <v>44260</v>
      </c>
      <c r="B298" s="18">
        <v>50405.32</v>
      </c>
      <c r="C298" s="18">
        <f>Table2[[#This Row],[Close]]-0.001*Table2[[#This Row],[Close]]</f>
        <v>50354.914680000002</v>
      </c>
      <c r="D298" s="18">
        <f>Table2[[#This Row],[Close]]+0.001*Table2[[#This Row],[Close]]</f>
        <v>50455.725319999998</v>
      </c>
      <c r="E298" s="18" t="str">
        <f>IF(Table2[[#This Row],[Close]]&gt;D297,"up",IF(Table2[[#This Row],[Close]]&lt;C297,"down","constant"))</f>
        <v>down</v>
      </c>
      <c r="F298" s="3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</row>
    <row r="299" spans="1:33" x14ac:dyDescent="0.3">
      <c r="A299" s="1">
        <v>44263</v>
      </c>
      <c r="B299" s="18">
        <v>50441.07</v>
      </c>
      <c r="C299" s="18">
        <f>Table2[[#This Row],[Close]]-0.001*Table2[[#This Row],[Close]]</f>
        <v>50390.628929999999</v>
      </c>
      <c r="D299" s="18">
        <f>Table2[[#This Row],[Close]]+0.001*Table2[[#This Row],[Close]]</f>
        <v>50491.51107</v>
      </c>
      <c r="E299" s="18" t="str">
        <f>IF(Table2[[#This Row],[Close]]&gt;D298,"up",IF(Table2[[#This Row],[Close]]&lt;C298,"down","constant"))</f>
        <v>constant</v>
      </c>
      <c r="F299" s="3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</row>
    <row r="300" spans="1:33" x14ac:dyDescent="0.3">
      <c r="A300" s="1">
        <v>44264</v>
      </c>
      <c r="B300" s="18">
        <v>51025.48</v>
      </c>
      <c r="C300" s="18">
        <f>Table2[[#This Row],[Close]]-0.001*Table2[[#This Row],[Close]]</f>
        <v>50974.454520000007</v>
      </c>
      <c r="D300" s="18">
        <f>Table2[[#This Row],[Close]]+0.001*Table2[[#This Row],[Close]]</f>
        <v>51076.50548</v>
      </c>
      <c r="E300" s="18" t="str">
        <f>IF(Table2[[#This Row],[Close]]&gt;D299,"up",IF(Table2[[#This Row],[Close]]&lt;C299,"down","constant"))</f>
        <v>up</v>
      </c>
      <c r="F300" s="3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</row>
    <row r="301" spans="1:33" x14ac:dyDescent="0.3">
      <c r="A301" s="1">
        <v>44265</v>
      </c>
      <c r="B301" s="18">
        <v>51279.51</v>
      </c>
      <c r="C301" s="18">
        <f>Table2[[#This Row],[Close]]-0.001*Table2[[#This Row],[Close]]</f>
        <v>51228.230490000002</v>
      </c>
      <c r="D301" s="18">
        <f>Table2[[#This Row],[Close]]+0.001*Table2[[#This Row],[Close]]</f>
        <v>51330.789510000002</v>
      </c>
      <c r="E301" s="18" t="str">
        <f>IF(Table2[[#This Row],[Close]]&gt;D300,"up",IF(Table2[[#This Row],[Close]]&lt;C300,"down","constant"))</f>
        <v>up</v>
      </c>
      <c r="F301" s="3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</row>
    <row r="302" spans="1:33" x14ac:dyDescent="0.3">
      <c r="A302" s="1">
        <v>44267</v>
      </c>
      <c r="B302" s="18">
        <v>50792.08</v>
      </c>
      <c r="C302" s="18">
        <f>Table2[[#This Row],[Close]]-0.001*Table2[[#This Row],[Close]]</f>
        <v>50741.287920000002</v>
      </c>
      <c r="D302" s="18">
        <f>Table2[[#This Row],[Close]]+0.001*Table2[[#This Row],[Close]]</f>
        <v>50842.872080000001</v>
      </c>
      <c r="E302" s="18" t="str">
        <f>IF(Table2[[#This Row],[Close]]&gt;D301,"up",IF(Table2[[#This Row],[Close]]&lt;C301,"down","constant"))</f>
        <v>down</v>
      </c>
      <c r="F302" s="3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</row>
    <row r="303" spans="1:33" x14ac:dyDescent="0.3">
      <c r="A303" s="1">
        <v>44270</v>
      </c>
      <c r="B303" s="18">
        <v>50395.08</v>
      </c>
      <c r="C303" s="18">
        <f>Table2[[#This Row],[Close]]-0.001*Table2[[#This Row],[Close]]</f>
        <v>50344.68492</v>
      </c>
      <c r="D303" s="18">
        <f>Table2[[#This Row],[Close]]+0.001*Table2[[#This Row],[Close]]</f>
        <v>50445.475080000004</v>
      </c>
      <c r="E303" s="18" t="str">
        <f>IF(Table2[[#This Row],[Close]]&gt;D302,"up",IF(Table2[[#This Row],[Close]]&lt;C302,"down","constant"))</f>
        <v>down</v>
      </c>
      <c r="F303" s="3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</row>
    <row r="304" spans="1:33" x14ac:dyDescent="0.3">
      <c r="A304" s="1">
        <v>44271</v>
      </c>
      <c r="B304" s="18">
        <v>50363.96</v>
      </c>
      <c r="C304" s="18">
        <f>Table2[[#This Row],[Close]]-0.001*Table2[[#This Row],[Close]]</f>
        <v>50313.596039999997</v>
      </c>
      <c r="D304" s="18">
        <f>Table2[[#This Row],[Close]]+0.001*Table2[[#This Row],[Close]]</f>
        <v>50414.323960000002</v>
      </c>
      <c r="E304" s="18" t="str">
        <f>IF(Table2[[#This Row],[Close]]&gt;D303,"up",IF(Table2[[#This Row],[Close]]&lt;C303,"down","constant"))</f>
        <v>constant</v>
      </c>
      <c r="F304" s="3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</row>
    <row r="305" spans="1:33" x14ac:dyDescent="0.3">
      <c r="A305" s="1">
        <v>44272</v>
      </c>
      <c r="B305" s="18">
        <v>49801.62</v>
      </c>
      <c r="C305" s="18">
        <f>Table2[[#This Row],[Close]]-0.001*Table2[[#This Row],[Close]]</f>
        <v>49751.818380000004</v>
      </c>
      <c r="D305" s="18">
        <f>Table2[[#This Row],[Close]]+0.001*Table2[[#This Row],[Close]]</f>
        <v>49851.421620000001</v>
      </c>
      <c r="E305" s="18" t="str">
        <f>IF(Table2[[#This Row],[Close]]&gt;D304,"up",IF(Table2[[#This Row],[Close]]&lt;C304,"down","constant"))</f>
        <v>down</v>
      </c>
      <c r="F305" s="3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</row>
    <row r="306" spans="1:33" x14ac:dyDescent="0.3">
      <c r="A306" s="1">
        <v>44273</v>
      </c>
      <c r="B306" s="18">
        <v>49216.52</v>
      </c>
      <c r="C306" s="18">
        <f>Table2[[#This Row],[Close]]-0.001*Table2[[#This Row],[Close]]</f>
        <v>49167.303479999995</v>
      </c>
      <c r="D306" s="18">
        <f>Table2[[#This Row],[Close]]+0.001*Table2[[#This Row],[Close]]</f>
        <v>49265.736519999999</v>
      </c>
      <c r="E306" s="18" t="str">
        <f>IF(Table2[[#This Row],[Close]]&gt;D305,"up",IF(Table2[[#This Row],[Close]]&lt;C305,"down","constant"))</f>
        <v>down</v>
      </c>
      <c r="F306" s="3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</row>
    <row r="307" spans="1:33" x14ac:dyDescent="0.3">
      <c r="A307" s="1">
        <v>44274</v>
      </c>
      <c r="B307" s="18">
        <v>49858.239999999998</v>
      </c>
      <c r="C307" s="18">
        <f>Table2[[#This Row],[Close]]-0.001*Table2[[#This Row],[Close]]</f>
        <v>49808.381759999997</v>
      </c>
      <c r="D307" s="18">
        <f>Table2[[#This Row],[Close]]+0.001*Table2[[#This Row],[Close]]</f>
        <v>49908.098239999999</v>
      </c>
      <c r="E307" s="18" t="str">
        <f>IF(Table2[[#This Row],[Close]]&gt;D306,"up",IF(Table2[[#This Row],[Close]]&lt;C306,"down","constant"))</f>
        <v>up</v>
      </c>
      <c r="F307" s="3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</row>
    <row r="308" spans="1:33" x14ac:dyDescent="0.3">
      <c r="A308" s="1">
        <v>44277</v>
      </c>
      <c r="B308" s="18">
        <v>49771.29</v>
      </c>
      <c r="C308" s="18">
        <f>Table2[[#This Row],[Close]]-0.001*Table2[[#This Row],[Close]]</f>
        <v>49721.518710000004</v>
      </c>
      <c r="D308" s="18">
        <f>Table2[[#This Row],[Close]]+0.001*Table2[[#This Row],[Close]]</f>
        <v>49821.061289999998</v>
      </c>
      <c r="E308" s="18" t="str">
        <f>IF(Table2[[#This Row],[Close]]&gt;D307,"up",IF(Table2[[#This Row],[Close]]&lt;C307,"down","constant"))</f>
        <v>down</v>
      </c>
      <c r="F308" s="3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</row>
    <row r="309" spans="1:33" x14ac:dyDescent="0.3">
      <c r="A309" s="1">
        <v>44278</v>
      </c>
      <c r="B309" s="18">
        <v>50051.44</v>
      </c>
      <c r="C309" s="18">
        <f>Table2[[#This Row],[Close]]-0.001*Table2[[#This Row],[Close]]</f>
        <v>50001.388559999999</v>
      </c>
      <c r="D309" s="18">
        <f>Table2[[#This Row],[Close]]+0.001*Table2[[#This Row],[Close]]</f>
        <v>50101.491440000005</v>
      </c>
      <c r="E309" s="18" t="str">
        <f>IF(Table2[[#This Row],[Close]]&gt;D308,"up",IF(Table2[[#This Row],[Close]]&lt;C308,"down","constant"))</f>
        <v>up</v>
      </c>
      <c r="F309" s="3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</row>
    <row r="310" spans="1:33" x14ac:dyDescent="0.3">
      <c r="A310" s="1">
        <v>44279</v>
      </c>
      <c r="B310" s="18">
        <v>49180.31</v>
      </c>
      <c r="C310" s="18">
        <f>Table2[[#This Row],[Close]]-0.001*Table2[[#This Row],[Close]]</f>
        <v>49131.129689999994</v>
      </c>
      <c r="D310" s="18">
        <f>Table2[[#This Row],[Close]]+0.001*Table2[[#This Row],[Close]]</f>
        <v>49229.490310000001</v>
      </c>
      <c r="E310" s="18" t="str">
        <f>IF(Table2[[#This Row],[Close]]&gt;D309,"up",IF(Table2[[#This Row],[Close]]&lt;C309,"down","constant"))</f>
        <v>down</v>
      </c>
      <c r="F310" s="3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</row>
    <row r="311" spans="1:33" x14ac:dyDescent="0.3">
      <c r="A311" s="1">
        <v>44280</v>
      </c>
      <c r="B311" s="18">
        <v>48440.12</v>
      </c>
      <c r="C311" s="18">
        <f>Table2[[#This Row],[Close]]-0.001*Table2[[#This Row],[Close]]</f>
        <v>48391.679880000003</v>
      </c>
      <c r="D311" s="18">
        <f>Table2[[#This Row],[Close]]+0.001*Table2[[#This Row],[Close]]</f>
        <v>48488.560120000002</v>
      </c>
      <c r="E311" s="18" t="str">
        <f>IF(Table2[[#This Row],[Close]]&gt;D310,"up",IF(Table2[[#This Row],[Close]]&lt;C310,"down","constant"))</f>
        <v>down</v>
      </c>
      <c r="F311" s="3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</row>
    <row r="312" spans="1:33" x14ac:dyDescent="0.3">
      <c r="A312" s="1">
        <v>44281</v>
      </c>
      <c r="B312" s="18">
        <v>49008.5</v>
      </c>
      <c r="C312" s="18">
        <f>Table2[[#This Row],[Close]]-0.001*Table2[[#This Row],[Close]]</f>
        <v>48959.491499999996</v>
      </c>
      <c r="D312" s="18">
        <f>Table2[[#This Row],[Close]]+0.001*Table2[[#This Row],[Close]]</f>
        <v>49057.508500000004</v>
      </c>
      <c r="E312" s="18" t="str">
        <f>IF(Table2[[#This Row],[Close]]&gt;D311,"up",IF(Table2[[#This Row],[Close]]&lt;C311,"down","constant"))</f>
        <v>up</v>
      </c>
      <c r="F312" s="3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</row>
    <row r="313" spans="1:33" x14ac:dyDescent="0.3">
      <c r="A313" s="1">
        <v>44285</v>
      </c>
      <c r="B313" s="18">
        <v>50136.58</v>
      </c>
      <c r="C313" s="18">
        <f>Table2[[#This Row],[Close]]-0.001*Table2[[#This Row],[Close]]</f>
        <v>50086.443420000003</v>
      </c>
      <c r="D313" s="18">
        <f>Table2[[#This Row],[Close]]+0.001*Table2[[#This Row],[Close]]</f>
        <v>50186.71658</v>
      </c>
      <c r="E313" s="18" t="str">
        <f>IF(Table2[[#This Row],[Close]]&gt;D312,"up",IF(Table2[[#This Row],[Close]]&lt;C312,"down","constant"))</f>
        <v>up</v>
      </c>
      <c r="F313" s="3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</row>
    <row r="314" spans="1:33" x14ac:dyDescent="0.3">
      <c r="A314" s="1">
        <v>44286</v>
      </c>
      <c r="B314" s="18">
        <v>49509.15</v>
      </c>
      <c r="C314" s="18">
        <f>Table2[[#This Row],[Close]]-0.001*Table2[[#This Row],[Close]]</f>
        <v>49459.640850000003</v>
      </c>
      <c r="D314" s="18">
        <f>Table2[[#This Row],[Close]]+0.001*Table2[[#This Row],[Close]]</f>
        <v>49558.659149999999</v>
      </c>
      <c r="E314" s="18" t="str">
        <f>IF(Table2[[#This Row],[Close]]&gt;D313,"up",IF(Table2[[#This Row],[Close]]&lt;C313,"down","constant"))</f>
        <v>down</v>
      </c>
      <c r="F314" s="3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</row>
    <row r="315" spans="1:33" x14ac:dyDescent="0.3">
      <c r="A315" s="1">
        <v>44287</v>
      </c>
      <c r="B315" s="18">
        <v>50029.83</v>
      </c>
      <c r="C315" s="18">
        <f>Table2[[#This Row],[Close]]-0.001*Table2[[#This Row],[Close]]</f>
        <v>49979.800170000002</v>
      </c>
      <c r="D315" s="18">
        <f>Table2[[#This Row],[Close]]+0.001*Table2[[#This Row],[Close]]</f>
        <v>50079.859830000001</v>
      </c>
      <c r="E315" s="18" t="str">
        <f>IF(Table2[[#This Row],[Close]]&gt;D314,"up",IF(Table2[[#This Row],[Close]]&lt;C314,"down","constant"))</f>
        <v>up</v>
      </c>
      <c r="F315" s="3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</row>
    <row r="316" spans="1:33" x14ac:dyDescent="0.3">
      <c r="A316" s="1">
        <v>44291</v>
      </c>
      <c r="B316" s="18">
        <v>49159.32</v>
      </c>
      <c r="C316" s="18">
        <f>Table2[[#This Row],[Close]]-0.001*Table2[[#This Row],[Close]]</f>
        <v>49110.160680000001</v>
      </c>
      <c r="D316" s="18">
        <f>Table2[[#This Row],[Close]]+0.001*Table2[[#This Row],[Close]]</f>
        <v>49208.479319999999</v>
      </c>
      <c r="E316" s="18" t="str">
        <f>IF(Table2[[#This Row],[Close]]&gt;D315,"up",IF(Table2[[#This Row],[Close]]&lt;C315,"down","constant"))</f>
        <v>down</v>
      </c>
      <c r="F316" s="3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</row>
    <row r="317" spans="1:33" x14ac:dyDescent="0.3">
      <c r="A317" s="1">
        <v>44292</v>
      </c>
      <c r="B317" s="18">
        <v>49201.39</v>
      </c>
      <c r="C317" s="18">
        <f>Table2[[#This Row],[Close]]-0.001*Table2[[#This Row],[Close]]</f>
        <v>49152.188609999997</v>
      </c>
      <c r="D317" s="18">
        <f>Table2[[#This Row],[Close]]+0.001*Table2[[#This Row],[Close]]</f>
        <v>49250.591390000001</v>
      </c>
      <c r="E317" s="18" t="str">
        <f>IF(Table2[[#This Row],[Close]]&gt;D316,"up",IF(Table2[[#This Row],[Close]]&lt;C316,"down","constant"))</f>
        <v>constant</v>
      </c>
      <c r="F317" s="3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</row>
    <row r="318" spans="1:33" x14ac:dyDescent="0.3">
      <c r="A318" s="1">
        <v>44293</v>
      </c>
      <c r="B318" s="18">
        <v>49661.760000000002</v>
      </c>
      <c r="C318" s="18">
        <f>Table2[[#This Row],[Close]]-0.001*Table2[[#This Row],[Close]]</f>
        <v>49612.098239999999</v>
      </c>
      <c r="D318" s="18">
        <f>Table2[[#This Row],[Close]]+0.001*Table2[[#This Row],[Close]]</f>
        <v>49711.421760000005</v>
      </c>
      <c r="E318" s="18" t="str">
        <f>IF(Table2[[#This Row],[Close]]&gt;D317,"up",IF(Table2[[#This Row],[Close]]&lt;C317,"down","constant"))</f>
        <v>up</v>
      </c>
      <c r="F318" s="3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</row>
    <row r="319" spans="1:33" x14ac:dyDescent="0.3">
      <c r="A319" s="1">
        <v>44294</v>
      </c>
      <c r="B319" s="18">
        <v>49746.21</v>
      </c>
      <c r="C319" s="18">
        <f>Table2[[#This Row],[Close]]-0.001*Table2[[#This Row],[Close]]</f>
        <v>49696.463790000002</v>
      </c>
      <c r="D319" s="18">
        <f>Table2[[#This Row],[Close]]+0.001*Table2[[#This Row],[Close]]</f>
        <v>49795.956209999997</v>
      </c>
      <c r="E319" s="18" t="str">
        <f>IF(Table2[[#This Row],[Close]]&gt;D318,"up",IF(Table2[[#This Row],[Close]]&lt;C318,"down","constant"))</f>
        <v>up</v>
      </c>
      <c r="F319" s="3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</row>
    <row r="320" spans="1:33" x14ac:dyDescent="0.3">
      <c r="A320" s="1">
        <v>44295</v>
      </c>
      <c r="B320" s="18">
        <v>49591.32</v>
      </c>
      <c r="C320" s="18">
        <f>Table2[[#This Row],[Close]]-0.001*Table2[[#This Row],[Close]]</f>
        <v>49541.72868</v>
      </c>
      <c r="D320" s="18">
        <f>Table2[[#This Row],[Close]]+0.001*Table2[[#This Row],[Close]]</f>
        <v>49640.911319999999</v>
      </c>
      <c r="E320" s="18" t="str">
        <f>IF(Table2[[#This Row],[Close]]&gt;D319,"up",IF(Table2[[#This Row],[Close]]&lt;C319,"down","constant"))</f>
        <v>down</v>
      </c>
      <c r="F320" s="3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</row>
    <row r="321" spans="1:33" x14ac:dyDescent="0.3">
      <c r="A321" s="1">
        <v>44298</v>
      </c>
      <c r="B321" s="18">
        <v>47883.38</v>
      </c>
      <c r="C321" s="18">
        <f>Table2[[#This Row],[Close]]-0.001*Table2[[#This Row],[Close]]</f>
        <v>47835.496619999998</v>
      </c>
      <c r="D321" s="18">
        <f>Table2[[#This Row],[Close]]+0.001*Table2[[#This Row],[Close]]</f>
        <v>47931.263379999997</v>
      </c>
      <c r="E321" s="18" t="str">
        <f>IF(Table2[[#This Row],[Close]]&gt;D320,"up",IF(Table2[[#This Row],[Close]]&lt;C320,"down","constant"))</f>
        <v>down</v>
      </c>
      <c r="F321" s="3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</row>
    <row r="322" spans="1:33" x14ac:dyDescent="0.3">
      <c r="A322" s="1">
        <v>44299</v>
      </c>
      <c r="B322" s="18">
        <v>48544.06</v>
      </c>
      <c r="C322" s="18">
        <f>Table2[[#This Row],[Close]]-0.001*Table2[[#This Row],[Close]]</f>
        <v>48495.515939999997</v>
      </c>
      <c r="D322" s="18">
        <f>Table2[[#This Row],[Close]]+0.001*Table2[[#This Row],[Close]]</f>
        <v>48592.604059999998</v>
      </c>
      <c r="E322" s="18" t="str">
        <f>IF(Table2[[#This Row],[Close]]&gt;D321,"up",IF(Table2[[#This Row],[Close]]&lt;C321,"down","constant"))</f>
        <v>up</v>
      </c>
      <c r="F322" s="3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</row>
    <row r="323" spans="1:33" x14ac:dyDescent="0.3">
      <c r="A323" s="1">
        <v>44301</v>
      </c>
      <c r="B323" s="18">
        <v>48803.68</v>
      </c>
      <c r="C323" s="18">
        <f>Table2[[#This Row],[Close]]-0.001*Table2[[#This Row],[Close]]</f>
        <v>48754.876320000003</v>
      </c>
      <c r="D323" s="18">
        <f>Table2[[#This Row],[Close]]+0.001*Table2[[#This Row],[Close]]</f>
        <v>48852.483679999998</v>
      </c>
      <c r="E323" s="18" t="str">
        <f>IF(Table2[[#This Row],[Close]]&gt;D322,"up",IF(Table2[[#This Row],[Close]]&lt;C322,"down","constant"))</f>
        <v>up</v>
      </c>
      <c r="F323" s="3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</row>
    <row r="324" spans="1:33" x14ac:dyDescent="0.3">
      <c r="A324" s="1">
        <v>44302</v>
      </c>
      <c r="B324" s="18">
        <v>48832.03</v>
      </c>
      <c r="C324" s="18">
        <f>Table2[[#This Row],[Close]]-0.001*Table2[[#This Row],[Close]]</f>
        <v>48783.197970000001</v>
      </c>
      <c r="D324" s="18">
        <f>Table2[[#This Row],[Close]]+0.001*Table2[[#This Row],[Close]]</f>
        <v>48880.862029999997</v>
      </c>
      <c r="E324" s="18" t="str">
        <f>IF(Table2[[#This Row],[Close]]&gt;D323,"up",IF(Table2[[#This Row],[Close]]&lt;C323,"down","constant"))</f>
        <v>constant</v>
      </c>
      <c r="F324" s="3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</row>
    <row r="325" spans="1:33" x14ac:dyDescent="0.3">
      <c r="A325" s="1">
        <v>44305</v>
      </c>
      <c r="B325" s="18">
        <v>47949.42</v>
      </c>
      <c r="C325" s="18">
        <f>Table2[[#This Row],[Close]]-0.001*Table2[[#This Row],[Close]]</f>
        <v>47901.470580000001</v>
      </c>
      <c r="D325" s="18">
        <f>Table2[[#This Row],[Close]]+0.001*Table2[[#This Row],[Close]]</f>
        <v>47997.369419999995</v>
      </c>
      <c r="E325" s="18" t="str">
        <f>IF(Table2[[#This Row],[Close]]&gt;D324,"up",IF(Table2[[#This Row],[Close]]&lt;C324,"down","constant"))</f>
        <v>down</v>
      </c>
      <c r="F325" s="3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</row>
    <row r="326" spans="1:33" x14ac:dyDescent="0.3">
      <c r="A326" s="1">
        <v>44306</v>
      </c>
      <c r="B326" s="18">
        <v>47705.8</v>
      </c>
      <c r="C326" s="18">
        <f>Table2[[#This Row],[Close]]-0.001*Table2[[#This Row],[Close]]</f>
        <v>47658.0942</v>
      </c>
      <c r="D326" s="18">
        <f>Table2[[#This Row],[Close]]+0.001*Table2[[#This Row],[Close]]</f>
        <v>47753.505800000006</v>
      </c>
      <c r="E326" s="18" t="str">
        <f>IF(Table2[[#This Row],[Close]]&gt;D325,"up",IF(Table2[[#This Row],[Close]]&lt;C325,"down","constant"))</f>
        <v>down</v>
      </c>
      <c r="F326" s="3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</row>
    <row r="327" spans="1:33" x14ac:dyDescent="0.3">
      <c r="A327" s="1">
        <v>44308</v>
      </c>
      <c r="B327" s="18">
        <v>48080.67</v>
      </c>
      <c r="C327" s="18">
        <f>Table2[[#This Row],[Close]]-0.001*Table2[[#This Row],[Close]]</f>
        <v>48032.589329999995</v>
      </c>
      <c r="D327" s="18">
        <f>Table2[[#This Row],[Close]]+0.001*Table2[[#This Row],[Close]]</f>
        <v>48128.750670000001</v>
      </c>
      <c r="E327" s="18" t="str">
        <f>IF(Table2[[#This Row],[Close]]&gt;D326,"up",IF(Table2[[#This Row],[Close]]&lt;C326,"down","constant"))</f>
        <v>up</v>
      </c>
      <c r="F327" s="3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</row>
    <row r="328" spans="1:33" x14ac:dyDescent="0.3">
      <c r="A328" s="1">
        <v>44309</v>
      </c>
      <c r="B328" s="18">
        <v>47878.45</v>
      </c>
      <c r="C328" s="18">
        <f>Table2[[#This Row],[Close]]-0.001*Table2[[#This Row],[Close]]</f>
        <v>47830.571550000001</v>
      </c>
      <c r="D328" s="18">
        <f>Table2[[#This Row],[Close]]+0.001*Table2[[#This Row],[Close]]</f>
        <v>47926.328449999994</v>
      </c>
      <c r="E328" s="18" t="str">
        <f>IF(Table2[[#This Row],[Close]]&gt;D327,"up",IF(Table2[[#This Row],[Close]]&lt;C327,"down","constant"))</f>
        <v>down</v>
      </c>
      <c r="F328" s="3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</row>
    <row r="329" spans="1:33" x14ac:dyDescent="0.3">
      <c r="A329" s="1">
        <v>44312</v>
      </c>
      <c r="B329" s="18">
        <v>48386.51</v>
      </c>
      <c r="C329" s="18">
        <f>Table2[[#This Row],[Close]]-0.001*Table2[[#This Row],[Close]]</f>
        <v>48338.123490000005</v>
      </c>
      <c r="D329" s="18">
        <f>Table2[[#This Row],[Close]]+0.001*Table2[[#This Row],[Close]]</f>
        <v>48434.896509999999</v>
      </c>
      <c r="E329" s="18" t="str">
        <f>IF(Table2[[#This Row],[Close]]&gt;D328,"up",IF(Table2[[#This Row],[Close]]&lt;C328,"down","constant"))</f>
        <v>up</v>
      </c>
      <c r="F329" s="3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</row>
    <row r="330" spans="1:33" x14ac:dyDescent="0.3">
      <c r="A330" s="1">
        <v>44313</v>
      </c>
      <c r="B330" s="18">
        <v>48944.14</v>
      </c>
      <c r="C330" s="18">
        <f>Table2[[#This Row],[Close]]-0.001*Table2[[#This Row],[Close]]</f>
        <v>48895.19586</v>
      </c>
      <c r="D330" s="18">
        <f>Table2[[#This Row],[Close]]+0.001*Table2[[#This Row],[Close]]</f>
        <v>48993.084139999999</v>
      </c>
      <c r="E330" s="18" t="str">
        <f>IF(Table2[[#This Row],[Close]]&gt;D329,"up",IF(Table2[[#This Row],[Close]]&lt;C329,"down","constant"))</f>
        <v>up</v>
      </c>
      <c r="F330" s="3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</row>
    <row r="331" spans="1:33" x14ac:dyDescent="0.3">
      <c r="A331" s="1">
        <v>44314</v>
      </c>
      <c r="B331" s="18">
        <v>49733.84</v>
      </c>
      <c r="C331" s="18">
        <f>Table2[[#This Row],[Close]]-0.001*Table2[[#This Row],[Close]]</f>
        <v>49684.106159999996</v>
      </c>
      <c r="D331" s="18">
        <f>Table2[[#This Row],[Close]]+0.001*Table2[[#This Row],[Close]]</f>
        <v>49783.573839999997</v>
      </c>
      <c r="E331" s="18" t="str">
        <f>IF(Table2[[#This Row],[Close]]&gt;D330,"up",IF(Table2[[#This Row],[Close]]&lt;C330,"down","constant"))</f>
        <v>up</v>
      </c>
      <c r="F331" s="3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</row>
    <row r="332" spans="1:33" x14ac:dyDescent="0.3">
      <c r="A332" s="1">
        <v>44315</v>
      </c>
      <c r="B332" s="18">
        <v>49765.94</v>
      </c>
      <c r="C332" s="18">
        <f>Table2[[#This Row],[Close]]-0.001*Table2[[#This Row],[Close]]</f>
        <v>49716.174060000005</v>
      </c>
      <c r="D332" s="18">
        <f>Table2[[#This Row],[Close]]+0.001*Table2[[#This Row],[Close]]</f>
        <v>49815.70594</v>
      </c>
      <c r="E332" s="18" t="str">
        <f>IF(Table2[[#This Row],[Close]]&gt;D331,"up",IF(Table2[[#This Row],[Close]]&lt;C331,"down","constant"))</f>
        <v>constant</v>
      </c>
      <c r="F332" s="3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</row>
    <row r="333" spans="1:33" x14ac:dyDescent="0.3">
      <c r="A333" s="1">
        <v>44316</v>
      </c>
      <c r="B333" s="18">
        <v>48782.36</v>
      </c>
      <c r="C333" s="18">
        <f>Table2[[#This Row],[Close]]-0.001*Table2[[#This Row],[Close]]</f>
        <v>48733.577640000003</v>
      </c>
      <c r="D333" s="18">
        <f>Table2[[#This Row],[Close]]+0.001*Table2[[#This Row],[Close]]</f>
        <v>48831.142359999998</v>
      </c>
      <c r="E333" s="18" t="str">
        <f>IF(Table2[[#This Row],[Close]]&gt;D332,"up",IF(Table2[[#This Row],[Close]]&lt;C332,"down","constant"))</f>
        <v>down</v>
      </c>
      <c r="F333" s="3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</row>
    <row r="334" spans="1:33" x14ac:dyDescent="0.3">
      <c r="A334" s="1">
        <v>44319</v>
      </c>
      <c r="B334" s="18">
        <v>48718.52</v>
      </c>
      <c r="C334" s="18">
        <f>Table2[[#This Row],[Close]]-0.001*Table2[[#This Row],[Close]]</f>
        <v>48669.801479999995</v>
      </c>
      <c r="D334" s="18">
        <f>Table2[[#This Row],[Close]]+0.001*Table2[[#This Row],[Close]]</f>
        <v>48767.238519999999</v>
      </c>
      <c r="E334" s="18" t="str">
        <f>IF(Table2[[#This Row],[Close]]&gt;D333,"up",IF(Table2[[#This Row],[Close]]&lt;C333,"down","constant"))</f>
        <v>down</v>
      </c>
      <c r="F334" s="3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</row>
    <row r="335" spans="1:33" x14ac:dyDescent="0.3">
      <c r="A335" s="1">
        <v>44320</v>
      </c>
      <c r="B335" s="18">
        <v>48253.51</v>
      </c>
      <c r="C335" s="18">
        <f>Table2[[#This Row],[Close]]-0.001*Table2[[#This Row],[Close]]</f>
        <v>48205.25649</v>
      </c>
      <c r="D335" s="18">
        <f>Table2[[#This Row],[Close]]+0.001*Table2[[#This Row],[Close]]</f>
        <v>48301.763510000004</v>
      </c>
      <c r="E335" s="18" t="str">
        <f>IF(Table2[[#This Row],[Close]]&gt;D334,"up",IF(Table2[[#This Row],[Close]]&lt;C334,"down","constant"))</f>
        <v>down</v>
      </c>
      <c r="F335" s="3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</row>
    <row r="336" spans="1:33" x14ac:dyDescent="0.3">
      <c r="A336" s="1">
        <v>44321</v>
      </c>
      <c r="B336" s="18">
        <v>48677.55</v>
      </c>
      <c r="C336" s="18">
        <f>Table2[[#This Row],[Close]]-0.001*Table2[[#This Row],[Close]]</f>
        <v>48628.872450000003</v>
      </c>
      <c r="D336" s="18">
        <f>Table2[[#This Row],[Close]]+0.001*Table2[[#This Row],[Close]]</f>
        <v>48726.227550000003</v>
      </c>
      <c r="E336" s="18" t="str">
        <f>IF(Table2[[#This Row],[Close]]&gt;D335,"up",IF(Table2[[#This Row],[Close]]&lt;C335,"down","constant"))</f>
        <v>up</v>
      </c>
      <c r="F336" s="3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</row>
    <row r="337" spans="1:33" x14ac:dyDescent="0.3">
      <c r="A337" s="1">
        <v>44322</v>
      </c>
      <c r="B337" s="18">
        <v>48949.760000000002</v>
      </c>
      <c r="C337" s="18">
        <f>Table2[[#This Row],[Close]]-0.001*Table2[[#This Row],[Close]]</f>
        <v>48900.810239999999</v>
      </c>
      <c r="D337" s="18">
        <f>Table2[[#This Row],[Close]]+0.001*Table2[[#This Row],[Close]]</f>
        <v>48998.709760000005</v>
      </c>
      <c r="E337" s="18" t="str">
        <f>IF(Table2[[#This Row],[Close]]&gt;D336,"up",IF(Table2[[#This Row],[Close]]&lt;C336,"down","constant"))</f>
        <v>up</v>
      </c>
      <c r="F337" s="3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</row>
    <row r="338" spans="1:33" x14ac:dyDescent="0.3">
      <c r="A338" s="1">
        <v>44323</v>
      </c>
      <c r="B338" s="18">
        <v>49206.47</v>
      </c>
      <c r="C338" s="18">
        <f>Table2[[#This Row],[Close]]-0.001*Table2[[#This Row],[Close]]</f>
        <v>49157.263530000004</v>
      </c>
      <c r="D338" s="18">
        <f>Table2[[#This Row],[Close]]+0.001*Table2[[#This Row],[Close]]</f>
        <v>49255.676469999999</v>
      </c>
      <c r="E338" s="18" t="str">
        <f>IF(Table2[[#This Row],[Close]]&gt;D337,"up",IF(Table2[[#This Row],[Close]]&lt;C337,"down","constant"))</f>
        <v>up</v>
      </c>
      <c r="F338" s="3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</row>
    <row r="339" spans="1:33" x14ac:dyDescent="0.3">
      <c r="A339" s="1">
        <v>44326</v>
      </c>
      <c r="B339" s="18">
        <v>49502.41</v>
      </c>
      <c r="C339" s="18">
        <f>Table2[[#This Row],[Close]]-0.001*Table2[[#This Row],[Close]]</f>
        <v>49452.907590000003</v>
      </c>
      <c r="D339" s="18">
        <f>Table2[[#This Row],[Close]]+0.001*Table2[[#This Row],[Close]]</f>
        <v>49551.912410000004</v>
      </c>
      <c r="E339" s="18" t="str">
        <f>IF(Table2[[#This Row],[Close]]&gt;D338,"up",IF(Table2[[#This Row],[Close]]&lt;C338,"down","constant"))</f>
        <v>up</v>
      </c>
      <c r="F339" s="3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</row>
    <row r="340" spans="1:33" x14ac:dyDescent="0.3">
      <c r="A340" s="1">
        <v>44327</v>
      </c>
      <c r="B340" s="18">
        <v>49161.81</v>
      </c>
      <c r="C340" s="18">
        <f>Table2[[#This Row],[Close]]-0.001*Table2[[#This Row],[Close]]</f>
        <v>49112.64819</v>
      </c>
      <c r="D340" s="18">
        <f>Table2[[#This Row],[Close]]+0.001*Table2[[#This Row],[Close]]</f>
        <v>49210.971809999995</v>
      </c>
      <c r="E340" s="18" t="str">
        <f>IF(Table2[[#This Row],[Close]]&gt;D339,"up",IF(Table2[[#This Row],[Close]]&lt;C339,"down","constant"))</f>
        <v>down</v>
      </c>
      <c r="F340" s="3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</row>
    <row r="341" spans="1:33" x14ac:dyDescent="0.3">
      <c r="A341" s="1">
        <v>44328</v>
      </c>
      <c r="B341" s="18">
        <v>48690.8</v>
      </c>
      <c r="C341" s="18">
        <f>Table2[[#This Row],[Close]]-0.001*Table2[[#This Row],[Close]]</f>
        <v>48642.109200000006</v>
      </c>
      <c r="D341" s="18">
        <f>Table2[[#This Row],[Close]]+0.001*Table2[[#This Row],[Close]]</f>
        <v>48739.4908</v>
      </c>
      <c r="E341" s="18" t="str">
        <f>IF(Table2[[#This Row],[Close]]&gt;D340,"up",IF(Table2[[#This Row],[Close]]&lt;C340,"down","constant"))</f>
        <v>down</v>
      </c>
      <c r="F341" s="3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</row>
    <row r="342" spans="1:33" x14ac:dyDescent="0.3">
      <c r="A342" s="1">
        <v>44330</v>
      </c>
      <c r="B342" s="18">
        <v>48732.55</v>
      </c>
      <c r="C342" s="18">
        <f>Table2[[#This Row],[Close]]-0.001*Table2[[#This Row],[Close]]</f>
        <v>48683.817450000002</v>
      </c>
      <c r="D342" s="18">
        <f>Table2[[#This Row],[Close]]+0.001*Table2[[#This Row],[Close]]</f>
        <v>48781.282550000004</v>
      </c>
      <c r="E342" s="18" t="str">
        <f>IF(Table2[[#This Row],[Close]]&gt;D341,"up",IF(Table2[[#This Row],[Close]]&lt;C341,"down","constant"))</f>
        <v>constant</v>
      </c>
      <c r="F342" s="3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</row>
    <row r="343" spans="1:33" x14ac:dyDescent="0.3">
      <c r="A343" s="1">
        <v>44333</v>
      </c>
      <c r="B343" s="18">
        <v>49580.73</v>
      </c>
      <c r="C343" s="18">
        <f>Table2[[#This Row],[Close]]-0.001*Table2[[#This Row],[Close]]</f>
        <v>49531.149270000002</v>
      </c>
      <c r="D343" s="18">
        <f>Table2[[#This Row],[Close]]+0.001*Table2[[#This Row],[Close]]</f>
        <v>49630.310730000005</v>
      </c>
      <c r="E343" s="18" t="str">
        <f>IF(Table2[[#This Row],[Close]]&gt;D342,"up",IF(Table2[[#This Row],[Close]]&lt;C342,"down","constant"))</f>
        <v>up</v>
      </c>
      <c r="F343" s="3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</row>
    <row r="344" spans="1:33" x14ac:dyDescent="0.3">
      <c r="A344" s="1">
        <v>44334</v>
      </c>
      <c r="B344" s="18">
        <v>50193.33</v>
      </c>
      <c r="C344" s="18">
        <f>Table2[[#This Row],[Close]]-0.001*Table2[[#This Row],[Close]]</f>
        <v>50143.13667</v>
      </c>
      <c r="D344" s="18">
        <f>Table2[[#This Row],[Close]]+0.001*Table2[[#This Row],[Close]]</f>
        <v>50243.523330000004</v>
      </c>
      <c r="E344" s="18" t="str">
        <f>IF(Table2[[#This Row],[Close]]&gt;D343,"up",IF(Table2[[#This Row],[Close]]&lt;C343,"down","constant"))</f>
        <v>up</v>
      </c>
      <c r="F344" s="3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</row>
    <row r="345" spans="1:33" x14ac:dyDescent="0.3">
      <c r="A345" s="1">
        <v>44335</v>
      </c>
      <c r="B345" s="18">
        <v>49902.64</v>
      </c>
      <c r="C345" s="18">
        <f>Table2[[#This Row],[Close]]-0.001*Table2[[#This Row],[Close]]</f>
        <v>49852.737359999999</v>
      </c>
      <c r="D345" s="18">
        <f>Table2[[#This Row],[Close]]+0.001*Table2[[#This Row],[Close]]</f>
        <v>49952.54264</v>
      </c>
      <c r="E345" s="18" t="str">
        <f>IF(Table2[[#This Row],[Close]]&gt;D344,"up",IF(Table2[[#This Row],[Close]]&lt;C344,"down","constant"))</f>
        <v>down</v>
      </c>
      <c r="F345" s="3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</row>
    <row r="346" spans="1:33" x14ac:dyDescent="0.3">
      <c r="A346" s="1">
        <v>44336</v>
      </c>
      <c r="B346" s="18">
        <v>49564.86</v>
      </c>
      <c r="C346" s="18">
        <f>Table2[[#This Row],[Close]]-0.001*Table2[[#This Row],[Close]]</f>
        <v>49515.295140000002</v>
      </c>
      <c r="D346" s="18">
        <f>Table2[[#This Row],[Close]]+0.001*Table2[[#This Row],[Close]]</f>
        <v>49614.424859999999</v>
      </c>
      <c r="E346" s="18" t="str">
        <f>IF(Table2[[#This Row],[Close]]&gt;D345,"up",IF(Table2[[#This Row],[Close]]&lt;C345,"down","constant"))</f>
        <v>down</v>
      </c>
      <c r="F346" s="3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</row>
    <row r="347" spans="1:33" x14ac:dyDescent="0.3">
      <c r="A347" s="1">
        <v>44337</v>
      </c>
      <c r="B347" s="18">
        <v>50540.480000000003</v>
      </c>
      <c r="C347" s="18">
        <f>Table2[[#This Row],[Close]]-0.001*Table2[[#This Row],[Close]]</f>
        <v>50489.93952</v>
      </c>
      <c r="D347" s="18">
        <f>Table2[[#This Row],[Close]]+0.001*Table2[[#This Row],[Close]]</f>
        <v>50591.020480000007</v>
      </c>
      <c r="E347" s="18" t="str">
        <f>IF(Table2[[#This Row],[Close]]&gt;D346,"up",IF(Table2[[#This Row],[Close]]&lt;C346,"down","constant"))</f>
        <v>up</v>
      </c>
      <c r="F347" s="3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</row>
    <row r="348" spans="1:33" x14ac:dyDescent="0.3">
      <c r="A348" s="1">
        <v>44340</v>
      </c>
      <c r="B348" s="18">
        <v>50651.9</v>
      </c>
      <c r="C348" s="18">
        <f>Table2[[#This Row],[Close]]-0.001*Table2[[#This Row],[Close]]</f>
        <v>50601.248100000004</v>
      </c>
      <c r="D348" s="18">
        <f>Table2[[#This Row],[Close]]+0.001*Table2[[#This Row],[Close]]</f>
        <v>50702.551899999999</v>
      </c>
      <c r="E348" s="18" t="str">
        <f>IF(Table2[[#This Row],[Close]]&gt;D347,"up",IF(Table2[[#This Row],[Close]]&lt;C347,"down","constant"))</f>
        <v>up</v>
      </c>
      <c r="F348" s="3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</row>
    <row r="349" spans="1:33" x14ac:dyDescent="0.3">
      <c r="A349" s="1">
        <v>44341</v>
      </c>
      <c r="B349" s="18">
        <v>50637.53</v>
      </c>
      <c r="C349" s="18">
        <f>Table2[[#This Row],[Close]]-0.001*Table2[[#This Row],[Close]]</f>
        <v>50586.892469999999</v>
      </c>
      <c r="D349" s="18">
        <f>Table2[[#This Row],[Close]]+0.001*Table2[[#This Row],[Close]]</f>
        <v>50688.167529999999</v>
      </c>
      <c r="E349" s="18" t="str">
        <f>IF(Table2[[#This Row],[Close]]&gt;D348,"up",IF(Table2[[#This Row],[Close]]&lt;C348,"down","constant"))</f>
        <v>constant</v>
      </c>
      <c r="F349" s="3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</row>
    <row r="350" spans="1:33" x14ac:dyDescent="0.3">
      <c r="A350" s="1">
        <v>44342</v>
      </c>
      <c r="B350" s="18">
        <v>51017.52</v>
      </c>
      <c r="C350" s="18">
        <f>Table2[[#This Row],[Close]]-0.001*Table2[[#This Row],[Close]]</f>
        <v>50966.502479999996</v>
      </c>
      <c r="D350" s="18">
        <f>Table2[[#This Row],[Close]]+0.001*Table2[[#This Row],[Close]]</f>
        <v>51068.537519999998</v>
      </c>
      <c r="E350" s="18" t="str">
        <f>IF(Table2[[#This Row],[Close]]&gt;D349,"up",IF(Table2[[#This Row],[Close]]&lt;C349,"down","constant"))</f>
        <v>up</v>
      </c>
      <c r="F350" s="3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</row>
    <row r="351" spans="1:33" x14ac:dyDescent="0.3">
      <c r="A351" s="1">
        <v>44343</v>
      </c>
      <c r="B351" s="18">
        <v>51115.22</v>
      </c>
      <c r="C351" s="18">
        <f>Table2[[#This Row],[Close]]-0.001*Table2[[#This Row],[Close]]</f>
        <v>51064.104780000001</v>
      </c>
      <c r="D351" s="18">
        <f>Table2[[#This Row],[Close]]+0.001*Table2[[#This Row],[Close]]</f>
        <v>51166.335220000001</v>
      </c>
      <c r="E351" s="18" t="str">
        <f>IF(Table2[[#This Row],[Close]]&gt;D350,"up",IF(Table2[[#This Row],[Close]]&lt;C350,"down","constant"))</f>
        <v>up</v>
      </c>
      <c r="F351" s="3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</row>
    <row r="352" spans="1:33" x14ac:dyDescent="0.3">
      <c r="A352" s="1">
        <v>44344</v>
      </c>
      <c r="B352" s="18">
        <v>51422.879999999997</v>
      </c>
      <c r="C352" s="18">
        <f>Table2[[#This Row],[Close]]-0.001*Table2[[#This Row],[Close]]</f>
        <v>51371.457119999999</v>
      </c>
      <c r="D352" s="18">
        <f>Table2[[#This Row],[Close]]+0.001*Table2[[#This Row],[Close]]</f>
        <v>51474.302879999996</v>
      </c>
      <c r="E352" s="18" t="str">
        <f>IF(Table2[[#This Row],[Close]]&gt;D351,"up",IF(Table2[[#This Row],[Close]]&lt;C351,"down","constant"))</f>
        <v>up</v>
      </c>
      <c r="F352" s="3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</row>
    <row r="353" spans="1:33" x14ac:dyDescent="0.3">
      <c r="A353" s="1">
        <v>44347</v>
      </c>
      <c r="B353" s="18">
        <v>51937.440000000002</v>
      </c>
      <c r="C353" s="18">
        <f>Table2[[#This Row],[Close]]-0.001*Table2[[#This Row],[Close]]</f>
        <v>51885.502560000001</v>
      </c>
      <c r="D353" s="18">
        <f>Table2[[#This Row],[Close]]+0.001*Table2[[#This Row],[Close]]</f>
        <v>51989.377440000004</v>
      </c>
      <c r="E353" s="18" t="str">
        <f>IF(Table2[[#This Row],[Close]]&gt;D352,"up",IF(Table2[[#This Row],[Close]]&lt;C352,"down","constant"))</f>
        <v>up</v>
      </c>
      <c r="F353" s="3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</row>
    <row r="354" spans="1:33" x14ac:dyDescent="0.3">
      <c r="A354" s="1">
        <v>44348</v>
      </c>
      <c r="B354" s="18">
        <v>51934.879999999997</v>
      </c>
      <c r="C354" s="18">
        <f>Table2[[#This Row],[Close]]-0.001*Table2[[#This Row],[Close]]</f>
        <v>51882.945119999997</v>
      </c>
      <c r="D354" s="18">
        <f>Table2[[#This Row],[Close]]+0.001*Table2[[#This Row],[Close]]</f>
        <v>51986.814879999998</v>
      </c>
      <c r="E354" s="18" t="str">
        <f>IF(Table2[[#This Row],[Close]]&gt;D353,"up",IF(Table2[[#This Row],[Close]]&lt;C353,"down","constant"))</f>
        <v>constant</v>
      </c>
      <c r="F354" s="3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</row>
    <row r="355" spans="1:33" x14ac:dyDescent="0.3">
      <c r="A355" s="1">
        <v>44349</v>
      </c>
      <c r="B355" s="18">
        <v>51849.48</v>
      </c>
      <c r="C355" s="18">
        <f>Table2[[#This Row],[Close]]-0.001*Table2[[#This Row],[Close]]</f>
        <v>51797.630520000006</v>
      </c>
      <c r="D355" s="18">
        <f>Table2[[#This Row],[Close]]+0.001*Table2[[#This Row],[Close]]</f>
        <v>51901.32948</v>
      </c>
      <c r="E355" s="18" t="str">
        <f>IF(Table2[[#This Row],[Close]]&gt;D354,"up",IF(Table2[[#This Row],[Close]]&lt;C354,"down","constant"))</f>
        <v>down</v>
      </c>
      <c r="F355" s="3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</row>
    <row r="356" spans="1:33" x14ac:dyDescent="0.3">
      <c r="A356" s="1">
        <v>44350</v>
      </c>
      <c r="B356" s="18">
        <v>52232.43</v>
      </c>
      <c r="C356" s="18">
        <f>Table2[[#This Row],[Close]]-0.001*Table2[[#This Row],[Close]]</f>
        <v>52180.197570000004</v>
      </c>
      <c r="D356" s="18">
        <f>Table2[[#This Row],[Close]]+0.001*Table2[[#This Row],[Close]]</f>
        <v>52284.662429999997</v>
      </c>
      <c r="E356" s="18" t="str">
        <f>IF(Table2[[#This Row],[Close]]&gt;D355,"up",IF(Table2[[#This Row],[Close]]&lt;C355,"down","constant"))</f>
        <v>up</v>
      </c>
      <c r="F356" s="3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</row>
    <row r="357" spans="1:33" x14ac:dyDescent="0.3">
      <c r="A357" s="1">
        <v>44351</v>
      </c>
      <c r="B357" s="18">
        <v>52100.05</v>
      </c>
      <c r="C357" s="18">
        <f>Table2[[#This Row],[Close]]-0.001*Table2[[#This Row],[Close]]</f>
        <v>52047.949950000002</v>
      </c>
      <c r="D357" s="18">
        <f>Table2[[#This Row],[Close]]+0.001*Table2[[#This Row],[Close]]</f>
        <v>52152.150050000004</v>
      </c>
      <c r="E357" s="18" t="str">
        <f>IF(Table2[[#This Row],[Close]]&gt;D356,"up",IF(Table2[[#This Row],[Close]]&lt;C356,"down","constant"))</f>
        <v>down</v>
      </c>
      <c r="F357" s="3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</row>
    <row r="358" spans="1:33" x14ac:dyDescent="0.3">
      <c r="A358" s="1">
        <v>44354</v>
      </c>
      <c r="B358" s="18">
        <v>52328.51</v>
      </c>
      <c r="C358" s="18">
        <f>Table2[[#This Row],[Close]]-0.001*Table2[[#This Row],[Close]]</f>
        <v>52276.181490000003</v>
      </c>
      <c r="D358" s="18">
        <f>Table2[[#This Row],[Close]]+0.001*Table2[[#This Row],[Close]]</f>
        <v>52380.838510000001</v>
      </c>
      <c r="E358" s="18" t="str">
        <f>IF(Table2[[#This Row],[Close]]&gt;D357,"up",IF(Table2[[#This Row],[Close]]&lt;C357,"down","constant"))</f>
        <v>up</v>
      </c>
      <c r="F358" s="3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</row>
    <row r="359" spans="1:33" x14ac:dyDescent="0.3">
      <c r="A359" s="1">
        <v>44355</v>
      </c>
      <c r="B359" s="18">
        <v>52275.57</v>
      </c>
      <c r="C359" s="18">
        <f>Table2[[#This Row],[Close]]-0.001*Table2[[#This Row],[Close]]</f>
        <v>52223.294430000002</v>
      </c>
      <c r="D359" s="18">
        <f>Table2[[#This Row],[Close]]+0.001*Table2[[#This Row],[Close]]</f>
        <v>52327.845569999998</v>
      </c>
      <c r="E359" s="18" t="str">
        <f>IF(Table2[[#This Row],[Close]]&gt;D358,"up",IF(Table2[[#This Row],[Close]]&lt;C358,"down","constant"))</f>
        <v>down</v>
      </c>
      <c r="F359" s="3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</row>
    <row r="360" spans="1:33" x14ac:dyDescent="0.3">
      <c r="A360" s="1">
        <v>44356</v>
      </c>
      <c r="B360" s="18">
        <v>51941.64</v>
      </c>
      <c r="C360" s="18">
        <f>Table2[[#This Row],[Close]]-0.001*Table2[[#This Row],[Close]]</f>
        <v>51889.698360000002</v>
      </c>
      <c r="D360" s="18">
        <f>Table2[[#This Row],[Close]]+0.001*Table2[[#This Row],[Close]]</f>
        <v>51993.581639999997</v>
      </c>
      <c r="E360" s="18" t="str">
        <f>IF(Table2[[#This Row],[Close]]&gt;D359,"up",IF(Table2[[#This Row],[Close]]&lt;C359,"down","constant"))</f>
        <v>down</v>
      </c>
      <c r="F360" s="3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</row>
    <row r="361" spans="1:33" x14ac:dyDescent="0.3">
      <c r="A361" s="1">
        <v>44357</v>
      </c>
      <c r="B361" s="18">
        <v>52300.47</v>
      </c>
      <c r="C361" s="18">
        <f>Table2[[#This Row],[Close]]-0.001*Table2[[#This Row],[Close]]</f>
        <v>52248.169529999999</v>
      </c>
      <c r="D361" s="18">
        <f>Table2[[#This Row],[Close]]+0.001*Table2[[#This Row],[Close]]</f>
        <v>52352.770470000003</v>
      </c>
      <c r="E361" s="18" t="str">
        <f>IF(Table2[[#This Row],[Close]]&gt;D360,"up",IF(Table2[[#This Row],[Close]]&lt;C360,"down","constant"))</f>
        <v>up</v>
      </c>
      <c r="F361" s="3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</row>
    <row r="362" spans="1:33" x14ac:dyDescent="0.3">
      <c r="A362" s="1">
        <v>44358</v>
      </c>
      <c r="B362" s="18">
        <v>52474.76</v>
      </c>
      <c r="C362" s="18">
        <f>Table2[[#This Row],[Close]]-0.001*Table2[[#This Row],[Close]]</f>
        <v>52422.285240000005</v>
      </c>
      <c r="D362" s="18">
        <f>Table2[[#This Row],[Close]]+0.001*Table2[[#This Row],[Close]]</f>
        <v>52527.234759999999</v>
      </c>
      <c r="E362" s="18" t="str">
        <f>IF(Table2[[#This Row],[Close]]&gt;D361,"up",IF(Table2[[#This Row],[Close]]&lt;C361,"down","constant"))</f>
        <v>up</v>
      </c>
      <c r="F362" s="3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</row>
    <row r="363" spans="1:33" x14ac:dyDescent="0.3">
      <c r="A363" s="1">
        <v>44361</v>
      </c>
      <c r="B363" s="18">
        <v>52551.53</v>
      </c>
      <c r="C363" s="18">
        <f>Table2[[#This Row],[Close]]-0.001*Table2[[#This Row],[Close]]</f>
        <v>52498.978470000002</v>
      </c>
      <c r="D363" s="18">
        <f>Table2[[#This Row],[Close]]+0.001*Table2[[#This Row],[Close]]</f>
        <v>52604.081529999996</v>
      </c>
      <c r="E363" s="18" t="str">
        <f>IF(Table2[[#This Row],[Close]]&gt;D362,"up",IF(Table2[[#This Row],[Close]]&lt;C362,"down","constant"))</f>
        <v>up</v>
      </c>
      <c r="F363" s="3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</row>
    <row r="364" spans="1:33" x14ac:dyDescent="0.3">
      <c r="A364" s="1">
        <v>44362</v>
      </c>
      <c r="B364" s="18">
        <v>52773.05</v>
      </c>
      <c r="C364" s="18">
        <f>Table2[[#This Row],[Close]]-0.001*Table2[[#This Row],[Close]]</f>
        <v>52720.276949999999</v>
      </c>
      <c r="D364" s="18">
        <f>Table2[[#This Row],[Close]]+0.001*Table2[[#This Row],[Close]]</f>
        <v>52825.823050000006</v>
      </c>
      <c r="E364" s="18" t="str">
        <f>IF(Table2[[#This Row],[Close]]&gt;D363,"up",IF(Table2[[#This Row],[Close]]&lt;C363,"down","constant"))</f>
        <v>up</v>
      </c>
      <c r="F364" s="3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</row>
    <row r="365" spans="1:33" x14ac:dyDescent="0.3">
      <c r="A365" s="1">
        <v>44363</v>
      </c>
      <c r="B365" s="18">
        <v>52501.98</v>
      </c>
      <c r="C365" s="18">
        <f>Table2[[#This Row],[Close]]-0.001*Table2[[#This Row],[Close]]</f>
        <v>52449.478020000002</v>
      </c>
      <c r="D365" s="18">
        <f>Table2[[#This Row],[Close]]+0.001*Table2[[#This Row],[Close]]</f>
        <v>52554.481980000004</v>
      </c>
      <c r="E365" s="18" t="str">
        <f>IF(Table2[[#This Row],[Close]]&gt;D364,"up",IF(Table2[[#This Row],[Close]]&lt;C364,"down","constant"))</f>
        <v>down</v>
      </c>
      <c r="F365" s="3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</row>
    <row r="366" spans="1:33" x14ac:dyDescent="0.3">
      <c r="A366" s="1">
        <v>44364</v>
      </c>
      <c r="B366" s="18">
        <v>52323.33</v>
      </c>
      <c r="C366" s="18">
        <f>Table2[[#This Row],[Close]]-0.001*Table2[[#This Row],[Close]]</f>
        <v>52271.006670000002</v>
      </c>
      <c r="D366" s="18">
        <f>Table2[[#This Row],[Close]]+0.001*Table2[[#This Row],[Close]]</f>
        <v>52375.653330000001</v>
      </c>
      <c r="E366" s="18" t="str">
        <f>IF(Table2[[#This Row],[Close]]&gt;D365,"up",IF(Table2[[#This Row],[Close]]&lt;C365,"down","constant"))</f>
        <v>down</v>
      </c>
      <c r="F366" s="3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</row>
    <row r="367" spans="1:33" x14ac:dyDescent="0.3">
      <c r="A367" s="1">
        <v>44365</v>
      </c>
      <c r="B367" s="18">
        <v>52344.45</v>
      </c>
      <c r="C367" s="18">
        <f>Table2[[#This Row],[Close]]-0.001*Table2[[#This Row],[Close]]</f>
        <v>52292.10555</v>
      </c>
      <c r="D367" s="18">
        <f>Table2[[#This Row],[Close]]+0.001*Table2[[#This Row],[Close]]</f>
        <v>52396.794449999994</v>
      </c>
      <c r="E367" s="18" t="str">
        <f>IF(Table2[[#This Row],[Close]]&gt;D366,"up",IF(Table2[[#This Row],[Close]]&lt;C366,"down","constant"))</f>
        <v>constant</v>
      </c>
      <c r="F367" s="3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</row>
    <row r="368" spans="1:33" x14ac:dyDescent="0.3">
      <c r="A368" s="1">
        <v>44368</v>
      </c>
      <c r="B368" s="18">
        <v>52574.46</v>
      </c>
      <c r="C368" s="18">
        <f>Table2[[#This Row],[Close]]-0.001*Table2[[#This Row],[Close]]</f>
        <v>52521.885539999996</v>
      </c>
      <c r="D368" s="18">
        <f>Table2[[#This Row],[Close]]+0.001*Table2[[#This Row],[Close]]</f>
        <v>52627.034460000003</v>
      </c>
      <c r="E368" s="18" t="str">
        <f>IF(Table2[[#This Row],[Close]]&gt;D367,"up",IF(Table2[[#This Row],[Close]]&lt;C367,"down","constant"))</f>
        <v>up</v>
      </c>
      <c r="F368" s="3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</row>
    <row r="369" spans="1:33" x14ac:dyDescent="0.3">
      <c r="A369" s="1">
        <v>44369</v>
      </c>
      <c r="B369" s="18">
        <v>52588.71</v>
      </c>
      <c r="C369" s="18">
        <f>Table2[[#This Row],[Close]]-0.001*Table2[[#This Row],[Close]]</f>
        <v>52536.121289999995</v>
      </c>
      <c r="D369" s="18">
        <f>Table2[[#This Row],[Close]]+0.001*Table2[[#This Row],[Close]]</f>
        <v>52641.298710000003</v>
      </c>
      <c r="E369" s="18" t="str">
        <f>IF(Table2[[#This Row],[Close]]&gt;D368,"up",IF(Table2[[#This Row],[Close]]&lt;C368,"down","constant"))</f>
        <v>constant</v>
      </c>
      <c r="F369" s="3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</row>
    <row r="370" spans="1:33" x14ac:dyDescent="0.3">
      <c r="A370" s="1">
        <v>44370</v>
      </c>
      <c r="B370" s="18">
        <v>52306.080000000002</v>
      </c>
      <c r="C370" s="18">
        <f>Table2[[#This Row],[Close]]-0.001*Table2[[#This Row],[Close]]</f>
        <v>52253.77392</v>
      </c>
      <c r="D370" s="18">
        <f>Table2[[#This Row],[Close]]+0.001*Table2[[#This Row],[Close]]</f>
        <v>52358.386080000004</v>
      </c>
      <c r="E370" s="18" t="str">
        <f>IF(Table2[[#This Row],[Close]]&gt;D369,"up",IF(Table2[[#This Row],[Close]]&lt;C369,"down","constant"))</f>
        <v>down</v>
      </c>
      <c r="F370" s="3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</row>
    <row r="371" spans="1:33" x14ac:dyDescent="0.3">
      <c r="A371" s="1">
        <v>44371</v>
      </c>
      <c r="B371" s="18">
        <v>52699</v>
      </c>
      <c r="C371" s="18">
        <f>Table2[[#This Row],[Close]]-0.001*Table2[[#This Row],[Close]]</f>
        <v>52646.300999999999</v>
      </c>
      <c r="D371" s="18">
        <f>Table2[[#This Row],[Close]]+0.001*Table2[[#This Row],[Close]]</f>
        <v>52751.699000000001</v>
      </c>
      <c r="E371" s="18" t="str">
        <f>IF(Table2[[#This Row],[Close]]&gt;D370,"up",IF(Table2[[#This Row],[Close]]&lt;C370,"down","constant"))</f>
        <v>up</v>
      </c>
      <c r="F371" s="3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</row>
    <row r="372" spans="1:33" x14ac:dyDescent="0.3">
      <c r="A372" s="1">
        <v>44372</v>
      </c>
      <c r="B372" s="18">
        <v>52925.04</v>
      </c>
      <c r="C372" s="18">
        <f>Table2[[#This Row],[Close]]-0.001*Table2[[#This Row],[Close]]</f>
        <v>52872.114959999999</v>
      </c>
      <c r="D372" s="18">
        <f>Table2[[#This Row],[Close]]+0.001*Table2[[#This Row],[Close]]</f>
        <v>52977.965040000003</v>
      </c>
      <c r="E372" s="18" t="str">
        <f>IF(Table2[[#This Row],[Close]]&gt;D371,"up",IF(Table2[[#This Row],[Close]]&lt;C371,"down","constant"))</f>
        <v>up</v>
      </c>
      <c r="F372" s="3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</row>
    <row r="373" spans="1:33" x14ac:dyDescent="0.3">
      <c r="A373" s="1">
        <v>44375</v>
      </c>
      <c r="B373" s="18">
        <v>52735.59</v>
      </c>
      <c r="C373" s="18">
        <f>Table2[[#This Row],[Close]]-0.001*Table2[[#This Row],[Close]]</f>
        <v>52682.85441</v>
      </c>
      <c r="D373" s="18">
        <f>Table2[[#This Row],[Close]]+0.001*Table2[[#This Row],[Close]]</f>
        <v>52788.325589999993</v>
      </c>
      <c r="E373" s="18" t="str">
        <f>IF(Table2[[#This Row],[Close]]&gt;D372,"up",IF(Table2[[#This Row],[Close]]&lt;C372,"down","constant"))</f>
        <v>down</v>
      </c>
      <c r="F373" s="3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</row>
    <row r="374" spans="1:33" x14ac:dyDescent="0.3">
      <c r="A374" s="1">
        <v>44376</v>
      </c>
      <c r="B374" s="18">
        <v>52549.66</v>
      </c>
      <c r="C374" s="18">
        <f>Table2[[#This Row],[Close]]-0.001*Table2[[#This Row],[Close]]</f>
        <v>52497.110340000007</v>
      </c>
      <c r="D374" s="18">
        <f>Table2[[#This Row],[Close]]+0.001*Table2[[#This Row],[Close]]</f>
        <v>52602.20966</v>
      </c>
      <c r="E374" s="18" t="str">
        <f>IF(Table2[[#This Row],[Close]]&gt;D373,"up",IF(Table2[[#This Row],[Close]]&lt;C373,"down","constant"))</f>
        <v>down</v>
      </c>
      <c r="F374" s="3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</row>
    <row r="375" spans="1:33" x14ac:dyDescent="0.3">
      <c r="A375" s="1">
        <v>44377</v>
      </c>
      <c r="B375" s="18">
        <v>52482.71</v>
      </c>
      <c r="C375" s="18">
        <f>Table2[[#This Row],[Close]]-0.001*Table2[[#This Row],[Close]]</f>
        <v>52430.227290000003</v>
      </c>
      <c r="D375" s="18">
        <f>Table2[[#This Row],[Close]]+0.001*Table2[[#This Row],[Close]]</f>
        <v>52535.192709999996</v>
      </c>
      <c r="E375" s="18" t="str">
        <f>IF(Table2[[#This Row],[Close]]&gt;D374,"up",IF(Table2[[#This Row],[Close]]&lt;C374,"down","constant"))</f>
        <v>down</v>
      </c>
      <c r="F375" s="3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</row>
    <row r="376" spans="1:33" x14ac:dyDescent="0.3">
      <c r="A376" s="1">
        <v>44378</v>
      </c>
      <c r="B376" s="18">
        <v>52318.6</v>
      </c>
      <c r="C376" s="18">
        <f>Table2[[#This Row],[Close]]-0.001*Table2[[#This Row],[Close]]</f>
        <v>52266.2814</v>
      </c>
      <c r="D376" s="18">
        <f>Table2[[#This Row],[Close]]+0.001*Table2[[#This Row],[Close]]</f>
        <v>52370.918599999997</v>
      </c>
      <c r="E376" s="18" t="str">
        <f>IF(Table2[[#This Row],[Close]]&gt;D375,"up",IF(Table2[[#This Row],[Close]]&lt;C375,"down","constant"))</f>
        <v>down</v>
      </c>
      <c r="F376" s="3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</row>
    <row r="377" spans="1:33" x14ac:dyDescent="0.3">
      <c r="A377" s="1">
        <v>44379</v>
      </c>
      <c r="B377" s="18">
        <v>52484.67</v>
      </c>
      <c r="C377" s="18">
        <f>Table2[[#This Row],[Close]]-0.001*Table2[[#This Row],[Close]]</f>
        <v>52432.18533</v>
      </c>
      <c r="D377" s="18">
        <f>Table2[[#This Row],[Close]]+0.001*Table2[[#This Row],[Close]]</f>
        <v>52537.154669999996</v>
      </c>
      <c r="E377" s="18" t="str">
        <f>IF(Table2[[#This Row],[Close]]&gt;D376,"up",IF(Table2[[#This Row],[Close]]&lt;C376,"down","constant"))</f>
        <v>up</v>
      </c>
      <c r="F377" s="3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</row>
    <row r="378" spans="1:33" x14ac:dyDescent="0.3">
      <c r="A378" s="1">
        <v>44382</v>
      </c>
      <c r="B378" s="18">
        <v>52880</v>
      </c>
      <c r="C378" s="18">
        <f>Table2[[#This Row],[Close]]-0.001*Table2[[#This Row],[Close]]</f>
        <v>52827.12</v>
      </c>
      <c r="D378" s="18">
        <f>Table2[[#This Row],[Close]]+0.001*Table2[[#This Row],[Close]]</f>
        <v>52932.88</v>
      </c>
      <c r="E378" s="18" t="str">
        <f>IF(Table2[[#This Row],[Close]]&gt;D377,"up",IF(Table2[[#This Row],[Close]]&lt;C377,"down","constant"))</f>
        <v>up</v>
      </c>
      <c r="F378" s="3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</row>
    <row r="379" spans="1:33" x14ac:dyDescent="0.3">
      <c r="A379" s="1">
        <v>44383</v>
      </c>
      <c r="B379" s="18">
        <v>52861.18</v>
      </c>
      <c r="C379" s="18">
        <f>Table2[[#This Row],[Close]]-0.001*Table2[[#This Row],[Close]]</f>
        <v>52808.31882</v>
      </c>
      <c r="D379" s="18">
        <f>Table2[[#This Row],[Close]]+0.001*Table2[[#This Row],[Close]]</f>
        <v>52914.04118</v>
      </c>
      <c r="E379" s="18" t="str">
        <f>IF(Table2[[#This Row],[Close]]&gt;D378,"up",IF(Table2[[#This Row],[Close]]&lt;C378,"down","constant"))</f>
        <v>constant</v>
      </c>
      <c r="F379" s="3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</row>
    <row r="380" spans="1:33" x14ac:dyDescent="0.3">
      <c r="A380" s="1">
        <v>44384</v>
      </c>
      <c r="B380" s="18">
        <v>53054.76</v>
      </c>
      <c r="C380" s="18">
        <f>Table2[[#This Row],[Close]]-0.001*Table2[[#This Row],[Close]]</f>
        <v>53001.705240000003</v>
      </c>
      <c r="D380" s="18">
        <f>Table2[[#This Row],[Close]]+0.001*Table2[[#This Row],[Close]]</f>
        <v>53107.814760000001</v>
      </c>
      <c r="E380" s="18" t="str">
        <f>IF(Table2[[#This Row],[Close]]&gt;D379,"up",IF(Table2[[#This Row],[Close]]&lt;C379,"down","constant"))</f>
        <v>up</v>
      </c>
      <c r="F380" s="3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</row>
    <row r="381" spans="1:33" x14ac:dyDescent="0.3">
      <c r="A381" s="1">
        <v>44385</v>
      </c>
      <c r="B381" s="18">
        <v>52568.94</v>
      </c>
      <c r="C381" s="18">
        <f>Table2[[#This Row],[Close]]-0.001*Table2[[#This Row],[Close]]</f>
        <v>52516.371060000005</v>
      </c>
      <c r="D381" s="18">
        <f>Table2[[#This Row],[Close]]+0.001*Table2[[#This Row],[Close]]</f>
        <v>52621.50894</v>
      </c>
      <c r="E381" s="18" t="str">
        <f>IF(Table2[[#This Row],[Close]]&gt;D380,"up",IF(Table2[[#This Row],[Close]]&lt;C380,"down","constant"))</f>
        <v>down</v>
      </c>
      <c r="F381" s="3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</row>
    <row r="382" spans="1:33" x14ac:dyDescent="0.3">
      <c r="A382" s="1">
        <v>44386</v>
      </c>
      <c r="B382" s="18">
        <v>52386.19</v>
      </c>
      <c r="C382" s="18">
        <f>Table2[[#This Row],[Close]]-0.001*Table2[[#This Row],[Close]]</f>
        <v>52333.803810000005</v>
      </c>
      <c r="D382" s="18">
        <f>Table2[[#This Row],[Close]]+0.001*Table2[[#This Row],[Close]]</f>
        <v>52438.57619</v>
      </c>
      <c r="E382" s="18" t="str">
        <f>IF(Table2[[#This Row],[Close]]&gt;D381,"up",IF(Table2[[#This Row],[Close]]&lt;C381,"down","constant"))</f>
        <v>down</v>
      </c>
      <c r="F382" s="3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</row>
    <row r="383" spans="1:33" x14ac:dyDescent="0.3">
      <c r="A383" s="1">
        <v>44389</v>
      </c>
      <c r="B383" s="18">
        <v>52372.69</v>
      </c>
      <c r="C383" s="18">
        <f>Table2[[#This Row],[Close]]-0.001*Table2[[#This Row],[Close]]</f>
        <v>52320.317310000006</v>
      </c>
      <c r="D383" s="18">
        <f>Table2[[#This Row],[Close]]+0.001*Table2[[#This Row],[Close]]</f>
        <v>52425.062689999999</v>
      </c>
      <c r="E383" s="18" t="str">
        <f>IF(Table2[[#This Row],[Close]]&gt;D382,"up",IF(Table2[[#This Row],[Close]]&lt;C382,"down","constant"))</f>
        <v>constant</v>
      </c>
      <c r="F383" s="3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</row>
    <row r="384" spans="1:33" x14ac:dyDescent="0.3">
      <c r="A384" s="1">
        <v>44390</v>
      </c>
      <c r="B384" s="18">
        <v>52769.73</v>
      </c>
      <c r="C384" s="18">
        <f>Table2[[#This Row],[Close]]-0.001*Table2[[#This Row],[Close]]</f>
        <v>52716.960270000003</v>
      </c>
      <c r="D384" s="18">
        <f>Table2[[#This Row],[Close]]+0.001*Table2[[#This Row],[Close]]</f>
        <v>52822.499730000003</v>
      </c>
      <c r="E384" s="18" t="str">
        <f>IF(Table2[[#This Row],[Close]]&gt;D383,"up",IF(Table2[[#This Row],[Close]]&lt;C383,"down","constant"))</f>
        <v>up</v>
      </c>
      <c r="F384" s="3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</row>
    <row r="385" spans="1:33" x14ac:dyDescent="0.3">
      <c r="A385" s="1">
        <v>44391</v>
      </c>
      <c r="B385" s="18">
        <v>52904.05</v>
      </c>
      <c r="C385" s="18">
        <f>Table2[[#This Row],[Close]]-0.001*Table2[[#This Row],[Close]]</f>
        <v>52851.145950000006</v>
      </c>
      <c r="D385" s="18">
        <f>Table2[[#This Row],[Close]]+0.001*Table2[[#This Row],[Close]]</f>
        <v>52956.95405</v>
      </c>
      <c r="E385" s="18" t="str">
        <f>IF(Table2[[#This Row],[Close]]&gt;D384,"up",IF(Table2[[#This Row],[Close]]&lt;C384,"down","constant"))</f>
        <v>up</v>
      </c>
      <c r="F385" s="3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</row>
    <row r="386" spans="1:33" x14ac:dyDescent="0.3">
      <c r="A386" s="1">
        <v>44392</v>
      </c>
      <c r="B386" s="18">
        <v>53158.85</v>
      </c>
      <c r="C386" s="18">
        <f>Table2[[#This Row],[Close]]-0.001*Table2[[#This Row],[Close]]</f>
        <v>53105.691149999999</v>
      </c>
      <c r="D386" s="18">
        <f>Table2[[#This Row],[Close]]+0.001*Table2[[#This Row],[Close]]</f>
        <v>53212.008849999998</v>
      </c>
      <c r="E386" s="18" t="str">
        <f>IF(Table2[[#This Row],[Close]]&gt;D385,"up",IF(Table2[[#This Row],[Close]]&lt;C385,"down","constant"))</f>
        <v>up</v>
      </c>
      <c r="F386" s="3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</row>
    <row r="387" spans="1:33" x14ac:dyDescent="0.3">
      <c r="A387" s="1">
        <v>44393</v>
      </c>
      <c r="B387" s="18">
        <v>53140.06</v>
      </c>
      <c r="C387" s="18">
        <f>Table2[[#This Row],[Close]]-0.001*Table2[[#This Row],[Close]]</f>
        <v>53086.91994</v>
      </c>
      <c r="D387" s="18">
        <f>Table2[[#This Row],[Close]]+0.001*Table2[[#This Row],[Close]]</f>
        <v>53193.200059999996</v>
      </c>
      <c r="E387" s="18" t="str">
        <f>IF(Table2[[#This Row],[Close]]&gt;D386,"up",IF(Table2[[#This Row],[Close]]&lt;C386,"down","constant"))</f>
        <v>constant</v>
      </c>
      <c r="F387" s="3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</row>
    <row r="388" spans="1:33" x14ac:dyDescent="0.3">
      <c r="A388" s="1">
        <v>44396</v>
      </c>
      <c r="B388" s="18">
        <v>52553.4</v>
      </c>
      <c r="C388" s="18">
        <f>Table2[[#This Row],[Close]]-0.001*Table2[[#This Row],[Close]]</f>
        <v>52500.846600000004</v>
      </c>
      <c r="D388" s="18">
        <f>Table2[[#This Row],[Close]]+0.001*Table2[[#This Row],[Close]]</f>
        <v>52605.953399999999</v>
      </c>
      <c r="E388" s="18" t="str">
        <f>IF(Table2[[#This Row],[Close]]&gt;D387,"up",IF(Table2[[#This Row],[Close]]&lt;C387,"down","constant"))</f>
        <v>down</v>
      </c>
      <c r="F388" s="3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</row>
    <row r="389" spans="1:33" x14ac:dyDescent="0.3">
      <c r="A389" s="1">
        <v>44397</v>
      </c>
      <c r="B389" s="18">
        <v>52198.51</v>
      </c>
      <c r="C389" s="18">
        <f>Table2[[#This Row],[Close]]-0.001*Table2[[#This Row],[Close]]</f>
        <v>52146.31149</v>
      </c>
      <c r="D389" s="18">
        <f>Table2[[#This Row],[Close]]+0.001*Table2[[#This Row],[Close]]</f>
        <v>52250.708510000004</v>
      </c>
      <c r="E389" s="18" t="str">
        <f>IF(Table2[[#This Row],[Close]]&gt;D388,"up",IF(Table2[[#This Row],[Close]]&lt;C388,"down","constant"))</f>
        <v>down</v>
      </c>
      <c r="F389" s="3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</row>
    <row r="390" spans="1:33" x14ac:dyDescent="0.3">
      <c r="A390" s="1">
        <v>44399</v>
      </c>
      <c r="B390" s="18">
        <v>52837.21</v>
      </c>
      <c r="C390" s="18">
        <f>Table2[[#This Row],[Close]]-0.001*Table2[[#This Row],[Close]]</f>
        <v>52784.372790000001</v>
      </c>
      <c r="D390" s="18">
        <f>Table2[[#This Row],[Close]]+0.001*Table2[[#This Row],[Close]]</f>
        <v>52890.047209999997</v>
      </c>
      <c r="E390" s="18" t="str">
        <f>IF(Table2[[#This Row],[Close]]&gt;D389,"up",IF(Table2[[#This Row],[Close]]&lt;C389,"down","constant"))</f>
        <v>up</v>
      </c>
      <c r="F390" s="3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</row>
    <row r="391" spans="1:33" x14ac:dyDescent="0.3">
      <c r="A391" s="1">
        <v>44400</v>
      </c>
      <c r="B391" s="18">
        <v>52975.8</v>
      </c>
      <c r="C391" s="18">
        <f>Table2[[#This Row],[Close]]-0.001*Table2[[#This Row],[Close]]</f>
        <v>52922.824200000003</v>
      </c>
      <c r="D391" s="18">
        <f>Table2[[#This Row],[Close]]+0.001*Table2[[#This Row],[Close]]</f>
        <v>53028.775800000003</v>
      </c>
      <c r="E391" s="18" t="str">
        <f>IF(Table2[[#This Row],[Close]]&gt;D390,"up",IF(Table2[[#This Row],[Close]]&lt;C390,"down","constant"))</f>
        <v>up</v>
      </c>
      <c r="F391" s="3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</row>
    <row r="392" spans="1:33" x14ac:dyDescent="0.3">
      <c r="A392" s="1">
        <v>44403</v>
      </c>
      <c r="B392" s="18">
        <v>52852.27</v>
      </c>
      <c r="C392" s="18">
        <f>Table2[[#This Row],[Close]]-0.001*Table2[[#This Row],[Close]]</f>
        <v>52799.417729999994</v>
      </c>
      <c r="D392" s="18">
        <f>Table2[[#This Row],[Close]]+0.001*Table2[[#This Row],[Close]]</f>
        <v>52905.12227</v>
      </c>
      <c r="E392" s="18" t="str">
        <f>IF(Table2[[#This Row],[Close]]&gt;D391,"up",IF(Table2[[#This Row],[Close]]&lt;C391,"down","constant"))</f>
        <v>down</v>
      </c>
      <c r="F392" s="3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</row>
    <row r="393" spans="1:33" x14ac:dyDescent="0.3">
      <c r="A393" s="1">
        <v>44404</v>
      </c>
      <c r="B393" s="18">
        <v>52578.76</v>
      </c>
      <c r="C393" s="18">
        <f>Table2[[#This Row],[Close]]-0.001*Table2[[#This Row],[Close]]</f>
        <v>52526.181240000005</v>
      </c>
      <c r="D393" s="18">
        <f>Table2[[#This Row],[Close]]+0.001*Table2[[#This Row],[Close]]</f>
        <v>52631.338759999999</v>
      </c>
      <c r="E393" s="18" t="str">
        <f>IF(Table2[[#This Row],[Close]]&gt;D392,"up",IF(Table2[[#This Row],[Close]]&lt;C392,"down","constant"))</f>
        <v>down</v>
      </c>
      <c r="F393" s="3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</row>
    <row r="394" spans="1:33" x14ac:dyDescent="0.3">
      <c r="A394" s="1">
        <v>44405</v>
      </c>
      <c r="B394" s="18">
        <v>52443.71</v>
      </c>
      <c r="C394" s="18">
        <f>Table2[[#This Row],[Close]]-0.001*Table2[[#This Row],[Close]]</f>
        <v>52391.26629</v>
      </c>
      <c r="D394" s="18">
        <f>Table2[[#This Row],[Close]]+0.001*Table2[[#This Row],[Close]]</f>
        <v>52496.153709999999</v>
      </c>
      <c r="E394" s="18" t="str">
        <f>IF(Table2[[#This Row],[Close]]&gt;D393,"up",IF(Table2[[#This Row],[Close]]&lt;C393,"down","constant"))</f>
        <v>down</v>
      </c>
      <c r="F394" s="3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</row>
    <row r="395" spans="1:33" x14ac:dyDescent="0.3">
      <c r="A395" s="1">
        <v>44406</v>
      </c>
      <c r="B395" s="18">
        <v>52653.07</v>
      </c>
      <c r="C395" s="18">
        <f>Table2[[#This Row],[Close]]-0.001*Table2[[#This Row],[Close]]</f>
        <v>52600.416929999999</v>
      </c>
      <c r="D395" s="18">
        <f>Table2[[#This Row],[Close]]+0.001*Table2[[#This Row],[Close]]</f>
        <v>52705.72307</v>
      </c>
      <c r="E395" s="18" t="str">
        <f>IF(Table2[[#This Row],[Close]]&gt;D394,"up",IF(Table2[[#This Row],[Close]]&lt;C394,"down","constant"))</f>
        <v>up</v>
      </c>
      <c r="F395" s="3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</row>
    <row r="396" spans="1:33" x14ac:dyDescent="0.3">
      <c r="A396" s="1">
        <v>44407</v>
      </c>
      <c r="B396" s="18">
        <v>52586.84</v>
      </c>
      <c r="C396" s="18">
        <f>Table2[[#This Row],[Close]]-0.001*Table2[[#This Row],[Close]]</f>
        <v>52534.253159999993</v>
      </c>
      <c r="D396" s="18">
        <f>Table2[[#This Row],[Close]]+0.001*Table2[[#This Row],[Close]]</f>
        <v>52639.42684</v>
      </c>
      <c r="E396" s="18" t="str">
        <f>IF(Table2[[#This Row],[Close]]&gt;D395,"up",IF(Table2[[#This Row],[Close]]&lt;C395,"down","constant"))</f>
        <v>down</v>
      </c>
      <c r="F396" s="3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18CCF-68EF-458C-B3F3-D2DE596C9274}">
  <sheetPr codeName="Sheet1"/>
  <dimension ref="A1:T186"/>
  <sheetViews>
    <sheetView tabSelected="1" topLeftCell="G1" zoomScale="115" zoomScaleNormal="115" workbookViewId="0">
      <selection activeCell="P30" sqref="P30"/>
    </sheetView>
  </sheetViews>
  <sheetFormatPr defaultRowHeight="14.4" x14ac:dyDescent="0.3"/>
  <cols>
    <col min="1" max="1" width="16.33203125" bestFit="1" customWidth="1"/>
    <col min="2" max="4" width="10.109375" customWidth="1"/>
    <col min="5" max="5" width="10.21875" customWidth="1"/>
    <col min="6" max="6" width="15.77734375" bestFit="1" customWidth="1"/>
    <col min="7" max="7" width="10.77734375" bestFit="1" customWidth="1"/>
    <col min="8" max="8" width="14.88671875" bestFit="1" customWidth="1"/>
    <col min="9" max="9" width="11.109375" customWidth="1"/>
    <col min="10" max="10" width="11.77734375" bestFit="1" customWidth="1"/>
    <col min="13" max="13" width="26" bestFit="1" customWidth="1"/>
    <col min="14" max="14" width="9" customWidth="1"/>
    <col min="16" max="16" width="26" bestFit="1" customWidth="1"/>
    <col min="17" max="17" width="6.109375" customWidth="1"/>
  </cols>
  <sheetData>
    <row r="1" spans="1:20" x14ac:dyDescent="0.3">
      <c r="O1">
        <f>48/95</f>
        <v>0.50526315789473686</v>
      </c>
      <c r="Q1" s="18"/>
      <c r="R1" s="2">
        <v>-1</v>
      </c>
      <c r="S1" s="2">
        <v>0</v>
      </c>
      <c r="T1" s="2">
        <v>1</v>
      </c>
    </row>
    <row r="2" spans="1:20" x14ac:dyDescent="0.3">
      <c r="A2" s="2"/>
      <c r="B2" s="2"/>
      <c r="C2" s="2">
        <v>-1</v>
      </c>
      <c r="D2" s="2">
        <v>0</v>
      </c>
      <c r="E2" s="2">
        <v>1</v>
      </c>
      <c r="F2" s="18"/>
      <c r="H2" t="s">
        <v>188</v>
      </c>
      <c r="O2" t="s">
        <v>184</v>
      </c>
      <c r="Q2" s="2" t="s">
        <v>197</v>
      </c>
      <c r="R2">
        <v>57</v>
      </c>
      <c r="S2">
        <v>19</v>
      </c>
      <c r="T2">
        <v>67</v>
      </c>
    </row>
    <row r="3" spans="1:20" x14ac:dyDescent="0.3">
      <c r="A3" s="2">
        <v>1</v>
      </c>
      <c r="B3" s="2">
        <v>1</v>
      </c>
      <c r="C3" s="5">
        <v>2</v>
      </c>
      <c r="D3" s="6">
        <v>8</v>
      </c>
      <c r="E3" s="7">
        <v>7</v>
      </c>
      <c r="F3" s="2">
        <v>17</v>
      </c>
      <c r="H3">
        <f ca="1">RANDBETWEEN(0,F3)</f>
        <v>3</v>
      </c>
      <c r="I3" t="str">
        <f ca="1">IF(H3&lt;=C3,"down",IF(AND(H3&gt;C3,H3&lt;=(C3+D3)),"Constant","Up"))</f>
        <v>Constant</v>
      </c>
      <c r="O3">
        <f>48+95</f>
        <v>143</v>
      </c>
      <c r="Q3" s="2" t="s">
        <v>198</v>
      </c>
      <c r="R3">
        <v>62</v>
      </c>
      <c r="S3">
        <v>26</v>
      </c>
      <c r="T3">
        <v>55</v>
      </c>
    </row>
    <row r="4" spans="1:20" x14ac:dyDescent="0.3">
      <c r="A4" s="2">
        <v>-1</v>
      </c>
      <c r="B4" s="2">
        <v>-1</v>
      </c>
      <c r="C4" s="8">
        <v>2</v>
      </c>
      <c r="D4" s="9">
        <v>2</v>
      </c>
      <c r="E4" s="10">
        <v>2</v>
      </c>
      <c r="F4" s="2">
        <v>6</v>
      </c>
      <c r="H4" s="18">
        <f t="shared" ref="H4:H11" ca="1" si="0">RANDBETWEEN(0,F4)</f>
        <v>5</v>
      </c>
      <c r="I4" s="18" t="s">
        <v>192</v>
      </c>
      <c r="S4" s="18"/>
      <c r="T4" s="18"/>
    </row>
    <row r="5" spans="1:20" x14ac:dyDescent="0.3">
      <c r="A5" s="2">
        <v>1</v>
      </c>
      <c r="B5" s="2">
        <v>-1</v>
      </c>
      <c r="C5" s="8">
        <v>3</v>
      </c>
      <c r="D5" s="9">
        <v>5</v>
      </c>
      <c r="E5" s="10">
        <v>2</v>
      </c>
      <c r="F5" s="2">
        <v>10</v>
      </c>
      <c r="H5" s="18">
        <f t="shared" ca="1" si="0"/>
        <v>10</v>
      </c>
      <c r="I5" s="18" t="str">
        <f t="shared" ref="I5:I11" ca="1" si="1">IF(H5&lt;=C5,"down",IF(AND(H5&gt;C5,H5&lt;=(C5+D5)),"Constant","Up"))</f>
        <v>Up</v>
      </c>
      <c r="N5" s="2" t="s">
        <v>199</v>
      </c>
    </row>
    <row r="6" spans="1:20" x14ac:dyDescent="0.3">
      <c r="A6" s="2">
        <v>-1</v>
      </c>
      <c r="B6" s="2">
        <v>1</v>
      </c>
      <c r="C6" s="8">
        <v>3</v>
      </c>
      <c r="D6" s="9">
        <v>3</v>
      </c>
      <c r="E6" s="10">
        <v>4</v>
      </c>
      <c r="F6" s="2">
        <v>10</v>
      </c>
      <c r="H6" s="18">
        <f t="shared" ca="1" si="0"/>
        <v>3</v>
      </c>
      <c r="I6" s="18" t="str">
        <f t="shared" ca="1" si="1"/>
        <v>down</v>
      </c>
      <c r="N6" s="2" t="s">
        <v>200</v>
      </c>
      <c r="O6" s="18">
        <v>21</v>
      </c>
    </row>
    <row r="7" spans="1:20" x14ac:dyDescent="0.3">
      <c r="A7" s="2">
        <v>0</v>
      </c>
      <c r="B7" s="2">
        <v>0</v>
      </c>
      <c r="C7" s="8">
        <v>17</v>
      </c>
      <c r="D7" s="9">
        <v>64</v>
      </c>
      <c r="E7" s="10">
        <v>15</v>
      </c>
      <c r="F7" s="2">
        <v>96</v>
      </c>
      <c r="H7" s="18">
        <f t="shared" ca="1" si="0"/>
        <v>56</v>
      </c>
      <c r="I7" s="18" t="str">
        <f t="shared" ca="1" si="1"/>
        <v>Constant</v>
      </c>
      <c r="N7" s="2" t="s">
        <v>201</v>
      </c>
      <c r="O7" s="18">
        <f>57-21</f>
        <v>36</v>
      </c>
    </row>
    <row r="8" spans="1:20" x14ac:dyDescent="0.3">
      <c r="A8" s="2">
        <v>0</v>
      </c>
      <c r="B8" s="2">
        <v>1</v>
      </c>
      <c r="C8" s="8">
        <v>5</v>
      </c>
      <c r="D8" s="9">
        <v>18</v>
      </c>
      <c r="E8" s="10">
        <v>6</v>
      </c>
      <c r="F8" s="2">
        <v>29</v>
      </c>
      <c r="H8" s="18">
        <f t="shared" ca="1" si="0"/>
        <v>14</v>
      </c>
      <c r="I8" s="18" t="str">
        <f t="shared" ca="1" si="1"/>
        <v>Constant</v>
      </c>
    </row>
    <row r="9" spans="1:20" x14ac:dyDescent="0.3">
      <c r="A9" s="2">
        <v>0</v>
      </c>
      <c r="B9" s="2">
        <v>-1</v>
      </c>
      <c r="C9" s="8">
        <v>1</v>
      </c>
      <c r="D9" s="9">
        <v>19</v>
      </c>
      <c r="E9" s="10">
        <v>6</v>
      </c>
      <c r="F9" s="2">
        <v>26</v>
      </c>
      <c r="H9" s="18">
        <f t="shared" ca="1" si="0"/>
        <v>20</v>
      </c>
      <c r="I9" s="18" t="str">
        <f t="shared" ca="1" si="1"/>
        <v>Constant</v>
      </c>
      <c r="M9" s="2" t="s">
        <v>202</v>
      </c>
      <c r="N9" s="18"/>
      <c r="P9" s="2" t="s">
        <v>203</v>
      </c>
      <c r="Q9" s="18"/>
    </row>
    <row r="10" spans="1:20" x14ac:dyDescent="0.3">
      <c r="A10" s="2">
        <v>1</v>
      </c>
      <c r="B10" s="2">
        <v>0</v>
      </c>
      <c r="C10" s="8">
        <v>4</v>
      </c>
      <c r="D10" s="9">
        <v>18</v>
      </c>
      <c r="E10" s="10">
        <v>7</v>
      </c>
      <c r="F10" s="2">
        <v>29</v>
      </c>
      <c r="H10" s="18">
        <f t="shared" ca="1" si="0"/>
        <v>12</v>
      </c>
      <c r="I10" s="18" t="str">
        <f t="shared" ca="1" si="1"/>
        <v>Constant</v>
      </c>
      <c r="M10" s="2" t="s">
        <v>200</v>
      </c>
      <c r="N10" s="18">
        <v>1</v>
      </c>
      <c r="P10" s="2" t="s">
        <v>200</v>
      </c>
      <c r="Q10" s="18">
        <v>26</v>
      </c>
    </row>
    <row r="11" spans="1:20" x14ac:dyDescent="0.3">
      <c r="A11" s="2">
        <v>-1</v>
      </c>
      <c r="B11" s="2">
        <v>0</v>
      </c>
      <c r="C11" s="12">
        <v>1</v>
      </c>
      <c r="D11" s="13">
        <v>15</v>
      </c>
      <c r="E11" s="18">
        <v>7</v>
      </c>
      <c r="F11" s="2">
        <v>23</v>
      </c>
      <c r="H11" s="18">
        <f t="shared" ca="1" si="0"/>
        <v>8</v>
      </c>
      <c r="I11" s="18" t="str">
        <f t="shared" ca="1" si="1"/>
        <v>Constant</v>
      </c>
      <c r="M11" s="2" t="s">
        <v>201</v>
      </c>
      <c r="N11" s="18">
        <v>18</v>
      </c>
      <c r="P11" s="2" t="s">
        <v>201</v>
      </c>
      <c r="Q11" s="18">
        <f>67-26</f>
        <v>41</v>
      </c>
    </row>
    <row r="12" spans="1:20" s="18" customFormat="1" x14ac:dyDescent="0.3">
      <c r="A12" s="2"/>
      <c r="B12" s="2"/>
    </row>
    <row r="13" spans="1:20" s="18" customFormat="1" x14ac:dyDescent="0.3">
      <c r="A13" s="2"/>
      <c r="B13" s="2"/>
    </row>
    <row r="14" spans="1:20" x14ac:dyDescent="0.3">
      <c r="A14" s="18" t="s">
        <v>5</v>
      </c>
      <c r="B14" s="18" t="s">
        <v>178</v>
      </c>
      <c r="C14" s="18" t="s">
        <v>179</v>
      </c>
      <c r="D14" s="18" t="s">
        <v>180</v>
      </c>
      <c r="E14" s="18" t="s">
        <v>181</v>
      </c>
      <c r="F14" s="18" t="s">
        <v>182</v>
      </c>
      <c r="G14" s="18" t="s">
        <v>183</v>
      </c>
      <c r="H14" t="s">
        <v>191</v>
      </c>
      <c r="I14" t="s">
        <v>194</v>
      </c>
      <c r="J14" t="s">
        <v>195</v>
      </c>
    </row>
    <row r="15" spans="1:20" hidden="1" x14ac:dyDescent="0.3">
      <c r="E15" t="s">
        <v>196</v>
      </c>
      <c r="F15" t="s">
        <v>189</v>
      </c>
      <c r="G15" t="s">
        <v>177</v>
      </c>
      <c r="H15" t="s">
        <v>190</v>
      </c>
      <c r="I15" t="s">
        <v>193</v>
      </c>
    </row>
    <row r="16" spans="1:20" hidden="1" x14ac:dyDescent="0.3">
      <c r="A16" s="27">
        <v>44195</v>
      </c>
      <c r="B16">
        <v>47746.22</v>
      </c>
      <c r="C16">
        <v>47698.47378</v>
      </c>
      <c r="D16">
        <v>47793.966220000002</v>
      </c>
      <c r="E16" t="s">
        <v>175</v>
      </c>
      <c r="I16" s="18" t="s">
        <v>176</v>
      </c>
    </row>
    <row r="17" spans="1:10" hidden="1" x14ac:dyDescent="0.3">
      <c r="A17" s="27">
        <v>44196</v>
      </c>
      <c r="B17">
        <v>47751.33</v>
      </c>
      <c r="C17">
        <v>47703.578670000003</v>
      </c>
      <c r="D17">
        <v>47799.081330000001</v>
      </c>
      <c r="E17" t="s">
        <v>176</v>
      </c>
      <c r="I17" s="18" t="s">
        <v>176</v>
      </c>
    </row>
    <row r="18" spans="1:10" hidden="1" x14ac:dyDescent="0.3">
      <c r="A18" s="27">
        <v>44197</v>
      </c>
      <c r="B18">
        <v>47868.98</v>
      </c>
      <c r="C18">
        <v>47821.111020000004</v>
      </c>
      <c r="D18">
        <v>47916.848980000002</v>
      </c>
      <c r="E18" t="s">
        <v>175</v>
      </c>
      <c r="F18" t="s">
        <v>174</v>
      </c>
      <c r="G18" t="b">
        <f>E18=F18</f>
        <v>0</v>
      </c>
      <c r="H18" t="s">
        <v>175</v>
      </c>
      <c r="I18" s="18" t="s">
        <v>176</v>
      </c>
      <c r="J18" t="b">
        <f>Table4[[#This Row],[Column8]]=Table4[[#This Row],[Column9]]</f>
        <v>0</v>
      </c>
    </row>
    <row r="19" spans="1:10" hidden="1" x14ac:dyDescent="0.3">
      <c r="A19" s="27">
        <v>44200</v>
      </c>
      <c r="B19">
        <v>48176.800000000003</v>
      </c>
      <c r="C19">
        <v>48128.623200000002</v>
      </c>
      <c r="D19">
        <v>48224.976800000004</v>
      </c>
      <c r="E19" t="s">
        <v>175</v>
      </c>
      <c r="F19" t="s">
        <v>174</v>
      </c>
      <c r="G19" s="18" t="b">
        <f t="shared" ref="G19:G82" si="2">E19=F19</f>
        <v>0</v>
      </c>
      <c r="H19" t="s">
        <v>176</v>
      </c>
      <c r="I19" s="18" t="s">
        <v>176</v>
      </c>
      <c r="J19" t="b">
        <f>Table4[[#This Row],[Column8]]=Table4[[#This Row],[Column9]]</f>
        <v>1</v>
      </c>
    </row>
    <row r="20" spans="1:10" hidden="1" x14ac:dyDescent="0.3">
      <c r="A20" s="27">
        <v>44201</v>
      </c>
      <c r="B20">
        <v>48437.78</v>
      </c>
      <c r="C20">
        <v>48389.342219999999</v>
      </c>
      <c r="D20">
        <v>48486.217779999999</v>
      </c>
      <c r="E20" t="s">
        <v>175</v>
      </c>
      <c r="F20" t="s">
        <v>174</v>
      </c>
      <c r="G20" s="18" t="b">
        <f t="shared" si="2"/>
        <v>0</v>
      </c>
      <c r="H20" t="s">
        <v>175</v>
      </c>
      <c r="I20" s="18" t="s">
        <v>176</v>
      </c>
      <c r="J20" t="b">
        <f>Table4[[#This Row],[Column8]]=Table4[[#This Row],[Column9]]</f>
        <v>0</v>
      </c>
    </row>
    <row r="21" spans="1:10" hidden="1" x14ac:dyDescent="0.3">
      <c r="A21" s="27">
        <v>44202</v>
      </c>
      <c r="B21">
        <v>48174.06</v>
      </c>
      <c r="C21">
        <v>48125.88594</v>
      </c>
      <c r="D21">
        <v>48222.234059999995</v>
      </c>
      <c r="E21" t="s">
        <v>174</v>
      </c>
      <c r="F21" t="s">
        <v>174</v>
      </c>
      <c r="G21" s="18" t="b">
        <f t="shared" si="2"/>
        <v>1</v>
      </c>
      <c r="H21" t="s">
        <v>174</v>
      </c>
      <c r="I21" s="18" t="s">
        <v>176</v>
      </c>
      <c r="J21" t="b">
        <f>Table4[[#This Row],[Column8]]=Table4[[#This Row],[Column9]]</f>
        <v>0</v>
      </c>
    </row>
    <row r="22" spans="1:10" hidden="1" x14ac:dyDescent="0.3">
      <c r="A22" s="27">
        <v>44203</v>
      </c>
      <c r="B22">
        <v>48093.32</v>
      </c>
      <c r="C22">
        <v>48045.22668</v>
      </c>
      <c r="D22">
        <v>48141.41332</v>
      </c>
      <c r="E22" t="s">
        <v>174</v>
      </c>
      <c r="F22" t="s">
        <v>175</v>
      </c>
      <c r="G22" s="18" t="b">
        <f t="shared" si="2"/>
        <v>0</v>
      </c>
      <c r="H22" t="s">
        <v>174</v>
      </c>
      <c r="I22" s="18" t="s">
        <v>176</v>
      </c>
      <c r="J22" t="b">
        <f>Table4[[#This Row],[Column8]]=Table4[[#This Row],[Column9]]</f>
        <v>0</v>
      </c>
    </row>
    <row r="23" spans="1:10" hidden="1" x14ac:dyDescent="0.3">
      <c r="A23" s="27">
        <v>44204</v>
      </c>
      <c r="B23">
        <v>48782.51</v>
      </c>
      <c r="C23">
        <v>48733.727490000005</v>
      </c>
      <c r="D23">
        <v>48831.292509999999</v>
      </c>
      <c r="E23" t="s">
        <v>175</v>
      </c>
      <c r="F23" t="s">
        <v>176</v>
      </c>
      <c r="G23" s="18" t="b">
        <f t="shared" si="2"/>
        <v>0</v>
      </c>
      <c r="H23" t="s">
        <v>175</v>
      </c>
      <c r="I23" s="18" t="s">
        <v>175</v>
      </c>
      <c r="J23" t="b">
        <f>Table4[[#This Row],[Column8]]=Table4[[#This Row],[Column9]]</f>
        <v>1</v>
      </c>
    </row>
    <row r="24" spans="1:10" hidden="1" x14ac:dyDescent="0.3">
      <c r="A24" s="27">
        <v>44207</v>
      </c>
      <c r="B24">
        <v>49269.32</v>
      </c>
      <c r="C24">
        <v>49220.05068</v>
      </c>
      <c r="D24">
        <v>49318.589319999999</v>
      </c>
      <c r="E24" t="s">
        <v>175</v>
      </c>
      <c r="F24" t="s">
        <v>174</v>
      </c>
      <c r="G24" s="18" t="b">
        <f t="shared" si="2"/>
        <v>0</v>
      </c>
      <c r="H24" t="s">
        <v>174</v>
      </c>
      <c r="I24" s="18" t="s">
        <v>176</v>
      </c>
      <c r="J24" t="b">
        <f>Table4[[#This Row],[Column8]]=Table4[[#This Row],[Column9]]</f>
        <v>0</v>
      </c>
    </row>
    <row r="25" spans="1:10" hidden="1" x14ac:dyDescent="0.3">
      <c r="A25" s="27">
        <v>44208</v>
      </c>
      <c r="B25">
        <v>49517.11</v>
      </c>
      <c r="C25">
        <v>49467.59289</v>
      </c>
      <c r="D25">
        <v>49566.627110000001</v>
      </c>
      <c r="E25" t="s">
        <v>175</v>
      </c>
      <c r="F25" t="s">
        <v>174</v>
      </c>
      <c r="G25" s="18" t="b">
        <f t="shared" si="2"/>
        <v>0</v>
      </c>
      <c r="H25" t="s">
        <v>176</v>
      </c>
      <c r="I25" s="18" t="s">
        <v>176</v>
      </c>
      <c r="J25" t="b">
        <f>Table4[[#This Row],[Column8]]=Table4[[#This Row],[Column9]]</f>
        <v>1</v>
      </c>
    </row>
    <row r="26" spans="1:10" hidden="1" x14ac:dyDescent="0.3">
      <c r="A26" s="27">
        <v>44209</v>
      </c>
      <c r="B26">
        <v>49492.32</v>
      </c>
      <c r="C26">
        <v>49442.827680000002</v>
      </c>
      <c r="D26">
        <v>49541.812319999997</v>
      </c>
      <c r="E26" t="s">
        <v>176</v>
      </c>
      <c r="F26" t="s">
        <v>174</v>
      </c>
      <c r="G26" s="18" t="b">
        <f t="shared" si="2"/>
        <v>0</v>
      </c>
      <c r="H26" t="s">
        <v>176</v>
      </c>
      <c r="I26" s="18" t="s">
        <v>176</v>
      </c>
      <c r="J26" t="b">
        <f>Table4[[#This Row],[Column8]]=Table4[[#This Row],[Column9]]</f>
        <v>1</v>
      </c>
    </row>
    <row r="27" spans="1:10" x14ac:dyDescent="0.3">
      <c r="A27" s="27">
        <v>44210</v>
      </c>
      <c r="B27">
        <v>49584.160000000003</v>
      </c>
      <c r="C27">
        <v>49534.575840000005</v>
      </c>
      <c r="D27">
        <v>49633.744160000002</v>
      </c>
      <c r="E27" t="s">
        <v>175</v>
      </c>
      <c r="F27" t="s">
        <v>175</v>
      </c>
      <c r="G27" s="18" t="b">
        <f t="shared" si="2"/>
        <v>1</v>
      </c>
      <c r="H27" t="s">
        <v>176</v>
      </c>
      <c r="I27" s="18" t="s">
        <v>176</v>
      </c>
      <c r="J27" t="b">
        <f>Table4[[#This Row],[Column8]]=Table4[[#This Row],[Column9]]</f>
        <v>1</v>
      </c>
    </row>
    <row r="28" spans="1:10" hidden="1" x14ac:dyDescent="0.3">
      <c r="A28" s="27">
        <v>44211</v>
      </c>
      <c r="B28">
        <v>49034.67</v>
      </c>
      <c r="C28">
        <v>48985.635329999997</v>
      </c>
      <c r="D28">
        <v>49083.704669999999</v>
      </c>
      <c r="E28" t="s">
        <v>174</v>
      </c>
      <c r="F28" t="s">
        <v>175</v>
      </c>
      <c r="G28" s="18" t="b">
        <f t="shared" si="2"/>
        <v>0</v>
      </c>
      <c r="H28" t="s">
        <v>174</v>
      </c>
      <c r="I28" s="18" t="s">
        <v>174</v>
      </c>
      <c r="J28" t="b">
        <f>Table4[[#This Row],[Column8]]=Table4[[#This Row],[Column9]]</f>
        <v>1</v>
      </c>
    </row>
    <row r="29" spans="1:10" hidden="1" x14ac:dyDescent="0.3">
      <c r="A29" s="27">
        <v>44214</v>
      </c>
      <c r="B29">
        <v>48564.27</v>
      </c>
      <c r="C29">
        <v>48515.705729999994</v>
      </c>
      <c r="D29">
        <v>48612.834269999999</v>
      </c>
      <c r="E29" t="s">
        <v>174</v>
      </c>
      <c r="F29" t="s">
        <v>175</v>
      </c>
      <c r="G29" s="18" t="b">
        <f t="shared" si="2"/>
        <v>0</v>
      </c>
      <c r="H29" t="s">
        <v>175</v>
      </c>
      <c r="I29" s="18" t="s">
        <v>176</v>
      </c>
      <c r="J29" t="b">
        <f>Table4[[#This Row],[Column8]]=Table4[[#This Row],[Column9]]</f>
        <v>0</v>
      </c>
    </row>
    <row r="30" spans="1:10" x14ac:dyDescent="0.3">
      <c r="A30" s="27">
        <v>44215</v>
      </c>
      <c r="B30">
        <v>49398.29</v>
      </c>
      <c r="C30">
        <v>49348.891710000004</v>
      </c>
      <c r="D30">
        <v>49447.688289999998</v>
      </c>
      <c r="E30" t="s">
        <v>175</v>
      </c>
      <c r="F30" t="s">
        <v>175</v>
      </c>
      <c r="G30" s="18" t="b">
        <f t="shared" si="2"/>
        <v>1</v>
      </c>
      <c r="H30" t="s">
        <v>175</v>
      </c>
      <c r="I30" s="18" t="s">
        <v>175</v>
      </c>
      <c r="J30" t="b">
        <f>Table4[[#This Row],[Column8]]=Table4[[#This Row],[Column9]]</f>
        <v>1</v>
      </c>
    </row>
    <row r="31" spans="1:10" x14ac:dyDescent="0.3">
      <c r="A31" s="27">
        <v>44216</v>
      </c>
      <c r="B31">
        <v>49792.12</v>
      </c>
      <c r="C31">
        <v>49742.327880000004</v>
      </c>
      <c r="D31">
        <v>49841.912120000001</v>
      </c>
      <c r="E31" t="s">
        <v>175</v>
      </c>
      <c r="F31" t="s">
        <v>175</v>
      </c>
      <c r="G31" s="18" t="b">
        <f t="shared" si="2"/>
        <v>1</v>
      </c>
      <c r="H31" t="s">
        <v>175</v>
      </c>
      <c r="I31" s="18" t="s">
        <v>176</v>
      </c>
      <c r="J31" t="b">
        <f>Table4[[#This Row],[Column8]]=Table4[[#This Row],[Column9]]</f>
        <v>0</v>
      </c>
    </row>
    <row r="32" spans="1:10" hidden="1" x14ac:dyDescent="0.3">
      <c r="A32" s="27">
        <v>44217</v>
      </c>
      <c r="B32">
        <v>49624.76</v>
      </c>
      <c r="C32">
        <v>49575.135240000003</v>
      </c>
      <c r="D32">
        <v>49674.384760000001</v>
      </c>
      <c r="E32" t="s">
        <v>174</v>
      </c>
      <c r="F32" t="s">
        <v>175</v>
      </c>
      <c r="G32" s="18" t="b">
        <f t="shared" si="2"/>
        <v>0</v>
      </c>
      <c r="H32" t="s">
        <v>175</v>
      </c>
      <c r="I32" s="18" t="s">
        <v>176</v>
      </c>
      <c r="J32" t="b">
        <f>Table4[[#This Row],[Column8]]=Table4[[#This Row],[Column9]]</f>
        <v>0</v>
      </c>
    </row>
    <row r="33" spans="1:10" hidden="1" x14ac:dyDescent="0.3">
      <c r="A33" s="27">
        <v>44218</v>
      </c>
      <c r="B33">
        <v>48878.54</v>
      </c>
      <c r="C33">
        <v>48829.661460000003</v>
      </c>
      <c r="D33">
        <v>48927.418539999999</v>
      </c>
      <c r="E33" t="s">
        <v>174</v>
      </c>
      <c r="F33" t="s">
        <v>175</v>
      </c>
      <c r="G33" s="18" t="b">
        <f t="shared" si="2"/>
        <v>0</v>
      </c>
      <c r="H33" t="s">
        <v>175</v>
      </c>
      <c r="I33" s="18" t="s">
        <v>174</v>
      </c>
      <c r="J33" t="b">
        <f>Table4[[#This Row],[Column8]]=Table4[[#This Row],[Column9]]</f>
        <v>0</v>
      </c>
    </row>
    <row r="34" spans="1:10" hidden="1" x14ac:dyDescent="0.3">
      <c r="A34" s="27">
        <v>44221</v>
      </c>
      <c r="B34">
        <v>48347.59</v>
      </c>
      <c r="C34">
        <v>48299.242409999999</v>
      </c>
      <c r="D34">
        <v>48395.937589999994</v>
      </c>
      <c r="E34" t="s">
        <v>174</v>
      </c>
      <c r="F34" t="s">
        <v>175</v>
      </c>
      <c r="G34" s="18" t="b">
        <f t="shared" si="2"/>
        <v>0</v>
      </c>
      <c r="H34" t="s">
        <v>176</v>
      </c>
      <c r="I34" s="18" t="s">
        <v>174</v>
      </c>
      <c r="J34" t="b">
        <f>Table4[[#This Row],[Column8]]=Table4[[#This Row],[Column9]]</f>
        <v>0</v>
      </c>
    </row>
    <row r="35" spans="1:10" hidden="1" x14ac:dyDescent="0.3">
      <c r="A35" s="27">
        <v>44223</v>
      </c>
      <c r="B35">
        <v>47409.93</v>
      </c>
      <c r="C35">
        <v>47362.520069999999</v>
      </c>
      <c r="D35">
        <v>47457.339930000002</v>
      </c>
      <c r="E35" t="s">
        <v>174</v>
      </c>
      <c r="F35" t="s">
        <v>175</v>
      </c>
      <c r="G35" s="18" t="b">
        <f t="shared" si="2"/>
        <v>0</v>
      </c>
      <c r="H35" t="s">
        <v>176</v>
      </c>
      <c r="I35" s="18" t="s">
        <v>174</v>
      </c>
      <c r="J35" t="b">
        <f>Table4[[#This Row],[Column8]]=Table4[[#This Row],[Column9]]</f>
        <v>0</v>
      </c>
    </row>
    <row r="36" spans="1:10" hidden="1" x14ac:dyDescent="0.3">
      <c r="A36" s="27">
        <v>44224</v>
      </c>
      <c r="B36">
        <v>46874.36</v>
      </c>
      <c r="C36">
        <v>46827.485639999999</v>
      </c>
      <c r="D36">
        <v>46921.234360000002</v>
      </c>
      <c r="E36" t="s">
        <v>174</v>
      </c>
      <c r="F36" t="s">
        <v>174</v>
      </c>
      <c r="G36" s="18" t="b">
        <f t="shared" si="2"/>
        <v>1</v>
      </c>
      <c r="H36" t="s">
        <v>176</v>
      </c>
      <c r="I36" s="18" t="s">
        <v>174</v>
      </c>
      <c r="J36" t="b">
        <f>Table4[[#This Row],[Column8]]=Table4[[#This Row],[Column9]]</f>
        <v>0</v>
      </c>
    </row>
    <row r="37" spans="1:10" hidden="1" x14ac:dyDescent="0.3">
      <c r="A37" s="27">
        <v>44225</v>
      </c>
      <c r="B37">
        <v>46285.77</v>
      </c>
      <c r="C37">
        <v>46239.484229999995</v>
      </c>
      <c r="D37">
        <v>46332.055769999999</v>
      </c>
      <c r="E37" t="s">
        <v>174</v>
      </c>
      <c r="F37" s="18" t="s">
        <v>175</v>
      </c>
      <c r="G37" s="18" t="b">
        <f t="shared" si="2"/>
        <v>0</v>
      </c>
      <c r="H37" t="s">
        <v>176</v>
      </c>
      <c r="I37" s="18" t="s">
        <v>174</v>
      </c>
      <c r="J37" t="b">
        <f>Table4[[#This Row],[Column8]]=Table4[[#This Row],[Column9]]</f>
        <v>0</v>
      </c>
    </row>
    <row r="38" spans="1:10" hidden="1" x14ac:dyDescent="0.3">
      <c r="A38" s="27">
        <v>44228</v>
      </c>
      <c r="B38">
        <v>48600.61</v>
      </c>
      <c r="C38">
        <v>48552.009389999999</v>
      </c>
      <c r="D38">
        <v>48649.210610000002</v>
      </c>
      <c r="E38" t="s">
        <v>175</v>
      </c>
      <c r="F38" s="18" t="s">
        <v>174</v>
      </c>
      <c r="G38" s="18" t="b">
        <f t="shared" si="2"/>
        <v>0</v>
      </c>
      <c r="H38" t="s">
        <v>176</v>
      </c>
      <c r="I38" s="18" t="s">
        <v>175</v>
      </c>
      <c r="J38" t="b">
        <f>Table4[[#This Row],[Column8]]=Table4[[#This Row],[Column9]]</f>
        <v>0</v>
      </c>
    </row>
    <row r="39" spans="1:10" hidden="1" x14ac:dyDescent="0.3">
      <c r="A39" s="27">
        <v>44229</v>
      </c>
      <c r="B39">
        <v>49797.72</v>
      </c>
      <c r="C39">
        <v>49747.922279999999</v>
      </c>
      <c r="D39">
        <v>49847.517720000003</v>
      </c>
      <c r="E39" t="s">
        <v>175</v>
      </c>
      <c r="F39" t="s">
        <v>174</v>
      </c>
      <c r="G39" s="18" t="b">
        <f t="shared" si="2"/>
        <v>0</v>
      </c>
      <c r="H39" t="s">
        <v>175</v>
      </c>
      <c r="I39" s="18" t="s">
        <v>175</v>
      </c>
      <c r="J39" t="b">
        <f>Table4[[#This Row],[Column8]]=Table4[[#This Row],[Column9]]</f>
        <v>1</v>
      </c>
    </row>
    <row r="40" spans="1:10" x14ac:dyDescent="0.3">
      <c r="A40" s="27">
        <v>44230</v>
      </c>
      <c r="B40">
        <v>50255.75</v>
      </c>
      <c r="C40">
        <v>50205.494250000003</v>
      </c>
      <c r="D40">
        <v>50306.005749999997</v>
      </c>
      <c r="E40" t="s">
        <v>175</v>
      </c>
      <c r="F40" t="s">
        <v>175</v>
      </c>
      <c r="G40" s="18" t="b">
        <f t="shared" si="2"/>
        <v>1</v>
      </c>
      <c r="H40" t="s">
        <v>174</v>
      </c>
      <c r="I40" s="18" t="s">
        <v>176</v>
      </c>
      <c r="J40" t="b">
        <f>Table4[[#This Row],[Column8]]=Table4[[#This Row],[Column9]]</f>
        <v>0</v>
      </c>
    </row>
    <row r="41" spans="1:10" x14ac:dyDescent="0.3">
      <c r="A41" s="27">
        <v>44231</v>
      </c>
      <c r="B41">
        <v>50614.29</v>
      </c>
      <c r="C41">
        <v>50563.675710000003</v>
      </c>
      <c r="D41">
        <v>50664.904289999999</v>
      </c>
      <c r="E41" t="s">
        <v>175</v>
      </c>
      <c r="F41" t="s">
        <v>175</v>
      </c>
      <c r="G41" s="18" t="b">
        <f t="shared" si="2"/>
        <v>1</v>
      </c>
      <c r="H41" t="s">
        <v>176</v>
      </c>
      <c r="I41" s="18" t="s">
        <v>176</v>
      </c>
      <c r="J41" t="b">
        <f>Table4[[#This Row],[Column8]]=Table4[[#This Row],[Column9]]</f>
        <v>1</v>
      </c>
    </row>
    <row r="42" spans="1:10" x14ac:dyDescent="0.3">
      <c r="A42" s="27">
        <v>44232</v>
      </c>
      <c r="B42">
        <v>50731.63</v>
      </c>
      <c r="C42">
        <v>50680.898369999995</v>
      </c>
      <c r="D42">
        <v>50782.361629999999</v>
      </c>
      <c r="E42" t="s">
        <v>175</v>
      </c>
      <c r="F42" t="s">
        <v>175</v>
      </c>
      <c r="G42" s="18" t="b">
        <f t="shared" si="2"/>
        <v>1</v>
      </c>
      <c r="H42" t="s">
        <v>176</v>
      </c>
      <c r="I42" s="18" t="s">
        <v>176</v>
      </c>
      <c r="J42" t="b">
        <f>Table4[[#This Row],[Column8]]=Table4[[#This Row],[Column9]]</f>
        <v>1</v>
      </c>
    </row>
    <row r="43" spans="1:10" hidden="1" x14ac:dyDescent="0.3">
      <c r="A43" s="27">
        <v>44235</v>
      </c>
      <c r="B43">
        <v>51348.77</v>
      </c>
      <c r="C43">
        <v>51297.42123</v>
      </c>
      <c r="D43">
        <v>51400.118769999994</v>
      </c>
      <c r="E43" t="s">
        <v>175</v>
      </c>
      <c r="F43" t="s">
        <v>174</v>
      </c>
      <c r="G43" s="18" t="b">
        <f t="shared" si="2"/>
        <v>0</v>
      </c>
      <c r="H43" t="s">
        <v>175</v>
      </c>
      <c r="I43" s="18" t="s">
        <v>175</v>
      </c>
      <c r="J43" t="b">
        <f>Table4[[#This Row],[Column8]]=Table4[[#This Row],[Column9]]</f>
        <v>1</v>
      </c>
    </row>
    <row r="44" spans="1:10" hidden="1" x14ac:dyDescent="0.3">
      <c r="A44" s="27">
        <v>44236</v>
      </c>
      <c r="B44">
        <v>51329.08</v>
      </c>
      <c r="C44">
        <v>51277.750919999999</v>
      </c>
      <c r="D44">
        <v>51380.409080000005</v>
      </c>
      <c r="E44" t="s">
        <v>176</v>
      </c>
      <c r="F44" t="s">
        <v>174</v>
      </c>
      <c r="G44" s="18" t="b">
        <f t="shared" si="2"/>
        <v>0</v>
      </c>
      <c r="H44" t="s">
        <v>176</v>
      </c>
      <c r="I44" s="18" t="s">
        <v>176</v>
      </c>
      <c r="J44" t="b">
        <f>Table4[[#This Row],[Column8]]=Table4[[#This Row],[Column9]]</f>
        <v>1</v>
      </c>
    </row>
    <row r="45" spans="1:10" hidden="1" x14ac:dyDescent="0.3">
      <c r="A45" s="27">
        <v>44237</v>
      </c>
      <c r="B45">
        <v>51309.39</v>
      </c>
      <c r="C45">
        <v>51258.080609999997</v>
      </c>
      <c r="D45">
        <v>51360.699390000002</v>
      </c>
      <c r="E45" t="s">
        <v>176</v>
      </c>
      <c r="F45" t="s">
        <v>174</v>
      </c>
      <c r="G45" s="18" t="b">
        <f t="shared" si="2"/>
        <v>0</v>
      </c>
      <c r="H45" s="18" t="s">
        <v>176</v>
      </c>
      <c r="I45" s="18" t="s">
        <v>176</v>
      </c>
      <c r="J45" t="b">
        <f>Table4[[#This Row],[Column8]]=Table4[[#This Row],[Column9]]</f>
        <v>1</v>
      </c>
    </row>
    <row r="46" spans="1:10" hidden="1" x14ac:dyDescent="0.3">
      <c r="A46" s="27">
        <v>44238</v>
      </c>
      <c r="B46">
        <v>51531.519999999997</v>
      </c>
      <c r="C46">
        <v>51479.98848</v>
      </c>
      <c r="D46">
        <v>51583.051519999994</v>
      </c>
      <c r="E46" t="s">
        <v>175</v>
      </c>
      <c r="F46" t="s">
        <v>174</v>
      </c>
      <c r="G46" s="18" t="b">
        <f t="shared" si="2"/>
        <v>0</v>
      </c>
      <c r="H46" s="18" t="s">
        <v>176</v>
      </c>
      <c r="I46" s="18" t="s">
        <v>176</v>
      </c>
      <c r="J46" t="b">
        <f>Table4[[#This Row],[Column8]]=Table4[[#This Row],[Column9]]</f>
        <v>1</v>
      </c>
    </row>
    <row r="47" spans="1:10" hidden="1" x14ac:dyDescent="0.3">
      <c r="A47" s="27">
        <v>44239</v>
      </c>
      <c r="B47">
        <v>51544.3</v>
      </c>
      <c r="C47">
        <v>51492.755700000002</v>
      </c>
      <c r="D47">
        <v>51595.844300000004</v>
      </c>
      <c r="E47" t="s">
        <v>176</v>
      </c>
      <c r="F47" t="s">
        <v>174</v>
      </c>
      <c r="G47" s="18" t="b">
        <f t="shared" si="2"/>
        <v>0</v>
      </c>
      <c r="H47" t="s">
        <v>176</v>
      </c>
      <c r="I47" s="18" t="s">
        <v>176</v>
      </c>
      <c r="J47" t="b">
        <f>Table4[[#This Row],[Column8]]=Table4[[#This Row],[Column9]]</f>
        <v>1</v>
      </c>
    </row>
    <row r="48" spans="1:10" hidden="1" x14ac:dyDescent="0.3">
      <c r="A48" s="27">
        <v>44242</v>
      </c>
      <c r="B48">
        <v>52154.13</v>
      </c>
      <c r="C48">
        <v>52101.975869999995</v>
      </c>
      <c r="D48">
        <v>52206.28413</v>
      </c>
      <c r="E48" t="s">
        <v>175</v>
      </c>
      <c r="F48" t="s">
        <v>174</v>
      </c>
      <c r="G48" s="18" t="b">
        <f t="shared" si="2"/>
        <v>0</v>
      </c>
      <c r="H48" t="s">
        <v>176</v>
      </c>
      <c r="I48" s="18" t="s">
        <v>175</v>
      </c>
      <c r="J48" t="b">
        <f>Table4[[#This Row],[Column8]]=Table4[[#This Row],[Column9]]</f>
        <v>0</v>
      </c>
    </row>
    <row r="49" spans="1:10" hidden="1" x14ac:dyDescent="0.3">
      <c r="A49" s="27">
        <v>44243</v>
      </c>
      <c r="B49">
        <v>52104.17</v>
      </c>
      <c r="C49">
        <v>52052.06583</v>
      </c>
      <c r="D49">
        <v>52156.274169999997</v>
      </c>
      <c r="E49" t="s">
        <v>176</v>
      </c>
      <c r="F49" t="s">
        <v>175</v>
      </c>
      <c r="G49" s="18" t="b">
        <f t="shared" si="2"/>
        <v>0</v>
      </c>
      <c r="H49" t="s">
        <v>176</v>
      </c>
      <c r="I49" s="18" t="s">
        <v>176</v>
      </c>
      <c r="J49" t="b">
        <f>Table4[[#This Row],[Column8]]=Table4[[#This Row],[Column9]]</f>
        <v>1</v>
      </c>
    </row>
    <row r="50" spans="1:10" hidden="1" x14ac:dyDescent="0.3">
      <c r="A50" s="27">
        <v>44244</v>
      </c>
      <c r="B50">
        <v>51703.83</v>
      </c>
      <c r="C50">
        <v>51652.126170000003</v>
      </c>
      <c r="D50">
        <v>51755.53383</v>
      </c>
      <c r="E50" t="s">
        <v>174</v>
      </c>
      <c r="F50" t="s">
        <v>174</v>
      </c>
      <c r="G50" s="18" t="b">
        <f t="shared" si="2"/>
        <v>1</v>
      </c>
      <c r="H50" t="s">
        <v>176</v>
      </c>
      <c r="I50" s="18" t="s">
        <v>176</v>
      </c>
      <c r="J50" t="b">
        <f>Table4[[#This Row],[Column8]]=Table4[[#This Row],[Column9]]</f>
        <v>1</v>
      </c>
    </row>
    <row r="51" spans="1:10" hidden="1" x14ac:dyDescent="0.3">
      <c r="A51" s="27">
        <v>44245</v>
      </c>
      <c r="B51">
        <v>51324.69</v>
      </c>
      <c r="C51">
        <v>51273.365310000001</v>
      </c>
      <c r="D51">
        <v>51376.014690000004</v>
      </c>
      <c r="E51" t="s">
        <v>174</v>
      </c>
      <c r="F51" t="s">
        <v>175</v>
      </c>
      <c r="G51" s="18" t="b">
        <f t="shared" si="2"/>
        <v>0</v>
      </c>
      <c r="H51" t="s">
        <v>176</v>
      </c>
      <c r="I51" s="18" t="s">
        <v>176</v>
      </c>
      <c r="J51" t="b">
        <f>Table4[[#This Row],[Column8]]=Table4[[#This Row],[Column9]]</f>
        <v>1</v>
      </c>
    </row>
    <row r="52" spans="1:10" hidden="1" x14ac:dyDescent="0.3">
      <c r="A52" s="27">
        <v>44246</v>
      </c>
      <c r="B52">
        <v>50889.760000000002</v>
      </c>
      <c r="C52">
        <v>50838.870240000004</v>
      </c>
      <c r="D52">
        <v>50940.64976</v>
      </c>
      <c r="E52" t="s">
        <v>174</v>
      </c>
      <c r="F52" t="s">
        <v>174</v>
      </c>
      <c r="G52" s="18" t="b">
        <f t="shared" si="2"/>
        <v>1</v>
      </c>
      <c r="H52" t="s">
        <v>176</v>
      </c>
      <c r="I52" s="18" t="s">
        <v>176</v>
      </c>
      <c r="J52" t="b">
        <f>Table4[[#This Row],[Column8]]=Table4[[#This Row],[Column9]]</f>
        <v>1</v>
      </c>
    </row>
    <row r="53" spans="1:10" hidden="1" x14ac:dyDescent="0.3">
      <c r="A53" s="27">
        <v>44249</v>
      </c>
      <c r="B53">
        <v>49744.32</v>
      </c>
      <c r="C53">
        <v>49694.575680000002</v>
      </c>
      <c r="D53">
        <v>49794.064319999998</v>
      </c>
      <c r="E53" t="s">
        <v>174</v>
      </c>
      <c r="F53" t="s">
        <v>174</v>
      </c>
      <c r="G53" s="18" t="b">
        <f t="shared" si="2"/>
        <v>1</v>
      </c>
      <c r="H53" t="s">
        <v>174</v>
      </c>
      <c r="I53" s="18" t="s">
        <v>174</v>
      </c>
      <c r="J53" t="b">
        <f>Table4[[#This Row],[Column8]]=Table4[[#This Row],[Column9]]</f>
        <v>1</v>
      </c>
    </row>
    <row r="54" spans="1:10" hidden="1" x14ac:dyDescent="0.3">
      <c r="A54" s="27">
        <v>44250</v>
      </c>
      <c r="B54">
        <v>49751.41</v>
      </c>
      <c r="C54">
        <v>49701.658590000006</v>
      </c>
      <c r="D54">
        <v>49801.161410000001</v>
      </c>
      <c r="E54" t="s">
        <v>176</v>
      </c>
      <c r="F54" t="s">
        <v>175</v>
      </c>
      <c r="G54" s="18" t="b">
        <f t="shared" si="2"/>
        <v>0</v>
      </c>
      <c r="H54" t="s">
        <v>176</v>
      </c>
      <c r="I54" s="18" t="s">
        <v>176</v>
      </c>
      <c r="J54" t="b">
        <f>Table4[[#This Row],[Column8]]=Table4[[#This Row],[Column9]]</f>
        <v>1</v>
      </c>
    </row>
    <row r="55" spans="1:10" x14ac:dyDescent="0.3">
      <c r="A55" s="27">
        <v>44251</v>
      </c>
      <c r="B55">
        <v>50781.69</v>
      </c>
      <c r="C55">
        <v>50730.908309999999</v>
      </c>
      <c r="D55">
        <v>50832.471690000006</v>
      </c>
      <c r="E55" t="s">
        <v>175</v>
      </c>
      <c r="F55" t="s">
        <v>175</v>
      </c>
      <c r="G55" s="18" t="b">
        <f t="shared" si="2"/>
        <v>1</v>
      </c>
      <c r="H55" t="s">
        <v>176</v>
      </c>
      <c r="I55" s="18" t="s">
        <v>175</v>
      </c>
      <c r="J55" t="b">
        <f>Table4[[#This Row],[Column8]]=Table4[[#This Row],[Column9]]</f>
        <v>0</v>
      </c>
    </row>
    <row r="56" spans="1:10" hidden="1" x14ac:dyDescent="0.3">
      <c r="A56" s="27">
        <v>44252</v>
      </c>
      <c r="B56">
        <v>51039.31</v>
      </c>
      <c r="C56">
        <v>50988.270689999998</v>
      </c>
      <c r="D56">
        <v>51090.349309999998</v>
      </c>
      <c r="E56" t="s">
        <v>175</v>
      </c>
      <c r="F56" t="s">
        <v>176</v>
      </c>
      <c r="G56" s="18" t="b">
        <f t="shared" si="2"/>
        <v>0</v>
      </c>
      <c r="H56" t="s">
        <v>176</v>
      </c>
      <c r="I56" s="18" t="s">
        <v>176</v>
      </c>
      <c r="J56" t="b">
        <f>Table4[[#This Row],[Column8]]=Table4[[#This Row],[Column9]]</f>
        <v>1</v>
      </c>
    </row>
    <row r="57" spans="1:10" hidden="1" x14ac:dyDescent="0.3">
      <c r="A57" s="27">
        <v>44253</v>
      </c>
      <c r="B57">
        <v>49099.99</v>
      </c>
      <c r="C57">
        <v>49050.890009999996</v>
      </c>
      <c r="D57">
        <v>49149.08999</v>
      </c>
      <c r="E57" t="s">
        <v>174</v>
      </c>
      <c r="F57" t="s">
        <v>175</v>
      </c>
      <c r="G57" s="18" t="b">
        <f t="shared" si="2"/>
        <v>0</v>
      </c>
      <c r="H57" t="s">
        <v>176</v>
      </c>
      <c r="I57" s="18" t="s">
        <v>174</v>
      </c>
      <c r="J57" t="b">
        <f>Table4[[#This Row],[Column8]]=Table4[[#This Row],[Column9]]</f>
        <v>0</v>
      </c>
    </row>
    <row r="58" spans="1:10" x14ac:dyDescent="0.3">
      <c r="A58" s="27">
        <v>44256</v>
      </c>
      <c r="B58">
        <v>49849.84</v>
      </c>
      <c r="C58">
        <v>49799.990159999994</v>
      </c>
      <c r="D58">
        <v>49899.689839999999</v>
      </c>
      <c r="E58" t="s">
        <v>175</v>
      </c>
      <c r="F58" t="s">
        <v>175</v>
      </c>
      <c r="G58" s="18" t="b">
        <f t="shared" si="2"/>
        <v>1</v>
      </c>
      <c r="H58" t="s">
        <v>174</v>
      </c>
      <c r="I58" s="18" t="s">
        <v>175</v>
      </c>
      <c r="J58" t="b">
        <f>Table4[[#This Row],[Column8]]=Table4[[#This Row],[Column9]]</f>
        <v>0</v>
      </c>
    </row>
    <row r="59" spans="1:10" hidden="1" x14ac:dyDescent="0.3">
      <c r="A59" s="27">
        <v>44257</v>
      </c>
      <c r="B59">
        <v>50296.89</v>
      </c>
      <c r="C59">
        <v>50246.593110000002</v>
      </c>
      <c r="D59">
        <v>50347.186889999997</v>
      </c>
      <c r="E59" t="s">
        <v>175</v>
      </c>
      <c r="F59" t="s">
        <v>176</v>
      </c>
      <c r="G59" s="18" t="b">
        <f t="shared" si="2"/>
        <v>0</v>
      </c>
      <c r="H59" t="s">
        <v>176</v>
      </c>
      <c r="I59" s="18" t="s">
        <v>176</v>
      </c>
      <c r="J59" t="b">
        <f>Table4[[#This Row],[Column8]]=Table4[[#This Row],[Column9]]</f>
        <v>1</v>
      </c>
    </row>
    <row r="60" spans="1:10" hidden="1" x14ac:dyDescent="0.3">
      <c r="A60" s="27">
        <v>44258</v>
      </c>
      <c r="B60">
        <v>51444.65</v>
      </c>
      <c r="C60">
        <v>51393.205350000004</v>
      </c>
      <c r="D60">
        <v>51496.094649999999</v>
      </c>
      <c r="E60" t="s">
        <v>175</v>
      </c>
      <c r="F60" t="s">
        <v>174</v>
      </c>
      <c r="G60" s="18" t="b">
        <f t="shared" si="2"/>
        <v>0</v>
      </c>
      <c r="H60" t="s">
        <v>175</v>
      </c>
      <c r="I60" s="18" t="s">
        <v>175</v>
      </c>
      <c r="J60" t="b">
        <f>Table4[[#This Row],[Column8]]=Table4[[#This Row],[Column9]]</f>
        <v>1</v>
      </c>
    </row>
    <row r="61" spans="1:10" hidden="1" x14ac:dyDescent="0.3">
      <c r="A61" s="27">
        <v>44259</v>
      </c>
      <c r="B61">
        <v>50846.080000000002</v>
      </c>
      <c r="C61">
        <v>50795.233919999999</v>
      </c>
      <c r="D61">
        <v>50896.926080000005</v>
      </c>
      <c r="E61" t="s">
        <v>174</v>
      </c>
      <c r="F61" t="s">
        <v>176</v>
      </c>
      <c r="G61" s="18" t="b">
        <f t="shared" si="2"/>
        <v>0</v>
      </c>
      <c r="H61" t="s">
        <v>176</v>
      </c>
      <c r="I61" s="18" t="s">
        <v>174</v>
      </c>
      <c r="J61" t="b">
        <f>Table4[[#This Row],[Column8]]=Table4[[#This Row],[Column9]]</f>
        <v>0</v>
      </c>
    </row>
    <row r="62" spans="1:10" hidden="1" x14ac:dyDescent="0.3">
      <c r="A62" s="27">
        <v>44260</v>
      </c>
      <c r="B62">
        <v>50405.32</v>
      </c>
      <c r="C62">
        <v>50354.914680000002</v>
      </c>
      <c r="D62">
        <v>50455.725319999998</v>
      </c>
      <c r="E62" t="s">
        <v>174</v>
      </c>
      <c r="F62" t="s">
        <v>174</v>
      </c>
      <c r="G62" s="18" t="b">
        <f t="shared" si="2"/>
        <v>1</v>
      </c>
      <c r="H62" t="s">
        <v>175</v>
      </c>
      <c r="I62" s="18" t="s">
        <v>176</v>
      </c>
      <c r="J62" t="b">
        <f>Table4[[#This Row],[Column8]]=Table4[[#This Row],[Column9]]</f>
        <v>0</v>
      </c>
    </row>
    <row r="63" spans="1:10" hidden="1" x14ac:dyDescent="0.3">
      <c r="A63" s="27">
        <v>44263</v>
      </c>
      <c r="B63">
        <v>50441.07</v>
      </c>
      <c r="C63">
        <v>50390.628929999999</v>
      </c>
      <c r="D63">
        <v>50491.51107</v>
      </c>
      <c r="E63" t="s">
        <v>176</v>
      </c>
      <c r="F63" t="s">
        <v>176</v>
      </c>
      <c r="G63" s="18" t="b">
        <f t="shared" si="2"/>
        <v>1</v>
      </c>
      <c r="H63" t="s">
        <v>176</v>
      </c>
      <c r="I63" s="18" t="s">
        <v>176</v>
      </c>
      <c r="J63" t="b">
        <f>Table4[[#This Row],[Column8]]=Table4[[#This Row],[Column9]]</f>
        <v>1</v>
      </c>
    </row>
    <row r="64" spans="1:10" hidden="1" x14ac:dyDescent="0.3">
      <c r="A64" s="27">
        <v>44264</v>
      </c>
      <c r="B64">
        <v>51025.48</v>
      </c>
      <c r="C64">
        <v>50974.454520000007</v>
      </c>
      <c r="D64">
        <v>51076.50548</v>
      </c>
      <c r="E64" t="s">
        <v>175</v>
      </c>
      <c r="F64" t="s">
        <v>176</v>
      </c>
      <c r="G64" s="18" t="b">
        <f t="shared" si="2"/>
        <v>0</v>
      </c>
      <c r="H64" t="s">
        <v>176</v>
      </c>
      <c r="I64" s="18" t="s">
        <v>175</v>
      </c>
      <c r="J64" t="b">
        <f>Table4[[#This Row],[Column8]]=Table4[[#This Row],[Column9]]</f>
        <v>0</v>
      </c>
    </row>
    <row r="65" spans="1:10" hidden="1" x14ac:dyDescent="0.3">
      <c r="A65" s="27">
        <v>44265</v>
      </c>
      <c r="B65">
        <v>51279.51</v>
      </c>
      <c r="C65">
        <v>51228.230490000002</v>
      </c>
      <c r="D65">
        <v>51330.789510000002</v>
      </c>
      <c r="E65" t="s">
        <v>175</v>
      </c>
      <c r="F65" t="s">
        <v>174</v>
      </c>
      <c r="G65" s="18" t="b">
        <f t="shared" si="2"/>
        <v>0</v>
      </c>
      <c r="H65" t="s">
        <v>175</v>
      </c>
      <c r="I65" s="18" t="s">
        <v>176</v>
      </c>
      <c r="J65" t="b">
        <f>Table4[[#This Row],[Column8]]=Table4[[#This Row],[Column9]]</f>
        <v>0</v>
      </c>
    </row>
    <row r="66" spans="1:10" hidden="1" x14ac:dyDescent="0.3">
      <c r="A66" s="27">
        <v>44267</v>
      </c>
      <c r="B66">
        <v>50792.08</v>
      </c>
      <c r="C66">
        <v>50741.287920000002</v>
      </c>
      <c r="D66">
        <v>50842.872080000001</v>
      </c>
      <c r="E66" t="s">
        <v>174</v>
      </c>
      <c r="F66" s="18" t="s">
        <v>176</v>
      </c>
      <c r="G66" s="18" t="b">
        <f t="shared" si="2"/>
        <v>0</v>
      </c>
      <c r="H66" t="s">
        <v>176</v>
      </c>
      <c r="I66" s="18" t="s">
        <v>176</v>
      </c>
      <c r="J66" t="b">
        <f>Table4[[#This Row],[Column8]]=Table4[[#This Row],[Column9]]</f>
        <v>1</v>
      </c>
    </row>
    <row r="67" spans="1:10" hidden="1" x14ac:dyDescent="0.3">
      <c r="A67" s="27">
        <v>44270</v>
      </c>
      <c r="B67">
        <v>50395.08</v>
      </c>
      <c r="C67">
        <v>50344.68492</v>
      </c>
      <c r="D67">
        <v>50445.475080000004</v>
      </c>
      <c r="E67" t="s">
        <v>174</v>
      </c>
      <c r="F67" s="18" t="s">
        <v>176</v>
      </c>
      <c r="G67" s="18" t="b">
        <f t="shared" si="2"/>
        <v>0</v>
      </c>
      <c r="H67" t="s">
        <v>176</v>
      </c>
      <c r="I67" s="18" t="s">
        <v>176</v>
      </c>
      <c r="J67" t="b">
        <f>Table4[[#This Row],[Column8]]=Table4[[#This Row],[Column9]]</f>
        <v>1</v>
      </c>
    </row>
    <row r="68" spans="1:10" hidden="1" x14ac:dyDescent="0.3">
      <c r="A68" s="27">
        <v>44271</v>
      </c>
      <c r="B68">
        <v>50363.96</v>
      </c>
      <c r="C68">
        <v>50313.596039999997</v>
      </c>
      <c r="D68">
        <v>50414.323960000002</v>
      </c>
      <c r="E68" t="s">
        <v>176</v>
      </c>
      <c r="F68" t="s">
        <v>174</v>
      </c>
      <c r="G68" s="18" t="b">
        <f t="shared" si="2"/>
        <v>0</v>
      </c>
      <c r="H68" t="s">
        <v>175</v>
      </c>
      <c r="I68" s="18" t="s">
        <v>176</v>
      </c>
      <c r="J68" t="b">
        <f>Table4[[#This Row],[Column8]]=Table4[[#This Row],[Column9]]</f>
        <v>0</v>
      </c>
    </row>
    <row r="69" spans="1:10" hidden="1" x14ac:dyDescent="0.3">
      <c r="A69" s="27">
        <v>44272</v>
      </c>
      <c r="B69">
        <v>49801.62</v>
      </c>
      <c r="C69">
        <v>49751.818380000004</v>
      </c>
      <c r="D69">
        <v>49851.421620000001</v>
      </c>
      <c r="E69" t="s">
        <v>174</v>
      </c>
      <c r="F69" t="s">
        <v>176</v>
      </c>
      <c r="G69" s="18" t="b">
        <f t="shared" si="2"/>
        <v>0</v>
      </c>
      <c r="H69" t="s">
        <v>175</v>
      </c>
      <c r="I69" s="18" t="s">
        <v>174</v>
      </c>
      <c r="J69" t="b">
        <f>Table4[[#This Row],[Column8]]=Table4[[#This Row],[Column9]]</f>
        <v>0</v>
      </c>
    </row>
    <row r="70" spans="1:10" hidden="1" x14ac:dyDescent="0.3">
      <c r="A70" s="27">
        <v>44273</v>
      </c>
      <c r="B70">
        <v>49216.52</v>
      </c>
      <c r="C70">
        <v>49167.303479999995</v>
      </c>
      <c r="D70">
        <v>49265.736519999999</v>
      </c>
      <c r="E70" t="s">
        <v>174</v>
      </c>
      <c r="F70" t="s">
        <v>176</v>
      </c>
      <c r="G70" s="18" t="b">
        <f t="shared" si="2"/>
        <v>0</v>
      </c>
      <c r="H70" t="s">
        <v>175</v>
      </c>
      <c r="I70" s="18" t="s">
        <v>174</v>
      </c>
      <c r="J70" t="b">
        <f>Table4[[#This Row],[Column8]]=Table4[[#This Row],[Column9]]</f>
        <v>0</v>
      </c>
    </row>
    <row r="71" spans="1:10" x14ac:dyDescent="0.3">
      <c r="A71" s="27">
        <v>44274</v>
      </c>
      <c r="B71">
        <v>49858.239999999998</v>
      </c>
      <c r="C71">
        <v>49808.381759999997</v>
      </c>
      <c r="D71">
        <v>49908.098239999999</v>
      </c>
      <c r="E71" t="s">
        <v>175</v>
      </c>
      <c r="F71" t="s">
        <v>175</v>
      </c>
      <c r="G71" s="18" t="b">
        <f t="shared" si="2"/>
        <v>1</v>
      </c>
      <c r="H71" t="s">
        <v>176</v>
      </c>
      <c r="I71" s="18" t="s">
        <v>175</v>
      </c>
      <c r="J71" t="b">
        <f>Table4[[#This Row],[Column8]]=Table4[[#This Row],[Column9]]</f>
        <v>0</v>
      </c>
    </row>
    <row r="72" spans="1:10" hidden="1" x14ac:dyDescent="0.3">
      <c r="A72" s="27">
        <v>44277</v>
      </c>
      <c r="B72">
        <v>49771.29</v>
      </c>
      <c r="C72">
        <v>49721.518710000004</v>
      </c>
      <c r="D72">
        <v>49821.061289999998</v>
      </c>
      <c r="E72" t="s">
        <v>174</v>
      </c>
      <c r="F72" t="s">
        <v>176</v>
      </c>
      <c r="G72" s="18" t="b">
        <f t="shared" si="2"/>
        <v>0</v>
      </c>
      <c r="H72" t="s">
        <v>174</v>
      </c>
      <c r="I72" s="18" t="s">
        <v>176</v>
      </c>
      <c r="J72" t="b">
        <f>Table4[[#This Row],[Column8]]=Table4[[#This Row],[Column9]]</f>
        <v>0</v>
      </c>
    </row>
    <row r="73" spans="1:10" x14ac:dyDescent="0.3">
      <c r="A73" s="27">
        <v>44278</v>
      </c>
      <c r="B73">
        <v>50051.44</v>
      </c>
      <c r="C73">
        <v>50001.388559999999</v>
      </c>
      <c r="D73">
        <v>50101.491440000005</v>
      </c>
      <c r="E73" t="s">
        <v>175</v>
      </c>
      <c r="F73" t="s">
        <v>175</v>
      </c>
      <c r="G73" s="18" t="b">
        <f t="shared" si="2"/>
        <v>1</v>
      </c>
      <c r="H73" t="s">
        <v>176</v>
      </c>
      <c r="I73" s="18" t="s">
        <v>176</v>
      </c>
      <c r="J73" t="b">
        <f>Table4[[#This Row],[Column8]]=Table4[[#This Row],[Column9]]</f>
        <v>1</v>
      </c>
    </row>
    <row r="74" spans="1:10" hidden="1" x14ac:dyDescent="0.3">
      <c r="A74" s="27">
        <v>44279</v>
      </c>
      <c r="B74">
        <v>49180.31</v>
      </c>
      <c r="C74">
        <v>49131.129689999994</v>
      </c>
      <c r="D74">
        <v>49229.490310000001</v>
      </c>
      <c r="E74" t="s">
        <v>174</v>
      </c>
      <c r="F74" t="s">
        <v>176</v>
      </c>
      <c r="G74" s="18" t="b">
        <f t="shared" si="2"/>
        <v>0</v>
      </c>
      <c r="H74" t="s">
        <v>176</v>
      </c>
      <c r="I74" s="18" t="s">
        <v>174</v>
      </c>
      <c r="J74" t="b">
        <f>Table4[[#This Row],[Column8]]=Table4[[#This Row],[Column9]]</f>
        <v>0</v>
      </c>
    </row>
    <row r="75" spans="1:10" hidden="1" x14ac:dyDescent="0.3">
      <c r="A75" s="27">
        <v>44280</v>
      </c>
      <c r="B75">
        <v>48440.12</v>
      </c>
      <c r="C75">
        <v>48391.679880000003</v>
      </c>
      <c r="D75">
        <v>48488.560120000002</v>
      </c>
      <c r="E75" t="s">
        <v>174</v>
      </c>
      <c r="F75" t="s">
        <v>175</v>
      </c>
      <c r="G75" s="18" t="b">
        <f t="shared" si="2"/>
        <v>0</v>
      </c>
      <c r="H75" t="s">
        <v>176</v>
      </c>
      <c r="I75" s="18" t="s">
        <v>174</v>
      </c>
      <c r="J75" t="b">
        <f>Table4[[#This Row],[Column8]]=Table4[[#This Row],[Column9]]</f>
        <v>0</v>
      </c>
    </row>
    <row r="76" spans="1:10" hidden="1" x14ac:dyDescent="0.3">
      <c r="A76" s="27">
        <v>44281</v>
      </c>
      <c r="B76">
        <v>49008.5</v>
      </c>
      <c r="C76">
        <v>48959.491499999996</v>
      </c>
      <c r="D76">
        <v>49057.508500000004</v>
      </c>
      <c r="E76" t="s">
        <v>175</v>
      </c>
      <c r="F76" t="s">
        <v>174</v>
      </c>
      <c r="G76" s="18" t="b">
        <f t="shared" si="2"/>
        <v>0</v>
      </c>
      <c r="H76" s="18" t="s">
        <v>174</v>
      </c>
      <c r="I76" s="18" t="s">
        <v>175</v>
      </c>
      <c r="J76" t="b">
        <f>Table4[[#This Row],[Column8]]=Table4[[#This Row],[Column9]]</f>
        <v>0</v>
      </c>
    </row>
    <row r="77" spans="1:10" hidden="1" x14ac:dyDescent="0.3">
      <c r="A77" s="27">
        <v>44285</v>
      </c>
      <c r="B77">
        <v>50136.58</v>
      </c>
      <c r="C77">
        <v>50086.443420000003</v>
      </c>
      <c r="D77">
        <v>50186.71658</v>
      </c>
      <c r="E77" t="s">
        <v>175</v>
      </c>
      <c r="F77" t="s">
        <v>176</v>
      </c>
      <c r="G77" s="18" t="b">
        <f t="shared" si="2"/>
        <v>0</v>
      </c>
      <c r="H77" s="18" t="s">
        <v>176</v>
      </c>
      <c r="I77" s="18" t="s">
        <v>175</v>
      </c>
      <c r="J77" t="b">
        <f>Table4[[#This Row],[Column8]]=Table4[[#This Row],[Column9]]</f>
        <v>0</v>
      </c>
    </row>
    <row r="78" spans="1:10" hidden="1" x14ac:dyDescent="0.3">
      <c r="A78" s="27">
        <v>44286</v>
      </c>
      <c r="B78">
        <v>49509.15</v>
      </c>
      <c r="C78">
        <v>49459.640850000003</v>
      </c>
      <c r="D78">
        <v>49558.659149999999</v>
      </c>
      <c r="E78" t="s">
        <v>174</v>
      </c>
      <c r="F78" t="s">
        <v>176</v>
      </c>
      <c r="G78" s="18" t="b">
        <f t="shared" si="2"/>
        <v>0</v>
      </c>
      <c r="H78" t="s">
        <v>176</v>
      </c>
      <c r="I78" s="18" t="s">
        <v>174</v>
      </c>
      <c r="J78" t="b">
        <f>Table4[[#This Row],[Column8]]=Table4[[#This Row],[Column9]]</f>
        <v>0</v>
      </c>
    </row>
    <row r="79" spans="1:10" x14ac:dyDescent="0.3">
      <c r="A79" s="27">
        <v>44287</v>
      </c>
      <c r="B79">
        <v>50029.83</v>
      </c>
      <c r="C79">
        <v>49979.800170000002</v>
      </c>
      <c r="D79">
        <v>50079.859830000001</v>
      </c>
      <c r="E79" t="s">
        <v>175</v>
      </c>
      <c r="F79" t="s">
        <v>175</v>
      </c>
      <c r="G79" s="18" t="b">
        <f t="shared" si="2"/>
        <v>1</v>
      </c>
      <c r="H79" t="s">
        <v>176</v>
      </c>
      <c r="I79" s="18" t="s">
        <v>175</v>
      </c>
      <c r="J79" t="b">
        <f>Table4[[#This Row],[Column8]]=Table4[[#This Row],[Column9]]</f>
        <v>0</v>
      </c>
    </row>
    <row r="80" spans="1:10" hidden="1" x14ac:dyDescent="0.3">
      <c r="A80" s="27">
        <v>44291</v>
      </c>
      <c r="B80">
        <v>49159.32</v>
      </c>
      <c r="C80">
        <v>49110.160680000001</v>
      </c>
      <c r="D80">
        <v>49208.479319999999</v>
      </c>
      <c r="E80" t="s">
        <v>174</v>
      </c>
      <c r="F80" t="s">
        <v>174</v>
      </c>
      <c r="G80" s="18" t="b">
        <f t="shared" si="2"/>
        <v>1</v>
      </c>
      <c r="H80" t="s">
        <v>176</v>
      </c>
      <c r="I80" s="18" t="s">
        <v>174</v>
      </c>
      <c r="J80" t="b">
        <f>Table4[[#This Row],[Column8]]=Table4[[#This Row],[Column9]]</f>
        <v>0</v>
      </c>
    </row>
    <row r="81" spans="1:10" hidden="1" x14ac:dyDescent="0.3">
      <c r="A81" s="27">
        <v>44292</v>
      </c>
      <c r="B81">
        <v>49201.39</v>
      </c>
      <c r="C81">
        <v>49152.188609999997</v>
      </c>
      <c r="D81">
        <v>49250.591390000001</v>
      </c>
      <c r="E81" t="s">
        <v>176</v>
      </c>
      <c r="F81" t="s">
        <v>175</v>
      </c>
      <c r="G81" s="18" t="b">
        <f t="shared" si="2"/>
        <v>0</v>
      </c>
      <c r="H81" t="s">
        <v>176</v>
      </c>
      <c r="I81" s="18" t="s">
        <v>176</v>
      </c>
      <c r="J81" t="b">
        <f>Table4[[#This Row],[Column8]]=Table4[[#This Row],[Column9]]</f>
        <v>1</v>
      </c>
    </row>
    <row r="82" spans="1:10" hidden="1" x14ac:dyDescent="0.3">
      <c r="A82" s="27">
        <v>44293</v>
      </c>
      <c r="B82">
        <v>49661.760000000002</v>
      </c>
      <c r="C82">
        <v>49612.098239999999</v>
      </c>
      <c r="D82">
        <v>49711.421760000005</v>
      </c>
      <c r="E82" t="s">
        <v>175</v>
      </c>
      <c r="F82" t="s">
        <v>174</v>
      </c>
      <c r="G82" s="18" t="b">
        <f t="shared" si="2"/>
        <v>0</v>
      </c>
      <c r="H82" t="s">
        <v>176</v>
      </c>
      <c r="I82" s="18" t="s">
        <v>176</v>
      </c>
      <c r="J82" t="b">
        <f>Table4[[#This Row],[Column8]]=Table4[[#This Row],[Column9]]</f>
        <v>1</v>
      </c>
    </row>
    <row r="83" spans="1:10" x14ac:dyDescent="0.3">
      <c r="A83" s="27">
        <v>44294</v>
      </c>
      <c r="B83">
        <v>49746.21</v>
      </c>
      <c r="C83">
        <v>49696.463790000002</v>
      </c>
      <c r="D83">
        <v>49795.956209999997</v>
      </c>
      <c r="E83" t="s">
        <v>175</v>
      </c>
      <c r="F83" t="s">
        <v>175</v>
      </c>
      <c r="G83" s="18" t="b">
        <f t="shared" ref="G83:G146" si="3">E83=F83</f>
        <v>1</v>
      </c>
      <c r="H83" t="s">
        <v>176</v>
      </c>
      <c r="I83" s="18" t="s">
        <v>176</v>
      </c>
      <c r="J83" t="b">
        <f>Table4[[#This Row],[Column8]]=Table4[[#This Row],[Column9]]</f>
        <v>1</v>
      </c>
    </row>
    <row r="84" spans="1:10" hidden="1" x14ac:dyDescent="0.3">
      <c r="A84" s="27">
        <v>44295</v>
      </c>
      <c r="B84">
        <v>49591.32</v>
      </c>
      <c r="C84">
        <v>49541.72868</v>
      </c>
      <c r="D84">
        <v>49640.911319999999</v>
      </c>
      <c r="E84" t="s">
        <v>174</v>
      </c>
      <c r="F84" t="s">
        <v>175</v>
      </c>
      <c r="G84" s="18" t="b">
        <f t="shared" si="3"/>
        <v>0</v>
      </c>
      <c r="H84" t="s">
        <v>175</v>
      </c>
      <c r="I84" s="18" t="s">
        <v>176</v>
      </c>
      <c r="J84" t="b">
        <f>Table4[[#This Row],[Column8]]=Table4[[#This Row],[Column9]]</f>
        <v>0</v>
      </c>
    </row>
    <row r="85" spans="1:10" hidden="1" x14ac:dyDescent="0.3">
      <c r="A85" s="27">
        <v>44298</v>
      </c>
      <c r="B85">
        <v>47883.38</v>
      </c>
      <c r="C85">
        <v>47835.496619999998</v>
      </c>
      <c r="D85">
        <v>47931.263379999997</v>
      </c>
      <c r="E85" t="s">
        <v>174</v>
      </c>
      <c r="F85" t="s">
        <v>175</v>
      </c>
      <c r="G85" s="18" t="b">
        <f t="shared" si="3"/>
        <v>0</v>
      </c>
      <c r="H85" t="s">
        <v>176</v>
      </c>
      <c r="I85" s="18" t="s">
        <v>174</v>
      </c>
      <c r="J85" t="b">
        <f>Table4[[#This Row],[Column8]]=Table4[[#This Row],[Column9]]</f>
        <v>0</v>
      </c>
    </row>
    <row r="86" spans="1:10" hidden="1" x14ac:dyDescent="0.3">
      <c r="A86" s="27">
        <v>44299</v>
      </c>
      <c r="B86">
        <v>48544.06</v>
      </c>
      <c r="C86">
        <v>48495.515939999997</v>
      </c>
      <c r="D86">
        <v>48592.604059999998</v>
      </c>
      <c r="E86" t="s">
        <v>175</v>
      </c>
      <c r="F86" t="s">
        <v>174</v>
      </c>
      <c r="G86" s="18" t="b">
        <f t="shared" si="3"/>
        <v>0</v>
      </c>
      <c r="H86" t="s">
        <v>176</v>
      </c>
      <c r="I86" s="18" t="s">
        <v>175</v>
      </c>
      <c r="J86" t="b">
        <f>Table4[[#This Row],[Column8]]=Table4[[#This Row],[Column9]]</f>
        <v>0</v>
      </c>
    </row>
    <row r="87" spans="1:10" hidden="1" x14ac:dyDescent="0.3">
      <c r="A87" s="27">
        <v>44301</v>
      </c>
      <c r="B87">
        <v>48803.68</v>
      </c>
      <c r="C87">
        <v>48754.876320000003</v>
      </c>
      <c r="D87">
        <v>48852.483679999998</v>
      </c>
      <c r="E87" t="s">
        <v>175</v>
      </c>
      <c r="F87" t="s">
        <v>176</v>
      </c>
      <c r="G87" s="18" t="b">
        <f t="shared" si="3"/>
        <v>0</v>
      </c>
      <c r="H87" t="s">
        <v>174</v>
      </c>
      <c r="I87" s="18" t="s">
        <v>176</v>
      </c>
      <c r="J87" t="b">
        <f>Table4[[#This Row],[Column8]]=Table4[[#This Row],[Column9]]</f>
        <v>0</v>
      </c>
    </row>
    <row r="88" spans="1:10" hidden="1" x14ac:dyDescent="0.3">
      <c r="A88" s="27">
        <v>44302</v>
      </c>
      <c r="B88">
        <v>48832.03</v>
      </c>
      <c r="C88">
        <v>48783.197970000001</v>
      </c>
      <c r="D88">
        <v>48880.862029999997</v>
      </c>
      <c r="E88" t="s">
        <v>176</v>
      </c>
      <c r="F88" t="s">
        <v>174</v>
      </c>
      <c r="G88" s="18" t="b">
        <f t="shared" si="3"/>
        <v>0</v>
      </c>
      <c r="H88" t="s">
        <v>176</v>
      </c>
      <c r="I88" s="18" t="s">
        <v>176</v>
      </c>
      <c r="J88" t="b">
        <f>Table4[[#This Row],[Column8]]=Table4[[#This Row],[Column9]]</f>
        <v>1</v>
      </c>
    </row>
    <row r="89" spans="1:10" hidden="1" x14ac:dyDescent="0.3">
      <c r="A89" s="27">
        <v>44305</v>
      </c>
      <c r="B89">
        <v>47949.42</v>
      </c>
      <c r="C89">
        <v>47901.470580000001</v>
      </c>
      <c r="D89">
        <v>47997.369419999995</v>
      </c>
      <c r="E89" t="s">
        <v>174</v>
      </c>
      <c r="F89" t="s">
        <v>176</v>
      </c>
      <c r="G89" s="18" t="b">
        <f t="shared" si="3"/>
        <v>0</v>
      </c>
      <c r="H89" t="s">
        <v>176</v>
      </c>
      <c r="I89" s="18" t="s">
        <v>174</v>
      </c>
      <c r="J89" t="b">
        <f>Table4[[#This Row],[Column8]]=Table4[[#This Row],[Column9]]</f>
        <v>0</v>
      </c>
    </row>
    <row r="90" spans="1:10" hidden="1" x14ac:dyDescent="0.3">
      <c r="A90" s="27">
        <v>44306</v>
      </c>
      <c r="B90">
        <v>47705.8</v>
      </c>
      <c r="C90">
        <v>47658.0942</v>
      </c>
      <c r="D90">
        <v>47753.505800000006</v>
      </c>
      <c r="E90" t="s">
        <v>174</v>
      </c>
      <c r="F90" t="s">
        <v>174</v>
      </c>
      <c r="G90" s="18" t="b">
        <f t="shared" si="3"/>
        <v>1</v>
      </c>
      <c r="H90" t="s">
        <v>176</v>
      </c>
      <c r="I90" s="18" t="s">
        <v>176</v>
      </c>
      <c r="J90" t="b">
        <f>Table4[[#This Row],[Column8]]=Table4[[#This Row],[Column9]]</f>
        <v>1</v>
      </c>
    </row>
    <row r="91" spans="1:10" hidden="1" x14ac:dyDescent="0.3">
      <c r="A91" s="27">
        <v>44308</v>
      </c>
      <c r="B91">
        <v>48080.67</v>
      </c>
      <c r="C91">
        <v>48032.589329999995</v>
      </c>
      <c r="D91">
        <v>48128.750670000001</v>
      </c>
      <c r="E91" t="s">
        <v>175</v>
      </c>
      <c r="F91" t="s">
        <v>174</v>
      </c>
      <c r="G91" s="18" t="b">
        <f t="shared" si="3"/>
        <v>0</v>
      </c>
      <c r="H91" t="s">
        <v>175</v>
      </c>
      <c r="I91" s="18" t="s">
        <v>176</v>
      </c>
      <c r="J91" t="b">
        <f>Table4[[#This Row],[Column8]]=Table4[[#This Row],[Column9]]</f>
        <v>0</v>
      </c>
    </row>
    <row r="92" spans="1:10" hidden="1" x14ac:dyDescent="0.3">
      <c r="A92" s="27">
        <v>44309</v>
      </c>
      <c r="B92">
        <v>47878.45</v>
      </c>
      <c r="C92">
        <v>47830.571550000001</v>
      </c>
      <c r="D92">
        <v>47926.328449999994</v>
      </c>
      <c r="E92" t="s">
        <v>174</v>
      </c>
      <c r="F92" s="18" t="s">
        <v>175</v>
      </c>
      <c r="G92" s="18" t="b">
        <f t="shared" si="3"/>
        <v>0</v>
      </c>
      <c r="H92" t="s">
        <v>176</v>
      </c>
      <c r="I92" s="18" t="s">
        <v>176</v>
      </c>
      <c r="J92" t="b">
        <f>Table4[[#This Row],[Column8]]=Table4[[#This Row],[Column9]]</f>
        <v>1</v>
      </c>
    </row>
    <row r="93" spans="1:10" hidden="1" x14ac:dyDescent="0.3">
      <c r="A93" s="27">
        <v>44312</v>
      </c>
      <c r="B93">
        <v>48386.51</v>
      </c>
      <c r="C93">
        <v>48338.123490000005</v>
      </c>
      <c r="D93">
        <v>48434.896509999999</v>
      </c>
      <c r="E93" t="s">
        <v>175</v>
      </c>
      <c r="F93" s="18" t="s">
        <v>176</v>
      </c>
      <c r="G93" s="18" t="b">
        <f t="shared" si="3"/>
        <v>0</v>
      </c>
      <c r="H93" t="s">
        <v>175</v>
      </c>
      <c r="I93" s="18" t="s">
        <v>175</v>
      </c>
      <c r="J93" t="b">
        <f>Table4[[#This Row],[Column8]]=Table4[[#This Row],[Column9]]</f>
        <v>1</v>
      </c>
    </row>
    <row r="94" spans="1:10" x14ac:dyDescent="0.3">
      <c r="A94" s="27">
        <v>44313</v>
      </c>
      <c r="B94">
        <v>48944.14</v>
      </c>
      <c r="C94">
        <v>48895.19586</v>
      </c>
      <c r="D94">
        <v>48993.084139999999</v>
      </c>
      <c r="E94" t="s">
        <v>175</v>
      </c>
      <c r="F94" t="s">
        <v>175</v>
      </c>
      <c r="G94" s="18" t="b">
        <f t="shared" si="3"/>
        <v>1</v>
      </c>
      <c r="H94" t="s">
        <v>176</v>
      </c>
      <c r="I94" s="18" t="s">
        <v>175</v>
      </c>
      <c r="J94" t="b">
        <f>Table4[[#This Row],[Column8]]=Table4[[#This Row],[Column9]]</f>
        <v>0</v>
      </c>
    </row>
    <row r="95" spans="1:10" x14ac:dyDescent="0.3">
      <c r="A95" s="27">
        <v>44314</v>
      </c>
      <c r="B95">
        <v>49733.84</v>
      </c>
      <c r="C95">
        <v>49684.106159999996</v>
      </c>
      <c r="D95">
        <v>49783.573839999997</v>
      </c>
      <c r="E95" t="s">
        <v>175</v>
      </c>
      <c r="F95" t="s">
        <v>175</v>
      </c>
      <c r="G95" s="18" t="b">
        <f t="shared" si="3"/>
        <v>1</v>
      </c>
      <c r="H95" t="s">
        <v>174</v>
      </c>
      <c r="I95" s="18" t="s">
        <v>175</v>
      </c>
      <c r="J95" t="b">
        <f>Table4[[#This Row],[Column8]]=Table4[[#This Row],[Column9]]</f>
        <v>0</v>
      </c>
    </row>
    <row r="96" spans="1:10" hidden="1" x14ac:dyDescent="0.3">
      <c r="A96" s="27">
        <v>44315</v>
      </c>
      <c r="B96">
        <v>49765.94</v>
      </c>
      <c r="C96">
        <v>49716.174060000005</v>
      </c>
      <c r="D96">
        <v>49815.70594</v>
      </c>
      <c r="E96" t="s">
        <v>176</v>
      </c>
      <c r="F96" t="s">
        <v>174</v>
      </c>
      <c r="G96" s="18" t="b">
        <f t="shared" si="3"/>
        <v>0</v>
      </c>
      <c r="H96" t="s">
        <v>176</v>
      </c>
      <c r="I96" s="18" t="s">
        <v>176</v>
      </c>
      <c r="J96" t="b">
        <f>Table4[[#This Row],[Column8]]=Table4[[#This Row],[Column9]]</f>
        <v>1</v>
      </c>
    </row>
    <row r="97" spans="1:10" hidden="1" x14ac:dyDescent="0.3">
      <c r="A97" s="27">
        <v>44316</v>
      </c>
      <c r="B97">
        <v>48782.36</v>
      </c>
      <c r="C97">
        <v>48733.577640000003</v>
      </c>
      <c r="D97">
        <v>48831.142359999998</v>
      </c>
      <c r="E97" t="s">
        <v>174</v>
      </c>
      <c r="F97" t="s">
        <v>175</v>
      </c>
      <c r="G97" s="18" t="b">
        <f t="shared" si="3"/>
        <v>0</v>
      </c>
      <c r="H97" t="s">
        <v>176</v>
      </c>
      <c r="I97" s="18" t="s">
        <v>174</v>
      </c>
      <c r="J97" t="b">
        <f>Table4[[#This Row],[Column8]]=Table4[[#This Row],[Column9]]</f>
        <v>0</v>
      </c>
    </row>
    <row r="98" spans="1:10" hidden="1" x14ac:dyDescent="0.3">
      <c r="A98" s="27">
        <v>44319</v>
      </c>
      <c r="B98">
        <v>48718.52</v>
      </c>
      <c r="C98">
        <v>48669.801479999995</v>
      </c>
      <c r="D98">
        <v>48767.238519999999</v>
      </c>
      <c r="E98" t="s">
        <v>174</v>
      </c>
      <c r="F98" t="s">
        <v>176</v>
      </c>
      <c r="G98" s="18" t="b">
        <f t="shared" si="3"/>
        <v>0</v>
      </c>
      <c r="H98" t="s">
        <v>174</v>
      </c>
      <c r="I98" s="18" t="s">
        <v>176</v>
      </c>
      <c r="J98" t="b">
        <f>Table4[[#This Row],[Column8]]=Table4[[#This Row],[Column9]]</f>
        <v>0</v>
      </c>
    </row>
    <row r="99" spans="1:10" hidden="1" x14ac:dyDescent="0.3">
      <c r="A99" s="27">
        <v>44320</v>
      </c>
      <c r="B99">
        <v>48253.51</v>
      </c>
      <c r="C99">
        <v>48205.25649</v>
      </c>
      <c r="D99">
        <v>48301.763510000004</v>
      </c>
      <c r="E99" t="s">
        <v>174</v>
      </c>
      <c r="F99" t="s">
        <v>174</v>
      </c>
      <c r="G99" s="18" t="b">
        <f t="shared" si="3"/>
        <v>1</v>
      </c>
      <c r="H99" t="s">
        <v>176</v>
      </c>
      <c r="I99" s="18" t="s">
        <v>176</v>
      </c>
      <c r="J99" t="b">
        <f>Table4[[#This Row],[Column8]]=Table4[[#This Row],[Column9]]</f>
        <v>1</v>
      </c>
    </row>
    <row r="100" spans="1:10" hidden="1" x14ac:dyDescent="0.3">
      <c r="A100" s="27">
        <v>44321</v>
      </c>
      <c r="B100">
        <v>48677.55</v>
      </c>
      <c r="C100">
        <v>48628.872450000003</v>
      </c>
      <c r="D100">
        <v>48726.227550000003</v>
      </c>
      <c r="E100" t="s">
        <v>175</v>
      </c>
      <c r="F100" t="s">
        <v>174</v>
      </c>
      <c r="G100" s="18" t="b">
        <f t="shared" si="3"/>
        <v>0</v>
      </c>
      <c r="H100" t="s">
        <v>176</v>
      </c>
      <c r="I100" s="18" t="s">
        <v>176</v>
      </c>
      <c r="J100" t="b">
        <f>Table4[[#This Row],[Column8]]=Table4[[#This Row],[Column9]]</f>
        <v>1</v>
      </c>
    </row>
    <row r="101" spans="1:10" hidden="1" x14ac:dyDescent="0.3">
      <c r="A101" s="27">
        <v>44322</v>
      </c>
      <c r="B101">
        <v>48949.760000000002</v>
      </c>
      <c r="C101">
        <v>48900.810239999999</v>
      </c>
      <c r="D101">
        <v>48998.709760000005</v>
      </c>
      <c r="E101" t="s">
        <v>175</v>
      </c>
      <c r="F101" t="s">
        <v>174</v>
      </c>
      <c r="G101" s="18" t="b">
        <f t="shared" si="3"/>
        <v>0</v>
      </c>
      <c r="H101" t="s">
        <v>176</v>
      </c>
      <c r="I101" s="18" t="s">
        <v>176</v>
      </c>
      <c r="J101" t="b">
        <f>Table4[[#This Row],[Column8]]=Table4[[#This Row],[Column9]]</f>
        <v>1</v>
      </c>
    </row>
    <row r="102" spans="1:10" x14ac:dyDescent="0.3">
      <c r="A102" s="27">
        <v>44323</v>
      </c>
      <c r="B102">
        <v>49206.47</v>
      </c>
      <c r="C102">
        <v>49157.263530000004</v>
      </c>
      <c r="D102">
        <v>49255.676469999999</v>
      </c>
      <c r="E102" t="s">
        <v>175</v>
      </c>
      <c r="F102" t="s">
        <v>175</v>
      </c>
      <c r="G102" s="18" t="b">
        <f t="shared" si="3"/>
        <v>1</v>
      </c>
      <c r="H102" t="s">
        <v>174</v>
      </c>
      <c r="I102" s="18" t="s">
        <v>176</v>
      </c>
      <c r="J102" t="b">
        <f>Table4[[#This Row],[Column8]]=Table4[[#This Row],[Column9]]</f>
        <v>0</v>
      </c>
    </row>
    <row r="103" spans="1:10" hidden="1" x14ac:dyDescent="0.3">
      <c r="A103" s="27">
        <v>44326</v>
      </c>
      <c r="B103">
        <v>49502.41</v>
      </c>
      <c r="C103">
        <v>49452.907590000003</v>
      </c>
      <c r="D103">
        <v>49551.912410000004</v>
      </c>
      <c r="E103" t="s">
        <v>175</v>
      </c>
      <c r="F103" t="s">
        <v>174</v>
      </c>
      <c r="G103" s="18" t="b">
        <f t="shared" si="3"/>
        <v>0</v>
      </c>
      <c r="H103" t="s">
        <v>175</v>
      </c>
      <c r="I103" s="18" t="s">
        <v>176</v>
      </c>
      <c r="J103" t="b">
        <f>Table4[[#This Row],[Column8]]=Table4[[#This Row],[Column9]]</f>
        <v>0</v>
      </c>
    </row>
    <row r="104" spans="1:10" hidden="1" x14ac:dyDescent="0.3">
      <c r="A104" s="27">
        <v>44327</v>
      </c>
      <c r="B104">
        <v>49161.81</v>
      </c>
      <c r="C104">
        <v>49112.64819</v>
      </c>
      <c r="D104">
        <v>49210.971809999995</v>
      </c>
      <c r="E104" t="s">
        <v>174</v>
      </c>
      <c r="F104" t="s">
        <v>174</v>
      </c>
      <c r="G104" s="18" t="b">
        <f t="shared" si="3"/>
        <v>1</v>
      </c>
      <c r="H104" t="s">
        <v>175</v>
      </c>
      <c r="I104" s="18" t="s">
        <v>176</v>
      </c>
      <c r="J104" t="b">
        <f>Table4[[#This Row],[Column8]]=Table4[[#This Row],[Column9]]</f>
        <v>0</v>
      </c>
    </row>
    <row r="105" spans="1:10" hidden="1" x14ac:dyDescent="0.3">
      <c r="A105" s="27">
        <v>44328</v>
      </c>
      <c r="B105">
        <v>48690.8</v>
      </c>
      <c r="C105">
        <v>48642.109200000006</v>
      </c>
      <c r="D105">
        <v>48739.4908</v>
      </c>
      <c r="E105" t="s">
        <v>174</v>
      </c>
      <c r="F105" t="s">
        <v>174</v>
      </c>
      <c r="G105" s="18" t="b">
        <f t="shared" si="3"/>
        <v>1</v>
      </c>
      <c r="H105" t="s">
        <v>176</v>
      </c>
      <c r="I105" s="18" t="s">
        <v>176</v>
      </c>
      <c r="J105" t="b">
        <f>Table4[[#This Row],[Column8]]=Table4[[#This Row],[Column9]]</f>
        <v>1</v>
      </c>
    </row>
    <row r="106" spans="1:10" hidden="1" x14ac:dyDescent="0.3">
      <c r="A106" s="27">
        <v>44330</v>
      </c>
      <c r="B106">
        <v>48732.55</v>
      </c>
      <c r="C106">
        <v>48683.817450000002</v>
      </c>
      <c r="D106">
        <v>48781.282550000004</v>
      </c>
      <c r="E106" t="s">
        <v>176</v>
      </c>
      <c r="F106" t="s">
        <v>174</v>
      </c>
      <c r="G106" s="18" t="b">
        <f t="shared" si="3"/>
        <v>0</v>
      </c>
      <c r="H106" t="s">
        <v>176</v>
      </c>
      <c r="I106" s="18" t="s">
        <v>176</v>
      </c>
      <c r="J106" t="b">
        <f>Table4[[#This Row],[Column8]]=Table4[[#This Row],[Column9]]</f>
        <v>1</v>
      </c>
    </row>
    <row r="107" spans="1:10" x14ac:dyDescent="0.3">
      <c r="A107" s="27">
        <v>44333</v>
      </c>
      <c r="B107">
        <v>49580.73</v>
      </c>
      <c r="C107">
        <v>49531.149270000002</v>
      </c>
      <c r="D107">
        <v>49630.310730000005</v>
      </c>
      <c r="E107" t="s">
        <v>175</v>
      </c>
      <c r="F107" t="s">
        <v>175</v>
      </c>
      <c r="G107" s="18" t="b">
        <f t="shared" si="3"/>
        <v>1</v>
      </c>
      <c r="H107" s="18" t="s">
        <v>175</v>
      </c>
      <c r="I107" s="18" t="s">
        <v>175</v>
      </c>
      <c r="J107" t="b">
        <f>Table4[[#This Row],[Column8]]=Table4[[#This Row],[Column9]]</f>
        <v>1</v>
      </c>
    </row>
    <row r="108" spans="1:10" x14ac:dyDescent="0.3">
      <c r="A108" s="27">
        <v>44334</v>
      </c>
      <c r="B108">
        <v>50193.33</v>
      </c>
      <c r="C108">
        <v>50143.13667</v>
      </c>
      <c r="D108">
        <v>50243.523330000004</v>
      </c>
      <c r="E108" t="s">
        <v>175</v>
      </c>
      <c r="F108" t="s">
        <v>175</v>
      </c>
      <c r="G108" s="18" t="b">
        <f t="shared" si="3"/>
        <v>1</v>
      </c>
      <c r="H108" s="18" t="s">
        <v>174</v>
      </c>
      <c r="I108" s="18" t="s">
        <v>175</v>
      </c>
      <c r="J108" t="b">
        <f>Table4[[#This Row],[Column8]]=Table4[[#This Row],[Column9]]</f>
        <v>0</v>
      </c>
    </row>
    <row r="109" spans="1:10" hidden="1" x14ac:dyDescent="0.3">
      <c r="A109" s="27">
        <v>44335</v>
      </c>
      <c r="B109">
        <v>49902.64</v>
      </c>
      <c r="C109">
        <v>49852.737359999999</v>
      </c>
      <c r="D109">
        <v>49952.54264</v>
      </c>
      <c r="E109" t="s">
        <v>174</v>
      </c>
      <c r="F109" t="s">
        <v>175</v>
      </c>
      <c r="G109" s="18" t="b">
        <f t="shared" si="3"/>
        <v>0</v>
      </c>
      <c r="H109" t="s">
        <v>176</v>
      </c>
      <c r="I109" s="18" t="s">
        <v>176</v>
      </c>
      <c r="J109" t="b">
        <f>Table4[[#This Row],[Column8]]=Table4[[#This Row],[Column9]]</f>
        <v>1</v>
      </c>
    </row>
    <row r="110" spans="1:10" hidden="1" x14ac:dyDescent="0.3">
      <c r="A110" s="27">
        <v>44336</v>
      </c>
      <c r="B110">
        <v>49564.86</v>
      </c>
      <c r="C110">
        <v>49515.295140000002</v>
      </c>
      <c r="D110">
        <v>49614.424859999999</v>
      </c>
      <c r="E110" t="s">
        <v>174</v>
      </c>
      <c r="F110" t="s">
        <v>176</v>
      </c>
      <c r="G110" s="18" t="b">
        <f t="shared" si="3"/>
        <v>0</v>
      </c>
      <c r="H110" t="s">
        <v>176</v>
      </c>
      <c r="I110" s="18" t="s">
        <v>176</v>
      </c>
      <c r="J110" t="b">
        <f>Table4[[#This Row],[Column8]]=Table4[[#This Row],[Column9]]</f>
        <v>1</v>
      </c>
    </row>
    <row r="111" spans="1:10" hidden="1" x14ac:dyDescent="0.3">
      <c r="A111" s="27">
        <v>44337</v>
      </c>
      <c r="B111">
        <v>50540.480000000003</v>
      </c>
      <c r="C111">
        <v>50489.93952</v>
      </c>
      <c r="D111">
        <v>50591.020480000007</v>
      </c>
      <c r="E111" t="s">
        <v>175</v>
      </c>
      <c r="F111" t="s">
        <v>174</v>
      </c>
      <c r="G111" s="18" t="b">
        <f t="shared" si="3"/>
        <v>0</v>
      </c>
      <c r="H111" t="s">
        <v>176</v>
      </c>
      <c r="I111" s="18" t="s">
        <v>175</v>
      </c>
      <c r="J111" t="b">
        <f>Table4[[#This Row],[Column8]]=Table4[[#This Row],[Column9]]</f>
        <v>0</v>
      </c>
    </row>
    <row r="112" spans="1:10" hidden="1" x14ac:dyDescent="0.3">
      <c r="A112" s="27">
        <v>44340</v>
      </c>
      <c r="B112">
        <v>50651.9</v>
      </c>
      <c r="C112">
        <v>50601.248100000004</v>
      </c>
      <c r="D112">
        <v>50702.551899999999</v>
      </c>
      <c r="E112" t="s">
        <v>175</v>
      </c>
      <c r="F112" t="s">
        <v>174</v>
      </c>
      <c r="G112" s="18" t="b">
        <f t="shared" si="3"/>
        <v>0</v>
      </c>
      <c r="H112" t="s">
        <v>175</v>
      </c>
      <c r="I112" s="18" t="s">
        <v>176</v>
      </c>
      <c r="J112" t="b">
        <f>Table4[[#This Row],[Column8]]=Table4[[#This Row],[Column9]]</f>
        <v>0</v>
      </c>
    </row>
    <row r="113" spans="1:10" hidden="1" x14ac:dyDescent="0.3">
      <c r="A113" s="27">
        <v>44341</v>
      </c>
      <c r="B113">
        <v>50637.53</v>
      </c>
      <c r="C113">
        <v>50586.892469999999</v>
      </c>
      <c r="D113">
        <v>50688.167529999999</v>
      </c>
      <c r="E113" t="s">
        <v>176</v>
      </c>
      <c r="F113" t="s">
        <v>174</v>
      </c>
      <c r="G113" s="18" t="b">
        <f t="shared" si="3"/>
        <v>0</v>
      </c>
      <c r="H113" t="s">
        <v>176</v>
      </c>
      <c r="I113" s="18" t="s">
        <v>176</v>
      </c>
      <c r="J113" t="b">
        <f>Table4[[#This Row],[Column8]]=Table4[[#This Row],[Column9]]</f>
        <v>1</v>
      </c>
    </row>
    <row r="114" spans="1:10" hidden="1" x14ac:dyDescent="0.3">
      <c r="A114" s="27">
        <v>44342</v>
      </c>
      <c r="B114">
        <v>51017.52</v>
      </c>
      <c r="C114">
        <v>50966.502479999996</v>
      </c>
      <c r="D114">
        <v>51068.537519999998</v>
      </c>
      <c r="E114" t="s">
        <v>175</v>
      </c>
      <c r="F114" t="s">
        <v>174</v>
      </c>
      <c r="G114" s="18" t="b">
        <f t="shared" si="3"/>
        <v>0</v>
      </c>
      <c r="H114" t="s">
        <v>174</v>
      </c>
      <c r="I114" s="18" t="s">
        <v>176</v>
      </c>
      <c r="J114" t="b">
        <f>Table4[[#This Row],[Column8]]=Table4[[#This Row],[Column9]]</f>
        <v>0</v>
      </c>
    </row>
    <row r="115" spans="1:10" hidden="1" x14ac:dyDescent="0.3">
      <c r="A115" s="27">
        <v>44343</v>
      </c>
      <c r="B115">
        <v>51115.22</v>
      </c>
      <c r="C115">
        <v>51064.104780000001</v>
      </c>
      <c r="D115">
        <v>51166.335220000001</v>
      </c>
      <c r="E115" t="s">
        <v>175</v>
      </c>
      <c r="F115" t="s">
        <v>174</v>
      </c>
      <c r="G115" s="18" t="b">
        <f t="shared" si="3"/>
        <v>0</v>
      </c>
      <c r="H115" t="s">
        <v>176</v>
      </c>
      <c r="I115" s="18" t="s">
        <v>176</v>
      </c>
      <c r="J115" t="b">
        <f>Table4[[#This Row],[Column8]]=Table4[[#This Row],[Column9]]</f>
        <v>1</v>
      </c>
    </row>
    <row r="116" spans="1:10" hidden="1" x14ac:dyDescent="0.3">
      <c r="A116" s="27">
        <v>44344</v>
      </c>
      <c r="B116">
        <v>51422.879999999997</v>
      </c>
      <c r="C116">
        <v>51371.457119999999</v>
      </c>
      <c r="D116">
        <v>51474.302879999996</v>
      </c>
      <c r="E116" t="s">
        <v>175</v>
      </c>
      <c r="F116" t="s">
        <v>174</v>
      </c>
      <c r="G116" s="18" t="b">
        <f t="shared" si="3"/>
        <v>0</v>
      </c>
      <c r="H116" t="s">
        <v>176</v>
      </c>
      <c r="I116" s="18" t="s">
        <v>176</v>
      </c>
      <c r="J116" t="b">
        <f>Table4[[#This Row],[Column8]]=Table4[[#This Row],[Column9]]</f>
        <v>1</v>
      </c>
    </row>
    <row r="117" spans="1:10" hidden="1" x14ac:dyDescent="0.3">
      <c r="A117" s="27">
        <v>44347</v>
      </c>
      <c r="B117">
        <v>51937.440000000002</v>
      </c>
      <c r="C117">
        <v>51885.502560000001</v>
      </c>
      <c r="D117">
        <v>51989.377440000004</v>
      </c>
      <c r="E117" t="s">
        <v>175</v>
      </c>
      <c r="F117" t="s">
        <v>174</v>
      </c>
      <c r="G117" s="18" t="b">
        <f t="shared" si="3"/>
        <v>0</v>
      </c>
      <c r="H117" t="s">
        <v>176</v>
      </c>
      <c r="I117" s="18" t="s">
        <v>175</v>
      </c>
      <c r="J117" t="b">
        <f>Table4[[#This Row],[Column8]]=Table4[[#This Row],[Column9]]</f>
        <v>0</v>
      </c>
    </row>
    <row r="118" spans="1:10" hidden="1" x14ac:dyDescent="0.3">
      <c r="A118" s="27">
        <v>44348</v>
      </c>
      <c r="B118">
        <v>51934.879999999997</v>
      </c>
      <c r="C118">
        <v>51882.945119999997</v>
      </c>
      <c r="D118">
        <v>51986.814879999998</v>
      </c>
      <c r="E118" t="s">
        <v>176</v>
      </c>
      <c r="F118" t="s">
        <v>174</v>
      </c>
      <c r="G118" s="18" t="b">
        <f t="shared" si="3"/>
        <v>0</v>
      </c>
      <c r="H118" t="s">
        <v>176</v>
      </c>
      <c r="I118" s="18" t="s">
        <v>176</v>
      </c>
      <c r="J118" t="b">
        <f>Table4[[#This Row],[Column8]]=Table4[[#This Row],[Column9]]</f>
        <v>1</v>
      </c>
    </row>
    <row r="119" spans="1:10" hidden="1" x14ac:dyDescent="0.3">
      <c r="A119" s="27">
        <v>44349</v>
      </c>
      <c r="B119">
        <v>51849.48</v>
      </c>
      <c r="C119">
        <v>51797.630520000006</v>
      </c>
      <c r="D119">
        <v>51901.32948</v>
      </c>
      <c r="E119" t="s">
        <v>174</v>
      </c>
      <c r="F119" s="18" t="s">
        <v>174</v>
      </c>
      <c r="G119" s="18" t="b">
        <f t="shared" si="3"/>
        <v>1</v>
      </c>
      <c r="H119" t="s">
        <v>175</v>
      </c>
      <c r="I119" s="18" t="s">
        <v>176</v>
      </c>
      <c r="J119" t="b">
        <f>Table4[[#This Row],[Column8]]=Table4[[#This Row],[Column9]]</f>
        <v>0</v>
      </c>
    </row>
    <row r="120" spans="1:10" x14ac:dyDescent="0.3">
      <c r="A120" s="27">
        <v>44350</v>
      </c>
      <c r="B120">
        <v>52232.43</v>
      </c>
      <c r="C120">
        <v>52180.197570000004</v>
      </c>
      <c r="D120">
        <v>52284.662429999997</v>
      </c>
      <c r="E120" t="s">
        <v>175</v>
      </c>
      <c r="F120" s="18" t="s">
        <v>175</v>
      </c>
      <c r="G120" s="18" t="b">
        <f t="shared" si="3"/>
        <v>1</v>
      </c>
      <c r="H120" t="s">
        <v>176</v>
      </c>
      <c r="I120" s="18" t="s">
        <v>176</v>
      </c>
      <c r="J120" t="b">
        <f>Table4[[#This Row],[Column8]]=Table4[[#This Row],[Column9]]</f>
        <v>1</v>
      </c>
    </row>
    <row r="121" spans="1:10" hidden="1" x14ac:dyDescent="0.3">
      <c r="A121" s="27">
        <v>44351</v>
      </c>
      <c r="B121">
        <v>52100.05</v>
      </c>
      <c r="C121">
        <v>52047.949950000002</v>
      </c>
      <c r="D121">
        <v>52152.150050000004</v>
      </c>
      <c r="E121" t="s">
        <v>174</v>
      </c>
      <c r="F121" t="s">
        <v>174</v>
      </c>
      <c r="G121" s="18" t="b">
        <f t="shared" si="3"/>
        <v>1</v>
      </c>
      <c r="H121" t="s">
        <v>175</v>
      </c>
      <c r="I121" s="18" t="s">
        <v>176</v>
      </c>
      <c r="J121" t="b">
        <f>Table4[[#This Row],[Column8]]=Table4[[#This Row],[Column9]]</f>
        <v>0</v>
      </c>
    </row>
    <row r="122" spans="1:10" hidden="1" x14ac:dyDescent="0.3">
      <c r="A122" s="27">
        <v>44354</v>
      </c>
      <c r="B122">
        <v>52328.51</v>
      </c>
      <c r="C122">
        <v>52276.181490000003</v>
      </c>
      <c r="D122">
        <v>52380.838510000001</v>
      </c>
      <c r="E122" t="s">
        <v>175</v>
      </c>
      <c r="F122" t="s">
        <v>174</v>
      </c>
      <c r="G122" s="18" t="b">
        <f t="shared" si="3"/>
        <v>0</v>
      </c>
      <c r="H122" t="s">
        <v>176</v>
      </c>
      <c r="I122" s="18" t="s">
        <v>176</v>
      </c>
      <c r="J122" t="b">
        <f>Table4[[#This Row],[Column8]]=Table4[[#This Row],[Column9]]</f>
        <v>1</v>
      </c>
    </row>
    <row r="123" spans="1:10" hidden="1" x14ac:dyDescent="0.3">
      <c r="A123" s="27">
        <v>44355</v>
      </c>
      <c r="B123">
        <v>52275.57</v>
      </c>
      <c r="C123">
        <v>52223.294430000002</v>
      </c>
      <c r="D123">
        <v>52327.845569999998</v>
      </c>
      <c r="E123" t="s">
        <v>174</v>
      </c>
      <c r="F123" t="s">
        <v>174</v>
      </c>
      <c r="G123" s="18" t="b">
        <f t="shared" si="3"/>
        <v>1</v>
      </c>
      <c r="H123" t="s">
        <v>176</v>
      </c>
      <c r="I123" s="18" t="s">
        <v>176</v>
      </c>
      <c r="J123" t="b">
        <f>Table4[[#This Row],[Column8]]=Table4[[#This Row],[Column9]]</f>
        <v>1</v>
      </c>
    </row>
    <row r="124" spans="1:10" hidden="1" x14ac:dyDescent="0.3">
      <c r="A124" s="27">
        <v>44356</v>
      </c>
      <c r="B124">
        <v>51941.64</v>
      </c>
      <c r="C124">
        <v>51889.698360000002</v>
      </c>
      <c r="D124">
        <v>51993.581639999997</v>
      </c>
      <c r="E124" t="s">
        <v>174</v>
      </c>
      <c r="F124" t="s">
        <v>174</v>
      </c>
      <c r="G124" s="18" t="b">
        <f t="shared" si="3"/>
        <v>1</v>
      </c>
      <c r="H124" t="s">
        <v>176</v>
      </c>
      <c r="I124" s="18" t="s">
        <v>176</v>
      </c>
      <c r="J124" t="b">
        <f>Table4[[#This Row],[Column8]]=Table4[[#This Row],[Column9]]</f>
        <v>1</v>
      </c>
    </row>
    <row r="125" spans="1:10" hidden="1" x14ac:dyDescent="0.3">
      <c r="A125" s="27">
        <v>44357</v>
      </c>
      <c r="B125">
        <v>52300.47</v>
      </c>
      <c r="C125">
        <v>52248.169529999999</v>
      </c>
      <c r="D125">
        <v>52352.770470000003</v>
      </c>
      <c r="E125" t="s">
        <v>175</v>
      </c>
      <c r="F125" t="s">
        <v>174</v>
      </c>
      <c r="G125" s="18" t="b">
        <f t="shared" si="3"/>
        <v>0</v>
      </c>
      <c r="H125" t="s">
        <v>175</v>
      </c>
      <c r="I125" s="18" t="s">
        <v>176</v>
      </c>
      <c r="J125" t="b">
        <f>Table4[[#This Row],[Column8]]=Table4[[#This Row],[Column9]]</f>
        <v>0</v>
      </c>
    </row>
    <row r="126" spans="1:10" hidden="1" x14ac:dyDescent="0.3">
      <c r="A126" s="27">
        <v>44358</v>
      </c>
      <c r="B126">
        <v>52474.76</v>
      </c>
      <c r="C126">
        <v>52422.285240000005</v>
      </c>
      <c r="D126">
        <v>52527.234759999999</v>
      </c>
      <c r="E126" t="s">
        <v>175</v>
      </c>
      <c r="F126" t="s">
        <v>174</v>
      </c>
      <c r="G126" s="18" t="b">
        <f t="shared" si="3"/>
        <v>0</v>
      </c>
      <c r="H126" t="s">
        <v>175</v>
      </c>
      <c r="I126" s="18" t="s">
        <v>176</v>
      </c>
      <c r="J126" t="b">
        <f>Table4[[#This Row],[Column8]]=Table4[[#This Row],[Column9]]</f>
        <v>0</v>
      </c>
    </row>
    <row r="127" spans="1:10" x14ac:dyDescent="0.3">
      <c r="A127" s="27">
        <v>44361</v>
      </c>
      <c r="B127">
        <v>52551.53</v>
      </c>
      <c r="C127">
        <v>52498.978470000002</v>
      </c>
      <c r="D127">
        <v>52604.081529999996</v>
      </c>
      <c r="E127" t="s">
        <v>175</v>
      </c>
      <c r="F127" t="s">
        <v>175</v>
      </c>
      <c r="G127" s="18" t="b">
        <f t="shared" si="3"/>
        <v>1</v>
      </c>
      <c r="H127" t="s">
        <v>176</v>
      </c>
      <c r="I127" s="18" t="s">
        <v>176</v>
      </c>
      <c r="J127" t="b">
        <f>Table4[[#This Row],[Column8]]=Table4[[#This Row],[Column9]]</f>
        <v>1</v>
      </c>
    </row>
    <row r="128" spans="1:10" x14ac:dyDescent="0.3">
      <c r="A128" s="27">
        <v>44362</v>
      </c>
      <c r="B128">
        <v>52773.05</v>
      </c>
      <c r="C128">
        <v>52720.276949999999</v>
      </c>
      <c r="D128">
        <v>52825.823050000006</v>
      </c>
      <c r="E128" t="s">
        <v>175</v>
      </c>
      <c r="F128" t="s">
        <v>175</v>
      </c>
      <c r="G128" s="18" t="b">
        <f t="shared" si="3"/>
        <v>1</v>
      </c>
      <c r="H128" t="s">
        <v>174</v>
      </c>
      <c r="I128" s="18" t="s">
        <v>176</v>
      </c>
      <c r="J128" t="b">
        <f>Table4[[#This Row],[Column8]]=Table4[[#This Row],[Column9]]</f>
        <v>0</v>
      </c>
    </row>
    <row r="129" spans="1:10" hidden="1" x14ac:dyDescent="0.3">
      <c r="A129" s="27">
        <v>44363</v>
      </c>
      <c r="B129">
        <v>52501.98</v>
      </c>
      <c r="C129">
        <v>52449.478020000002</v>
      </c>
      <c r="D129">
        <v>52554.481980000004</v>
      </c>
      <c r="E129" t="s">
        <v>174</v>
      </c>
      <c r="F129" t="s">
        <v>175</v>
      </c>
      <c r="G129" s="18" t="b">
        <f t="shared" si="3"/>
        <v>0</v>
      </c>
      <c r="H129" t="s">
        <v>175</v>
      </c>
      <c r="I129" s="18" t="s">
        <v>176</v>
      </c>
      <c r="J129" t="b">
        <f>Table4[[#This Row],[Column8]]=Table4[[#This Row],[Column9]]</f>
        <v>0</v>
      </c>
    </row>
    <row r="130" spans="1:10" hidden="1" x14ac:dyDescent="0.3">
      <c r="A130" s="27">
        <v>44364</v>
      </c>
      <c r="B130">
        <v>52323.33</v>
      </c>
      <c r="C130">
        <v>52271.006670000002</v>
      </c>
      <c r="D130">
        <v>52375.653330000001</v>
      </c>
      <c r="E130" t="s">
        <v>174</v>
      </c>
      <c r="F130" t="s">
        <v>175</v>
      </c>
      <c r="G130" s="18" t="b">
        <f t="shared" si="3"/>
        <v>0</v>
      </c>
      <c r="H130" t="s">
        <v>175</v>
      </c>
      <c r="I130" s="18" t="s">
        <v>176</v>
      </c>
      <c r="J130" t="b">
        <f>Table4[[#This Row],[Column8]]=Table4[[#This Row],[Column9]]</f>
        <v>0</v>
      </c>
    </row>
    <row r="131" spans="1:10" hidden="1" x14ac:dyDescent="0.3">
      <c r="A131" s="27">
        <v>44365</v>
      </c>
      <c r="B131">
        <v>52344.45</v>
      </c>
      <c r="C131">
        <v>52292.10555</v>
      </c>
      <c r="D131">
        <v>52396.794449999994</v>
      </c>
      <c r="E131" t="s">
        <v>176</v>
      </c>
      <c r="F131" t="s">
        <v>175</v>
      </c>
      <c r="G131" s="18" t="b">
        <f t="shared" si="3"/>
        <v>0</v>
      </c>
      <c r="H131" t="s">
        <v>176</v>
      </c>
      <c r="I131" s="18" t="s">
        <v>176</v>
      </c>
      <c r="J131" t="b">
        <f>Table4[[#This Row],[Column8]]=Table4[[#This Row],[Column9]]</f>
        <v>1</v>
      </c>
    </row>
    <row r="132" spans="1:10" x14ac:dyDescent="0.3">
      <c r="A132" s="27">
        <v>44368</v>
      </c>
      <c r="B132">
        <v>52574.46</v>
      </c>
      <c r="C132">
        <v>52521.885539999996</v>
      </c>
      <c r="D132">
        <v>52627.034460000003</v>
      </c>
      <c r="E132" t="s">
        <v>175</v>
      </c>
      <c r="F132" t="s">
        <v>175</v>
      </c>
      <c r="G132" s="18" t="b">
        <f t="shared" si="3"/>
        <v>1</v>
      </c>
      <c r="H132" t="s">
        <v>175</v>
      </c>
      <c r="I132" s="18" t="s">
        <v>176</v>
      </c>
      <c r="J132" t="b">
        <f>Table4[[#This Row],[Column8]]=Table4[[#This Row],[Column9]]</f>
        <v>0</v>
      </c>
    </row>
    <row r="133" spans="1:10" hidden="1" x14ac:dyDescent="0.3">
      <c r="A133" s="27">
        <v>44369</v>
      </c>
      <c r="B133">
        <v>52588.71</v>
      </c>
      <c r="C133">
        <v>52536.121289999995</v>
      </c>
      <c r="D133">
        <v>52641.298710000003</v>
      </c>
      <c r="E133" t="s">
        <v>176</v>
      </c>
      <c r="F133" t="s">
        <v>175</v>
      </c>
      <c r="G133" s="18" t="b">
        <f t="shared" si="3"/>
        <v>0</v>
      </c>
      <c r="H133" t="s">
        <v>176</v>
      </c>
      <c r="I133" s="18" t="s">
        <v>176</v>
      </c>
      <c r="J133" t="b">
        <f>Table4[[#This Row],[Column8]]=Table4[[#This Row],[Column9]]</f>
        <v>1</v>
      </c>
    </row>
    <row r="134" spans="1:10" hidden="1" x14ac:dyDescent="0.3">
      <c r="A134" s="27">
        <v>44370</v>
      </c>
      <c r="B134">
        <v>52306.080000000002</v>
      </c>
      <c r="C134">
        <v>52253.77392</v>
      </c>
      <c r="D134">
        <v>52358.386080000004</v>
      </c>
      <c r="E134" t="s">
        <v>174</v>
      </c>
      <c r="F134" t="s">
        <v>175</v>
      </c>
      <c r="G134" s="18" t="b">
        <f t="shared" si="3"/>
        <v>0</v>
      </c>
      <c r="H134" t="s">
        <v>176</v>
      </c>
      <c r="I134" s="18" t="s">
        <v>176</v>
      </c>
      <c r="J134" t="b">
        <f>Table4[[#This Row],[Column8]]=Table4[[#This Row],[Column9]]</f>
        <v>1</v>
      </c>
    </row>
    <row r="135" spans="1:10" hidden="1" x14ac:dyDescent="0.3">
      <c r="A135" s="27">
        <v>44371</v>
      </c>
      <c r="B135">
        <v>52699</v>
      </c>
      <c r="C135">
        <v>52646.300999999999</v>
      </c>
      <c r="D135">
        <v>52751.699000000001</v>
      </c>
      <c r="E135" t="s">
        <v>175</v>
      </c>
      <c r="F135" t="s">
        <v>176</v>
      </c>
      <c r="G135" s="18" t="b">
        <f t="shared" si="3"/>
        <v>0</v>
      </c>
      <c r="H135" t="s">
        <v>175</v>
      </c>
      <c r="I135" s="18" t="s">
        <v>176</v>
      </c>
      <c r="J135" t="b">
        <f>Table4[[#This Row],[Column8]]=Table4[[#This Row],[Column9]]</f>
        <v>0</v>
      </c>
    </row>
    <row r="136" spans="1:10" hidden="1" x14ac:dyDescent="0.3">
      <c r="A136" s="27">
        <v>44372</v>
      </c>
      <c r="B136">
        <v>52925.04</v>
      </c>
      <c r="C136">
        <v>52872.114959999999</v>
      </c>
      <c r="D136">
        <v>52977.965040000003</v>
      </c>
      <c r="E136" t="s">
        <v>175</v>
      </c>
      <c r="F136" t="s">
        <v>174</v>
      </c>
      <c r="G136" s="18" t="b">
        <f t="shared" si="3"/>
        <v>0</v>
      </c>
      <c r="H136" t="s">
        <v>176</v>
      </c>
      <c r="I136" s="18" t="s">
        <v>176</v>
      </c>
      <c r="J136" t="b">
        <f>Table4[[#This Row],[Column8]]=Table4[[#This Row],[Column9]]</f>
        <v>1</v>
      </c>
    </row>
    <row r="137" spans="1:10" hidden="1" x14ac:dyDescent="0.3">
      <c r="A137" s="27">
        <v>44375</v>
      </c>
      <c r="B137">
        <v>52735.59</v>
      </c>
      <c r="C137">
        <v>52682.85441</v>
      </c>
      <c r="D137">
        <v>52788.325589999993</v>
      </c>
      <c r="E137" t="s">
        <v>174</v>
      </c>
      <c r="F137" t="s">
        <v>176</v>
      </c>
      <c r="G137" s="18" t="b">
        <f t="shared" si="3"/>
        <v>0</v>
      </c>
      <c r="H137" t="s">
        <v>174</v>
      </c>
      <c r="I137" s="18" t="s">
        <v>176</v>
      </c>
      <c r="J137" t="b">
        <f>Table4[[#This Row],[Column8]]=Table4[[#This Row],[Column9]]</f>
        <v>0</v>
      </c>
    </row>
    <row r="138" spans="1:10" hidden="1" x14ac:dyDescent="0.3">
      <c r="A138" s="27">
        <v>44376</v>
      </c>
      <c r="B138">
        <v>52549.66</v>
      </c>
      <c r="C138">
        <v>52497.110340000007</v>
      </c>
      <c r="D138">
        <v>52602.20966</v>
      </c>
      <c r="E138" t="s">
        <v>174</v>
      </c>
      <c r="F138" t="s">
        <v>176</v>
      </c>
      <c r="G138" s="18" t="b">
        <f t="shared" si="3"/>
        <v>0</v>
      </c>
      <c r="H138" s="18" t="s">
        <v>176</v>
      </c>
      <c r="I138" s="18" t="s">
        <v>176</v>
      </c>
      <c r="J138" t="b">
        <f>Table4[[#This Row],[Column8]]=Table4[[#This Row],[Column9]]</f>
        <v>1</v>
      </c>
    </row>
    <row r="139" spans="1:10" hidden="1" x14ac:dyDescent="0.3">
      <c r="A139" s="27">
        <v>44377</v>
      </c>
      <c r="B139">
        <v>52482.71</v>
      </c>
      <c r="C139">
        <v>52430.227290000003</v>
      </c>
      <c r="D139">
        <v>52535.192709999996</v>
      </c>
      <c r="E139" t="s">
        <v>174</v>
      </c>
      <c r="F139" t="s">
        <v>175</v>
      </c>
      <c r="G139" s="18" t="b">
        <f t="shared" si="3"/>
        <v>0</v>
      </c>
      <c r="H139" s="18" t="s">
        <v>176</v>
      </c>
      <c r="I139" s="18" t="s">
        <v>176</v>
      </c>
      <c r="J139" t="b">
        <f>Table4[[#This Row],[Column8]]=Table4[[#This Row],[Column9]]</f>
        <v>1</v>
      </c>
    </row>
    <row r="140" spans="1:10" hidden="1" x14ac:dyDescent="0.3">
      <c r="A140" s="27">
        <v>44378</v>
      </c>
      <c r="B140">
        <v>52318.6</v>
      </c>
      <c r="C140">
        <v>52266.2814</v>
      </c>
      <c r="D140">
        <v>52370.918599999997</v>
      </c>
      <c r="E140" t="s">
        <v>174</v>
      </c>
      <c r="F140" t="s">
        <v>176</v>
      </c>
      <c r="G140" s="18" t="b">
        <f t="shared" si="3"/>
        <v>0</v>
      </c>
      <c r="H140" t="s">
        <v>176</v>
      </c>
      <c r="I140" s="18" t="s">
        <v>176</v>
      </c>
      <c r="J140" t="b">
        <f>Table4[[#This Row],[Column8]]=Table4[[#This Row],[Column9]]</f>
        <v>1</v>
      </c>
    </row>
    <row r="141" spans="1:10" x14ac:dyDescent="0.3">
      <c r="A141" s="27">
        <v>44379</v>
      </c>
      <c r="B141">
        <v>52484.67</v>
      </c>
      <c r="C141">
        <v>52432.18533</v>
      </c>
      <c r="D141">
        <v>52537.154669999996</v>
      </c>
      <c r="E141" t="s">
        <v>175</v>
      </c>
      <c r="F141" t="s">
        <v>175</v>
      </c>
      <c r="G141" s="18" t="b">
        <f t="shared" si="3"/>
        <v>1</v>
      </c>
      <c r="H141" t="s">
        <v>176</v>
      </c>
      <c r="I141" s="18" t="s">
        <v>176</v>
      </c>
      <c r="J141" t="b">
        <f>Table4[[#This Row],[Column8]]=Table4[[#This Row],[Column9]]</f>
        <v>1</v>
      </c>
    </row>
    <row r="142" spans="1:10" x14ac:dyDescent="0.3">
      <c r="A142" s="27">
        <v>44382</v>
      </c>
      <c r="B142">
        <v>52880</v>
      </c>
      <c r="C142">
        <v>52827.12</v>
      </c>
      <c r="D142">
        <v>52932.88</v>
      </c>
      <c r="E142" t="s">
        <v>175</v>
      </c>
      <c r="F142" t="s">
        <v>175</v>
      </c>
      <c r="G142" s="18" t="b">
        <f t="shared" si="3"/>
        <v>1</v>
      </c>
      <c r="H142" t="s">
        <v>175</v>
      </c>
      <c r="I142" s="18" t="s">
        <v>176</v>
      </c>
      <c r="J142" t="b">
        <f>Table4[[#This Row],[Column8]]=Table4[[#This Row],[Column9]]</f>
        <v>0</v>
      </c>
    </row>
    <row r="143" spans="1:10" hidden="1" x14ac:dyDescent="0.3">
      <c r="A143" s="27">
        <v>44383</v>
      </c>
      <c r="B143">
        <v>52861.18</v>
      </c>
      <c r="C143">
        <v>52808.31882</v>
      </c>
      <c r="D143">
        <v>52914.04118</v>
      </c>
      <c r="E143" t="s">
        <v>176</v>
      </c>
      <c r="F143" t="s">
        <v>175</v>
      </c>
      <c r="G143" s="18" t="b">
        <f t="shared" si="3"/>
        <v>0</v>
      </c>
      <c r="H143" t="s">
        <v>176</v>
      </c>
      <c r="I143" s="18" t="s">
        <v>176</v>
      </c>
      <c r="J143" t="b">
        <f>Table4[[#This Row],[Column8]]=Table4[[#This Row],[Column9]]</f>
        <v>1</v>
      </c>
    </row>
    <row r="144" spans="1:10" x14ac:dyDescent="0.3">
      <c r="A144" s="27">
        <v>44384</v>
      </c>
      <c r="B144">
        <v>53054.76</v>
      </c>
      <c r="C144">
        <v>53001.705240000003</v>
      </c>
      <c r="D144">
        <v>53107.814760000001</v>
      </c>
      <c r="E144" t="s">
        <v>175</v>
      </c>
      <c r="F144" s="18" t="s">
        <v>175</v>
      </c>
      <c r="G144" s="18" t="b">
        <f t="shared" si="3"/>
        <v>1</v>
      </c>
      <c r="H144" t="s">
        <v>175</v>
      </c>
      <c r="I144" s="18" t="s">
        <v>176</v>
      </c>
      <c r="J144" t="b">
        <f>Table4[[#This Row],[Column8]]=Table4[[#This Row],[Column9]]</f>
        <v>0</v>
      </c>
    </row>
    <row r="145" spans="1:10" hidden="1" x14ac:dyDescent="0.3">
      <c r="A145" s="27">
        <v>44385</v>
      </c>
      <c r="B145">
        <v>52568.94</v>
      </c>
      <c r="C145">
        <v>52516.371060000005</v>
      </c>
      <c r="D145">
        <v>52621.50894</v>
      </c>
      <c r="E145" t="s">
        <v>174</v>
      </c>
      <c r="F145" s="18" t="s">
        <v>174</v>
      </c>
      <c r="G145" s="18" t="b">
        <f t="shared" si="3"/>
        <v>1</v>
      </c>
      <c r="H145" t="s">
        <v>176</v>
      </c>
      <c r="I145" s="18" t="s">
        <v>176</v>
      </c>
      <c r="J145" t="b">
        <f>Table4[[#This Row],[Column8]]=Table4[[#This Row],[Column9]]</f>
        <v>1</v>
      </c>
    </row>
    <row r="146" spans="1:10" hidden="1" x14ac:dyDescent="0.3">
      <c r="A146" s="27">
        <v>44386</v>
      </c>
      <c r="B146">
        <v>52386.19</v>
      </c>
      <c r="C146">
        <v>52333.803810000005</v>
      </c>
      <c r="D146">
        <v>52438.57619</v>
      </c>
      <c r="E146" t="s">
        <v>174</v>
      </c>
      <c r="F146" t="s">
        <v>174</v>
      </c>
      <c r="G146" s="18" t="b">
        <f t="shared" si="3"/>
        <v>1</v>
      </c>
      <c r="H146" t="s">
        <v>174</v>
      </c>
      <c r="I146" s="18" t="s">
        <v>176</v>
      </c>
      <c r="J146" t="b">
        <f>Table4[[#This Row],[Column8]]=Table4[[#This Row],[Column9]]</f>
        <v>0</v>
      </c>
    </row>
    <row r="147" spans="1:10" hidden="1" x14ac:dyDescent="0.3">
      <c r="A147" s="27">
        <v>44389</v>
      </c>
      <c r="B147">
        <v>52372.69</v>
      </c>
      <c r="C147">
        <v>52320.317310000006</v>
      </c>
      <c r="D147">
        <v>52425.062689999999</v>
      </c>
      <c r="E147" t="s">
        <v>176</v>
      </c>
      <c r="F147" t="s">
        <v>175</v>
      </c>
      <c r="G147" s="18" t="b">
        <f t="shared" ref="G147:G160" si="4">E147=F147</f>
        <v>0</v>
      </c>
      <c r="H147" t="s">
        <v>175</v>
      </c>
      <c r="I147" s="18" t="s">
        <v>176</v>
      </c>
      <c r="J147" t="b">
        <f>Table4[[#This Row],[Column8]]=Table4[[#This Row],[Column9]]</f>
        <v>0</v>
      </c>
    </row>
    <row r="148" spans="1:10" x14ac:dyDescent="0.3">
      <c r="A148" s="27">
        <v>44390</v>
      </c>
      <c r="B148">
        <v>52769.73</v>
      </c>
      <c r="C148">
        <v>52716.960270000003</v>
      </c>
      <c r="D148">
        <v>52822.499730000003</v>
      </c>
      <c r="E148" t="s">
        <v>175</v>
      </c>
      <c r="F148" t="s">
        <v>175</v>
      </c>
      <c r="G148" s="18" t="b">
        <f t="shared" si="4"/>
        <v>1</v>
      </c>
      <c r="H148" t="s">
        <v>174</v>
      </c>
      <c r="I148" s="18" t="s">
        <v>176</v>
      </c>
      <c r="J148" t="b">
        <f>Table4[[#This Row],[Column8]]=Table4[[#This Row],[Column9]]</f>
        <v>0</v>
      </c>
    </row>
    <row r="149" spans="1:10" x14ac:dyDescent="0.3">
      <c r="A149" s="27">
        <v>44391</v>
      </c>
      <c r="B149">
        <v>52904.05</v>
      </c>
      <c r="C149">
        <v>52851.145950000006</v>
      </c>
      <c r="D149">
        <v>52956.95405</v>
      </c>
      <c r="E149" t="s">
        <v>175</v>
      </c>
      <c r="F149" t="s">
        <v>175</v>
      </c>
      <c r="G149" s="18" t="b">
        <f t="shared" si="4"/>
        <v>1</v>
      </c>
      <c r="H149" t="s">
        <v>175</v>
      </c>
      <c r="I149" s="18" t="s">
        <v>176</v>
      </c>
      <c r="J149" t="b">
        <f>Table4[[#This Row],[Column8]]=Table4[[#This Row],[Column9]]</f>
        <v>0</v>
      </c>
    </row>
    <row r="150" spans="1:10" hidden="1" x14ac:dyDescent="0.3">
      <c r="A150" s="27">
        <v>44392</v>
      </c>
      <c r="B150">
        <v>53158.85</v>
      </c>
      <c r="C150">
        <v>53105.691149999999</v>
      </c>
      <c r="D150">
        <v>53212.008849999998</v>
      </c>
      <c r="E150" t="s">
        <v>175</v>
      </c>
      <c r="F150" t="s">
        <v>174</v>
      </c>
      <c r="G150" s="18" t="b">
        <f t="shared" si="4"/>
        <v>0</v>
      </c>
      <c r="H150" t="s">
        <v>176</v>
      </c>
      <c r="I150" s="18" t="s">
        <v>176</v>
      </c>
      <c r="J150" t="b">
        <f>Table4[[#This Row],[Column8]]=Table4[[#This Row],[Column9]]</f>
        <v>1</v>
      </c>
    </row>
    <row r="151" spans="1:10" hidden="1" x14ac:dyDescent="0.3">
      <c r="A151" s="27">
        <v>44393</v>
      </c>
      <c r="B151">
        <v>53140.06</v>
      </c>
      <c r="C151">
        <v>53086.91994</v>
      </c>
      <c r="D151">
        <v>53193.200059999996</v>
      </c>
      <c r="E151" t="s">
        <v>176</v>
      </c>
      <c r="F151" t="s">
        <v>175</v>
      </c>
      <c r="G151" s="18" t="b">
        <f t="shared" si="4"/>
        <v>0</v>
      </c>
      <c r="H151" t="s">
        <v>174</v>
      </c>
      <c r="I151" s="18" t="s">
        <v>176</v>
      </c>
      <c r="J151" t="b">
        <f>Table4[[#This Row],[Column8]]=Table4[[#This Row],[Column9]]</f>
        <v>0</v>
      </c>
    </row>
    <row r="152" spans="1:10" hidden="1" x14ac:dyDescent="0.3">
      <c r="A152" s="27">
        <v>44396</v>
      </c>
      <c r="B152">
        <v>52553.4</v>
      </c>
      <c r="C152">
        <v>52500.846600000004</v>
      </c>
      <c r="D152">
        <v>52605.953399999999</v>
      </c>
      <c r="E152" t="s">
        <v>174</v>
      </c>
      <c r="F152" t="s">
        <v>174</v>
      </c>
      <c r="G152" s="18" t="b">
        <f t="shared" si="4"/>
        <v>1</v>
      </c>
      <c r="H152" t="s">
        <v>176</v>
      </c>
      <c r="I152" s="18" t="s">
        <v>174</v>
      </c>
      <c r="J152" t="b">
        <f>Table4[[#This Row],[Column8]]=Table4[[#This Row],[Column9]]</f>
        <v>0</v>
      </c>
    </row>
    <row r="153" spans="1:10" hidden="1" x14ac:dyDescent="0.3">
      <c r="A153" s="27">
        <v>44397</v>
      </c>
      <c r="B153">
        <v>52198.51</v>
      </c>
      <c r="C153">
        <v>52146.31149</v>
      </c>
      <c r="D153">
        <v>52250.708510000004</v>
      </c>
      <c r="E153" t="s">
        <v>174</v>
      </c>
      <c r="F153" t="s">
        <v>175</v>
      </c>
      <c r="G153" s="18" t="b">
        <f t="shared" si="4"/>
        <v>0</v>
      </c>
      <c r="H153" t="s">
        <v>176</v>
      </c>
      <c r="I153" s="18" t="s">
        <v>176</v>
      </c>
      <c r="J153" t="b">
        <f>Table4[[#This Row],[Column8]]=Table4[[#This Row],[Column9]]</f>
        <v>1</v>
      </c>
    </row>
    <row r="154" spans="1:10" hidden="1" x14ac:dyDescent="0.3">
      <c r="A154" s="27">
        <v>44399</v>
      </c>
      <c r="B154">
        <v>52837.21</v>
      </c>
      <c r="C154">
        <v>52784.372790000001</v>
      </c>
      <c r="D154">
        <v>52890.047209999997</v>
      </c>
      <c r="E154" t="s">
        <v>175</v>
      </c>
      <c r="F154" t="s">
        <v>174</v>
      </c>
      <c r="G154" s="18" t="b">
        <f t="shared" si="4"/>
        <v>0</v>
      </c>
      <c r="H154" t="s">
        <v>174</v>
      </c>
      <c r="I154" s="18" t="s">
        <v>175</v>
      </c>
      <c r="J154" t="b">
        <f>Table4[[#This Row],[Column8]]=Table4[[#This Row],[Column9]]</f>
        <v>0</v>
      </c>
    </row>
    <row r="155" spans="1:10" hidden="1" x14ac:dyDescent="0.3">
      <c r="A155" s="27">
        <v>44400</v>
      </c>
      <c r="B155">
        <v>52975.8</v>
      </c>
      <c r="C155">
        <v>52922.824200000003</v>
      </c>
      <c r="D155">
        <v>53028.775800000003</v>
      </c>
      <c r="E155" t="s">
        <v>175</v>
      </c>
      <c r="F155" t="s">
        <v>176</v>
      </c>
      <c r="G155" s="18" t="b">
        <f t="shared" si="4"/>
        <v>0</v>
      </c>
      <c r="H155" t="s">
        <v>175</v>
      </c>
      <c r="I155" s="18" t="s">
        <v>176</v>
      </c>
      <c r="J155" t="b">
        <f>Table4[[#This Row],[Column8]]=Table4[[#This Row],[Column9]]</f>
        <v>0</v>
      </c>
    </row>
    <row r="156" spans="1:10" hidden="1" x14ac:dyDescent="0.3">
      <c r="A156" s="27">
        <v>44403</v>
      </c>
      <c r="B156">
        <v>52852.27</v>
      </c>
      <c r="C156">
        <v>52799.417729999994</v>
      </c>
      <c r="D156">
        <v>52905.12227</v>
      </c>
      <c r="E156" t="s">
        <v>174</v>
      </c>
      <c r="F156" t="s">
        <v>174</v>
      </c>
      <c r="G156" s="18" t="b">
        <f t="shared" si="4"/>
        <v>1</v>
      </c>
      <c r="H156" t="s">
        <v>175</v>
      </c>
      <c r="I156" s="18" t="s">
        <v>176</v>
      </c>
      <c r="J156" t="b">
        <f>Table4[[#This Row],[Column8]]=Table4[[#This Row],[Column9]]</f>
        <v>0</v>
      </c>
    </row>
    <row r="157" spans="1:10" hidden="1" x14ac:dyDescent="0.3">
      <c r="A157" s="27">
        <v>44404</v>
      </c>
      <c r="B157">
        <v>52578.76</v>
      </c>
      <c r="C157">
        <v>52526.181240000005</v>
      </c>
      <c r="D157">
        <v>52631.338759999999</v>
      </c>
      <c r="E157" t="s">
        <v>174</v>
      </c>
      <c r="F157" t="s">
        <v>174</v>
      </c>
      <c r="G157" s="18" t="b">
        <f t="shared" si="4"/>
        <v>1</v>
      </c>
      <c r="H157" t="s">
        <v>176</v>
      </c>
      <c r="I157" s="18" t="s">
        <v>176</v>
      </c>
      <c r="J157" t="b">
        <f>Table4[[#This Row],[Column8]]=Table4[[#This Row],[Column9]]</f>
        <v>1</v>
      </c>
    </row>
    <row r="158" spans="1:10" hidden="1" x14ac:dyDescent="0.3">
      <c r="A158" s="27">
        <v>44405</v>
      </c>
      <c r="B158">
        <v>52443.71</v>
      </c>
      <c r="C158">
        <v>52391.26629</v>
      </c>
      <c r="D158">
        <v>52496.153709999999</v>
      </c>
      <c r="E158" t="s">
        <v>174</v>
      </c>
      <c r="F158" t="s">
        <v>176</v>
      </c>
      <c r="G158" s="18" t="b">
        <f t="shared" si="4"/>
        <v>0</v>
      </c>
      <c r="H158" t="s">
        <v>175</v>
      </c>
      <c r="I158" s="18" t="s">
        <v>176</v>
      </c>
      <c r="J158" t="b">
        <f>Table4[[#This Row],[Column8]]=Table4[[#This Row],[Column9]]</f>
        <v>0</v>
      </c>
    </row>
    <row r="159" spans="1:10" hidden="1" x14ac:dyDescent="0.3">
      <c r="A159" s="27">
        <v>44406</v>
      </c>
      <c r="B159">
        <v>52653.07</v>
      </c>
      <c r="C159">
        <v>52600.416929999999</v>
      </c>
      <c r="D159">
        <v>52705.72307</v>
      </c>
      <c r="E159" t="s">
        <v>175</v>
      </c>
      <c r="F159" t="s">
        <v>176</v>
      </c>
      <c r="G159" s="18" t="b">
        <f t="shared" si="4"/>
        <v>0</v>
      </c>
      <c r="H159" s="18" t="s">
        <v>176</v>
      </c>
      <c r="I159" s="18" t="s">
        <v>176</v>
      </c>
      <c r="J159" t="b">
        <f>Table4[[#This Row],[Column8]]=Table4[[#This Row],[Column9]]</f>
        <v>1</v>
      </c>
    </row>
    <row r="160" spans="1:10" hidden="1" x14ac:dyDescent="0.3">
      <c r="A160" s="27">
        <v>44407</v>
      </c>
      <c r="B160">
        <v>52586.84</v>
      </c>
      <c r="C160">
        <v>52534.253159999993</v>
      </c>
      <c r="D160">
        <v>52639.42684</v>
      </c>
      <c r="E160" t="s">
        <v>174</v>
      </c>
      <c r="F160" t="s">
        <v>174</v>
      </c>
      <c r="G160" s="18" t="b">
        <f t="shared" si="4"/>
        <v>1</v>
      </c>
      <c r="H160" s="18" t="s">
        <v>175</v>
      </c>
      <c r="I160" s="18" t="s">
        <v>176</v>
      </c>
      <c r="J160" t="b">
        <f>Table4[[#This Row],[Column8]]=Table4[[#This Row],[Column9]]</f>
        <v>0</v>
      </c>
    </row>
    <row r="161" spans="1:7" hidden="1" x14ac:dyDescent="0.3">
      <c r="A161" s="27"/>
      <c r="B161" s="18"/>
      <c r="C161" s="18"/>
      <c r="D161" s="18"/>
      <c r="E161" s="18"/>
      <c r="F161" s="18"/>
      <c r="G161" s="18"/>
    </row>
    <row r="162" spans="1:7" hidden="1" x14ac:dyDescent="0.3">
      <c r="A162" s="27"/>
      <c r="B162" s="18"/>
      <c r="C162" s="18"/>
      <c r="D162" s="18"/>
      <c r="E162" s="18"/>
      <c r="F162" s="18"/>
      <c r="G162" s="18"/>
    </row>
    <row r="163" spans="1:7" hidden="1" x14ac:dyDescent="0.3">
      <c r="A163" s="27"/>
      <c r="B163" s="18"/>
      <c r="C163" s="18"/>
      <c r="D163" s="18"/>
      <c r="E163" s="18"/>
      <c r="F163" s="18"/>
      <c r="G163" s="18"/>
    </row>
    <row r="164" spans="1:7" hidden="1" x14ac:dyDescent="0.3">
      <c r="A164" s="27"/>
      <c r="B164" s="18"/>
      <c r="C164" s="18"/>
      <c r="D164" s="18"/>
      <c r="E164" s="18"/>
      <c r="F164" s="18"/>
      <c r="G164" s="18"/>
    </row>
    <row r="165" spans="1:7" x14ac:dyDescent="0.3">
      <c r="G165" s="18"/>
    </row>
    <row r="166" spans="1:7" x14ac:dyDescent="0.3">
      <c r="G166" s="18"/>
    </row>
    <row r="167" spans="1:7" x14ac:dyDescent="0.3">
      <c r="G167" s="18"/>
    </row>
    <row r="168" spans="1:7" x14ac:dyDescent="0.3">
      <c r="G168" s="18"/>
    </row>
    <row r="169" spans="1:7" x14ac:dyDescent="0.3">
      <c r="G169" s="18"/>
    </row>
    <row r="170" spans="1:7" x14ac:dyDescent="0.3">
      <c r="G170" s="18"/>
    </row>
    <row r="171" spans="1:7" x14ac:dyDescent="0.3">
      <c r="G171" s="18"/>
    </row>
    <row r="172" spans="1:7" x14ac:dyDescent="0.3">
      <c r="G172" s="18"/>
    </row>
    <row r="173" spans="1:7" x14ac:dyDescent="0.3">
      <c r="F173" s="18"/>
      <c r="G173" s="18"/>
    </row>
    <row r="174" spans="1:7" x14ac:dyDescent="0.3">
      <c r="F174" s="18"/>
      <c r="G174" s="18"/>
    </row>
    <row r="175" spans="1:7" x14ac:dyDescent="0.3">
      <c r="G175" s="18"/>
    </row>
    <row r="176" spans="1:7" x14ac:dyDescent="0.3">
      <c r="G176" s="18"/>
    </row>
    <row r="177" spans="7:7" x14ac:dyDescent="0.3">
      <c r="G177" s="18"/>
    </row>
    <row r="178" spans="7:7" x14ac:dyDescent="0.3">
      <c r="G178" s="18"/>
    </row>
    <row r="179" spans="7:7" x14ac:dyDescent="0.3">
      <c r="G179" s="18"/>
    </row>
    <row r="180" spans="7:7" x14ac:dyDescent="0.3">
      <c r="G180" s="18"/>
    </row>
    <row r="181" spans="7:7" x14ac:dyDescent="0.3">
      <c r="G181" s="18"/>
    </row>
    <row r="182" spans="7:7" x14ac:dyDescent="0.3">
      <c r="G182" s="18"/>
    </row>
    <row r="183" spans="7:7" x14ac:dyDescent="0.3">
      <c r="G183" s="18"/>
    </row>
    <row r="184" spans="7:7" x14ac:dyDescent="0.3">
      <c r="G184" s="18"/>
    </row>
    <row r="185" spans="7:7" x14ac:dyDescent="0.3">
      <c r="G185" s="18"/>
    </row>
    <row r="186" spans="7:7" x14ac:dyDescent="0.3">
      <c r="G186" s="18"/>
    </row>
  </sheetData>
  <phoneticPr fontId="1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nal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556260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E396"/>
  <sheetViews>
    <sheetView topLeftCell="J1" zoomScale="112" zoomScaleNormal="112" workbookViewId="0">
      <selection activeCell="U17" sqref="U17"/>
    </sheetView>
  </sheetViews>
  <sheetFormatPr defaultRowHeight="14.4" x14ac:dyDescent="0.3"/>
  <cols>
    <col min="1" max="1" width="9.88671875" bestFit="1" customWidth="1"/>
    <col min="7" max="7" width="14.6640625" bestFit="1" customWidth="1"/>
    <col min="8" max="8" width="17.44140625" bestFit="1" customWidth="1"/>
    <col min="9" max="9" width="12.109375" bestFit="1" customWidth="1"/>
    <col min="10" max="10" width="17.33203125" bestFit="1" customWidth="1"/>
    <col min="11" max="11" width="20.33203125" bestFit="1" customWidth="1"/>
    <col min="12" max="12" width="14.6640625" bestFit="1" customWidth="1"/>
    <col min="13" max="13" width="12.109375" bestFit="1" customWidth="1"/>
    <col min="14" max="14" width="14.6640625" bestFit="1" customWidth="1"/>
    <col min="15" max="15" width="9.33203125" bestFit="1" customWidth="1"/>
  </cols>
  <sheetData>
    <row r="1" spans="1:29" x14ac:dyDescent="0.3">
      <c r="A1" s="2" t="s">
        <v>0</v>
      </c>
      <c r="B1" s="2" t="s">
        <v>4</v>
      </c>
      <c r="C1" s="2" t="s">
        <v>9</v>
      </c>
      <c r="D1" s="2" t="s">
        <v>8</v>
      </c>
      <c r="E1" s="2" t="s">
        <v>5</v>
      </c>
      <c r="F1" s="2" t="s">
        <v>7</v>
      </c>
      <c r="G1" s="4" t="s">
        <v>10</v>
      </c>
      <c r="H1" s="4" t="s">
        <v>11</v>
      </c>
      <c r="I1" s="4" t="s">
        <v>12</v>
      </c>
      <c r="J1" s="4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Q1" s="2"/>
      <c r="R1" s="2">
        <v>-1</v>
      </c>
      <c r="S1" s="2">
        <v>0</v>
      </c>
      <c r="T1" s="2">
        <v>1</v>
      </c>
    </row>
    <row r="2" spans="1:29" x14ac:dyDescent="0.3">
      <c r="A2" s="1">
        <v>43831</v>
      </c>
      <c r="B2">
        <v>41306.019999999997</v>
      </c>
      <c r="C2">
        <f>Table1[[#This Row],[Close]]-0.001*Table1[[#This Row],[Close]]</f>
        <v>41264.713979999993</v>
      </c>
      <c r="D2">
        <f>Table1[[#This Row],[Close]]+0.001*Table1[[#This Row],[Close]]</f>
        <v>41347.32602</v>
      </c>
      <c r="E2" t="str">
        <f>IF(Table1[[#This Row],[Close]]&gt;D1,"UP",IF(Table1[[#This Row],[Close]]&lt;C1,"Down","Constant"))</f>
        <v>Down</v>
      </c>
      <c r="F2" s="3">
        <f>IF(Table1[[#This Row],[Column1]]="Up",1,IF(Table1[[#This Row],[Column1]]="Down",-1,0))</f>
        <v>-1</v>
      </c>
      <c r="G2" s="3">
        <f>IF(AND(Table1[[#This Row],[STATES in numeric format]]=-1,F1=-1),1,0)</f>
        <v>0</v>
      </c>
      <c r="H2" s="3">
        <f>IF(AND(Table1[[#This Row],[STATES in numeric format]]=-1,F1=0),1,0)</f>
        <v>0</v>
      </c>
      <c r="I2" s="3">
        <f>IF(AND(Table1[[#This Row],[STATES in numeric format]]=-1,F1=1),1,0)</f>
        <v>0</v>
      </c>
      <c r="J2" s="3">
        <f>IF(AND(Table1[[#This Row],[STATES in numeric format]]=0,F1=-1),1,0)</f>
        <v>0</v>
      </c>
      <c r="K2" s="3">
        <f>IF(AND(Table1[[#This Row],[STATES in numeric format]]=0,F1=0),1,0)</f>
        <v>0</v>
      </c>
      <c r="L2" s="3">
        <f>IF(AND(Table1[[#This Row],[STATES in numeric format]]=0,F1=1),1,0)</f>
        <v>0</v>
      </c>
      <c r="M2" s="3">
        <f>IF(AND(Table1[[#This Row],[STATES in numeric format]]=1,F1=-1),1,0)</f>
        <v>0</v>
      </c>
      <c r="N2" s="3">
        <f>IF(AND(Table1[[#This Row],[STATES in numeric format]]=1,F1=0),1,0)</f>
        <v>0</v>
      </c>
      <c r="O2" s="3">
        <f>IF(AND(Table1[[#This Row],[STATES in numeric format]]=1,F1=1),1,0)</f>
        <v>0</v>
      </c>
      <c r="Q2" s="2">
        <v>-1</v>
      </c>
      <c r="R2" s="5">
        <f>SUM(Table1[Down/Down])</f>
        <v>68</v>
      </c>
      <c r="S2" s="6">
        <f>SUM(Table1[Constant/down])</f>
        <v>10</v>
      </c>
      <c r="T2" s="7">
        <f>SUM(Table1[Up/Down])</f>
        <v>74</v>
      </c>
      <c r="U2">
        <f>SUM(R2:T2)</f>
        <v>152</v>
      </c>
      <c r="W2" t="s">
        <v>134</v>
      </c>
      <c r="AA2" t="s">
        <v>135</v>
      </c>
    </row>
    <row r="3" spans="1:29" x14ac:dyDescent="0.3">
      <c r="A3" s="1">
        <v>43832</v>
      </c>
      <c r="B3">
        <v>41464.639999999999</v>
      </c>
      <c r="C3">
        <f>Table1[[#This Row],[Close]]-0.001*Table1[[#This Row],[Close]]</f>
        <v>41423.175360000001</v>
      </c>
      <c r="D3">
        <f>Table1[[#This Row],[Close]]+0.001*Table1[[#This Row],[Close]]</f>
        <v>41506.104639999998</v>
      </c>
      <c r="E3" t="str">
        <f>IF(Table1[[#This Row],[Close]]&gt;D2,"UP",IF(Table1[[#This Row],[Close]]&lt;C2,"Down","Constant"))</f>
        <v>UP</v>
      </c>
      <c r="F3" s="3">
        <f>IF(Table1[[#This Row],[Column1]]="Up",1,IF(Table1[[#This Row],[Column1]]="Down",-1,0))</f>
        <v>1</v>
      </c>
      <c r="G3" s="3">
        <f>IF(AND(Table1[[#This Row],[STATES in numeric format]]=-1,F2=-1),1,0)</f>
        <v>0</v>
      </c>
      <c r="H3" s="3">
        <f>IF(AND(Table1[[#This Row],[STATES in numeric format]]=-1,F2=0),1,0)</f>
        <v>0</v>
      </c>
      <c r="I3" s="3">
        <f>IF(AND(Table1[[#This Row],[STATES in numeric format]]=-1,F2=1),1,0)</f>
        <v>0</v>
      </c>
      <c r="J3" s="3">
        <f>IF(AND(Table1[[#This Row],[STATES in numeric format]]=0,F2=-1),1,0)</f>
        <v>0</v>
      </c>
      <c r="K3" s="3">
        <f>IF(AND(Table1[[#This Row],[STATES in numeric format]]=0,F2=0),1,0)</f>
        <v>0</v>
      </c>
      <c r="L3" s="3">
        <f>IF(AND(Table1[[#This Row],[STATES in numeric format]]=0,F2=1),1,0)</f>
        <v>0</v>
      </c>
      <c r="M3" s="3">
        <f>IF(AND(Table1[[#This Row],[STATES in numeric format]]=1,F2=-1),1,0)</f>
        <v>1</v>
      </c>
      <c r="N3" s="3">
        <f>IF(AND(Table1[[#This Row],[STATES in numeric format]]=1,F2=0),1,0)</f>
        <v>0</v>
      </c>
      <c r="O3" s="3">
        <f>IF(AND(Table1[[#This Row],[STATES in numeric format]]=1,F2=1),1,0)</f>
        <v>0</v>
      </c>
      <c r="Q3" s="2">
        <v>0</v>
      </c>
      <c r="R3" s="8">
        <f>SUM(Table1[Down/Constant])</f>
        <v>13</v>
      </c>
      <c r="S3" s="9">
        <f>SUM(K3:K253)</f>
        <v>1</v>
      </c>
      <c r="T3" s="10">
        <f>SUM(Table1[Up/constant])</f>
        <v>20</v>
      </c>
      <c r="U3">
        <f>SUM(R3:T3)</f>
        <v>34</v>
      </c>
      <c r="W3">
        <f>U2/U5</f>
        <v>0.38676844783715014</v>
      </c>
      <c r="X3">
        <f>U3/U5</f>
        <v>8.6513994910941472E-2</v>
      </c>
      <c r="Y3">
        <f>U4/U5</f>
        <v>0.52671755725190839</v>
      </c>
      <c r="AA3">
        <f t="array" ref="AA3:AC3">MMULT(W3:Y3,R8:T10)</f>
        <v>0.38676844783715014</v>
      </c>
      <c r="AB3">
        <v>8.6513994910941472E-2</v>
      </c>
      <c r="AC3">
        <v>0.52671755725190839</v>
      </c>
    </row>
    <row r="4" spans="1:29" x14ac:dyDescent="0.3">
      <c r="A4" s="1">
        <v>43833</v>
      </c>
      <c r="B4">
        <v>41464.61</v>
      </c>
      <c r="C4">
        <f>Table1[[#This Row],[Close]]-0.001*Table1[[#This Row],[Close]]</f>
        <v>41423.145389999998</v>
      </c>
      <c r="D4">
        <f>Table1[[#This Row],[Close]]+0.001*Table1[[#This Row],[Close]]</f>
        <v>41506.074610000003</v>
      </c>
      <c r="E4" t="str">
        <f>IF(Table1[[#This Row],[Close]]&gt;D3,"UP",IF(Table1[[#This Row],[Close]]&lt;C3,"Down","Constant"))</f>
        <v>Constant</v>
      </c>
      <c r="F4" s="3">
        <f>IF(Table1[[#This Row],[Column1]]="Up",1,IF(Table1[[#This Row],[Column1]]="Down",-1,0))</f>
        <v>0</v>
      </c>
      <c r="G4" s="3">
        <f>IF(AND(Table1[[#This Row],[STATES in numeric format]]=-1,F3=-1),1,0)</f>
        <v>0</v>
      </c>
      <c r="H4" s="3">
        <f>IF(AND(Table1[[#This Row],[STATES in numeric format]]=-1,F3=0),1,0)</f>
        <v>0</v>
      </c>
      <c r="I4" s="3">
        <f>IF(AND(Table1[[#This Row],[STATES in numeric format]]=-1,F3=1),1,0)</f>
        <v>0</v>
      </c>
      <c r="J4" s="3">
        <f>IF(AND(Table1[[#This Row],[STATES in numeric format]]=0,F3=-1),1,0)</f>
        <v>0</v>
      </c>
      <c r="K4" s="3">
        <f>IF(AND(Table1[[#This Row],[STATES in numeric format]]=0,F3=0),1,0)</f>
        <v>0</v>
      </c>
      <c r="L4" s="3">
        <f>IF(AND(Table1[[#This Row],[STATES in numeric format]]=0,F3=1),1,0)</f>
        <v>1</v>
      </c>
      <c r="M4" s="3">
        <f>IF(AND(Table1[[#This Row],[STATES in numeric format]]=1,F3=-1),1,0)</f>
        <v>0</v>
      </c>
      <c r="N4" s="3">
        <f>IF(AND(Table1[[#This Row],[STATES in numeric format]]=1,F3=0),1,0)</f>
        <v>0</v>
      </c>
      <c r="O4" s="3">
        <f>IF(AND(Table1[[#This Row],[STATES in numeric format]]=1,F3=1),1,0)</f>
        <v>0</v>
      </c>
      <c r="Q4" s="2">
        <v>1</v>
      </c>
      <c r="R4" s="11">
        <f>SUM(Table1[Down/Up])</f>
        <v>71</v>
      </c>
      <c r="S4" s="12">
        <f>SUM(Table1[Constant/up])</f>
        <v>23</v>
      </c>
      <c r="T4" s="13">
        <f>SUM(Table1[Up/up])</f>
        <v>113</v>
      </c>
      <c r="U4">
        <f>SUM(R4:T4)</f>
        <v>207</v>
      </c>
    </row>
    <row r="5" spans="1:29" x14ac:dyDescent="0.3">
      <c r="A5" s="1">
        <v>43836</v>
      </c>
      <c r="B5">
        <v>40676.629999999997</v>
      </c>
      <c r="C5">
        <f>Table1[[#This Row],[Close]]-0.001*Table1[[#This Row],[Close]]</f>
        <v>40635.953369999996</v>
      </c>
      <c r="D5">
        <f>Table1[[#This Row],[Close]]+0.001*Table1[[#This Row],[Close]]</f>
        <v>40717.306629999999</v>
      </c>
      <c r="E5" t="str">
        <f>IF(Table1[[#This Row],[Close]]&gt;D4,"UP",IF(Table1[[#This Row],[Close]]&lt;C4,"Down","Constant"))</f>
        <v>Down</v>
      </c>
      <c r="F5" s="3">
        <f>IF(Table1[[#This Row],[Column1]]="Up",1,IF(Table1[[#This Row],[Column1]]="Down",-1,0))</f>
        <v>-1</v>
      </c>
      <c r="G5" s="3">
        <f>IF(AND(Table1[[#This Row],[STATES in numeric format]]=-1,F4=-1),1,0)</f>
        <v>0</v>
      </c>
      <c r="H5" s="3">
        <f>IF(AND(Table1[[#This Row],[STATES in numeric format]]=-1,F4=0),1,0)</f>
        <v>1</v>
      </c>
      <c r="I5" s="3">
        <f>IF(AND(Table1[[#This Row],[STATES in numeric format]]=-1,F4=1),1,0)</f>
        <v>0</v>
      </c>
      <c r="J5" s="3">
        <f>IF(AND(Table1[[#This Row],[STATES in numeric format]]=0,F4=-1),1,0)</f>
        <v>0</v>
      </c>
      <c r="K5" s="3">
        <f>IF(AND(Table1[[#This Row],[STATES in numeric format]]=0,F4=0),1,0)</f>
        <v>0</v>
      </c>
      <c r="L5" s="3">
        <f>IF(AND(Table1[[#This Row],[STATES in numeric format]]=0,F4=1),1,0)</f>
        <v>0</v>
      </c>
      <c r="M5" s="3">
        <f>IF(AND(Table1[[#This Row],[STATES in numeric format]]=1,F4=-1),1,0)</f>
        <v>0</v>
      </c>
      <c r="N5" s="3">
        <f>IF(AND(Table1[[#This Row],[STATES in numeric format]]=1,F4=0),1,0)</f>
        <v>0</v>
      </c>
      <c r="O5" s="3">
        <f>IF(AND(Table1[[#This Row],[STATES in numeric format]]=1,F4=1),1,0)</f>
        <v>0</v>
      </c>
      <c r="U5">
        <f>SUM(U2:U4)</f>
        <v>393</v>
      </c>
    </row>
    <row r="6" spans="1:29" x14ac:dyDescent="0.3">
      <c r="A6" s="1">
        <v>43837</v>
      </c>
      <c r="B6">
        <v>40869.47</v>
      </c>
      <c r="C6">
        <f>Table1[[#This Row],[Close]]-0.001*Table1[[#This Row],[Close]]</f>
        <v>40828.600530000003</v>
      </c>
      <c r="D6">
        <f>Table1[[#This Row],[Close]]+0.001*Table1[[#This Row],[Close]]</f>
        <v>40910.339469999999</v>
      </c>
      <c r="E6" t="str">
        <f>IF(Table1[[#This Row],[Close]]&gt;D5,"UP",IF(Table1[[#This Row],[Close]]&lt;C5,"Down","Constant"))</f>
        <v>UP</v>
      </c>
      <c r="F6" s="3">
        <f>IF(Table1[[#This Row],[Column1]]="Up",1,IF(Table1[[#This Row],[Column1]]="Down",-1,0))</f>
        <v>1</v>
      </c>
      <c r="G6" s="3">
        <f>IF(AND(Table1[[#This Row],[STATES in numeric format]]=-1,F5=-1),1,0)</f>
        <v>0</v>
      </c>
      <c r="H6" s="3">
        <f>IF(AND(Table1[[#This Row],[STATES in numeric format]]=-1,F5=0),1,0)</f>
        <v>0</v>
      </c>
      <c r="I6" s="3">
        <f>IF(AND(Table1[[#This Row],[STATES in numeric format]]=-1,F5=1),1,0)</f>
        <v>0</v>
      </c>
      <c r="J6" s="3">
        <f>IF(AND(Table1[[#This Row],[STATES in numeric format]]=0,F5=-1),1,0)</f>
        <v>0</v>
      </c>
      <c r="K6" s="3">
        <f>IF(AND(Table1[[#This Row],[STATES in numeric format]]=0,F5=0),1,0)</f>
        <v>0</v>
      </c>
      <c r="L6" s="3">
        <f>IF(AND(Table1[[#This Row],[STATES in numeric format]]=0,F5=1),1,0)</f>
        <v>0</v>
      </c>
      <c r="M6" s="3">
        <f>IF(AND(Table1[[#This Row],[STATES in numeric format]]=1,F5=-1),1,0)</f>
        <v>1</v>
      </c>
      <c r="N6" s="3">
        <f>IF(AND(Table1[[#This Row],[STATES in numeric format]]=1,F5=0),1,0)</f>
        <v>0</v>
      </c>
      <c r="O6" s="3">
        <f>IF(AND(Table1[[#This Row],[STATES in numeric format]]=1,F5=1),1,0)</f>
        <v>0</v>
      </c>
    </row>
    <row r="7" spans="1:29" x14ac:dyDescent="0.3">
      <c r="A7" s="1">
        <v>43838</v>
      </c>
      <c r="B7">
        <v>40817.74</v>
      </c>
      <c r="C7">
        <f>Table1[[#This Row],[Close]]-0.001*Table1[[#This Row],[Close]]</f>
        <v>40776.922259999999</v>
      </c>
      <c r="D7">
        <f>Table1[[#This Row],[Close]]+0.001*Table1[[#This Row],[Close]]</f>
        <v>40858.557739999997</v>
      </c>
      <c r="E7" t="str">
        <f>IF(Table1[[#This Row],[Close]]&gt;D6,"UP",IF(Table1[[#This Row],[Close]]&lt;C6,"Down","Constant"))</f>
        <v>Down</v>
      </c>
      <c r="F7" s="3">
        <f>IF(Table1[[#This Row],[Column1]]="Up",1,IF(Table1[[#This Row],[Column1]]="Down",-1,0))</f>
        <v>-1</v>
      </c>
      <c r="G7" s="3">
        <f>IF(AND(Table1[[#This Row],[STATES in numeric format]]=-1,F6=-1),1,0)</f>
        <v>0</v>
      </c>
      <c r="H7" s="3">
        <f>IF(AND(Table1[[#This Row],[STATES in numeric format]]=-1,F6=0),1,0)</f>
        <v>0</v>
      </c>
      <c r="I7" s="3">
        <f>IF(AND(Table1[[#This Row],[STATES in numeric format]]=-1,F6=1),1,0)</f>
        <v>1</v>
      </c>
      <c r="J7" s="3">
        <f>IF(AND(Table1[[#This Row],[STATES in numeric format]]=0,F6=-1),1,0)</f>
        <v>0</v>
      </c>
      <c r="K7" s="3">
        <f>IF(AND(Table1[[#This Row],[STATES in numeric format]]=0,F6=0),1,0)</f>
        <v>0</v>
      </c>
      <c r="L7" s="3">
        <f>IF(AND(Table1[[#This Row],[STATES in numeric format]]=0,F6=1),1,0)</f>
        <v>0</v>
      </c>
      <c r="M7" s="3">
        <f>IF(AND(Table1[[#This Row],[STATES in numeric format]]=1,F6=-1),1,0)</f>
        <v>0</v>
      </c>
      <c r="N7" s="3">
        <f>IF(AND(Table1[[#This Row],[STATES in numeric format]]=1,F6=0),1,0)</f>
        <v>0</v>
      </c>
      <c r="O7" s="3">
        <f>IF(AND(Table1[[#This Row],[STATES in numeric format]]=1,F6=1),1,0)</f>
        <v>0</v>
      </c>
      <c r="R7">
        <v>-1</v>
      </c>
      <c r="S7">
        <v>0</v>
      </c>
      <c r="T7">
        <v>1</v>
      </c>
      <c r="U7" t="s">
        <v>133</v>
      </c>
      <c r="W7">
        <f t="array" ref="W7:Y7">MMULT(W3:Y3,R28:T30)</f>
        <v>0.38676844783715014</v>
      </c>
      <c r="X7">
        <v>8.6513994910941472E-2</v>
      </c>
      <c r="Y7">
        <v>0.52671755725190827</v>
      </c>
    </row>
    <row r="8" spans="1:29" x14ac:dyDescent="0.3">
      <c r="A8" s="1">
        <v>43839</v>
      </c>
      <c r="B8">
        <v>41452.35</v>
      </c>
      <c r="C8">
        <f>Table1[[#This Row],[Close]]-0.001*Table1[[#This Row],[Close]]</f>
        <v>41410.897649999999</v>
      </c>
      <c r="D8">
        <f>Table1[[#This Row],[Close]]+0.001*Table1[[#This Row],[Close]]</f>
        <v>41493.802349999998</v>
      </c>
      <c r="E8" t="str">
        <f>IF(Table1[[#This Row],[Close]]&gt;D7,"UP",IF(Table1[[#This Row],[Close]]&lt;C7,"Down","Constant"))</f>
        <v>UP</v>
      </c>
      <c r="F8" s="3">
        <f>IF(Table1[[#This Row],[Column1]]="Up",1,IF(Table1[[#This Row],[Column1]]="Down",-1,0))</f>
        <v>1</v>
      </c>
      <c r="G8" s="3">
        <f>IF(AND(Table1[[#This Row],[STATES in numeric format]]=-1,F7=-1),1,0)</f>
        <v>0</v>
      </c>
      <c r="H8" s="3">
        <f>IF(AND(Table1[[#This Row],[STATES in numeric format]]=-1,F7=0),1,0)</f>
        <v>0</v>
      </c>
      <c r="I8" s="3">
        <f>IF(AND(Table1[[#This Row],[STATES in numeric format]]=-1,F7=1),1,0)</f>
        <v>0</v>
      </c>
      <c r="J8" s="3">
        <f>IF(AND(Table1[[#This Row],[STATES in numeric format]]=0,F7=-1),1,0)</f>
        <v>0</v>
      </c>
      <c r="K8" s="3">
        <f>IF(AND(Table1[[#This Row],[STATES in numeric format]]=0,F7=0),1,0)</f>
        <v>0</v>
      </c>
      <c r="L8" s="3">
        <f>IF(AND(Table1[[#This Row],[STATES in numeric format]]=0,F7=1),1,0)</f>
        <v>0</v>
      </c>
      <c r="M8" s="3">
        <f>IF(AND(Table1[[#This Row],[STATES in numeric format]]=1,F7=-1),1,0)</f>
        <v>1</v>
      </c>
      <c r="N8" s="3">
        <f>IF(AND(Table1[[#This Row],[STATES in numeric format]]=1,F7=0),1,0)</f>
        <v>0</v>
      </c>
      <c r="O8" s="3">
        <f>IF(AND(Table1[[#This Row],[STATES in numeric format]]=1,F7=1),1,0)</f>
        <v>0</v>
      </c>
      <c r="P8" t="s">
        <v>130</v>
      </c>
      <c r="Q8">
        <v>-1</v>
      </c>
      <c r="R8">
        <f>R2/$U$2</f>
        <v>0.44736842105263158</v>
      </c>
      <c r="S8" s="18">
        <f t="shared" ref="S8:T8" si="0">S2/$U$2</f>
        <v>6.5789473684210523E-2</v>
      </c>
      <c r="T8" s="18">
        <f t="shared" si="0"/>
        <v>0.48684210526315791</v>
      </c>
      <c r="U8">
        <f>SUM(R8:T8)</f>
        <v>1</v>
      </c>
    </row>
    <row r="9" spans="1:29" x14ac:dyDescent="0.3">
      <c r="A9" s="1">
        <v>43840</v>
      </c>
      <c r="B9">
        <v>41599.72</v>
      </c>
      <c r="C9">
        <f>Table1[[#This Row],[Close]]-0.001*Table1[[#This Row],[Close]]</f>
        <v>41558.120280000003</v>
      </c>
      <c r="D9">
        <f>Table1[[#This Row],[Close]]+0.001*Table1[[#This Row],[Close]]</f>
        <v>41641.31972</v>
      </c>
      <c r="E9" t="str">
        <f>IF(Table1[[#This Row],[Close]]&gt;D8,"UP",IF(Table1[[#This Row],[Close]]&lt;C8,"Down","Constant"))</f>
        <v>UP</v>
      </c>
      <c r="F9" s="3">
        <f>IF(Table1[[#This Row],[Column1]]="Up",1,IF(Table1[[#This Row],[Column1]]="Down",-1,0))</f>
        <v>1</v>
      </c>
      <c r="G9" s="3">
        <f>IF(AND(Table1[[#This Row],[STATES in numeric format]]=-1,F8=-1),1,0)</f>
        <v>0</v>
      </c>
      <c r="H9" s="3">
        <f>IF(AND(Table1[[#This Row],[STATES in numeric format]]=-1,F8=0),1,0)</f>
        <v>0</v>
      </c>
      <c r="I9" s="3">
        <f>IF(AND(Table1[[#This Row],[STATES in numeric format]]=-1,F8=1),1,0)</f>
        <v>0</v>
      </c>
      <c r="J9" s="3">
        <f>IF(AND(Table1[[#This Row],[STATES in numeric format]]=0,F8=-1),1,0)</f>
        <v>0</v>
      </c>
      <c r="K9" s="3">
        <f>IF(AND(Table1[[#This Row],[STATES in numeric format]]=0,F8=0),1,0)</f>
        <v>0</v>
      </c>
      <c r="L9" s="3">
        <f>IF(AND(Table1[[#This Row],[STATES in numeric format]]=0,F8=1),1,0)</f>
        <v>0</v>
      </c>
      <c r="M9" s="3">
        <f>IF(AND(Table1[[#This Row],[STATES in numeric format]]=1,F8=-1),1,0)</f>
        <v>0</v>
      </c>
      <c r="N9" s="3">
        <f>IF(AND(Table1[[#This Row],[STATES in numeric format]]=1,F8=0),1,0)</f>
        <v>0</v>
      </c>
      <c r="O9" s="3">
        <f>IF(AND(Table1[[#This Row],[STATES in numeric format]]=1,F8=1),1,0)</f>
        <v>1</v>
      </c>
      <c r="Q9">
        <v>0</v>
      </c>
      <c r="R9">
        <f>R3/$U$3</f>
        <v>0.38235294117647056</v>
      </c>
      <c r="S9" s="18">
        <f t="shared" ref="S9:T9" si="1">S3/$U$3</f>
        <v>2.9411764705882353E-2</v>
      </c>
      <c r="T9" s="18">
        <f t="shared" si="1"/>
        <v>0.58823529411764708</v>
      </c>
      <c r="U9" s="18">
        <f t="shared" ref="U9:U10" si="2">SUM(R9:T9)</f>
        <v>1</v>
      </c>
    </row>
    <row r="10" spans="1:29" x14ac:dyDescent="0.3">
      <c r="A10" s="1">
        <v>43843</v>
      </c>
      <c r="B10">
        <v>41859.69</v>
      </c>
      <c r="C10">
        <f>Table1[[#This Row],[Close]]-0.001*Table1[[#This Row],[Close]]</f>
        <v>41817.830310000005</v>
      </c>
      <c r="D10">
        <f>Table1[[#This Row],[Close]]+0.001*Table1[[#This Row],[Close]]</f>
        <v>41901.54969</v>
      </c>
      <c r="E10" t="str">
        <f>IF(Table1[[#This Row],[Close]]&gt;D9,"UP",IF(Table1[[#This Row],[Close]]&lt;C9,"Down","Constant"))</f>
        <v>UP</v>
      </c>
      <c r="F10" s="3">
        <f>IF(Table1[[#This Row],[Column1]]="Up",1,IF(Table1[[#This Row],[Column1]]="Down",-1,0))</f>
        <v>1</v>
      </c>
      <c r="G10" s="3">
        <f>IF(AND(Table1[[#This Row],[STATES in numeric format]]=-1,F9=-1),1,0)</f>
        <v>0</v>
      </c>
      <c r="H10" s="3">
        <f>IF(AND(Table1[[#This Row],[STATES in numeric format]]=-1,F9=0),1,0)</f>
        <v>0</v>
      </c>
      <c r="I10" s="3">
        <f>IF(AND(Table1[[#This Row],[STATES in numeric format]]=-1,F9=1),1,0)</f>
        <v>0</v>
      </c>
      <c r="J10" s="3">
        <f>IF(AND(Table1[[#This Row],[STATES in numeric format]]=0,F9=-1),1,0)</f>
        <v>0</v>
      </c>
      <c r="K10" s="3">
        <f>IF(AND(Table1[[#This Row],[STATES in numeric format]]=0,F9=0),1,0)</f>
        <v>0</v>
      </c>
      <c r="L10" s="3">
        <f>IF(AND(Table1[[#This Row],[STATES in numeric format]]=0,F9=1),1,0)</f>
        <v>0</v>
      </c>
      <c r="M10" s="3">
        <f>IF(AND(Table1[[#This Row],[STATES in numeric format]]=1,F9=-1),1,0)</f>
        <v>0</v>
      </c>
      <c r="N10" s="3">
        <f>IF(AND(Table1[[#This Row],[STATES in numeric format]]=1,F9=0),1,0)</f>
        <v>0</v>
      </c>
      <c r="O10" s="3">
        <f>IF(AND(Table1[[#This Row],[STATES in numeric format]]=1,F9=1),1,0)</f>
        <v>1</v>
      </c>
      <c r="Q10">
        <v>1</v>
      </c>
      <c r="R10">
        <f>R4/$U$4</f>
        <v>0.34299516908212563</v>
      </c>
      <c r="S10" s="18">
        <f t="shared" ref="S10:T10" si="3">S4/$U$4</f>
        <v>0.1111111111111111</v>
      </c>
      <c r="T10" s="18">
        <f t="shared" si="3"/>
        <v>0.54589371980676327</v>
      </c>
      <c r="U10" s="18">
        <f t="shared" si="2"/>
        <v>1</v>
      </c>
    </row>
    <row r="11" spans="1:29" x14ac:dyDescent="0.3">
      <c r="A11" s="1">
        <v>43844</v>
      </c>
      <c r="B11">
        <v>41952.63</v>
      </c>
      <c r="C11">
        <f>Table1[[#This Row],[Close]]-0.001*Table1[[#This Row],[Close]]</f>
        <v>41910.677369999998</v>
      </c>
      <c r="D11">
        <f>Table1[[#This Row],[Close]]+0.001*Table1[[#This Row],[Close]]</f>
        <v>41994.582629999997</v>
      </c>
      <c r="E11" t="str">
        <f>IF(Table1[[#This Row],[Close]]&gt;D10,"UP",IF(Table1[[#This Row],[Close]]&lt;C10,"Down","Constant"))</f>
        <v>UP</v>
      </c>
      <c r="F11" s="3">
        <f>IF(Table1[[#This Row],[Column1]]="Up",1,IF(Table1[[#This Row],[Column1]]="Down",-1,0))</f>
        <v>1</v>
      </c>
      <c r="G11" s="3">
        <f>IF(AND(Table1[[#This Row],[STATES in numeric format]]=-1,F10=-1),1,0)</f>
        <v>0</v>
      </c>
      <c r="H11" s="3">
        <f>IF(AND(Table1[[#This Row],[STATES in numeric format]]=-1,F10=0),1,0)</f>
        <v>0</v>
      </c>
      <c r="I11" s="3">
        <f>IF(AND(Table1[[#This Row],[STATES in numeric format]]=-1,F10=1),1,0)</f>
        <v>0</v>
      </c>
      <c r="J11" s="3">
        <f>IF(AND(Table1[[#This Row],[STATES in numeric format]]=0,F10=-1),1,0)</f>
        <v>0</v>
      </c>
      <c r="K11" s="3">
        <f>IF(AND(Table1[[#This Row],[STATES in numeric format]]=0,F10=0),1,0)</f>
        <v>0</v>
      </c>
      <c r="L11" s="3">
        <f>IF(AND(Table1[[#This Row],[STATES in numeric format]]=0,F10=1),1,0)</f>
        <v>0</v>
      </c>
      <c r="M11" s="3">
        <f>IF(AND(Table1[[#This Row],[STATES in numeric format]]=1,F10=-1),1,0)</f>
        <v>0</v>
      </c>
      <c r="N11" s="3">
        <f>IF(AND(Table1[[#This Row],[STATES in numeric format]]=1,F10=0),1,0)</f>
        <v>0</v>
      </c>
      <c r="O11" s="3">
        <f>IF(AND(Table1[[#This Row],[STATES in numeric format]]=1,F10=1),1,0)</f>
        <v>1</v>
      </c>
    </row>
    <row r="12" spans="1:29" x14ac:dyDescent="0.3">
      <c r="A12" s="1">
        <v>43845</v>
      </c>
      <c r="B12">
        <v>41872.730000000003</v>
      </c>
      <c r="C12">
        <f>Table1[[#This Row],[Close]]-0.001*Table1[[#This Row],[Close]]</f>
        <v>41830.85727</v>
      </c>
      <c r="D12">
        <f>Table1[[#This Row],[Close]]+0.001*Table1[[#This Row],[Close]]</f>
        <v>41914.602730000006</v>
      </c>
      <c r="E12" t="str">
        <f>IF(Table1[[#This Row],[Close]]&gt;D11,"UP",IF(Table1[[#This Row],[Close]]&lt;C11,"Down","Constant"))</f>
        <v>Down</v>
      </c>
      <c r="F12" s="3">
        <f>IF(Table1[[#This Row],[Column1]]="Up",1,IF(Table1[[#This Row],[Column1]]="Down",-1,0))</f>
        <v>-1</v>
      </c>
      <c r="G12" s="3">
        <f>IF(AND(Table1[[#This Row],[STATES in numeric format]]=-1,F11=-1),1,0)</f>
        <v>0</v>
      </c>
      <c r="H12" s="3">
        <f>IF(AND(Table1[[#This Row],[STATES in numeric format]]=-1,F11=0),1,0)</f>
        <v>0</v>
      </c>
      <c r="I12" s="3">
        <f>IF(AND(Table1[[#This Row],[STATES in numeric format]]=-1,F11=1),1,0)</f>
        <v>1</v>
      </c>
      <c r="J12" s="3">
        <f>IF(AND(Table1[[#This Row],[STATES in numeric format]]=0,F11=-1),1,0)</f>
        <v>0</v>
      </c>
      <c r="K12" s="3">
        <f>IF(AND(Table1[[#This Row],[STATES in numeric format]]=0,F11=0),1,0)</f>
        <v>0</v>
      </c>
      <c r="L12" s="3">
        <f>IF(AND(Table1[[#This Row],[STATES in numeric format]]=0,F11=1),1,0)</f>
        <v>0</v>
      </c>
      <c r="M12" s="3">
        <f>IF(AND(Table1[[#This Row],[STATES in numeric format]]=1,F11=-1),1,0)</f>
        <v>0</v>
      </c>
      <c r="N12" s="3">
        <f>IF(AND(Table1[[#This Row],[STATES in numeric format]]=1,F11=0),1,0)</f>
        <v>0</v>
      </c>
      <c r="O12" s="3">
        <f>IF(AND(Table1[[#This Row],[STATES in numeric format]]=1,F11=1),1,0)</f>
        <v>0</v>
      </c>
      <c r="P12" t="s">
        <v>131</v>
      </c>
      <c r="R12">
        <v>-1</v>
      </c>
      <c r="S12">
        <v>0</v>
      </c>
      <c r="T12">
        <v>1</v>
      </c>
    </row>
    <row r="13" spans="1:29" x14ac:dyDescent="0.3">
      <c r="A13" s="1">
        <v>43846</v>
      </c>
      <c r="B13">
        <v>41932.559999999998</v>
      </c>
      <c r="C13">
        <f>Table1[[#This Row],[Close]]-0.001*Table1[[#This Row],[Close]]</f>
        <v>41890.627439999997</v>
      </c>
      <c r="D13">
        <f>Table1[[#This Row],[Close]]+0.001*Table1[[#This Row],[Close]]</f>
        <v>41974.492559999999</v>
      </c>
      <c r="E13" t="str">
        <f>IF(Table1[[#This Row],[Close]]&gt;D12,"UP",IF(Table1[[#This Row],[Close]]&lt;C12,"Down","Constant"))</f>
        <v>UP</v>
      </c>
      <c r="F13" s="3">
        <f>IF(Table1[[#This Row],[Column1]]="Up",1,IF(Table1[[#This Row],[Column1]]="Down",-1,0))</f>
        <v>1</v>
      </c>
      <c r="G13" s="3">
        <f>IF(AND(Table1[[#This Row],[STATES in numeric format]]=-1,F12=-1),1,0)</f>
        <v>0</v>
      </c>
      <c r="H13" s="3">
        <f>IF(AND(Table1[[#This Row],[STATES in numeric format]]=-1,F12=0),1,0)</f>
        <v>0</v>
      </c>
      <c r="I13" s="3">
        <f>IF(AND(Table1[[#This Row],[STATES in numeric format]]=-1,F12=1),1,0)</f>
        <v>0</v>
      </c>
      <c r="J13" s="3">
        <f>IF(AND(Table1[[#This Row],[STATES in numeric format]]=0,F12=-1),1,0)</f>
        <v>0</v>
      </c>
      <c r="K13" s="3">
        <f>IF(AND(Table1[[#This Row],[STATES in numeric format]]=0,F12=0),1,0)</f>
        <v>0</v>
      </c>
      <c r="L13" s="3">
        <f>IF(AND(Table1[[#This Row],[STATES in numeric format]]=0,F12=1),1,0)</f>
        <v>0</v>
      </c>
      <c r="M13" s="3">
        <f>IF(AND(Table1[[#This Row],[STATES in numeric format]]=1,F12=-1),1,0)</f>
        <v>1</v>
      </c>
      <c r="N13" s="3">
        <f>IF(AND(Table1[[#This Row],[STATES in numeric format]]=1,F12=0),1,0)</f>
        <v>0</v>
      </c>
      <c r="O13" s="3">
        <f>IF(AND(Table1[[#This Row],[STATES in numeric format]]=1,F12=1),1,0)</f>
        <v>0</v>
      </c>
      <c r="Q13">
        <v>-1</v>
      </c>
      <c r="R13">
        <f t="array" ref="R13:T15">MMULT(R8:T10,R8:T10)</f>
        <v>0.39227779312776939</v>
      </c>
      <c r="S13">
        <v>8.5460684735574749E-2</v>
      </c>
      <c r="T13">
        <v>0.52226152213665589</v>
      </c>
    </row>
    <row r="14" spans="1:29" x14ac:dyDescent="0.3">
      <c r="A14" s="1">
        <v>43847</v>
      </c>
      <c r="B14">
        <v>41945.37</v>
      </c>
      <c r="C14">
        <f>Table1[[#This Row],[Close]]-0.001*Table1[[#This Row],[Close]]</f>
        <v>41903.424630000001</v>
      </c>
      <c r="D14">
        <f>Table1[[#This Row],[Close]]+0.001*Table1[[#This Row],[Close]]</f>
        <v>41987.315370000004</v>
      </c>
      <c r="E14" t="str">
        <f>IF(Table1[[#This Row],[Close]]&gt;D13,"UP",IF(Table1[[#This Row],[Close]]&lt;C13,"Down","Constant"))</f>
        <v>Constant</v>
      </c>
      <c r="F14" s="3">
        <f>IF(Table1[[#This Row],[Column1]]="Up",1,IF(Table1[[#This Row],[Column1]]="Down",-1,0))</f>
        <v>0</v>
      </c>
      <c r="G14" s="3">
        <f>IF(AND(Table1[[#This Row],[STATES in numeric format]]=-1,F13=-1),1,0)</f>
        <v>0</v>
      </c>
      <c r="H14" s="3">
        <f>IF(AND(Table1[[#This Row],[STATES in numeric format]]=-1,F13=0),1,0)</f>
        <v>0</v>
      </c>
      <c r="I14" s="3">
        <f>IF(AND(Table1[[#This Row],[STATES in numeric format]]=-1,F13=1),1,0)</f>
        <v>0</v>
      </c>
      <c r="J14" s="3">
        <f>IF(AND(Table1[[#This Row],[STATES in numeric format]]=0,F13=-1),1,0)</f>
        <v>0</v>
      </c>
      <c r="K14" s="3">
        <f>IF(AND(Table1[[#This Row],[STATES in numeric format]]=0,F13=0),1,0)</f>
        <v>0</v>
      </c>
      <c r="L14" s="3">
        <f>IF(AND(Table1[[#This Row],[STATES in numeric format]]=0,F13=1),1,0)</f>
        <v>1</v>
      </c>
      <c r="M14" s="3">
        <f>IF(AND(Table1[[#This Row],[STATES in numeric format]]=1,F13=-1),1,0)</f>
        <v>0</v>
      </c>
      <c r="N14" s="3">
        <f>IF(AND(Table1[[#This Row],[STATES in numeric format]]=1,F13=0),1,0)</f>
        <v>0</v>
      </c>
      <c r="O14" s="3">
        <f>IF(AND(Table1[[#This Row],[STATES in numeric format]]=1,F13=1),1,0)</f>
        <v>0</v>
      </c>
      <c r="Q14">
        <v>0</v>
      </c>
      <c r="R14">
        <v>0.38406017048538804</v>
      </c>
      <c r="S14">
        <v>9.1379327788907103E-2</v>
      </c>
      <c r="T14">
        <v>0.5245605017257049</v>
      </c>
    </row>
    <row r="15" spans="1:29" x14ac:dyDescent="0.3">
      <c r="A15" s="1">
        <v>43850</v>
      </c>
      <c r="B15">
        <v>41528.910000000003</v>
      </c>
      <c r="C15">
        <f>Table1[[#This Row],[Close]]-0.001*Table1[[#This Row],[Close]]</f>
        <v>41487.381090000003</v>
      </c>
      <c r="D15">
        <f>Table1[[#This Row],[Close]]+0.001*Table1[[#This Row],[Close]]</f>
        <v>41570.438910000004</v>
      </c>
      <c r="E15" t="str">
        <f>IF(Table1[[#This Row],[Close]]&gt;D14,"UP",IF(Table1[[#This Row],[Close]]&lt;C14,"Down","Constant"))</f>
        <v>Down</v>
      </c>
      <c r="F15" s="3">
        <f>IF(Table1[[#This Row],[Column1]]="Up",1,IF(Table1[[#This Row],[Column1]]="Down",-1,0))</f>
        <v>-1</v>
      </c>
      <c r="G15" s="3">
        <f>IF(AND(Table1[[#This Row],[STATES in numeric format]]=-1,F14=-1),1,0)</f>
        <v>0</v>
      </c>
      <c r="H15" s="3">
        <f>IF(AND(Table1[[#This Row],[STATES in numeric format]]=-1,F14=0),1,0)</f>
        <v>1</v>
      </c>
      <c r="I15" s="3">
        <f>IF(AND(Table1[[#This Row],[STATES in numeric format]]=-1,F14=1),1,0)</f>
        <v>0</v>
      </c>
      <c r="J15" s="3">
        <f>IF(AND(Table1[[#This Row],[STATES in numeric format]]=0,F14=-1),1,0)</f>
        <v>0</v>
      </c>
      <c r="K15" s="3">
        <f>IF(AND(Table1[[#This Row],[STATES in numeric format]]=0,F14=0),1,0)</f>
        <v>0</v>
      </c>
      <c r="L15" s="3">
        <f>IF(AND(Table1[[#This Row],[STATES in numeric format]]=0,F14=1),1,0)</f>
        <v>0</v>
      </c>
      <c r="M15" s="3">
        <f>IF(AND(Table1[[#This Row],[STATES in numeric format]]=1,F14=-1),1,0)</f>
        <v>0</v>
      </c>
      <c r="N15" s="3">
        <f>IF(AND(Table1[[#This Row],[STATES in numeric format]]=1,F14=0),1,0)</f>
        <v>0</v>
      </c>
      <c r="O15" s="3">
        <f>IF(AND(Table1[[#This Row],[STATES in numeric format]]=1,F14=1),1,0)</f>
        <v>0</v>
      </c>
      <c r="Q15">
        <v>1</v>
      </c>
      <c r="R15">
        <v>0.38316777607766117</v>
      </c>
      <c r="S15">
        <v>8.6488303262656011E-2</v>
      </c>
      <c r="T15">
        <v>0.53034392065968272</v>
      </c>
    </row>
    <row r="16" spans="1:29" x14ac:dyDescent="0.3">
      <c r="A16" s="1">
        <v>43851</v>
      </c>
      <c r="B16">
        <v>41323.81</v>
      </c>
      <c r="C16">
        <f>Table1[[#This Row],[Close]]-0.001*Table1[[#This Row],[Close]]</f>
        <v>41282.486189999996</v>
      </c>
      <c r="D16">
        <f>Table1[[#This Row],[Close]]+0.001*Table1[[#This Row],[Close]]</f>
        <v>41365.133809999999</v>
      </c>
      <c r="E16" t="str">
        <f>IF(Table1[[#This Row],[Close]]&gt;D15,"UP",IF(Table1[[#This Row],[Close]]&lt;C15,"Down","Constant"))</f>
        <v>Down</v>
      </c>
      <c r="F16" s="3">
        <f>IF(Table1[[#This Row],[Column1]]="Up",1,IF(Table1[[#This Row],[Column1]]="Down",-1,0))</f>
        <v>-1</v>
      </c>
      <c r="G16" s="3">
        <f>IF(AND(Table1[[#This Row],[STATES in numeric format]]=-1,F15=-1),1,0)</f>
        <v>1</v>
      </c>
      <c r="H16" s="3">
        <f>IF(AND(Table1[[#This Row],[STATES in numeric format]]=-1,F15=0),1,0)</f>
        <v>0</v>
      </c>
      <c r="I16" s="3">
        <f>IF(AND(Table1[[#This Row],[STATES in numeric format]]=-1,F15=1),1,0)</f>
        <v>0</v>
      </c>
      <c r="J16" s="3">
        <f>IF(AND(Table1[[#This Row],[STATES in numeric format]]=0,F15=-1),1,0)</f>
        <v>0</v>
      </c>
      <c r="K16" s="3">
        <f>IF(AND(Table1[[#This Row],[STATES in numeric format]]=0,F15=0),1,0)</f>
        <v>0</v>
      </c>
      <c r="L16" s="3">
        <f>IF(AND(Table1[[#This Row],[STATES in numeric format]]=0,F15=1),1,0)</f>
        <v>0</v>
      </c>
      <c r="M16" s="3">
        <f>IF(AND(Table1[[#This Row],[STATES in numeric format]]=1,F15=-1),1,0)</f>
        <v>0</v>
      </c>
      <c r="N16" s="3">
        <f>IF(AND(Table1[[#This Row],[STATES in numeric format]]=1,F15=0),1,0)</f>
        <v>0</v>
      </c>
      <c r="O16" s="3">
        <f>IF(AND(Table1[[#This Row],[STATES in numeric format]]=1,F15=1),1,0)</f>
        <v>0</v>
      </c>
    </row>
    <row r="17" spans="1:31" x14ac:dyDescent="0.3">
      <c r="A17" s="1">
        <v>43852</v>
      </c>
      <c r="B17">
        <v>41115.379999999997</v>
      </c>
      <c r="C17">
        <f>Table1[[#This Row],[Close]]-0.001*Table1[[#This Row],[Close]]</f>
        <v>41074.264619999994</v>
      </c>
      <c r="D17">
        <f>Table1[[#This Row],[Close]]+0.001*Table1[[#This Row],[Close]]</f>
        <v>41156.49538</v>
      </c>
      <c r="E17" t="str">
        <f>IF(Table1[[#This Row],[Close]]&gt;D16,"UP",IF(Table1[[#This Row],[Close]]&lt;C16,"Down","Constant"))</f>
        <v>Down</v>
      </c>
      <c r="F17" s="3">
        <f>IF(Table1[[#This Row],[Column1]]="Up",1,IF(Table1[[#This Row],[Column1]]="Down",-1,0))</f>
        <v>-1</v>
      </c>
      <c r="G17" s="3">
        <f>IF(AND(Table1[[#This Row],[STATES in numeric format]]=-1,F16=-1),1,0)</f>
        <v>1</v>
      </c>
      <c r="H17" s="3">
        <f>IF(AND(Table1[[#This Row],[STATES in numeric format]]=-1,F16=0),1,0)</f>
        <v>0</v>
      </c>
      <c r="I17" s="3">
        <f>IF(AND(Table1[[#This Row],[STATES in numeric format]]=-1,F16=1),1,0)</f>
        <v>0</v>
      </c>
      <c r="J17" s="3">
        <f>IF(AND(Table1[[#This Row],[STATES in numeric format]]=0,F16=-1),1,0)</f>
        <v>0</v>
      </c>
      <c r="K17" s="3">
        <f>IF(AND(Table1[[#This Row],[STATES in numeric format]]=0,F16=0),1,0)</f>
        <v>0</v>
      </c>
      <c r="L17" s="3">
        <f>IF(AND(Table1[[#This Row],[STATES in numeric format]]=0,F16=1),1,0)</f>
        <v>0</v>
      </c>
      <c r="M17" s="3">
        <f>IF(AND(Table1[[#This Row],[STATES in numeric format]]=1,F16=-1),1,0)</f>
        <v>0</v>
      </c>
      <c r="N17" s="3">
        <f>IF(AND(Table1[[#This Row],[STATES in numeric format]]=1,F16=0),1,0)</f>
        <v>0</v>
      </c>
      <c r="O17" s="3">
        <f>IF(AND(Table1[[#This Row],[STATES in numeric format]]=1,F16=1),1,0)</f>
        <v>0</v>
      </c>
      <c r="P17" t="s">
        <v>136</v>
      </c>
      <c r="R17">
        <v>-1</v>
      </c>
      <c r="S17">
        <v>0</v>
      </c>
      <c r="T17">
        <v>1</v>
      </c>
      <c r="X17" s="15" t="s">
        <v>138</v>
      </c>
      <c r="Y17" s="15"/>
    </row>
    <row r="18" spans="1:31" x14ac:dyDescent="0.3">
      <c r="A18" s="1">
        <v>43853</v>
      </c>
      <c r="B18">
        <v>41386.400000000001</v>
      </c>
      <c r="C18">
        <f>Table1[[#This Row],[Close]]-0.001*Table1[[#This Row],[Close]]</f>
        <v>41345.013599999998</v>
      </c>
      <c r="D18">
        <f>Table1[[#This Row],[Close]]+0.001*Table1[[#This Row],[Close]]</f>
        <v>41427.786400000005</v>
      </c>
      <c r="E18" t="str">
        <f>IF(Table1[[#This Row],[Close]]&gt;D17,"UP",IF(Table1[[#This Row],[Close]]&lt;C17,"Down","Constant"))</f>
        <v>UP</v>
      </c>
      <c r="F18" s="3">
        <f>IF(Table1[[#This Row],[Column1]]="Up",1,IF(Table1[[#This Row],[Column1]]="Down",-1,0))</f>
        <v>1</v>
      </c>
      <c r="G18" s="3">
        <f>IF(AND(Table1[[#This Row],[STATES in numeric format]]=-1,F17=-1),1,0)</f>
        <v>0</v>
      </c>
      <c r="H18" s="3">
        <f>IF(AND(Table1[[#This Row],[STATES in numeric format]]=-1,F17=0),1,0)</f>
        <v>0</v>
      </c>
      <c r="I18" s="3">
        <f>IF(AND(Table1[[#This Row],[STATES in numeric format]]=-1,F17=1),1,0)</f>
        <v>0</v>
      </c>
      <c r="J18" s="3">
        <f>IF(AND(Table1[[#This Row],[STATES in numeric format]]=0,F17=-1),1,0)</f>
        <v>0</v>
      </c>
      <c r="K18" s="3">
        <f>IF(AND(Table1[[#This Row],[STATES in numeric format]]=0,F17=0),1,0)</f>
        <v>0</v>
      </c>
      <c r="L18" s="3">
        <f>IF(AND(Table1[[#This Row],[STATES in numeric format]]=0,F17=1),1,0)</f>
        <v>0</v>
      </c>
      <c r="M18" s="3">
        <f>IF(AND(Table1[[#This Row],[STATES in numeric format]]=1,F17=-1),1,0)</f>
        <v>1</v>
      </c>
      <c r="N18" s="3">
        <f>IF(AND(Table1[[#This Row],[STATES in numeric format]]=1,F17=0),1,0)</f>
        <v>0</v>
      </c>
      <c r="O18" s="3">
        <f>IF(AND(Table1[[#This Row],[STATES in numeric format]]=1,F17=1),1,0)</f>
        <v>0</v>
      </c>
      <c r="Q18">
        <v>-1</v>
      </c>
      <c r="R18">
        <f t="array" ref="R18:T20">MMULT(R13:T15,R8:T10)</f>
        <v>0.38730202017953375</v>
      </c>
      <c r="S18">
        <v>8.6350357114109863E-2</v>
      </c>
      <c r="T18">
        <v>0.52634762270635638</v>
      </c>
      <c r="X18" s="16"/>
      <c r="Y18" s="16">
        <v>521</v>
      </c>
      <c r="Z18" s="16">
        <v>231</v>
      </c>
      <c r="AA18" s="16">
        <v>323</v>
      </c>
      <c r="AB18" s="16"/>
      <c r="AC18" s="16">
        <f>SUM(Y18:AA18)</f>
        <v>1075</v>
      </c>
      <c r="AD18" s="16"/>
      <c r="AE18" s="16"/>
    </row>
    <row r="19" spans="1:31" x14ac:dyDescent="0.3">
      <c r="A19" s="1">
        <v>43854</v>
      </c>
      <c r="B19">
        <v>41613.19</v>
      </c>
      <c r="C19">
        <f>Table1[[#This Row],[Close]]-0.001*Table1[[#This Row],[Close]]</f>
        <v>41571.576810000006</v>
      </c>
      <c r="D19">
        <f>Table1[[#This Row],[Close]]+0.001*Table1[[#This Row],[Close]]</f>
        <v>41654.803189999999</v>
      </c>
      <c r="E19" t="str">
        <f>IF(Table1[[#This Row],[Close]]&gt;D18,"UP",IF(Table1[[#This Row],[Close]]&lt;C18,"Down","Constant"))</f>
        <v>UP</v>
      </c>
      <c r="F19" s="3">
        <f>IF(Table1[[#This Row],[Column1]]="Up",1,IF(Table1[[#This Row],[Column1]]="Down",-1,0))</f>
        <v>1</v>
      </c>
      <c r="G19" s="3">
        <f>IF(AND(Table1[[#This Row],[STATES in numeric format]]=-1,F18=-1),1,0)</f>
        <v>0</v>
      </c>
      <c r="H19" s="3">
        <f>IF(AND(Table1[[#This Row],[STATES in numeric format]]=-1,F18=0),1,0)</f>
        <v>0</v>
      </c>
      <c r="I19" s="3">
        <f>IF(AND(Table1[[#This Row],[STATES in numeric format]]=-1,F18=1),1,0)</f>
        <v>0</v>
      </c>
      <c r="J19" s="3">
        <f>IF(AND(Table1[[#This Row],[STATES in numeric format]]=0,F18=-1),1,0)</f>
        <v>0</v>
      </c>
      <c r="K19" s="3">
        <f>IF(AND(Table1[[#This Row],[STATES in numeric format]]=0,F18=0),1,0)</f>
        <v>0</v>
      </c>
      <c r="L19" s="3">
        <f>IF(AND(Table1[[#This Row],[STATES in numeric format]]=0,F18=1),1,0)</f>
        <v>0</v>
      </c>
      <c r="M19" s="3">
        <f>IF(AND(Table1[[#This Row],[STATES in numeric format]]=1,F18=-1),1,0)</f>
        <v>0</v>
      </c>
      <c r="N19" s="3">
        <f>IF(AND(Table1[[#This Row],[STATES in numeric format]]=1,F18=0),1,0)</f>
        <v>0</v>
      </c>
      <c r="O19" s="3">
        <f>IF(AND(Table1[[#This Row],[STATES in numeric format]]=1,F18=1),1,0)</f>
        <v>1</v>
      </c>
      <c r="Q19">
        <v>0</v>
      </c>
      <c r="R19">
        <v>0.38667726478528275</v>
      </c>
      <c r="S19">
        <v>8.6239243958955852E-2</v>
      </c>
      <c r="T19">
        <v>0.52708349125576137</v>
      </c>
      <c r="X19" s="16"/>
      <c r="Y19" s="16">
        <v>184</v>
      </c>
      <c r="Z19" s="16">
        <v>29</v>
      </c>
      <c r="AA19" s="16">
        <v>264</v>
      </c>
      <c r="AB19" s="16"/>
      <c r="AC19" s="16">
        <f t="shared" ref="AC19:AC20" si="4">SUM(Y19:AA19)</f>
        <v>477</v>
      </c>
      <c r="AD19" s="16"/>
      <c r="AE19" s="16"/>
    </row>
    <row r="20" spans="1:31" x14ac:dyDescent="0.3">
      <c r="A20" s="1">
        <v>43857</v>
      </c>
      <c r="B20">
        <v>41155.120000000003</v>
      </c>
      <c r="C20">
        <f>Table1[[#This Row],[Close]]-0.001*Table1[[#This Row],[Close]]</f>
        <v>41113.96488</v>
      </c>
      <c r="D20">
        <f>Table1[[#This Row],[Close]]+0.001*Table1[[#This Row],[Close]]</f>
        <v>41196.275120000006</v>
      </c>
      <c r="E20" t="str">
        <f>IF(Table1[[#This Row],[Close]]&gt;D19,"UP",IF(Table1[[#This Row],[Close]]&lt;C19,"Down","Constant"))</f>
        <v>Down</v>
      </c>
      <c r="F20" s="3">
        <f>IF(Table1[[#This Row],[Column1]]="Up",1,IF(Table1[[#This Row],[Column1]]="Down",-1,0))</f>
        <v>-1</v>
      </c>
      <c r="G20" s="3">
        <f>IF(AND(Table1[[#This Row],[STATES in numeric format]]=-1,F19=-1),1,0)</f>
        <v>0</v>
      </c>
      <c r="H20" s="3">
        <f>IF(AND(Table1[[#This Row],[STATES in numeric format]]=-1,F19=0),1,0)</f>
        <v>0</v>
      </c>
      <c r="I20" s="3">
        <f>IF(AND(Table1[[#This Row],[STATES in numeric format]]=-1,F19=1),1,0)</f>
        <v>1</v>
      </c>
      <c r="J20" s="3">
        <f>IF(AND(Table1[[#This Row],[STATES in numeric format]]=0,F19=-1),1,0)</f>
        <v>0</v>
      </c>
      <c r="K20" s="3">
        <f>IF(AND(Table1[[#This Row],[STATES in numeric format]]=0,F19=0),1,0)</f>
        <v>0</v>
      </c>
      <c r="L20" s="3">
        <f>IF(AND(Table1[[#This Row],[STATES in numeric format]]=0,F19=1),1,0)</f>
        <v>0</v>
      </c>
      <c r="M20" s="3">
        <f>IF(AND(Table1[[#This Row],[STATES in numeric format]]=1,F19=-1),1,0)</f>
        <v>0</v>
      </c>
      <c r="N20" s="3">
        <f>IF(AND(Table1[[#This Row],[STATES in numeric format]]=1,F19=0),1,0)</f>
        <v>0</v>
      </c>
      <c r="O20" s="3">
        <f>IF(AND(Table1[[#This Row],[STATES in numeric format]]=1,F19=1),1,0)</f>
        <v>0</v>
      </c>
      <c r="Q20">
        <v>1</v>
      </c>
      <c r="R20">
        <v>0.38639162285029593</v>
      </c>
      <c r="S20">
        <v>8.6679282241791292E-2</v>
      </c>
      <c r="T20">
        <v>0.52692909490791262</v>
      </c>
      <c r="X20" s="16"/>
      <c r="Y20" s="16">
        <v>356</v>
      </c>
      <c r="Z20" s="16">
        <v>208</v>
      </c>
      <c r="AA20" s="16">
        <v>625</v>
      </c>
      <c r="AB20" s="16"/>
      <c r="AC20" s="16">
        <f t="shared" si="4"/>
        <v>1189</v>
      </c>
      <c r="AD20" s="16"/>
      <c r="AE20" s="16"/>
    </row>
    <row r="21" spans="1:31" x14ac:dyDescent="0.3">
      <c r="A21" s="1">
        <v>43858</v>
      </c>
      <c r="B21">
        <v>40966.86</v>
      </c>
      <c r="C21">
        <f>Table1[[#This Row],[Close]]-0.001*Table1[[#This Row],[Close]]</f>
        <v>40925.89314</v>
      </c>
      <c r="D21">
        <f>Table1[[#This Row],[Close]]+0.001*Table1[[#This Row],[Close]]</f>
        <v>41007.826860000001</v>
      </c>
      <c r="E21" t="str">
        <f>IF(Table1[[#This Row],[Close]]&gt;D20,"UP",IF(Table1[[#This Row],[Close]]&lt;C20,"Down","Constant"))</f>
        <v>Down</v>
      </c>
      <c r="F21" s="3">
        <f>IF(Table1[[#This Row],[Column1]]="Up",1,IF(Table1[[#This Row],[Column1]]="Down",-1,0))</f>
        <v>-1</v>
      </c>
      <c r="G21" s="3">
        <f>IF(AND(Table1[[#This Row],[STATES in numeric format]]=-1,F20=-1),1,0)</f>
        <v>1</v>
      </c>
      <c r="H21" s="3">
        <f>IF(AND(Table1[[#This Row],[STATES in numeric format]]=-1,F20=0),1,0)</f>
        <v>0</v>
      </c>
      <c r="I21" s="3">
        <f>IF(AND(Table1[[#This Row],[STATES in numeric format]]=-1,F20=1),1,0)</f>
        <v>0</v>
      </c>
      <c r="J21" s="3">
        <f>IF(AND(Table1[[#This Row],[STATES in numeric format]]=0,F20=-1),1,0)</f>
        <v>0</v>
      </c>
      <c r="K21" s="3">
        <f>IF(AND(Table1[[#This Row],[STATES in numeric format]]=0,F20=0),1,0)</f>
        <v>0</v>
      </c>
      <c r="L21" s="3">
        <f>IF(AND(Table1[[#This Row],[STATES in numeric format]]=0,F20=1),1,0)</f>
        <v>0</v>
      </c>
      <c r="M21" s="3">
        <f>IF(AND(Table1[[#This Row],[STATES in numeric format]]=1,F20=-1),1,0)</f>
        <v>0</v>
      </c>
      <c r="N21" s="3">
        <f>IF(AND(Table1[[#This Row],[STATES in numeric format]]=1,F20=0),1,0)</f>
        <v>0</v>
      </c>
      <c r="O21" s="3">
        <f>IF(AND(Table1[[#This Row],[STATES in numeric format]]=1,F20=1),1,0)</f>
        <v>0</v>
      </c>
      <c r="X21" s="16"/>
      <c r="Y21" s="16"/>
      <c r="Z21" s="16"/>
      <c r="AA21" s="16"/>
      <c r="AB21" s="16"/>
      <c r="AC21" s="16">
        <f>SUM(AC18:AC20)</f>
        <v>2741</v>
      </c>
      <c r="AD21" s="16"/>
      <c r="AE21" s="16"/>
    </row>
    <row r="22" spans="1:31" x14ac:dyDescent="0.3">
      <c r="A22" s="1">
        <v>43859</v>
      </c>
      <c r="B22">
        <v>41198.660000000003</v>
      </c>
      <c r="C22">
        <f>Table1[[#This Row],[Close]]-0.001*Table1[[#This Row],[Close]]</f>
        <v>41157.461340000002</v>
      </c>
      <c r="D22">
        <f>Table1[[#This Row],[Close]]+0.001*Table1[[#This Row],[Close]]</f>
        <v>41239.858660000005</v>
      </c>
      <c r="E22" t="str">
        <f>IF(Table1[[#This Row],[Close]]&gt;D21,"UP",IF(Table1[[#This Row],[Close]]&lt;C21,"Down","Constant"))</f>
        <v>UP</v>
      </c>
      <c r="F22" s="3">
        <f>IF(Table1[[#This Row],[Column1]]="Up",1,IF(Table1[[#This Row],[Column1]]="Down",-1,0))</f>
        <v>1</v>
      </c>
      <c r="G22" s="3">
        <f>IF(AND(Table1[[#This Row],[STATES in numeric format]]=-1,F21=-1),1,0)</f>
        <v>0</v>
      </c>
      <c r="H22" s="3">
        <f>IF(AND(Table1[[#This Row],[STATES in numeric format]]=-1,F21=0),1,0)</f>
        <v>0</v>
      </c>
      <c r="I22" s="3">
        <f>IF(AND(Table1[[#This Row],[STATES in numeric format]]=-1,F21=1),1,0)</f>
        <v>0</v>
      </c>
      <c r="J22" s="3">
        <f>IF(AND(Table1[[#This Row],[STATES in numeric format]]=0,F21=-1),1,0)</f>
        <v>0</v>
      </c>
      <c r="K22" s="3">
        <f>IF(AND(Table1[[#This Row],[STATES in numeric format]]=0,F21=0),1,0)</f>
        <v>0</v>
      </c>
      <c r="L22" s="3">
        <f>IF(AND(Table1[[#This Row],[STATES in numeric format]]=0,F21=1),1,0)</f>
        <v>0</v>
      </c>
      <c r="M22" s="3">
        <f>IF(AND(Table1[[#This Row],[STATES in numeric format]]=1,F21=-1),1,0)</f>
        <v>1</v>
      </c>
      <c r="N22" s="3">
        <f>IF(AND(Table1[[#This Row],[STATES in numeric format]]=1,F21=0),1,0)</f>
        <v>0</v>
      </c>
      <c r="O22" s="3">
        <f>IF(AND(Table1[[#This Row],[STATES in numeric format]]=1,F21=1),1,0)</f>
        <v>0</v>
      </c>
      <c r="P22" t="s">
        <v>132</v>
      </c>
      <c r="R22">
        <v>-1</v>
      </c>
      <c r="S22">
        <v>0</v>
      </c>
      <c r="T22">
        <v>1</v>
      </c>
      <c r="X22" s="16"/>
      <c r="Y22" s="16"/>
      <c r="Z22" s="16"/>
      <c r="AA22" s="16"/>
      <c r="AB22" s="16"/>
      <c r="AC22" s="16"/>
      <c r="AD22" s="16"/>
      <c r="AE22" s="16"/>
    </row>
    <row r="23" spans="1:31" x14ac:dyDescent="0.3">
      <c r="A23" s="1">
        <v>43860</v>
      </c>
      <c r="B23">
        <v>40913.82</v>
      </c>
      <c r="C23">
        <f>Table1[[#This Row],[Close]]-0.001*Table1[[#This Row],[Close]]</f>
        <v>40872.906179999998</v>
      </c>
      <c r="D23">
        <f>Table1[[#This Row],[Close]]+0.001*Table1[[#This Row],[Close]]</f>
        <v>40954.733820000001</v>
      </c>
      <c r="E23" t="str">
        <f>IF(Table1[[#This Row],[Close]]&gt;D22,"UP",IF(Table1[[#This Row],[Close]]&lt;C22,"Down","Constant"))</f>
        <v>Down</v>
      </c>
      <c r="F23" s="3">
        <f>IF(Table1[[#This Row],[Column1]]="Up",1,IF(Table1[[#This Row],[Column1]]="Down",-1,0))</f>
        <v>-1</v>
      </c>
      <c r="G23" s="3">
        <f>IF(AND(Table1[[#This Row],[STATES in numeric format]]=-1,F22=-1),1,0)</f>
        <v>0</v>
      </c>
      <c r="H23" s="3">
        <f>IF(AND(Table1[[#This Row],[STATES in numeric format]]=-1,F22=0),1,0)</f>
        <v>0</v>
      </c>
      <c r="I23" s="3">
        <f>IF(AND(Table1[[#This Row],[STATES in numeric format]]=-1,F22=1),1,0)</f>
        <v>1</v>
      </c>
      <c r="J23" s="3">
        <f>IF(AND(Table1[[#This Row],[STATES in numeric format]]=0,F22=-1),1,0)</f>
        <v>0</v>
      </c>
      <c r="K23" s="3">
        <f>IF(AND(Table1[[#This Row],[STATES in numeric format]]=0,F22=0),1,0)</f>
        <v>0</v>
      </c>
      <c r="L23" s="3">
        <f>IF(AND(Table1[[#This Row],[STATES in numeric format]]=0,F22=1),1,0)</f>
        <v>0</v>
      </c>
      <c r="M23" s="3">
        <f>IF(AND(Table1[[#This Row],[STATES in numeric format]]=1,F22=-1),1,0)</f>
        <v>0</v>
      </c>
      <c r="N23" s="3">
        <f>IF(AND(Table1[[#This Row],[STATES in numeric format]]=1,F22=0),1,0)</f>
        <v>0</v>
      </c>
      <c r="O23" s="3">
        <f>IF(AND(Table1[[#This Row],[STATES in numeric format]]=1,F22=1),1,0)</f>
        <v>0</v>
      </c>
      <c r="Q23">
        <v>-1</v>
      </c>
      <c r="R23">
        <f t="array" ref="R23:T25">MMULT(R18:T20,R8:T10)</f>
        <v>0.38681769809857253</v>
      </c>
      <c r="S23">
        <v>8.6503181639747267E-2</v>
      </c>
      <c r="T23">
        <v>0.52667912026168018</v>
      </c>
      <c r="X23" s="16"/>
      <c r="Y23" s="16"/>
      <c r="Z23" s="16"/>
      <c r="AA23" s="16"/>
      <c r="AB23" s="16"/>
      <c r="AC23" s="16"/>
      <c r="AD23" s="16"/>
      <c r="AE23" s="16"/>
    </row>
    <row r="24" spans="1:31" x14ac:dyDescent="0.3">
      <c r="A24" s="1">
        <v>43861</v>
      </c>
      <c r="B24">
        <v>40723.49</v>
      </c>
      <c r="C24">
        <f>Table1[[#This Row],[Close]]-0.001*Table1[[#This Row],[Close]]</f>
        <v>40682.766510000001</v>
      </c>
      <c r="D24">
        <f>Table1[[#This Row],[Close]]+0.001*Table1[[#This Row],[Close]]</f>
        <v>40764.213489999995</v>
      </c>
      <c r="E24" t="str">
        <f>IF(Table1[[#This Row],[Close]]&gt;D23,"UP",IF(Table1[[#This Row],[Close]]&lt;C23,"Down","Constant"))</f>
        <v>Down</v>
      </c>
      <c r="F24" s="3">
        <f>IF(Table1[[#This Row],[Column1]]="Up",1,IF(Table1[[#This Row],[Column1]]="Down",-1,0))</f>
        <v>-1</v>
      </c>
      <c r="G24" s="3">
        <f>IF(AND(Table1[[#This Row],[STATES in numeric format]]=-1,F23=-1),1,0)</f>
        <v>1</v>
      </c>
      <c r="H24" s="3">
        <f>IF(AND(Table1[[#This Row],[STATES in numeric format]]=-1,F23=0),1,0)</f>
        <v>0</v>
      </c>
      <c r="I24" s="3">
        <f>IF(AND(Table1[[#This Row],[STATES in numeric format]]=-1,F23=1),1,0)</f>
        <v>0</v>
      </c>
      <c r="J24" s="3">
        <f>IF(AND(Table1[[#This Row],[STATES in numeric format]]=0,F23=-1),1,0)</f>
        <v>0</v>
      </c>
      <c r="K24" s="3">
        <f>IF(AND(Table1[[#This Row],[STATES in numeric format]]=0,F23=0),1,0)</f>
        <v>0</v>
      </c>
      <c r="L24" s="3">
        <f>IF(AND(Table1[[#This Row],[STATES in numeric format]]=0,F23=1),1,0)</f>
        <v>0</v>
      </c>
      <c r="M24" s="3">
        <f>IF(AND(Table1[[#This Row],[STATES in numeric format]]=1,F23=-1),1,0)</f>
        <v>0</v>
      </c>
      <c r="N24" s="3">
        <f>IF(AND(Table1[[#This Row],[STATES in numeric format]]=1,F23=0),1,0)</f>
        <v>0</v>
      </c>
      <c r="O24" s="3">
        <f>IF(AND(Table1[[#This Row],[STATES in numeric format]]=1,F23=1),1,0)</f>
        <v>0</v>
      </c>
      <c r="Q24">
        <v>0</v>
      </c>
      <c r="R24">
        <v>0.38674811718015117</v>
      </c>
      <c r="S24">
        <v>8.6540574449359114E-2</v>
      </c>
      <c r="T24">
        <v>0.52671130837048963</v>
      </c>
      <c r="X24" s="16" t="s">
        <v>130</v>
      </c>
      <c r="Y24" s="16">
        <f>Y18/$AC$18</f>
        <v>0.4846511627906977</v>
      </c>
      <c r="Z24" s="16">
        <f t="shared" ref="Z24:AA24" si="5">Z18/$AC$18</f>
        <v>0.21488372093023256</v>
      </c>
      <c r="AA24" s="16">
        <f t="shared" si="5"/>
        <v>0.30046511627906974</v>
      </c>
      <c r="AB24" s="16"/>
      <c r="AC24" s="16">
        <f>AC18/AC21</f>
        <v>0.39219263042685154</v>
      </c>
      <c r="AD24" s="16">
        <f>AC19/AC21</f>
        <v>0.17402407880335644</v>
      </c>
      <c r="AE24" s="16">
        <f>AC20/AC21</f>
        <v>0.43378329076979205</v>
      </c>
    </row>
    <row r="25" spans="1:31" x14ac:dyDescent="0.3">
      <c r="A25" s="1">
        <v>43862</v>
      </c>
      <c r="B25">
        <v>39735.53</v>
      </c>
      <c r="C25">
        <f>Table1[[#This Row],[Close]]-0.001*Table1[[#This Row],[Close]]</f>
        <v>39695.794470000001</v>
      </c>
      <c r="D25">
        <f>Table1[[#This Row],[Close]]+0.001*Table1[[#This Row],[Close]]</f>
        <v>39775.265529999997</v>
      </c>
      <c r="E25" t="str">
        <f>IF(Table1[[#This Row],[Close]]&gt;D24,"UP",IF(Table1[[#This Row],[Close]]&lt;C24,"Down","Constant"))</f>
        <v>Down</v>
      </c>
      <c r="F25" s="3">
        <f>IF(Table1[[#This Row],[Column1]]="Up",1,IF(Table1[[#This Row],[Column1]]="Down",-1,0))</f>
        <v>-1</v>
      </c>
      <c r="G25" s="3">
        <f>IF(AND(Table1[[#This Row],[STATES in numeric format]]=-1,F24=-1),1,0)</f>
        <v>1</v>
      </c>
      <c r="H25" s="3">
        <f>IF(AND(Table1[[#This Row],[STATES in numeric format]]=-1,F24=0),1,0)</f>
        <v>0</v>
      </c>
      <c r="I25" s="3">
        <f>IF(AND(Table1[[#This Row],[STATES in numeric format]]=-1,F24=1),1,0)</f>
        <v>0</v>
      </c>
      <c r="J25" s="3">
        <f>IF(AND(Table1[[#This Row],[STATES in numeric format]]=0,F24=-1),1,0)</f>
        <v>0</v>
      </c>
      <c r="K25" s="3">
        <f>IF(AND(Table1[[#This Row],[STATES in numeric format]]=0,F24=0),1,0)</f>
        <v>0</v>
      </c>
      <c r="L25" s="3">
        <f>IF(AND(Table1[[#This Row],[STATES in numeric format]]=0,F24=1),1,0)</f>
        <v>0</v>
      </c>
      <c r="M25" s="3">
        <f>IF(AND(Table1[[#This Row],[STATES in numeric format]]=1,F24=-1),1,0)</f>
        <v>0</v>
      </c>
      <c r="N25" s="3">
        <f>IF(AND(Table1[[#This Row],[STATES in numeric format]]=1,F24=0),1,0)</f>
        <v>0</v>
      </c>
      <c r="O25" s="3">
        <f>IF(AND(Table1[[#This Row],[STATES in numeric format]]=1,F24=1),1,0)</f>
        <v>0</v>
      </c>
      <c r="Q25">
        <v>1</v>
      </c>
      <c r="R25">
        <v>0.38673562272894602</v>
      </c>
      <c r="S25">
        <v>8.6517569369469555E-2</v>
      </c>
      <c r="T25">
        <v>0.52674680790158424</v>
      </c>
      <c r="X25" s="16"/>
      <c r="Y25" s="16">
        <f>Y19/$AC$19</f>
        <v>0.38574423480083858</v>
      </c>
      <c r="Z25" s="16">
        <f t="shared" ref="Z25:AA25" si="6">Z19/$AC$19</f>
        <v>6.0796645702306078E-2</v>
      </c>
      <c r="AA25" s="16">
        <f t="shared" si="6"/>
        <v>0.55345911949685533</v>
      </c>
      <c r="AB25" s="16"/>
      <c r="AC25" s="16"/>
      <c r="AD25" s="16"/>
      <c r="AE25" s="16"/>
    </row>
    <row r="26" spans="1:31" x14ac:dyDescent="0.3">
      <c r="A26" s="1">
        <v>43864</v>
      </c>
      <c r="B26">
        <v>39872.31</v>
      </c>
      <c r="C26">
        <f>Table1[[#This Row],[Close]]-0.001*Table1[[#This Row],[Close]]</f>
        <v>39832.437689999999</v>
      </c>
      <c r="D26">
        <f>Table1[[#This Row],[Close]]+0.001*Table1[[#This Row],[Close]]</f>
        <v>39912.182309999997</v>
      </c>
      <c r="E26" t="str">
        <f>IF(Table1[[#This Row],[Close]]&gt;D25,"UP",IF(Table1[[#This Row],[Close]]&lt;C25,"Down","Constant"))</f>
        <v>UP</v>
      </c>
      <c r="F26" s="3">
        <f>IF(Table1[[#This Row],[Column1]]="Up",1,IF(Table1[[#This Row],[Column1]]="Down",-1,0))</f>
        <v>1</v>
      </c>
      <c r="G26" s="3">
        <f>IF(AND(Table1[[#This Row],[STATES in numeric format]]=-1,F25=-1),1,0)</f>
        <v>0</v>
      </c>
      <c r="H26" s="3">
        <f>IF(AND(Table1[[#This Row],[STATES in numeric format]]=-1,F25=0),1,0)</f>
        <v>0</v>
      </c>
      <c r="I26" s="3">
        <f>IF(AND(Table1[[#This Row],[STATES in numeric format]]=-1,F25=1),1,0)</f>
        <v>0</v>
      </c>
      <c r="J26" s="3">
        <f>IF(AND(Table1[[#This Row],[STATES in numeric format]]=0,F25=-1),1,0)</f>
        <v>0</v>
      </c>
      <c r="K26" s="3">
        <f>IF(AND(Table1[[#This Row],[STATES in numeric format]]=0,F25=0),1,0)</f>
        <v>0</v>
      </c>
      <c r="L26" s="3">
        <f>IF(AND(Table1[[#This Row],[STATES in numeric format]]=0,F25=1),1,0)</f>
        <v>0</v>
      </c>
      <c r="M26" s="3">
        <f>IF(AND(Table1[[#This Row],[STATES in numeric format]]=1,F25=-1),1,0)</f>
        <v>1</v>
      </c>
      <c r="N26" s="3">
        <f>IF(AND(Table1[[#This Row],[STATES in numeric format]]=1,F25=0),1,0)</f>
        <v>0</v>
      </c>
      <c r="O26" s="3">
        <f>IF(AND(Table1[[#This Row],[STATES in numeric format]]=1,F25=1),1,0)</f>
        <v>0</v>
      </c>
      <c r="X26" s="16"/>
      <c r="Y26" s="16">
        <f>Y20/$AC$20</f>
        <v>0.29941126997476869</v>
      </c>
      <c r="Z26" s="16">
        <f t="shared" ref="Z26:AA26" si="7">Z20/$AC$20</f>
        <v>0.17493692178301093</v>
      </c>
      <c r="AA26" s="16">
        <f t="shared" si="7"/>
        <v>0.52565180824222035</v>
      </c>
      <c r="AB26" s="16"/>
      <c r="AC26" s="16"/>
      <c r="AD26" s="16"/>
      <c r="AE26" s="16"/>
    </row>
    <row r="27" spans="1:31" x14ac:dyDescent="0.3">
      <c r="A27" s="1">
        <v>43865</v>
      </c>
      <c r="B27">
        <v>40789.379999999997</v>
      </c>
      <c r="C27">
        <f>Table1[[#This Row],[Close]]-0.001*Table1[[#This Row],[Close]]</f>
        <v>40748.590619999995</v>
      </c>
      <c r="D27">
        <f>Table1[[#This Row],[Close]]+0.001*Table1[[#This Row],[Close]]</f>
        <v>40830.169379999999</v>
      </c>
      <c r="E27" t="str">
        <f>IF(Table1[[#This Row],[Close]]&gt;D26,"UP",IF(Table1[[#This Row],[Close]]&lt;C26,"Down","Constant"))</f>
        <v>UP</v>
      </c>
      <c r="F27" s="3">
        <f>IF(Table1[[#This Row],[Column1]]="Up",1,IF(Table1[[#This Row],[Column1]]="Down",-1,0))</f>
        <v>1</v>
      </c>
      <c r="G27" s="3">
        <f>IF(AND(Table1[[#This Row],[STATES in numeric format]]=-1,F26=-1),1,0)</f>
        <v>0</v>
      </c>
      <c r="H27" s="3">
        <f>IF(AND(Table1[[#This Row],[STATES in numeric format]]=-1,F26=0),1,0)</f>
        <v>0</v>
      </c>
      <c r="I27" s="3">
        <f>IF(AND(Table1[[#This Row],[STATES in numeric format]]=-1,F26=1),1,0)</f>
        <v>0</v>
      </c>
      <c r="J27" s="3">
        <f>IF(AND(Table1[[#This Row],[STATES in numeric format]]=0,F26=-1),1,0)</f>
        <v>0</v>
      </c>
      <c r="K27" s="3">
        <f>IF(AND(Table1[[#This Row],[STATES in numeric format]]=0,F26=0),1,0)</f>
        <v>0</v>
      </c>
      <c r="L27" s="3">
        <f>IF(AND(Table1[[#This Row],[STATES in numeric format]]=0,F26=1),1,0)</f>
        <v>0</v>
      </c>
      <c r="M27" s="3">
        <f>IF(AND(Table1[[#This Row],[STATES in numeric format]]=1,F26=-1),1,0)</f>
        <v>0</v>
      </c>
      <c r="N27" s="3">
        <f>IF(AND(Table1[[#This Row],[STATES in numeric format]]=1,F26=0),1,0)</f>
        <v>0</v>
      </c>
      <c r="O27" s="3">
        <f>IF(AND(Table1[[#This Row],[STATES in numeric format]]=1,F26=1),1,0)</f>
        <v>1</v>
      </c>
      <c r="P27" t="s">
        <v>137</v>
      </c>
      <c r="R27">
        <v>-1</v>
      </c>
      <c r="S27">
        <v>0</v>
      </c>
      <c r="T27">
        <v>1</v>
      </c>
      <c r="X27" s="16"/>
      <c r="Y27" s="16"/>
      <c r="Z27" s="16"/>
      <c r="AA27" s="16"/>
      <c r="AB27" s="16"/>
      <c r="AC27" s="16"/>
      <c r="AD27" s="16"/>
      <c r="AE27" s="16"/>
    </row>
    <row r="28" spans="1:31" x14ac:dyDescent="0.3">
      <c r="A28" s="1">
        <v>43866</v>
      </c>
      <c r="B28">
        <v>41142.660000000003</v>
      </c>
      <c r="C28">
        <f>Table1[[#This Row],[Close]]-0.001*Table1[[#This Row],[Close]]</f>
        <v>41101.517340000006</v>
      </c>
      <c r="D28">
        <f>Table1[[#This Row],[Close]]+0.001*Table1[[#This Row],[Close]]</f>
        <v>41183.802660000001</v>
      </c>
      <c r="E28" t="str">
        <f>IF(Table1[[#This Row],[Close]]&gt;D27,"UP",IF(Table1[[#This Row],[Close]]&lt;C27,"Down","Constant"))</f>
        <v>UP</v>
      </c>
      <c r="F28" s="3">
        <f>IF(Table1[[#This Row],[Column1]]="Up",1,IF(Table1[[#This Row],[Column1]]="Down",-1,0))</f>
        <v>1</v>
      </c>
      <c r="G28" s="3">
        <f>IF(AND(Table1[[#This Row],[STATES in numeric format]]=-1,F27=-1),1,0)</f>
        <v>0</v>
      </c>
      <c r="H28" s="3">
        <f>IF(AND(Table1[[#This Row],[STATES in numeric format]]=-1,F27=0),1,0)</f>
        <v>0</v>
      </c>
      <c r="I28" s="3">
        <f>IF(AND(Table1[[#This Row],[STATES in numeric format]]=-1,F27=1),1,0)</f>
        <v>0</v>
      </c>
      <c r="J28" s="3">
        <f>IF(AND(Table1[[#This Row],[STATES in numeric format]]=0,F27=-1),1,0)</f>
        <v>0</v>
      </c>
      <c r="K28" s="3">
        <f>IF(AND(Table1[[#This Row],[STATES in numeric format]]=0,F27=0),1,0)</f>
        <v>0</v>
      </c>
      <c r="L28" s="3">
        <f>IF(AND(Table1[[#This Row],[STATES in numeric format]]=0,F27=1),1,0)</f>
        <v>0</v>
      </c>
      <c r="M28" s="3">
        <f>IF(AND(Table1[[#This Row],[STATES in numeric format]]=1,F27=-1),1,0)</f>
        <v>0</v>
      </c>
      <c r="N28" s="3">
        <f>IF(AND(Table1[[#This Row],[STATES in numeric format]]=1,F27=0),1,0)</f>
        <v>0</v>
      </c>
      <c r="O28" s="3">
        <f>IF(AND(Table1[[#This Row],[STATES in numeric format]]=1,F27=1),1,0)</f>
        <v>1</v>
      </c>
      <c r="Q28">
        <v>-1</v>
      </c>
      <c r="R28">
        <f t="array" ref="R28:T30">MMULT(R18:T20,R13:T15)</f>
        <v>0.38677316266083195</v>
      </c>
      <c r="S28">
        <v>8.6512646245639174E-2</v>
      </c>
      <c r="T28">
        <v>0.52671419109352891</v>
      </c>
      <c r="X28" s="16" t="s">
        <v>131</v>
      </c>
      <c r="Y28" s="16">
        <f t="array" ref="Y28:AA30">MMULT(Y24:AA26,Y24:AA26)</f>
        <v>0.40773954814399771</v>
      </c>
      <c r="Z28" s="16">
        <v>0.16977029720725245</v>
      </c>
      <c r="AA28" s="16">
        <v>0.42249015464874984</v>
      </c>
      <c r="AB28" s="16"/>
      <c r="AC28" s="16"/>
      <c r="AD28" s="16"/>
      <c r="AE28" s="16"/>
    </row>
    <row r="29" spans="1:31" x14ac:dyDescent="0.3">
      <c r="A29" s="1">
        <v>43867</v>
      </c>
      <c r="B29">
        <v>41306.03</v>
      </c>
      <c r="C29">
        <f>Table1[[#This Row],[Close]]-0.001*Table1[[#This Row],[Close]]</f>
        <v>41264.723969999999</v>
      </c>
      <c r="D29">
        <f>Table1[[#This Row],[Close]]+0.001*Table1[[#This Row],[Close]]</f>
        <v>41347.336029999999</v>
      </c>
      <c r="E29" t="str">
        <f>IF(Table1[[#This Row],[Close]]&gt;D28,"UP",IF(Table1[[#This Row],[Close]]&lt;C28,"Down","Constant"))</f>
        <v>UP</v>
      </c>
      <c r="F29" s="3">
        <f>IF(Table1[[#This Row],[Column1]]="Up",1,IF(Table1[[#This Row],[Column1]]="Down",-1,0))</f>
        <v>1</v>
      </c>
      <c r="G29" s="3">
        <f>IF(AND(Table1[[#This Row],[STATES in numeric format]]=-1,F28=-1),1,0)</f>
        <v>0</v>
      </c>
      <c r="H29" s="3">
        <f>IF(AND(Table1[[#This Row],[STATES in numeric format]]=-1,F28=0),1,0)</f>
        <v>0</v>
      </c>
      <c r="I29" s="3">
        <f>IF(AND(Table1[[#This Row],[STATES in numeric format]]=-1,F28=1),1,0)</f>
        <v>0</v>
      </c>
      <c r="J29" s="3">
        <f>IF(AND(Table1[[#This Row],[STATES in numeric format]]=0,F28=-1),1,0)</f>
        <v>0</v>
      </c>
      <c r="K29" s="3">
        <f>IF(AND(Table1[[#This Row],[STATES in numeric format]]=0,F28=0),1,0)</f>
        <v>0</v>
      </c>
      <c r="L29" s="3">
        <f>IF(AND(Table1[[#This Row],[STATES in numeric format]]=0,F28=1),1,0)</f>
        <v>0</v>
      </c>
      <c r="M29" s="3">
        <f>IF(AND(Table1[[#This Row],[STATES in numeric format]]=1,F28=-1),1,0)</f>
        <v>0</v>
      </c>
      <c r="N29" s="3">
        <f>IF(AND(Table1[[#This Row],[STATES in numeric format]]=1,F28=0),1,0)</f>
        <v>0</v>
      </c>
      <c r="O29" s="3">
        <f>IF(AND(Table1[[#This Row],[STATES in numeric format]]=1,F28=1),1,0)</f>
        <v>1</v>
      </c>
      <c r="Q29">
        <v>0</v>
      </c>
      <c r="R29">
        <v>0.38676737197177991</v>
      </c>
      <c r="S29">
        <v>8.6512744798690144E-2</v>
      </c>
      <c r="T29">
        <v>0.52671988322952989</v>
      </c>
      <c r="X29" s="16"/>
      <c r="Y29" s="16">
        <v>0.37611524535859875</v>
      </c>
      <c r="Z29" s="16">
        <v>0.18340682332755673</v>
      </c>
      <c r="AA29" s="16">
        <v>0.4404779313138445</v>
      </c>
      <c r="AB29" s="16"/>
      <c r="AC29" s="16"/>
      <c r="AD29" s="16"/>
      <c r="AE29" s="16"/>
    </row>
    <row r="30" spans="1:31" x14ac:dyDescent="0.3">
      <c r="A30" s="1">
        <v>43868</v>
      </c>
      <c r="B30">
        <v>41141.85</v>
      </c>
      <c r="C30">
        <f>Table1[[#This Row],[Close]]-0.001*Table1[[#This Row],[Close]]</f>
        <v>41100.708149999999</v>
      </c>
      <c r="D30">
        <f>Table1[[#This Row],[Close]]+0.001*Table1[[#This Row],[Close]]</f>
        <v>41182.991849999999</v>
      </c>
      <c r="E30" t="str">
        <f>IF(Table1[[#This Row],[Close]]&gt;D29,"UP",IF(Table1[[#This Row],[Close]]&lt;C29,"Down","Constant"))</f>
        <v>Down</v>
      </c>
      <c r="F30" s="3">
        <f>IF(Table1[[#This Row],[Column1]]="Up",1,IF(Table1[[#This Row],[Column1]]="Down",-1,0))</f>
        <v>-1</v>
      </c>
      <c r="G30" s="3">
        <f>IF(AND(Table1[[#This Row],[STATES in numeric format]]=-1,F29=-1),1,0)</f>
        <v>0</v>
      </c>
      <c r="H30" s="3">
        <f>IF(AND(Table1[[#This Row],[STATES in numeric format]]=-1,F29=0),1,0)</f>
        <v>0</v>
      </c>
      <c r="I30" s="3">
        <f>IF(AND(Table1[[#This Row],[STATES in numeric format]]=-1,F29=1),1,0)</f>
        <v>1</v>
      </c>
      <c r="J30" s="3">
        <f>IF(AND(Table1[[#This Row],[STATES in numeric format]]=0,F29=-1),1,0)</f>
        <v>0</v>
      </c>
      <c r="K30" s="3">
        <f>IF(AND(Table1[[#This Row],[STATES in numeric format]]=0,F29=0),1,0)</f>
        <v>0</v>
      </c>
      <c r="L30" s="3">
        <f>IF(AND(Table1[[#This Row],[STATES in numeric format]]=0,F29=1),1,0)</f>
        <v>0</v>
      </c>
      <c r="M30" s="3">
        <f>IF(AND(Table1[[#This Row],[STATES in numeric format]]=1,F29=-1),1,0)</f>
        <v>0</v>
      </c>
      <c r="N30" s="3">
        <f>IF(AND(Table1[[#This Row],[STATES in numeric format]]=1,F29=0),1,0)</f>
        <v>0</v>
      </c>
      <c r="O30" s="3">
        <f>IF(AND(Table1[[#This Row],[STATES in numeric format]]=1,F29=1),1,0)</f>
        <v>0</v>
      </c>
      <c r="Q30">
        <v>1</v>
      </c>
      <c r="R30">
        <v>0.38676516245658465</v>
      </c>
      <c r="S30">
        <v>8.6515190567668487E-2</v>
      </c>
      <c r="T30">
        <v>0.52671964697574669</v>
      </c>
      <c r="X30" s="16"/>
      <c r="Y30" s="16">
        <v>0.36997700464784966</v>
      </c>
      <c r="Z30" s="16">
        <v>0.16693009509808601</v>
      </c>
      <c r="AA30" s="16">
        <v>0.4630929002540643</v>
      </c>
      <c r="AB30" s="16"/>
      <c r="AC30" s="16"/>
      <c r="AD30" s="16"/>
      <c r="AE30" s="16"/>
    </row>
    <row r="31" spans="1:31" x14ac:dyDescent="0.3">
      <c r="A31" s="1">
        <v>43871</v>
      </c>
      <c r="B31">
        <v>40979.620000000003</v>
      </c>
      <c r="C31">
        <f>Table1[[#This Row],[Close]]-0.001*Table1[[#This Row],[Close]]</f>
        <v>40938.640380000004</v>
      </c>
      <c r="D31">
        <f>Table1[[#This Row],[Close]]+0.001*Table1[[#This Row],[Close]]</f>
        <v>41020.599620000001</v>
      </c>
      <c r="E31" t="str">
        <f>IF(Table1[[#This Row],[Close]]&gt;D30,"UP",IF(Table1[[#This Row],[Close]]&lt;C30,"Down","Constant"))</f>
        <v>Down</v>
      </c>
      <c r="F31" s="3">
        <f>IF(Table1[[#This Row],[Column1]]="Up",1,IF(Table1[[#This Row],[Column1]]="Down",-1,0))</f>
        <v>-1</v>
      </c>
      <c r="G31" s="3">
        <f>IF(AND(Table1[[#This Row],[STATES in numeric format]]=-1,F30=-1),1,0)</f>
        <v>1</v>
      </c>
      <c r="H31" s="3">
        <f>IF(AND(Table1[[#This Row],[STATES in numeric format]]=-1,F30=0),1,0)</f>
        <v>0</v>
      </c>
      <c r="I31" s="3">
        <f>IF(AND(Table1[[#This Row],[STATES in numeric format]]=-1,F30=1),1,0)</f>
        <v>0</v>
      </c>
      <c r="J31" s="3">
        <f>IF(AND(Table1[[#This Row],[STATES in numeric format]]=0,F30=-1),1,0)</f>
        <v>0</v>
      </c>
      <c r="K31" s="3">
        <f>IF(AND(Table1[[#This Row],[STATES in numeric format]]=0,F30=0),1,0)</f>
        <v>0</v>
      </c>
      <c r="L31" s="3">
        <f>IF(AND(Table1[[#This Row],[STATES in numeric format]]=0,F30=1),1,0)</f>
        <v>0</v>
      </c>
      <c r="M31" s="3">
        <f>IF(AND(Table1[[#This Row],[STATES in numeric format]]=1,F30=-1),1,0)</f>
        <v>0</v>
      </c>
      <c r="N31" s="3">
        <f>IF(AND(Table1[[#This Row],[STATES in numeric format]]=1,F30=0),1,0)</f>
        <v>0</v>
      </c>
      <c r="O31" s="3">
        <f>IF(AND(Table1[[#This Row],[STATES in numeric format]]=1,F30=1),1,0)</f>
        <v>0</v>
      </c>
      <c r="X31" s="16"/>
      <c r="Y31" s="16"/>
      <c r="Z31" s="16"/>
      <c r="AA31" s="16"/>
      <c r="AB31" s="16"/>
      <c r="AC31" s="16"/>
      <c r="AD31" s="16"/>
      <c r="AE31" s="16"/>
    </row>
    <row r="32" spans="1:31" x14ac:dyDescent="0.3">
      <c r="A32" s="1">
        <v>43872</v>
      </c>
      <c r="B32">
        <v>41216.14</v>
      </c>
      <c r="C32">
        <f>Table1[[#This Row],[Close]]-0.001*Table1[[#This Row],[Close]]</f>
        <v>41174.923860000003</v>
      </c>
      <c r="D32">
        <f>Table1[[#This Row],[Close]]+0.001*Table1[[#This Row],[Close]]</f>
        <v>41257.356139999996</v>
      </c>
      <c r="E32" t="str">
        <f>IF(Table1[[#This Row],[Close]]&gt;D31,"UP",IF(Table1[[#This Row],[Close]]&lt;C31,"Down","Constant"))</f>
        <v>UP</v>
      </c>
      <c r="F32" s="3">
        <f>IF(Table1[[#This Row],[Column1]]="Up",1,IF(Table1[[#This Row],[Column1]]="Down",-1,0))</f>
        <v>1</v>
      </c>
      <c r="G32" s="3">
        <f>IF(AND(Table1[[#This Row],[STATES in numeric format]]=-1,F31=-1),1,0)</f>
        <v>0</v>
      </c>
      <c r="H32" s="3">
        <f>IF(AND(Table1[[#This Row],[STATES in numeric format]]=-1,F31=0),1,0)</f>
        <v>0</v>
      </c>
      <c r="I32" s="3">
        <f>IF(AND(Table1[[#This Row],[STATES in numeric format]]=-1,F31=1),1,0)</f>
        <v>0</v>
      </c>
      <c r="J32" s="3">
        <f>IF(AND(Table1[[#This Row],[STATES in numeric format]]=0,F31=-1),1,0)</f>
        <v>0</v>
      </c>
      <c r="K32" s="3">
        <f>IF(AND(Table1[[#This Row],[STATES in numeric format]]=0,F31=0),1,0)</f>
        <v>0</v>
      </c>
      <c r="L32" s="3">
        <f>IF(AND(Table1[[#This Row],[STATES in numeric format]]=0,F31=1),1,0)</f>
        <v>0</v>
      </c>
      <c r="M32" s="3">
        <f>IF(AND(Table1[[#This Row],[STATES in numeric format]]=1,F31=-1),1,0)</f>
        <v>1</v>
      </c>
      <c r="N32" s="3">
        <f>IF(AND(Table1[[#This Row],[STATES in numeric format]]=1,F31=0),1,0)</f>
        <v>0</v>
      </c>
      <c r="O32" s="3">
        <f>IF(AND(Table1[[#This Row],[STATES in numeric format]]=1,F31=1),1,0)</f>
        <v>0</v>
      </c>
      <c r="X32" s="16" t="s">
        <v>132</v>
      </c>
      <c r="Y32" s="16">
        <f t="array" ref="Y32:AA34">MMULT(Y28:AA30,Y28:AA30)</f>
        <v>0.38641637801953066</v>
      </c>
      <c r="Z32" s="16">
        <v>0.17088541687123554</v>
      </c>
      <c r="AA32" s="16">
        <v>0.44269820510923386</v>
      </c>
      <c r="AB32" s="16"/>
      <c r="AC32" s="16"/>
      <c r="AD32" s="16"/>
      <c r="AE32" s="16"/>
    </row>
    <row r="33" spans="1:31" x14ac:dyDescent="0.3">
      <c r="A33" s="1">
        <v>43873</v>
      </c>
      <c r="B33">
        <v>41565.9</v>
      </c>
      <c r="C33">
        <f>Table1[[#This Row],[Close]]-0.001*Table1[[#This Row],[Close]]</f>
        <v>41524.3341</v>
      </c>
      <c r="D33">
        <f>Table1[[#This Row],[Close]]+0.001*Table1[[#This Row],[Close]]</f>
        <v>41607.465900000003</v>
      </c>
      <c r="E33" t="str">
        <f>IF(Table1[[#This Row],[Close]]&gt;D32,"UP",IF(Table1[[#This Row],[Close]]&lt;C32,"Down","Constant"))</f>
        <v>UP</v>
      </c>
      <c r="F33" s="3">
        <f>IF(Table1[[#This Row],[Column1]]="Up",1,IF(Table1[[#This Row],[Column1]]="Down",-1,0))</f>
        <v>1</v>
      </c>
      <c r="G33" s="3">
        <f>IF(AND(Table1[[#This Row],[STATES in numeric format]]=-1,F32=-1),1,0)</f>
        <v>0</v>
      </c>
      <c r="H33" s="3">
        <f>IF(AND(Table1[[#This Row],[STATES in numeric format]]=-1,F32=0),1,0)</f>
        <v>0</v>
      </c>
      <c r="I33" s="3">
        <f>IF(AND(Table1[[#This Row],[STATES in numeric format]]=-1,F32=1),1,0)</f>
        <v>0</v>
      </c>
      <c r="J33" s="3">
        <f>IF(AND(Table1[[#This Row],[STATES in numeric format]]=0,F32=-1),1,0)</f>
        <v>0</v>
      </c>
      <c r="K33" s="3">
        <f>IF(AND(Table1[[#This Row],[STATES in numeric format]]=0,F32=0),1,0)</f>
        <v>0</v>
      </c>
      <c r="L33" s="3">
        <f>IF(AND(Table1[[#This Row],[STATES in numeric format]]=0,F32=1),1,0)</f>
        <v>0</v>
      </c>
      <c r="M33" s="3">
        <f>IF(AND(Table1[[#This Row],[STATES in numeric format]]=1,F32=-1),1,0)</f>
        <v>0</v>
      </c>
      <c r="N33" s="3">
        <f>IF(AND(Table1[[#This Row],[STATES in numeric format]]=1,F32=0),1,0)</f>
        <v>0</v>
      </c>
      <c r="O33" s="3">
        <f>IF(AND(Table1[[#This Row],[STATES in numeric format]]=1,F32=1),1,0)</f>
        <v>1</v>
      </c>
      <c r="X33" s="16"/>
      <c r="Y33" s="16">
        <v>0.38530586818984647</v>
      </c>
      <c r="Z33" s="16">
        <v>0.17102028279464188</v>
      </c>
      <c r="AA33" s="16">
        <v>0.44367384901551166</v>
      </c>
      <c r="AB33" s="16"/>
      <c r="AC33" s="16"/>
      <c r="AD33" s="16"/>
      <c r="AE33" s="16"/>
    </row>
    <row r="34" spans="1:31" x14ac:dyDescent="0.3">
      <c r="A34" s="1">
        <v>43874</v>
      </c>
      <c r="B34">
        <v>41459.79</v>
      </c>
      <c r="C34">
        <f>Table1[[#This Row],[Close]]-0.001*Table1[[#This Row],[Close]]</f>
        <v>41418.33021</v>
      </c>
      <c r="D34">
        <f>Table1[[#This Row],[Close]]+0.001*Table1[[#This Row],[Close]]</f>
        <v>41501.249790000002</v>
      </c>
      <c r="E34" t="str">
        <f>IF(Table1[[#This Row],[Close]]&gt;D33,"UP",IF(Table1[[#This Row],[Close]]&lt;C33,"Down","Constant"))</f>
        <v>Down</v>
      </c>
      <c r="F34" s="3">
        <f>IF(Table1[[#This Row],[Column1]]="Up",1,IF(Table1[[#This Row],[Column1]]="Down",-1,0))</f>
        <v>-1</v>
      </c>
      <c r="G34" s="3">
        <f>IF(AND(Table1[[#This Row],[STATES in numeric format]]=-1,F33=-1),1,0)</f>
        <v>0</v>
      </c>
      <c r="H34" s="3">
        <f>IF(AND(Table1[[#This Row],[STATES in numeric format]]=-1,F33=0),1,0)</f>
        <v>0</v>
      </c>
      <c r="I34" s="3">
        <f>IF(AND(Table1[[#This Row],[STATES in numeric format]]=-1,F33=1),1,0)</f>
        <v>1</v>
      </c>
      <c r="J34" s="3">
        <f>IF(AND(Table1[[#This Row],[STATES in numeric format]]=0,F33=-1),1,0)</f>
        <v>0</v>
      </c>
      <c r="K34" s="3">
        <f>IF(AND(Table1[[#This Row],[STATES in numeric format]]=0,F33=0),1,0)</f>
        <v>0</v>
      </c>
      <c r="L34" s="3">
        <f>IF(AND(Table1[[#This Row],[STATES in numeric format]]=0,F33=1),1,0)</f>
        <v>0</v>
      </c>
      <c r="M34" s="3">
        <f>IF(AND(Table1[[#This Row],[STATES in numeric format]]=1,F33=-1),1,0)</f>
        <v>0</v>
      </c>
      <c r="N34" s="3">
        <f>IF(AND(Table1[[#This Row],[STATES in numeric format]]=1,F33=0),1,0)</f>
        <v>0</v>
      </c>
      <c r="O34" s="3">
        <f>IF(AND(Table1[[#This Row],[STATES in numeric format]]=1,F33=1),1,0)</f>
        <v>0</v>
      </c>
      <c r="X34" s="16"/>
      <c r="Y34" s="16">
        <v>0.38497293448401892</v>
      </c>
      <c r="Z34" s="16">
        <v>0.17073136637728079</v>
      </c>
      <c r="AA34" s="16">
        <v>0.44429569913870026</v>
      </c>
      <c r="AB34" s="16"/>
      <c r="AC34" s="16"/>
      <c r="AD34" s="16"/>
      <c r="AE34" s="16"/>
    </row>
    <row r="35" spans="1:31" x14ac:dyDescent="0.3">
      <c r="A35" s="1">
        <v>43875</v>
      </c>
      <c r="B35">
        <v>41257.74</v>
      </c>
      <c r="C35">
        <f>Table1[[#This Row],[Close]]-0.001*Table1[[#This Row],[Close]]</f>
        <v>41216.482259999997</v>
      </c>
      <c r="D35">
        <f>Table1[[#This Row],[Close]]+0.001*Table1[[#This Row],[Close]]</f>
        <v>41298.997739999999</v>
      </c>
      <c r="E35" t="str">
        <f>IF(Table1[[#This Row],[Close]]&gt;D34,"UP",IF(Table1[[#This Row],[Close]]&lt;C34,"Down","Constant"))</f>
        <v>Down</v>
      </c>
      <c r="F35" s="3">
        <f>IF(Table1[[#This Row],[Column1]]="Up",1,IF(Table1[[#This Row],[Column1]]="Down",-1,0))</f>
        <v>-1</v>
      </c>
      <c r="G35" s="3">
        <f>IF(AND(Table1[[#This Row],[STATES in numeric format]]=-1,F34=-1),1,0)</f>
        <v>1</v>
      </c>
      <c r="H35" s="3">
        <f>IF(AND(Table1[[#This Row],[STATES in numeric format]]=-1,F34=0),1,0)</f>
        <v>0</v>
      </c>
      <c r="I35" s="3">
        <f>IF(AND(Table1[[#This Row],[STATES in numeric format]]=-1,F34=1),1,0)</f>
        <v>0</v>
      </c>
      <c r="J35" s="3">
        <f>IF(AND(Table1[[#This Row],[STATES in numeric format]]=0,F34=-1),1,0)</f>
        <v>0</v>
      </c>
      <c r="K35" s="3">
        <f>IF(AND(Table1[[#This Row],[STATES in numeric format]]=0,F34=0),1,0)</f>
        <v>0</v>
      </c>
      <c r="L35" s="3">
        <f>IF(AND(Table1[[#This Row],[STATES in numeric format]]=0,F34=1),1,0)</f>
        <v>0</v>
      </c>
      <c r="M35" s="3">
        <f>IF(AND(Table1[[#This Row],[STATES in numeric format]]=1,F34=-1),1,0)</f>
        <v>0</v>
      </c>
      <c r="N35" s="3">
        <f>IF(AND(Table1[[#This Row],[STATES in numeric format]]=1,F34=0),1,0)</f>
        <v>0</v>
      </c>
      <c r="O35" s="3">
        <f>IF(AND(Table1[[#This Row],[STATES in numeric format]]=1,F34=1),1,0)</f>
        <v>0</v>
      </c>
      <c r="X35" s="16"/>
      <c r="Y35" s="16"/>
      <c r="Z35" s="16"/>
      <c r="AA35" s="16"/>
      <c r="AB35" s="16"/>
      <c r="AC35" s="16"/>
      <c r="AD35" s="16"/>
      <c r="AE35" s="16"/>
    </row>
    <row r="36" spans="1:31" x14ac:dyDescent="0.3">
      <c r="A36" s="1">
        <v>43878</v>
      </c>
      <c r="B36">
        <v>41055.69</v>
      </c>
      <c r="C36">
        <f>Table1[[#This Row],[Close]]-0.001*Table1[[#This Row],[Close]]</f>
        <v>41014.634310000001</v>
      </c>
      <c r="D36">
        <f>Table1[[#This Row],[Close]]+0.001*Table1[[#This Row],[Close]]</f>
        <v>41096.745690000003</v>
      </c>
      <c r="E36" t="str">
        <f>IF(Table1[[#This Row],[Close]]&gt;D35,"UP",IF(Table1[[#This Row],[Close]]&lt;C35,"Down","Constant"))</f>
        <v>Down</v>
      </c>
      <c r="F36" s="3">
        <f>IF(Table1[[#This Row],[Column1]]="Up",1,IF(Table1[[#This Row],[Column1]]="Down",-1,0))</f>
        <v>-1</v>
      </c>
      <c r="G36" s="3">
        <f>IF(AND(Table1[[#This Row],[STATES in numeric format]]=-1,F35=-1),1,0)</f>
        <v>1</v>
      </c>
      <c r="H36" s="3">
        <f>IF(AND(Table1[[#This Row],[STATES in numeric format]]=-1,F35=0),1,0)</f>
        <v>0</v>
      </c>
      <c r="I36" s="3">
        <f>IF(AND(Table1[[#This Row],[STATES in numeric format]]=-1,F35=1),1,0)</f>
        <v>0</v>
      </c>
      <c r="J36" s="3">
        <f>IF(AND(Table1[[#This Row],[STATES in numeric format]]=0,F35=-1),1,0)</f>
        <v>0</v>
      </c>
      <c r="K36" s="3">
        <f>IF(AND(Table1[[#This Row],[STATES in numeric format]]=0,F35=0),1,0)</f>
        <v>0</v>
      </c>
      <c r="L36" s="3">
        <f>IF(AND(Table1[[#This Row],[STATES in numeric format]]=0,F35=1),1,0)</f>
        <v>0</v>
      </c>
      <c r="M36" s="3">
        <f>IF(AND(Table1[[#This Row],[STATES in numeric format]]=1,F35=-1),1,0)</f>
        <v>0</v>
      </c>
      <c r="N36" s="3">
        <f>IF(AND(Table1[[#This Row],[STATES in numeric format]]=1,F35=0),1,0)</f>
        <v>0</v>
      </c>
      <c r="O36" s="3">
        <f>IF(AND(Table1[[#This Row],[STATES in numeric format]]=1,F35=1),1,0)</f>
        <v>0</v>
      </c>
    </row>
    <row r="37" spans="1:31" x14ac:dyDescent="0.3">
      <c r="A37" s="1">
        <v>43879</v>
      </c>
      <c r="B37">
        <v>40894.379999999997</v>
      </c>
      <c r="C37">
        <f>Table1[[#This Row],[Close]]-0.001*Table1[[#This Row],[Close]]</f>
        <v>40853.485619999999</v>
      </c>
      <c r="D37">
        <f>Table1[[#This Row],[Close]]+0.001*Table1[[#This Row],[Close]]</f>
        <v>40935.274379999995</v>
      </c>
      <c r="E37" t="str">
        <f>IF(Table1[[#This Row],[Close]]&gt;D36,"UP",IF(Table1[[#This Row],[Close]]&lt;C36,"Down","Constant"))</f>
        <v>Down</v>
      </c>
      <c r="F37" s="3">
        <f>IF(Table1[[#This Row],[Column1]]="Up",1,IF(Table1[[#This Row],[Column1]]="Down",-1,0))</f>
        <v>-1</v>
      </c>
      <c r="G37" s="3">
        <f>IF(AND(Table1[[#This Row],[STATES in numeric format]]=-1,F36=-1),1,0)</f>
        <v>1</v>
      </c>
      <c r="H37" s="3">
        <f>IF(AND(Table1[[#This Row],[STATES in numeric format]]=-1,F36=0),1,0)</f>
        <v>0</v>
      </c>
      <c r="I37" s="3">
        <f>IF(AND(Table1[[#This Row],[STATES in numeric format]]=-1,F36=1),1,0)</f>
        <v>0</v>
      </c>
      <c r="J37" s="3">
        <f>IF(AND(Table1[[#This Row],[STATES in numeric format]]=0,F36=-1),1,0)</f>
        <v>0</v>
      </c>
      <c r="K37" s="3">
        <f>IF(AND(Table1[[#This Row],[STATES in numeric format]]=0,F36=0),1,0)</f>
        <v>0</v>
      </c>
      <c r="L37" s="3">
        <f>IF(AND(Table1[[#This Row],[STATES in numeric format]]=0,F36=1),1,0)</f>
        <v>0</v>
      </c>
      <c r="M37" s="3">
        <f>IF(AND(Table1[[#This Row],[STATES in numeric format]]=1,F36=-1),1,0)</f>
        <v>0</v>
      </c>
      <c r="N37" s="3">
        <f>IF(AND(Table1[[#This Row],[STATES in numeric format]]=1,F36=0),1,0)</f>
        <v>0</v>
      </c>
      <c r="O37" s="3">
        <f>IF(AND(Table1[[#This Row],[STATES in numeric format]]=1,F36=1),1,0)</f>
        <v>0</v>
      </c>
    </row>
    <row r="38" spans="1:31" x14ac:dyDescent="0.3">
      <c r="A38" s="1">
        <v>43880</v>
      </c>
      <c r="B38">
        <v>41323</v>
      </c>
      <c r="C38">
        <f>Table1[[#This Row],[Close]]-0.001*Table1[[#This Row],[Close]]</f>
        <v>41281.677000000003</v>
      </c>
      <c r="D38">
        <f>Table1[[#This Row],[Close]]+0.001*Table1[[#This Row],[Close]]</f>
        <v>41364.322999999997</v>
      </c>
      <c r="E38" t="str">
        <f>IF(Table1[[#This Row],[Close]]&gt;D37,"UP",IF(Table1[[#This Row],[Close]]&lt;C37,"Down","Constant"))</f>
        <v>UP</v>
      </c>
      <c r="F38" s="3">
        <f>IF(Table1[[#This Row],[Column1]]="Up",1,IF(Table1[[#This Row],[Column1]]="Down",-1,0))</f>
        <v>1</v>
      </c>
      <c r="G38" s="3">
        <f>IF(AND(Table1[[#This Row],[STATES in numeric format]]=-1,F37=-1),1,0)</f>
        <v>0</v>
      </c>
      <c r="H38" s="3">
        <f>IF(AND(Table1[[#This Row],[STATES in numeric format]]=-1,F37=0),1,0)</f>
        <v>0</v>
      </c>
      <c r="I38" s="3">
        <f>IF(AND(Table1[[#This Row],[STATES in numeric format]]=-1,F37=1),1,0)</f>
        <v>0</v>
      </c>
      <c r="J38" s="3">
        <f>IF(AND(Table1[[#This Row],[STATES in numeric format]]=0,F37=-1),1,0)</f>
        <v>0</v>
      </c>
      <c r="K38" s="3">
        <f>IF(AND(Table1[[#This Row],[STATES in numeric format]]=0,F37=0),1,0)</f>
        <v>0</v>
      </c>
      <c r="L38" s="3">
        <f>IF(AND(Table1[[#This Row],[STATES in numeric format]]=0,F37=1),1,0)</f>
        <v>0</v>
      </c>
      <c r="M38" s="3">
        <f>IF(AND(Table1[[#This Row],[STATES in numeric format]]=1,F37=-1),1,0)</f>
        <v>1</v>
      </c>
      <c r="N38" s="3">
        <f>IF(AND(Table1[[#This Row],[STATES in numeric format]]=1,F37=0),1,0)</f>
        <v>0</v>
      </c>
      <c r="O38" s="3">
        <f>IF(AND(Table1[[#This Row],[STATES in numeric format]]=1,F37=1),1,0)</f>
        <v>0</v>
      </c>
    </row>
    <row r="39" spans="1:31" x14ac:dyDescent="0.3">
      <c r="A39" s="1">
        <v>43881</v>
      </c>
      <c r="B39">
        <v>41170.120000000003</v>
      </c>
      <c r="C39">
        <f>Table1[[#This Row],[Close]]-0.001*Table1[[#This Row],[Close]]</f>
        <v>41128.94988</v>
      </c>
      <c r="D39">
        <f>Table1[[#This Row],[Close]]+0.001*Table1[[#This Row],[Close]]</f>
        <v>41211.290120000005</v>
      </c>
      <c r="E39" t="str">
        <f>IF(Table1[[#This Row],[Close]]&gt;D38,"UP",IF(Table1[[#This Row],[Close]]&lt;C38,"Down","Constant"))</f>
        <v>Down</v>
      </c>
      <c r="F39" s="3">
        <f>IF(Table1[[#This Row],[Column1]]="Up",1,IF(Table1[[#This Row],[Column1]]="Down",-1,0))</f>
        <v>-1</v>
      </c>
      <c r="G39" s="3">
        <f>IF(AND(Table1[[#This Row],[STATES in numeric format]]=-1,F38=-1),1,0)</f>
        <v>0</v>
      </c>
      <c r="H39" s="3">
        <f>IF(AND(Table1[[#This Row],[STATES in numeric format]]=-1,F38=0),1,0)</f>
        <v>0</v>
      </c>
      <c r="I39" s="3">
        <f>IF(AND(Table1[[#This Row],[STATES in numeric format]]=-1,F38=1),1,0)</f>
        <v>1</v>
      </c>
      <c r="J39" s="3">
        <f>IF(AND(Table1[[#This Row],[STATES in numeric format]]=0,F38=-1),1,0)</f>
        <v>0</v>
      </c>
      <c r="K39" s="3">
        <f>IF(AND(Table1[[#This Row],[STATES in numeric format]]=0,F38=0),1,0)</f>
        <v>0</v>
      </c>
      <c r="L39" s="3">
        <f>IF(AND(Table1[[#This Row],[STATES in numeric format]]=0,F38=1),1,0)</f>
        <v>0</v>
      </c>
      <c r="M39" s="3">
        <f>IF(AND(Table1[[#This Row],[STATES in numeric format]]=1,F38=-1),1,0)</f>
        <v>0</v>
      </c>
      <c r="N39" s="3">
        <f>IF(AND(Table1[[#This Row],[STATES in numeric format]]=1,F38=0),1,0)</f>
        <v>0</v>
      </c>
      <c r="O39" s="3">
        <f>IF(AND(Table1[[#This Row],[STATES in numeric format]]=1,F38=1),1,0)</f>
        <v>0</v>
      </c>
    </row>
    <row r="40" spans="1:31" x14ac:dyDescent="0.3">
      <c r="A40" s="1">
        <v>43885</v>
      </c>
      <c r="B40">
        <v>40363.230000000003</v>
      </c>
      <c r="C40">
        <f>Table1[[#This Row],[Close]]-0.001*Table1[[#This Row],[Close]]</f>
        <v>40322.866770000001</v>
      </c>
      <c r="D40">
        <f>Table1[[#This Row],[Close]]+0.001*Table1[[#This Row],[Close]]</f>
        <v>40403.593230000006</v>
      </c>
      <c r="E40" t="str">
        <f>IF(Table1[[#This Row],[Close]]&gt;D39,"UP",IF(Table1[[#This Row],[Close]]&lt;C39,"Down","Constant"))</f>
        <v>Down</v>
      </c>
      <c r="F40" s="3">
        <f>IF(Table1[[#This Row],[Column1]]="Up",1,IF(Table1[[#This Row],[Column1]]="Down",-1,0))</f>
        <v>-1</v>
      </c>
      <c r="G40" s="3">
        <f>IF(AND(Table1[[#This Row],[STATES in numeric format]]=-1,F39=-1),1,0)</f>
        <v>1</v>
      </c>
      <c r="H40" s="3">
        <f>IF(AND(Table1[[#This Row],[STATES in numeric format]]=-1,F39=0),1,0)</f>
        <v>0</v>
      </c>
      <c r="I40" s="3">
        <f>IF(AND(Table1[[#This Row],[STATES in numeric format]]=-1,F39=1),1,0)</f>
        <v>0</v>
      </c>
      <c r="J40" s="3">
        <f>IF(AND(Table1[[#This Row],[STATES in numeric format]]=0,F39=-1),1,0)</f>
        <v>0</v>
      </c>
      <c r="K40" s="3">
        <f>IF(AND(Table1[[#This Row],[STATES in numeric format]]=0,F39=0),1,0)</f>
        <v>0</v>
      </c>
      <c r="L40" s="3">
        <f>IF(AND(Table1[[#This Row],[STATES in numeric format]]=0,F39=1),1,0)</f>
        <v>0</v>
      </c>
      <c r="M40" s="3">
        <f>IF(AND(Table1[[#This Row],[STATES in numeric format]]=1,F39=-1),1,0)</f>
        <v>0</v>
      </c>
      <c r="N40" s="3">
        <f>IF(AND(Table1[[#This Row],[STATES in numeric format]]=1,F39=0),1,0)</f>
        <v>0</v>
      </c>
      <c r="O40" s="3">
        <f>IF(AND(Table1[[#This Row],[STATES in numeric format]]=1,F39=1),1,0)</f>
        <v>0</v>
      </c>
    </row>
    <row r="41" spans="1:31" x14ac:dyDescent="0.3">
      <c r="A41" s="1">
        <v>43886</v>
      </c>
      <c r="B41">
        <v>40281.199999999997</v>
      </c>
      <c r="C41">
        <f>Table1[[#This Row],[Close]]-0.001*Table1[[#This Row],[Close]]</f>
        <v>40240.918799999999</v>
      </c>
      <c r="D41">
        <f>Table1[[#This Row],[Close]]+0.001*Table1[[#This Row],[Close]]</f>
        <v>40321.481199999995</v>
      </c>
      <c r="E41" t="str">
        <f>IF(Table1[[#This Row],[Close]]&gt;D40,"UP",IF(Table1[[#This Row],[Close]]&lt;C40,"Down","Constant"))</f>
        <v>Down</v>
      </c>
      <c r="F41" s="3">
        <f>IF(Table1[[#This Row],[Column1]]="Up",1,IF(Table1[[#This Row],[Column1]]="Down",-1,0))</f>
        <v>-1</v>
      </c>
      <c r="G41" s="3">
        <f>IF(AND(Table1[[#This Row],[STATES in numeric format]]=-1,F40=-1),1,0)</f>
        <v>1</v>
      </c>
      <c r="H41" s="3">
        <f>IF(AND(Table1[[#This Row],[STATES in numeric format]]=-1,F40=0),1,0)</f>
        <v>0</v>
      </c>
      <c r="I41" s="3">
        <f>IF(AND(Table1[[#This Row],[STATES in numeric format]]=-1,F40=1),1,0)</f>
        <v>0</v>
      </c>
      <c r="J41" s="3">
        <f>IF(AND(Table1[[#This Row],[STATES in numeric format]]=0,F40=-1),1,0)</f>
        <v>0</v>
      </c>
      <c r="K41" s="3">
        <f>IF(AND(Table1[[#This Row],[STATES in numeric format]]=0,F40=0),1,0)</f>
        <v>0</v>
      </c>
      <c r="L41" s="3">
        <f>IF(AND(Table1[[#This Row],[STATES in numeric format]]=0,F40=1),1,0)</f>
        <v>0</v>
      </c>
      <c r="M41" s="3">
        <f>IF(AND(Table1[[#This Row],[STATES in numeric format]]=1,F40=-1),1,0)</f>
        <v>0</v>
      </c>
      <c r="N41" s="3">
        <f>IF(AND(Table1[[#This Row],[STATES in numeric format]]=1,F40=0),1,0)</f>
        <v>0</v>
      </c>
      <c r="O41" s="3">
        <f>IF(AND(Table1[[#This Row],[STATES in numeric format]]=1,F40=1),1,0)</f>
        <v>0</v>
      </c>
    </row>
    <row r="42" spans="1:31" x14ac:dyDescent="0.3">
      <c r="A42" s="1">
        <v>43887</v>
      </c>
      <c r="B42">
        <v>39888.959999999999</v>
      </c>
      <c r="C42">
        <f>Table1[[#This Row],[Close]]-0.001*Table1[[#This Row],[Close]]</f>
        <v>39849.071040000003</v>
      </c>
      <c r="D42">
        <f>Table1[[#This Row],[Close]]+0.001*Table1[[#This Row],[Close]]</f>
        <v>39928.848959999996</v>
      </c>
      <c r="E42" t="str">
        <f>IF(Table1[[#This Row],[Close]]&gt;D41,"UP",IF(Table1[[#This Row],[Close]]&lt;C41,"Down","Constant"))</f>
        <v>Down</v>
      </c>
      <c r="F42" s="3">
        <f>IF(Table1[[#This Row],[Column1]]="Up",1,IF(Table1[[#This Row],[Column1]]="Down",-1,0))</f>
        <v>-1</v>
      </c>
      <c r="G42" s="3">
        <f>IF(AND(Table1[[#This Row],[STATES in numeric format]]=-1,F41=-1),1,0)</f>
        <v>1</v>
      </c>
      <c r="H42" s="3">
        <f>IF(AND(Table1[[#This Row],[STATES in numeric format]]=-1,F41=0),1,0)</f>
        <v>0</v>
      </c>
      <c r="I42" s="3">
        <f>IF(AND(Table1[[#This Row],[STATES in numeric format]]=-1,F41=1),1,0)</f>
        <v>0</v>
      </c>
      <c r="J42" s="3">
        <f>IF(AND(Table1[[#This Row],[STATES in numeric format]]=0,F41=-1),1,0)</f>
        <v>0</v>
      </c>
      <c r="K42" s="3">
        <f>IF(AND(Table1[[#This Row],[STATES in numeric format]]=0,F41=0),1,0)</f>
        <v>0</v>
      </c>
      <c r="L42" s="3">
        <f>IF(AND(Table1[[#This Row],[STATES in numeric format]]=0,F41=1),1,0)</f>
        <v>0</v>
      </c>
      <c r="M42" s="3">
        <f>IF(AND(Table1[[#This Row],[STATES in numeric format]]=1,F41=-1),1,0)</f>
        <v>0</v>
      </c>
      <c r="N42" s="3">
        <f>IF(AND(Table1[[#This Row],[STATES in numeric format]]=1,F41=0),1,0)</f>
        <v>0</v>
      </c>
      <c r="O42" s="3">
        <f>IF(AND(Table1[[#This Row],[STATES in numeric format]]=1,F41=1),1,0)</f>
        <v>0</v>
      </c>
    </row>
    <row r="43" spans="1:31" x14ac:dyDescent="0.3">
      <c r="A43" s="1">
        <v>43888</v>
      </c>
      <c r="B43">
        <v>39745.660000000003</v>
      </c>
      <c r="C43">
        <f>Table1[[#This Row],[Close]]-0.001*Table1[[#This Row],[Close]]</f>
        <v>39705.914340000003</v>
      </c>
      <c r="D43">
        <f>Table1[[#This Row],[Close]]+0.001*Table1[[#This Row],[Close]]</f>
        <v>39785.405660000004</v>
      </c>
      <c r="E43" t="str">
        <f>IF(Table1[[#This Row],[Close]]&gt;D42,"UP",IF(Table1[[#This Row],[Close]]&lt;C42,"Down","Constant"))</f>
        <v>Down</v>
      </c>
      <c r="F43" s="3">
        <f>IF(Table1[[#This Row],[Column1]]="Up",1,IF(Table1[[#This Row],[Column1]]="Down",-1,0))</f>
        <v>-1</v>
      </c>
      <c r="G43" s="3">
        <f>IF(AND(Table1[[#This Row],[STATES in numeric format]]=-1,F42=-1),1,0)</f>
        <v>1</v>
      </c>
      <c r="H43" s="3">
        <f>IF(AND(Table1[[#This Row],[STATES in numeric format]]=-1,F42=0),1,0)</f>
        <v>0</v>
      </c>
      <c r="I43" s="3">
        <f>IF(AND(Table1[[#This Row],[STATES in numeric format]]=-1,F42=1),1,0)</f>
        <v>0</v>
      </c>
      <c r="J43" s="3">
        <f>IF(AND(Table1[[#This Row],[STATES in numeric format]]=0,F42=-1),1,0)</f>
        <v>0</v>
      </c>
      <c r="K43" s="3">
        <f>IF(AND(Table1[[#This Row],[STATES in numeric format]]=0,F42=0),1,0)</f>
        <v>0</v>
      </c>
      <c r="L43" s="3">
        <f>IF(AND(Table1[[#This Row],[STATES in numeric format]]=0,F42=1),1,0)</f>
        <v>0</v>
      </c>
      <c r="M43" s="3">
        <f>IF(AND(Table1[[#This Row],[STATES in numeric format]]=1,F42=-1),1,0)</f>
        <v>0</v>
      </c>
      <c r="N43" s="3">
        <f>IF(AND(Table1[[#This Row],[STATES in numeric format]]=1,F42=0),1,0)</f>
        <v>0</v>
      </c>
      <c r="O43" s="3">
        <f>IF(AND(Table1[[#This Row],[STATES in numeric format]]=1,F42=1),1,0)</f>
        <v>0</v>
      </c>
    </row>
    <row r="44" spans="1:31" x14ac:dyDescent="0.3">
      <c r="A44" s="1">
        <v>43889</v>
      </c>
      <c r="B44">
        <v>38297.29</v>
      </c>
      <c r="C44">
        <f>Table1[[#This Row],[Close]]-0.001*Table1[[#This Row],[Close]]</f>
        <v>38258.992709999999</v>
      </c>
      <c r="D44">
        <f>Table1[[#This Row],[Close]]+0.001*Table1[[#This Row],[Close]]</f>
        <v>38335.587290000003</v>
      </c>
      <c r="E44" t="str">
        <f>IF(Table1[[#This Row],[Close]]&gt;D43,"UP",IF(Table1[[#This Row],[Close]]&lt;C43,"Down","Constant"))</f>
        <v>Down</v>
      </c>
      <c r="F44" s="3">
        <f>IF(Table1[[#This Row],[Column1]]="Up",1,IF(Table1[[#This Row],[Column1]]="Down",-1,0))</f>
        <v>-1</v>
      </c>
      <c r="G44" s="3">
        <f>IF(AND(Table1[[#This Row],[STATES in numeric format]]=-1,F43=-1),1,0)</f>
        <v>1</v>
      </c>
      <c r="H44" s="3">
        <f>IF(AND(Table1[[#This Row],[STATES in numeric format]]=-1,F43=0),1,0)</f>
        <v>0</v>
      </c>
      <c r="I44" s="3">
        <f>IF(AND(Table1[[#This Row],[STATES in numeric format]]=-1,F43=1),1,0)</f>
        <v>0</v>
      </c>
      <c r="J44" s="3">
        <f>IF(AND(Table1[[#This Row],[STATES in numeric format]]=0,F43=-1),1,0)</f>
        <v>0</v>
      </c>
      <c r="K44" s="3">
        <f>IF(AND(Table1[[#This Row],[STATES in numeric format]]=0,F43=0),1,0)</f>
        <v>0</v>
      </c>
      <c r="L44" s="3">
        <f>IF(AND(Table1[[#This Row],[STATES in numeric format]]=0,F43=1),1,0)</f>
        <v>0</v>
      </c>
      <c r="M44" s="3">
        <f>IF(AND(Table1[[#This Row],[STATES in numeric format]]=1,F43=-1),1,0)</f>
        <v>0</v>
      </c>
      <c r="N44" s="3">
        <f>IF(AND(Table1[[#This Row],[STATES in numeric format]]=1,F43=0),1,0)</f>
        <v>0</v>
      </c>
      <c r="O44" s="3">
        <f>IF(AND(Table1[[#This Row],[STATES in numeric format]]=1,F43=1),1,0)</f>
        <v>0</v>
      </c>
    </row>
    <row r="45" spans="1:31" x14ac:dyDescent="0.3">
      <c r="A45" s="1">
        <v>43892</v>
      </c>
      <c r="B45">
        <v>38144.019999999997</v>
      </c>
      <c r="C45">
        <f>Table1[[#This Row],[Close]]-0.001*Table1[[#This Row],[Close]]</f>
        <v>38105.875979999997</v>
      </c>
      <c r="D45">
        <f>Table1[[#This Row],[Close]]+0.001*Table1[[#This Row],[Close]]</f>
        <v>38182.164019999997</v>
      </c>
      <c r="E45" t="str">
        <f>IF(Table1[[#This Row],[Close]]&gt;D44,"UP",IF(Table1[[#This Row],[Close]]&lt;C44,"Down","Constant"))</f>
        <v>Down</v>
      </c>
      <c r="F45" s="3">
        <f>IF(Table1[[#This Row],[Column1]]="Up",1,IF(Table1[[#This Row],[Column1]]="Down",-1,0))</f>
        <v>-1</v>
      </c>
      <c r="G45" s="3">
        <f>IF(AND(Table1[[#This Row],[STATES in numeric format]]=-1,F44=-1),1,0)</f>
        <v>1</v>
      </c>
      <c r="H45" s="3">
        <f>IF(AND(Table1[[#This Row],[STATES in numeric format]]=-1,F44=0),1,0)</f>
        <v>0</v>
      </c>
      <c r="I45" s="3">
        <f>IF(AND(Table1[[#This Row],[STATES in numeric format]]=-1,F44=1),1,0)</f>
        <v>0</v>
      </c>
      <c r="J45" s="3">
        <f>IF(AND(Table1[[#This Row],[STATES in numeric format]]=0,F44=-1),1,0)</f>
        <v>0</v>
      </c>
      <c r="K45" s="3">
        <f>IF(AND(Table1[[#This Row],[STATES in numeric format]]=0,F44=0),1,0)</f>
        <v>0</v>
      </c>
      <c r="L45" s="3">
        <f>IF(AND(Table1[[#This Row],[STATES in numeric format]]=0,F44=1),1,0)</f>
        <v>0</v>
      </c>
      <c r="M45" s="3">
        <f>IF(AND(Table1[[#This Row],[STATES in numeric format]]=1,F44=-1),1,0)</f>
        <v>0</v>
      </c>
      <c r="N45" s="3">
        <f>IF(AND(Table1[[#This Row],[STATES in numeric format]]=1,F44=0),1,0)</f>
        <v>0</v>
      </c>
      <c r="O45" s="3">
        <f>IF(AND(Table1[[#This Row],[STATES in numeric format]]=1,F44=1),1,0)</f>
        <v>0</v>
      </c>
    </row>
    <row r="46" spans="1:31" x14ac:dyDescent="0.3">
      <c r="A46" s="1">
        <v>43893</v>
      </c>
      <c r="B46">
        <v>38623.699999999997</v>
      </c>
      <c r="C46">
        <f>Table1[[#This Row],[Close]]-0.001*Table1[[#This Row],[Close]]</f>
        <v>38585.076300000001</v>
      </c>
      <c r="D46">
        <f>Table1[[#This Row],[Close]]+0.001*Table1[[#This Row],[Close]]</f>
        <v>38662.323699999994</v>
      </c>
      <c r="E46" t="str">
        <f>IF(Table1[[#This Row],[Close]]&gt;D45,"UP",IF(Table1[[#This Row],[Close]]&lt;C45,"Down","Constant"))</f>
        <v>UP</v>
      </c>
      <c r="F46" s="3">
        <f>IF(Table1[[#This Row],[Column1]]="Up",1,IF(Table1[[#This Row],[Column1]]="Down",-1,0))</f>
        <v>1</v>
      </c>
      <c r="G46" s="3">
        <f>IF(AND(Table1[[#This Row],[STATES in numeric format]]=-1,F45=-1),1,0)</f>
        <v>0</v>
      </c>
      <c r="H46" s="3">
        <f>IF(AND(Table1[[#This Row],[STATES in numeric format]]=-1,F45=0),1,0)</f>
        <v>0</v>
      </c>
      <c r="I46" s="3">
        <f>IF(AND(Table1[[#This Row],[STATES in numeric format]]=-1,F45=1),1,0)</f>
        <v>0</v>
      </c>
      <c r="J46" s="3">
        <f>IF(AND(Table1[[#This Row],[STATES in numeric format]]=0,F45=-1),1,0)</f>
        <v>0</v>
      </c>
      <c r="K46" s="3">
        <f>IF(AND(Table1[[#This Row],[STATES in numeric format]]=0,F45=0),1,0)</f>
        <v>0</v>
      </c>
      <c r="L46" s="3">
        <f>IF(AND(Table1[[#This Row],[STATES in numeric format]]=0,F45=1),1,0)</f>
        <v>0</v>
      </c>
      <c r="M46" s="3">
        <f>IF(AND(Table1[[#This Row],[STATES in numeric format]]=1,F45=-1),1,0)</f>
        <v>1</v>
      </c>
      <c r="N46" s="3">
        <f>IF(AND(Table1[[#This Row],[STATES in numeric format]]=1,F45=0),1,0)</f>
        <v>0</v>
      </c>
      <c r="O46" s="3">
        <f>IF(AND(Table1[[#This Row],[STATES in numeric format]]=1,F45=1),1,0)</f>
        <v>0</v>
      </c>
    </row>
    <row r="47" spans="1:31" x14ac:dyDescent="0.3">
      <c r="A47" s="1">
        <v>43894</v>
      </c>
      <c r="B47">
        <v>38409.480000000003</v>
      </c>
      <c r="C47">
        <f>Table1[[#This Row],[Close]]-0.001*Table1[[#This Row],[Close]]</f>
        <v>38371.070520000001</v>
      </c>
      <c r="D47">
        <f>Table1[[#This Row],[Close]]+0.001*Table1[[#This Row],[Close]]</f>
        <v>38447.889480000005</v>
      </c>
      <c r="E47" t="str">
        <f>IF(Table1[[#This Row],[Close]]&gt;D46,"UP",IF(Table1[[#This Row],[Close]]&lt;C46,"Down","Constant"))</f>
        <v>Down</v>
      </c>
      <c r="F47" s="3">
        <f>IF(Table1[[#This Row],[Column1]]="Up",1,IF(Table1[[#This Row],[Column1]]="Down",-1,0))</f>
        <v>-1</v>
      </c>
      <c r="G47" s="3">
        <f>IF(AND(Table1[[#This Row],[STATES in numeric format]]=-1,F46=-1),1,0)</f>
        <v>0</v>
      </c>
      <c r="H47" s="3">
        <f>IF(AND(Table1[[#This Row],[STATES in numeric format]]=-1,F46=0),1,0)</f>
        <v>0</v>
      </c>
      <c r="I47" s="3">
        <f>IF(AND(Table1[[#This Row],[STATES in numeric format]]=-1,F46=1),1,0)</f>
        <v>1</v>
      </c>
      <c r="J47" s="3">
        <f>IF(AND(Table1[[#This Row],[STATES in numeric format]]=0,F46=-1),1,0)</f>
        <v>0</v>
      </c>
      <c r="K47" s="3">
        <f>IF(AND(Table1[[#This Row],[STATES in numeric format]]=0,F46=0),1,0)</f>
        <v>0</v>
      </c>
      <c r="L47" s="3">
        <f>IF(AND(Table1[[#This Row],[STATES in numeric format]]=0,F46=1),1,0)</f>
        <v>0</v>
      </c>
      <c r="M47" s="3">
        <f>IF(AND(Table1[[#This Row],[STATES in numeric format]]=1,F46=-1),1,0)</f>
        <v>0</v>
      </c>
      <c r="N47" s="3">
        <f>IF(AND(Table1[[#This Row],[STATES in numeric format]]=1,F46=0),1,0)</f>
        <v>0</v>
      </c>
      <c r="O47" s="3">
        <f>IF(AND(Table1[[#This Row],[STATES in numeric format]]=1,F46=1),1,0)</f>
        <v>0</v>
      </c>
    </row>
    <row r="48" spans="1:31" x14ac:dyDescent="0.3">
      <c r="A48" s="1">
        <v>43895</v>
      </c>
      <c r="B48">
        <v>38470.61</v>
      </c>
      <c r="C48">
        <f>Table1[[#This Row],[Close]]-0.001*Table1[[#This Row],[Close]]</f>
        <v>38432.139390000004</v>
      </c>
      <c r="D48">
        <f>Table1[[#This Row],[Close]]+0.001*Table1[[#This Row],[Close]]</f>
        <v>38509.080609999997</v>
      </c>
      <c r="E48" t="str">
        <f>IF(Table1[[#This Row],[Close]]&gt;D47,"UP",IF(Table1[[#This Row],[Close]]&lt;C47,"Down","Constant"))</f>
        <v>UP</v>
      </c>
      <c r="F48" s="3">
        <f>IF(Table1[[#This Row],[Column1]]="Up",1,IF(Table1[[#This Row],[Column1]]="Down",-1,0))</f>
        <v>1</v>
      </c>
      <c r="G48" s="3">
        <f>IF(AND(Table1[[#This Row],[STATES in numeric format]]=-1,F47=-1),1,0)</f>
        <v>0</v>
      </c>
      <c r="H48" s="3">
        <f>IF(AND(Table1[[#This Row],[STATES in numeric format]]=-1,F47=0),1,0)</f>
        <v>0</v>
      </c>
      <c r="I48" s="3">
        <f>IF(AND(Table1[[#This Row],[STATES in numeric format]]=-1,F47=1),1,0)</f>
        <v>0</v>
      </c>
      <c r="J48" s="3">
        <f>IF(AND(Table1[[#This Row],[STATES in numeric format]]=0,F47=-1),1,0)</f>
        <v>0</v>
      </c>
      <c r="K48" s="3">
        <f>IF(AND(Table1[[#This Row],[STATES in numeric format]]=0,F47=0),1,0)</f>
        <v>0</v>
      </c>
      <c r="L48" s="3">
        <f>IF(AND(Table1[[#This Row],[STATES in numeric format]]=0,F47=1),1,0)</f>
        <v>0</v>
      </c>
      <c r="M48" s="3">
        <f>IF(AND(Table1[[#This Row],[STATES in numeric format]]=1,F47=-1),1,0)</f>
        <v>1</v>
      </c>
      <c r="N48" s="3">
        <f>IF(AND(Table1[[#This Row],[STATES in numeric format]]=1,F47=0),1,0)</f>
        <v>0</v>
      </c>
      <c r="O48" s="3">
        <f>IF(AND(Table1[[#This Row],[STATES in numeric format]]=1,F47=1),1,0)</f>
        <v>0</v>
      </c>
    </row>
    <row r="49" spans="1:15" x14ac:dyDescent="0.3">
      <c r="A49" s="1">
        <v>43896</v>
      </c>
      <c r="B49">
        <v>37576.620000000003</v>
      </c>
      <c r="C49">
        <f>Table1[[#This Row],[Close]]-0.001*Table1[[#This Row],[Close]]</f>
        <v>37539.043380000003</v>
      </c>
      <c r="D49">
        <f>Table1[[#This Row],[Close]]+0.001*Table1[[#This Row],[Close]]</f>
        <v>37614.196620000002</v>
      </c>
      <c r="E49" t="str">
        <f>IF(Table1[[#This Row],[Close]]&gt;D48,"UP",IF(Table1[[#This Row],[Close]]&lt;C48,"Down","Constant"))</f>
        <v>Down</v>
      </c>
      <c r="F49" s="3">
        <f>IF(Table1[[#This Row],[Column1]]="Up",1,IF(Table1[[#This Row],[Column1]]="Down",-1,0))</f>
        <v>-1</v>
      </c>
      <c r="G49" s="3">
        <f>IF(AND(Table1[[#This Row],[STATES in numeric format]]=-1,F48=-1),1,0)</f>
        <v>0</v>
      </c>
      <c r="H49" s="3">
        <f>IF(AND(Table1[[#This Row],[STATES in numeric format]]=-1,F48=0),1,0)</f>
        <v>0</v>
      </c>
      <c r="I49" s="3">
        <f>IF(AND(Table1[[#This Row],[STATES in numeric format]]=-1,F48=1),1,0)</f>
        <v>1</v>
      </c>
      <c r="J49" s="3">
        <f>IF(AND(Table1[[#This Row],[STATES in numeric format]]=0,F48=-1),1,0)</f>
        <v>0</v>
      </c>
      <c r="K49" s="3">
        <f>IF(AND(Table1[[#This Row],[STATES in numeric format]]=0,F48=0),1,0)</f>
        <v>0</v>
      </c>
      <c r="L49" s="3">
        <f>IF(AND(Table1[[#This Row],[STATES in numeric format]]=0,F48=1),1,0)</f>
        <v>0</v>
      </c>
      <c r="M49" s="3">
        <f>IF(AND(Table1[[#This Row],[STATES in numeric format]]=1,F48=-1),1,0)</f>
        <v>0</v>
      </c>
      <c r="N49" s="3">
        <f>IF(AND(Table1[[#This Row],[STATES in numeric format]]=1,F48=0),1,0)</f>
        <v>0</v>
      </c>
      <c r="O49" s="3">
        <f>IF(AND(Table1[[#This Row],[STATES in numeric format]]=1,F48=1),1,0)</f>
        <v>0</v>
      </c>
    </row>
    <row r="50" spans="1:15" x14ac:dyDescent="0.3">
      <c r="A50" s="1">
        <v>43899</v>
      </c>
      <c r="B50">
        <v>35634.949999999997</v>
      </c>
      <c r="C50">
        <f>Table1[[#This Row],[Close]]-0.001*Table1[[#This Row],[Close]]</f>
        <v>35599.315049999997</v>
      </c>
      <c r="D50">
        <f>Table1[[#This Row],[Close]]+0.001*Table1[[#This Row],[Close]]</f>
        <v>35670.584949999997</v>
      </c>
      <c r="E50" t="str">
        <f>IF(Table1[[#This Row],[Close]]&gt;D49,"UP",IF(Table1[[#This Row],[Close]]&lt;C49,"Down","Constant"))</f>
        <v>Down</v>
      </c>
      <c r="F50" s="3">
        <f>IF(Table1[[#This Row],[Column1]]="Up",1,IF(Table1[[#This Row],[Column1]]="Down",-1,0))</f>
        <v>-1</v>
      </c>
      <c r="G50" s="3">
        <f>IF(AND(Table1[[#This Row],[STATES in numeric format]]=-1,F49=-1),1,0)</f>
        <v>1</v>
      </c>
      <c r="H50" s="3">
        <f>IF(AND(Table1[[#This Row],[STATES in numeric format]]=-1,F49=0),1,0)</f>
        <v>0</v>
      </c>
      <c r="I50" s="3">
        <f>IF(AND(Table1[[#This Row],[STATES in numeric format]]=-1,F49=1),1,0)</f>
        <v>0</v>
      </c>
      <c r="J50" s="3">
        <f>IF(AND(Table1[[#This Row],[STATES in numeric format]]=0,F49=-1),1,0)</f>
        <v>0</v>
      </c>
      <c r="K50" s="3">
        <f>IF(AND(Table1[[#This Row],[STATES in numeric format]]=0,F49=0),1,0)</f>
        <v>0</v>
      </c>
      <c r="L50" s="3">
        <f>IF(AND(Table1[[#This Row],[STATES in numeric format]]=0,F49=1),1,0)</f>
        <v>0</v>
      </c>
      <c r="M50" s="3">
        <f>IF(AND(Table1[[#This Row],[STATES in numeric format]]=1,F49=-1),1,0)</f>
        <v>0</v>
      </c>
      <c r="N50" s="3">
        <f>IF(AND(Table1[[#This Row],[STATES in numeric format]]=1,F49=0),1,0)</f>
        <v>0</v>
      </c>
      <c r="O50" s="3">
        <f>IF(AND(Table1[[#This Row],[STATES in numeric format]]=1,F49=1),1,0)</f>
        <v>0</v>
      </c>
    </row>
    <row r="51" spans="1:15" x14ac:dyDescent="0.3">
      <c r="A51" s="1">
        <v>43901</v>
      </c>
      <c r="B51">
        <v>35697.4</v>
      </c>
      <c r="C51">
        <f>Table1[[#This Row],[Close]]-0.001*Table1[[#This Row],[Close]]</f>
        <v>35661.702600000004</v>
      </c>
      <c r="D51">
        <f>Table1[[#This Row],[Close]]+0.001*Table1[[#This Row],[Close]]</f>
        <v>35733.097399999999</v>
      </c>
      <c r="E51" t="str">
        <f>IF(Table1[[#This Row],[Close]]&gt;D50,"UP",IF(Table1[[#This Row],[Close]]&lt;C50,"Down","Constant"))</f>
        <v>UP</v>
      </c>
      <c r="F51" s="3">
        <f>IF(Table1[[#This Row],[Column1]]="Up",1,IF(Table1[[#This Row],[Column1]]="Down",-1,0))</f>
        <v>1</v>
      </c>
      <c r="G51" s="3">
        <f>IF(AND(Table1[[#This Row],[STATES in numeric format]]=-1,F50=-1),1,0)</f>
        <v>0</v>
      </c>
      <c r="H51" s="3">
        <f>IF(AND(Table1[[#This Row],[STATES in numeric format]]=-1,F50=0),1,0)</f>
        <v>0</v>
      </c>
      <c r="I51" s="3">
        <f>IF(AND(Table1[[#This Row],[STATES in numeric format]]=-1,F50=1),1,0)</f>
        <v>0</v>
      </c>
      <c r="J51" s="3">
        <f>IF(AND(Table1[[#This Row],[STATES in numeric format]]=0,F50=-1),1,0)</f>
        <v>0</v>
      </c>
      <c r="K51" s="3">
        <f>IF(AND(Table1[[#This Row],[STATES in numeric format]]=0,F50=0),1,0)</f>
        <v>0</v>
      </c>
      <c r="L51" s="3">
        <f>IF(AND(Table1[[#This Row],[STATES in numeric format]]=0,F50=1),1,0)</f>
        <v>0</v>
      </c>
      <c r="M51" s="3">
        <f>IF(AND(Table1[[#This Row],[STATES in numeric format]]=1,F50=-1),1,0)</f>
        <v>1</v>
      </c>
      <c r="N51" s="3">
        <f>IF(AND(Table1[[#This Row],[STATES in numeric format]]=1,F50=0),1,0)</f>
        <v>0</v>
      </c>
      <c r="O51" s="3">
        <f>IF(AND(Table1[[#This Row],[STATES in numeric format]]=1,F50=1),1,0)</f>
        <v>0</v>
      </c>
    </row>
    <row r="52" spans="1:15" x14ac:dyDescent="0.3">
      <c r="A52" s="1">
        <v>43902</v>
      </c>
      <c r="B52">
        <v>32778.14</v>
      </c>
      <c r="C52">
        <f>Table1[[#This Row],[Close]]-0.001*Table1[[#This Row],[Close]]</f>
        <v>32745.361860000001</v>
      </c>
      <c r="D52">
        <f>Table1[[#This Row],[Close]]+0.001*Table1[[#This Row],[Close]]</f>
        <v>32810.918140000002</v>
      </c>
      <c r="E52" t="str">
        <f>IF(Table1[[#This Row],[Close]]&gt;D51,"UP",IF(Table1[[#This Row],[Close]]&lt;C51,"Down","Constant"))</f>
        <v>Down</v>
      </c>
      <c r="F52" s="3">
        <f>IF(Table1[[#This Row],[Column1]]="Up",1,IF(Table1[[#This Row],[Column1]]="Down",-1,0))</f>
        <v>-1</v>
      </c>
      <c r="G52" s="3">
        <f>IF(AND(Table1[[#This Row],[STATES in numeric format]]=-1,F51=-1),1,0)</f>
        <v>0</v>
      </c>
      <c r="H52" s="3">
        <f>IF(AND(Table1[[#This Row],[STATES in numeric format]]=-1,F51=0),1,0)</f>
        <v>0</v>
      </c>
      <c r="I52" s="3">
        <f>IF(AND(Table1[[#This Row],[STATES in numeric format]]=-1,F51=1),1,0)</f>
        <v>1</v>
      </c>
      <c r="J52" s="3">
        <f>IF(AND(Table1[[#This Row],[STATES in numeric format]]=0,F51=-1),1,0)</f>
        <v>0</v>
      </c>
      <c r="K52" s="3">
        <f>IF(AND(Table1[[#This Row],[STATES in numeric format]]=0,F51=0),1,0)</f>
        <v>0</v>
      </c>
      <c r="L52" s="3">
        <f>IF(AND(Table1[[#This Row],[STATES in numeric format]]=0,F51=1),1,0)</f>
        <v>0</v>
      </c>
      <c r="M52" s="3">
        <f>IF(AND(Table1[[#This Row],[STATES in numeric format]]=1,F51=-1),1,0)</f>
        <v>0</v>
      </c>
      <c r="N52" s="3">
        <f>IF(AND(Table1[[#This Row],[STATES in numeric format]]=1,F51=0),1,0)</f>
        <v>0</v>
      </c>
      <c r="O52" s="3">
        <f>IF(AND(Table1[[#This Row],[STATES in numeric format]]=1,F51=1),1,0)</f>
        <v>0</v>
      </c>
    </row>
    <row r="53" spans="1:15" x14ac:dyDescent="0.3">
      <c r="A53" s="1">
        <v>43903</v>
      </c>
      <c r="B53">
        <v>34103.480000000003</v>
      </c>
      <c r="C53">
        <f>Table1[[#This Row],[Close]]-0.001*Table1[[#This Row],[Close]]</f>
        <v>34069.376520000005</v>
      </c>
      <c r="D53">
        <f>Table1[[#This Row],[Close]]+0.001*Table1[[#This Row],[Close]]</f>
        <v>34137.583480000001</v>
      </c>
      <c r="E53" t="str">
        <f>IF(Table1[[#This Row],[Close]]&gt;D52,"UP",IF(Table1[[#This Row],[Close]]&lt;C52,"Down","Constant"))</f>
        <v>UP</v>
      </c>
      <c r="F53" s="3">
        <f>IF(Table1[[#This Row],[Column1]]="Up",1,IF(Table1[[#This Row],[Column1]]="Down",-1,0))</f>
        <v>1</v>
      </c>
      <c r="G53" s="3">
        <f>IF(AND(Table1[[#This Row],[STATES in numeric format]]=-1,F52=-1),1,0)</f>
        <v>0</v>
      </c>
      <c r="H53" s="3">
        <f>IF(AND(Table1[[#This Row],[STATES in numeric format]]=-1,F52=0),1,0)</f>
        <v>0</v>
      </c>
      <c r="I53" s="3">
        <f>IF(AND(Table1[[#This Row],[STATES in numeric format]]=-1,F52=1),1,0)</f>
        <v>0</v>
      </c>
      <c r="J53" s="3">
        <f>IF(AND(Table1[[#This Row],[STATES in numeric format]]=0,F52=-1),1,0)</f>
        <v>0</v>
      </c>
      <c r="K53" s="3">
        <f>IF(AND(Table1[[#This Row],[STATES in numeric format]]=0,F52=0),1,0)</f>
        <v>0</v>
      </c>
      <c r="L53" s="3">
        <f>IF(AND(Table1[[#This Row],[STATES in numeric format]]=0,F52=1),1,0)</f>
        <v>0</v>
      </c>
      <c r="M53" s="3">
        <f>IF(AND(Table1[[#This Row],[STATES in numeric format]]=1,F52=-1),1,0)</f>
        <v>1</v>
      </c>
      <c r="N53" s="3">
        <f>IF(AND(Table1[[#This Row],[STATES in numeric format]]=1,F52=0),1,0)</f>
        <v>0</v>
      </c>
      <c r="O53" s="3">
        <f>IF(AND(Table1[[#This Row],[STATES in numeric format]]=1,F52=1),1,0)</f>
        <v>0</v>
      </c>
    </row>
    <row r="54" spans="1:15" x14ac:dyDescent="0.3">
      <c r="A54" s="1">
        <v>43906</v>
      </c>
      <c r="B54">
        <v>31390.07</v>
      </c>
      <c r="C54">
        <f>Table1[[#This Row],[Close]]-0.001*Table1[[#This Row],[Close]]</f>
        <v>31358.679929999998</v>
      </c>
      <c r="D54">
        <f>Table1[[#This Row],[Close]]+0.001*Table1[[#This Row],[Close]]</f>
        <v>31421.460070000001</v>
      </c>
      <c r="E54" t="str">
        <f>IF(Table1[[#This Row],[Close]]&gt;D53,"UP",IF(Table1[[#This Row],[Close]]&lt;C53,"Down","Constant"))</f>
        <v>Down</v>
      </c>
      <c r="F54" s="3">
        <f>IF(Table1[[#This Row],[Column1]]="Up",1,IF(Table1[[#This Row],[Column1]]="Down",-1,0))</f>
        <v>-1</v>
      </c>
      <c r="G54" s="3">
        <f>IF(AND(Table1[[#This Row],[STATES in numeric format]]=-1,F53=-1),1,0)</f>
        <v>0</v>
      </c>
      <c r="H54" s="3">
        <f>IF(AND(Table1[[#This Row],[STATES in numeric format]]=-1,F53=0),1,0)</f>
        <v>0</v>
      </c>
      <c r="I54" s="3">
        <f>IF(AND(Table1[[#This Row],[STATES in numeric format]]=-1,F53=1),1,0)</f>
        <v>1</v>
      </c>
      <c r="J54" s="3">
        <f>IF(AND(Table1[[#This Row],[STATES in numeric format]]=0,F53=-1),1,0)</f>
        <v>0</v>
      </c>
      <c r="K54" s="3">
        <f>IF(AND(Table1[[#This Row],[STATES in numeric format]]=0,F53=0),1,0)</f>
        <v>0</v>
      </c>
      <c r="L54" s="3">
        <f>IF(AND(Table1[[#This Row],[STATES in numeric format]]=0,F53=1),1,0)</f>
        <v>0</v>
      </c>
      <c r="M54" s="3">
        <f>IF(AND(Table1[[#This Row],[STATES in numeric format]]=1,F53=-1),1,0)</f>
        <v>0</v>
      </c>
      <c r="N54" s="3">
        <f>IF(AND(Table1[[#This Row],[STATES in numeric format]]=1,F53=0),1,0)</f>
        <v>0</v>
      </c>
      <c r="O54" s="3">
        <f>IF(AND(Table1[[#This Row],[STATES in numeric format]]=1,F53=1),1,0)</f>
        <v>0</v>
      </c>
    </row>
    <row r="55" spans="1:15" x14ac:dyDescent="0.3">
      <c r="A55" s="1">
        <v>43907</v>
      </c>
      <c r="B55">
        <v>30579.09</v>
      </c>
      <c r="C55">
        <f>Table1[[#This Row],[Close]]-0.001*Table1[[#This Row],[Close]]</f>
        <v>30548.510910000001</v>
      </c>
      <c r="D55">
        <f>Table1[[#This Row],[Close]]+0.001*Table1[[#This Row],[Close]]</f>
        <v>30609.669089999999</v>
      </c>
      <c r="E55" t="str">
        <f>IF(Table1[[#This Row],[Close]]&gt;D54,"UP",IF(Table1[[#This Row],[Close]]&lt;C54,"Down","Constant"))</f>
        <v>Down</v>
      </c>
      <c r="F55" s="3">
        <f>IF(Table1[[#This Row],[Column1]]="Up",1,IF(Table1[[#This Row],[Column1]]="Down",-1,0))</f>
        <v>-1</v>
      </c>
      <c r="G55" s="3">
        <f>IF(AND(Table1[[#This Row],[STATES in numeric format]]=-1,F54=-1),1,0)</f>
        <v>1</v>
      </c>
      <c r="H55" s="3">
        <f>IF(AND(Table1[[#This Row],[STATES in numeric format]]=-1,F54=0),1,0)</f>
        <v>0</v>
      </c>
      <c r="I55" s="3">
        <f>IF(AND(Table1[[#This Row],[STATES in numeric format]]=-1,F54=1),1,0)</f>
        <v>0</v>
      </c>
      <c r="J55" s="3">
        <f>IF(AND(Table1[[#This Row],[STATES in numeric format]]=0,F54=-1),1,0)</f>
        <v>0</v>
      </c>
      <c r="K55" s="3">
        <f>IF(AND(Table1[[#This Row],[STATES in numeric format]]=0,F54=0),1,0)</f>
        <v>0</v>
      </c>
      <c r="L55" s="3">
        <f>IF(AND(Table1[[#This Row],[STATES in numeric format]]=0,F54=1),1,0)</f>
        <v>0</v>
      </c>
      <c r="M55" s="3">
        <f>IF(AND(Table1[[#This Row],[STATES in numeric format]]=1,F54=-1),1,0)</f>
        <v>0</v>
      </c>
      <c r="N55" s="3">
        <f>IF(AND(Table1[[#This Row],[STATES in numeric format]]=1,F54=0),1,0)</f>
        <v>0</v>
      </c>
      <c r="O55" s="3">
        <f>IF(AND(Table1[[#This Row],[STATES in numeric format]]=1,F54=1),1,0)</f>
        <v>0</v>
      </c>
    </row>
    <row r="56" spans="1:15" x14ac:dyDescent="0.3">
      <c r="A56" s="1">
        <v>43908</v>
      </c>
      <c r="B56">
        <v>28869.51</v>
      </c>
      <c r="C56">
        <f>Table1[[#This Row],[Close]]-0.001*Table1[[#This Row],[Close]]</f>
        <v>28840.640489999998</v>
      </c>
      <c r="D56">
        <f>Table1[[#This Row],[Close]]+0.001*Table1[[#This Row],[Close]]</f>
        <v>28898.379509999999</v>
      </c>
      <c r="E56" t="str">
        <f>IF(Table1[[#This Row],[Close]]&gt;D55,"UP",IF(Table1[[#This Row],[Close]]&lt;C55,"Down","Constant"))</f>
        <v>Down</v>
      </c>
      <c r="F56" s="3">
        <f>IF(Table1[[#This Row],[Column1]]="Up",1,IF(Table1[[#This Row],[Column1]]="Down",-1,0))</f>
        <v>-1</v>
      </c>
      <c r="G56" s="3">
        <f>IF(AND(Table1[[#This Row],[STATES in numeric format]]=-1,F55=-1),1,0)</f>
        <v>1</v>
      </c>
      <c r="H56" s="3">
        <f>IF(AND(Table1[[#This Row],[STATES in numeric format]]=-1,F55=0),1,0)</f>
        <v>0</v>
      </c>
      <c r="I56" s="3">
        <f>IF(AND(Table1[[#This Row],[STATES in numeric format]]=-1,F55=1),1,0)</f>
        <v>0</v>
      </c>
      <c r="J56" s="3">
        <f>IF(AND(Table1[[#This Row],[STATES in numeric format]]=0,F55=-1),1,0)</f>
        <v>0</v>
      </c>
      <c r="K56" s="3">
        <f>IF(AND(Table1[[#This Row],[STATES in numeric format]]=0,F55=0),1,0)</f>
        <v>0</v>
      </c>
      <c r="L56" s="3">
        <f>IF(AND(Table1[[#This Row],[STATES in numeric format]]=0,F55=1),1,0)</f>
        <v>0</v>
      </c>
      <c r="M56" s="3">
        <f>IF(AND(Table1[[#This Row],[STATES in numeric format]]=1,F55=-1),1,0)</f>
        <v>0</v>
      </c>
      <c r="N56" s="3">
        <f>IF(AND(Table1[[#This Row],[STATES in numeric format]]=1,F55=0),1,0)</f>
        <v>0</v>
      </c>
      <c r="O56" s="3">
        <f>IF(AND(Table1[[#This Row],[STATES in numeric format]]=1,F55=1),1,0)</f>
        <v>0</v>
      </c>
    </row>
    <row r="57" spans="1:15" x14ac:dyDescent="0.3">
      <c r="A57" s="1">
        <v>43909</v>
      </c>
      <c r="B57">
        <v>28288.23</v>
      </c>
      <c r="C57">
        <f>Table1[[#This Row],[Close]]-0.001*Table1[[#This Row],[Close]]</f>
        <v>28259.941770000001</v>
      </c>
      <c r="D57">
        <f>Table1[[#This Row],[Close]]+0.001*Table1[[#This Row],[Close]]</f>
        <v>28316.518229999998</v>
      </c>
      <c r="E57" t="str">
        <f>IF(Table1[[#This Row],[Close]]&gt;D56,"UP",IF(Table1[[#This Row],[Close]]&lt;C56,"Down","Constant"))</f>
        <v>Down</v>
      </c>
      <c r="F57" s="3">
        <f>IF(Table1[[#This Row],[Column1]]="Up",1,IF(Table1[[#This Row],[Column1]]="Down",-1,0))</f>
        <v>-1</v>
      </c>
      <c r="G57" s="3">
        <f>IF(AND(Table1[[#This Row],[STATES in numeric format]]=-1,F56=-1),1,0)</f>
        <v>1</v>
      </c>
      <c r="H57" s="3">
        <f>IF(AND(Table1[[#This Row],[STATES in numeric format]]=-1,F56=0),1,0)</f>
        <v>0</v>
      </c>
      <c r="I57" s="3">
        <f>IF(AND(Table1[[#This Row],[STATES in numeric format]]=-1,F56=1),1,0)</f>
        <v>0</v>
      </c>
      <c r="J57" s="3">
        <f>IF(AND(Table1[[#This Row],[STATES in numeric format]]=0,F56=-1),1,0)</f>
        <v>0</v>
      </c>
      <c r="K57" s="3">
        <f>IF(AND(Table1[[#This Row],[STATES in numeric format]]=0,F56=0),1,0)</f>
        <v>0</v>
      </c>
      <c r="L57" s="3">
        <f>IF(AND(Table1[[#This Row],[STATES in numeric format]]=0,F56=1),1,0)</f>
        <v>0</v>
      </c>
      <c r="M57" s="3">
        <f>IF(AND(Table1[[#This Row],[STATES in numeric format]]=1,F56=-1),1,0)</f>
        <v>0</v>
      </c>
      <c r="N57" s="3">
        <f>IF(AND(Table1[[#This Row],[STATES in numeric format]]=1,F56=0),1,0)</f>
        <v>0</v>
      </c>
      <c r="O57" s="3">
        <f>IF(AND(Table1[[#This Row],[STATES in numeric format]]=1,F56=1),1,0)</f>
        <v>0</v>
      </c>
    </row>
    <row r="58" spans="1:15" x14ac:dyDescent="0.3">
      <c r="A58" s="1">
        <v>43910</v>
      </c>
      <c r="B58">
        <v>29915.96</v>
      </c>
      <c r="C58">
        <f>Table1[[#This Row],[Close]]-0.001*Table1[[#This Row],[Close]]</f>
        <v>29886.044040000001</v>
      </c>
      <c r="D58">
        <f>Table1[[#This Row],[Close]]+0.001*Table1[[#This Row],[Close]]</f>
        <v>29945.875959999998</v>
      </c>
      <c r="E58" t="str">
        <f>IF(Table1[[#This Row],[Close]]&gt;D57,"UP",IF(Table1[[#This Row],[Close]]&lt;C57,"Down","Constant"))</f>
        <v>UP</v>
      </c>
      <c r="F58" s="3">
        <f>IF(Table1[[#This Row],[Column1]]="Up",1,IF(Table1[[#This Row],[Column1]]="Down",-1,0))</f>
        <v>1</v>
      </c>
      <c r="G58" s="3">
        <f>IF(AND(Table1[[#This Row],[STATES in numeric format]]=-1,F57=-1),1,0)</f>
        <v>0</v>
      </c>
      <c r="H58" s="3">
        <f>IF(AND(Table1[[#This Row],[STATES in numeric format]]=-1,F57=0),1,0)</f>
        <v>0</v>
      </c>
      <c r="I58" s="3">
        <f>IF(AND(Table1[[#This Row],[STATES in numeric format]]=-1,F57=1),1,0)</f>
        <v>0</v>
      </c>
      <c r="J58" s="3">
        <f>IF(AND(Table1[[#This Row],[STATES in numeric format]]=0,F57=-1),1,0)</f>
        <v>0</v>
      </c>
      <c r="K58" s="3">
        <f>IF(AND(Table1[[#This Row],[STATES in numeric format]]=0,F57=0),1,0)</f>
        <v>0</v>
      </c>
      <c r="L58" s="3">
        <f>IF(AND(Table1[[#This Row],[STATES in numeric format]]=0,F57=1),1,0)</f>
        <v>0</v>
      </c>
      <c r="M58" s="3">
        <f>IF(AND(Table1[[#This Row],[STATES in numeric format]]=1,F57=-1),1,0)</f>
        <v>1</v>
      </c>
      <c r="N58" s="3">
        <f>IF(AND(Table1[[#This Row],[STATES in numeric format]]=1,F57=0),1,0)</f>
        <v>0</v>
      </c>
      <c r="O58" s="3">
        <f>IF(AND(Table1[[#This Row],[STATES in numeric format]]=1,F57=1),1,0)</f>
        <v>0</v>
      </c>
    </row>
    <row r="59" spans="1:15" x14ac:dyDescent="0.3">
      <c r="A59" s="1">
        <v>43913</v>
      </c>
      <c r="B59">
        <v>25981.24</v>
      </c>
      <c r="C59">
        <f>Table1[[#This Row],[Close]]-0.001*Table1[[#This Row],[Close]]</f>
        <v>25955.258760000001</v>
      </c>
      <c r="D59">
        <f>Table1[[#This Row],[Close]]+0.001*Table1[[#This Row],[Close]]</f>
        <v>26007.221240000003</v>
      </c>
      <c r="E59" t="str">
        <f>IF(Table1[[#This Row],[Close]]&gt;D58,"UP",IF(Table1[[#This Row],[Close]]&lt;C58,"Down","Constant"))</f>
        <v>Down</v>
      </c>
      <c r="F59" s="3">
        <f>IF(Table1[[#This Row],[Column1]]="Up",1,IF(Table1[[#This Row],[Column1]]="Down",-1,0))</f>
        <v>-1</v>
      </c>
      <c r="G59" s="3">
        <f>IF(AND(Table1[[#This Row],[STATES in numeric format]]=-1,F58=-1),1,0)</f>
        <v>0</v>
      </c>
      <c r="H59" s="3">
        <f>IF(AND(Table1[[#This Row],[STATES in numeric format]]=-1,F58=0),1,0)</f>
        <v>0</v>
      </c>
      <c r="I59" s="3">
        <f>IF(AND(Table1[[#This Row],[STATES in numeric format]]=-1,F58=1),1,0)</f>
        <v>1</v>
      </c>
      <c r="J59" s="3">
        <f>IF(AND(Table1[[#This Row],[STATES in numeric format]]=0,F58=-1),1,0)</f>
        <v>0</v>
      </c>
      <c r="K59" s="3">
        <f>IF(AND(Table1[[#This Row],[STATES in numeric format]]=0,F58=0),1,0)</f>
        <v>0</v>
      </c>
      <c r="L59" s="3">
        <f>IF(AND(Table1[[#This Row],[STATES in numeric format]]=0,F58=1),1,0)</f>
        <v>0</v>
      </c>
      <c r="M59" s="3">
        <f>IF(AND(Table1[[#This Row],[STATES in numeric format]]=1,F58=-1),1,0)</f>
        <v>0</v>
      </c>
      <c r="N59" s="3">
        <f>IF(AND(Table1[[#This Row],[STATES in numeric format]]=1,F58=0),1,0)</f>
        <v>0</v>
      </c>
      <c r="O59" s="3">
        <f>IF(AND(Table1[[#This Row],[STATES in numeric format]]=1,F58=1),1,0)</f>
        <v>0</v>
      </c>
    </row>
    <row r="60" spans="1:15" x14ac:dyDescent="0.3">
      <c r="A60" s="1">
        <v>43914</v>
      </c>
      <c r="B60">
        <v>26674.03</v>
      </c>
      <c r="C60">
        <f>Table1[[#This Row],[Close]]-0.001*Table1[[#This Row],[Close]]</f>
        <v>26647.355970000001</v>
      </c>
      <c r="D60">
        <f>Table1[[#This Row],[Close]]+0.001*Table1[[#This Row],[Close]]</f>
        <v>26700.704029999997</v>
      </c>
      <c r="E60" t="str">
        <f>IF(Table1[[#This Row],[Close]]&gt;D59,"UP",IF(Table1[[#This Row],[Close]]&lt;C59,"Down","Constant"))</f>
        <v>UP</v>
      </c>
      <c r="F60" s="3">
        <f>IF(Table1[[#This Row],[Column1]]="Up",1,IF(Table1[[#This Row],[Column1]]="Down",-1,0))</f>
        <v>1</v>
      </c>
      <c r="G60" s="3">
        <f>IF(AND(Table1[[#This Row],[STATES in numeric format]]=-1,F59=-1),1,0)</f>
        <v>0</v>
      </c>
      <c r="H60" s="3">
        <f>IF(AND(Table1[[#This Row],[STATES in numeric format]]=-1,F59=0),1,0)</f>
        <v>0</v>
      </c>
      <c r="I60" s="3">
        <f>IF(AND(Table1[[#This Row],[STATES in numeric format]]=-1,F59=1),1,0)</f>
        <v>0</v>
      </c>
      <c r="J60" s="3">
        <f>IF(AND(Table1[[#This Row],[STATES in numeric format]]=0,F59=-1),1,0)</f>
        <v>0</v>
      </c>
      <c r="K60" s="3">
        <f>IF(AND(Table1[[#This Row],[STATES in numeric format]]=0,F59=0),1,0)</f>
        <v>0</v>
      </c>
      <c r="L60" s="3">
        <f>IF(AND(Table1[[#This Row],[STATES in numeric format]]=0,F59=1),1,0)</f>
        <v>0</v>
      </c>
      <c r="M60" s="3">
        <f>IF(AND(Table1[[#This Row],[STATES in numeric format]]=1,F59=-1),1,0)</f>
        <v>1</v>
      </c>
      <c r="N60" s="3">
        <f>IF(AND(Table1[[#This Row],[STATES in numeric format]]=1,F59=0),1,0)</f>
        <v>0</v>
      </c>
      <c r="O60" s="3">
        <f>IF(AND(Table1[[#This Row],[STATES in numeric format]]=1,F59=1),1,0)</f>
        <v>0</v>
      </c>
    </row>
    <row r="61" spans="1:15" x14ac:dyDescent="0.3">
      <c r="A61" s="1">
        <v>43915</v>
      </c>
      <c r="B61">
        <v>28535.78</v>
      </c>
      <c r="C61">
        <f>Table1[[#This Row],[Close]]-0.001*Table1[[#This Row],[Close]]</f>
        <v>28507.24422</v>
      </c>
      <c r="D61">
        <f>Table1[[#This Row],[Close]]+0.001*Table1[[#This Row],[Close]]</f>
        <v>28564.315779999997</v>
      </c>
      <c r="E61" t="str">
        <f>IF(Table1[[#This Row],[Close]]&gt;D60,"UP",IF(Table1[[#This Row],[Close]]&lt;C60,"Down","Constant"))</f>
        <v>UP</v>
      </c>
      <c r="F61" s="3">
        <f>IF(Table1[[#This Row],[Column1]]="Up",1,IF(Table1[[#This Row],[Column1]]="Down",-1,0))</f>
        <v>1</v>
      </c>
      <c r="G61" s="3">
        <f>IF(AND(Table1[[#This Row],[STATES in numeric format]]=-1,F60=-1),1,0)</f>
        <v>0</v>
      </c>
      <c r="H61" s="3">
        <f>IF(AND(Table1[[#This Row],[STATES in numeric format]]=-1,F60=0),1,0)</f>
        <v>0</v>
      </c>
      <c r="I61" s="3">
        <f>IF(AND(Table1[[#This Row],[STATES in numeric format]]=-1,F60=1),1,0)</f>
        <v>0</v>
      </c>
      <c r="J61" s="3">
        <f>IF(AND(Table1[[#This Row],[STATES in numeric format]]=0,F60=-1),1,0)</f>
        <v>0</v>
      </c>
      <c r="K61" s="3">
        <f>IF(AND(Table1[[#This Row],[STATES in numeric format]]=0,F60=0),1,0)</f>
        <v>0</v>
      </c>
      <c r="L61" s="3">
        <f>IF(AND(Table1[[#This Row],[STATES in numeric format]]=0,F60=1),1,0)</f>
        <v>0</v>
      </c>
      <c r="M61" s="3">
        <f>IF(AND(Table1[[#This Row],[STATES in numeric format]]=1,F60=-1),1,0)</f>
        <v>0</v>
      </c>
      <c r="N61" s="3">
        <f>IF(AND(Table1[[#This Row],[STATES in numeric format]]=1,F60=0),1,0)</f>
        <v>0</v>
      </c>
      <c r="O61" s="3">
        <f>IF(AND(Table1[[#This Row],[STATES in numeric format]]=1,F60=1),1,0)</f>
        <v>1</v>
      </c>
    </row>
    <row r="62" spans="1:15" x14ac:dyDescent="0.3">
      <c r="A62" s="1">
        <v>43916</v>
      </c>
      <c r="B62">
        <v>29946.77</v>
      </c>
      <c r="C62">
        <f>Table1[[#This Row],[Close]]-0.001*Table1[[#This Row],[Close]]</f>
        <v>29916.823230000002</v>
      </c>
      <c r="D62">
        <f>Table1[[#This Row],[Close]]+0.001*Table1[[#This Row],[Close]]</f>
        <v>29976.716769999999</v>
      </c>
      <c r="E62" t="str">
        <f>IF(Table1[[#This Row],[Close]]&gt;D61,"UP",IF(Table1[[#This Row],[Close]]&lt;C61,"Down","Constant"))</f>
        <v>UP</v>
      </c>
      <c r="F62" s="3">
        <f>IF(Table1[[#This Row],[Column1]]="Up",1,IF(Table1[[#This Row],[Column1]]="Down",-1,0))</f>
        <v>1</v>
      </c>
      <c r="G62" s="3">
        <f>IF(AND(Table1[[#This Row],[STATES in numeric format]]=-1,F61=-1),1,0)</f>
        <v>0</v>
      </c>
      <c r="H62" s="3">
        <f>IF(AND(Table1[[#This Row],[STATES in numeric format]]=-1,F61=0),1,0)</f>
        <v>0</v>
      </c>
      <c r="I62" s="3">
        <f>IF(AND(Table1[[#This Row],[STATES in numeric format]]=-1,F61=1),1,0)</f>
        <v>0</v>
      </c>
      <c r="J62" s="3">
        <f>IF(AND(Table1[[#This Row],[STATES in numeric format]]=0,F61=-1),1,0)</f>
        <v>0</v>
      </c>
      <c r="K62" s="3">
        <f>IF(AND(Table1[[#This Row],[STATES in numeric format]]=0,F61=0),1,0)</f>
        <v>0</v>
      </c>
      <c r="L62" s="3">
        <f>IF(AND(Table1[[#This Row],[STATES in numeric format]]=0,F61=1),1,0)</f>
        <v>0</v>
      </c>
      <c r="M62" s="3">
        <f>IF(AND(Table1[[#This Row],[STATES in numeric format]]=1,F61=-1),1,0)</f>
        <v>0</v>
      </c>
      <c r="N62" s="3">
        <f>IF(AND(Table1[[#This Row],[STATES in numeric format]]=1,F61=0),1,0)</f>
        <v>0</v>
      </c>
      <c r="O62" s="3">
        <f>IF(AND(Table1[[#This Row],[STATES in numeric format]]=1,F61=1),1,0)</f>
        <v>1</v>
      </c>
    </row>
    <row r="63" spans="1:15" x14ac:dyDescent="0.3">
      <c r="A63" s="1">
        <v>43917</v>
      </c>
      <c r="B63">
        <v>29815.59</v>
      </c>
      <c r="C63">
        <f>Table1[[#This Row],[Close]]-0.001*Table1[[#This Row],[Close]]</f>
        <v>29785.774410000002</v>
      </c>
      <c r="D63">
        <f>Table1[[#This Row],[Close]]+0.001*Table1[[#This Row],[Close]]</f>
        <v>29845.405589999998</v>
      </c>
      <c r="E63" t="str">
        <f>IF(Table1[[#This Row],[Close]]&gt;D62,"UP",IF(Table1[[#This Row],[Close]]&lt;C62,"Down","Constant"))</f>
        <v>Down</v>
      </c>
      <c r="F63" s="3">
        <f>IF(Table1[[#This Row],[Column1]]="Up",1,IF(Table1[[#This Row],[Column1]]="Down",-1,0))</f>
        <v>-1</v>
      </c>
      <c r="G63" s="3">
        <f>IF(AND(Table1[[#This Row],[STATES in numeric format]]=-1,F62=-1),1,0)</f>
        <v>0</v>
      </c>
      <c r="H63" s="3">
        <f>IF(AND(Table1[[#This Row],[STATES in numeric format]]=-1,F62=0),1,0)</f>
        <v>0</v>
      </c>
      <c r="I63" s="3">
        <f>IF(AND(Table1[[#This Row],[STATES in numeric format]]=-1,F62=1),1,0)</f>
        <v>1</v>
      </c>
      <c r="J63" s="3">
        <f>IF(AND(Table1[[#This Row],[STATES in numeric format]]=0,F62=-1),1,0)</f>
        <v>0</v>
      </c>
      <c r="K63" s="3">
        <f>IF(AND(Table1[[#This Row],[STATES in numeric format]]=0,F62=0),1,0)</f>
        <v>0</v>
      </c>
      <c r="L63" s="3">
        <f>IF(AND(Table1[[#This Row],[STATES in numeric format]]=0,F62=1),1,0)</f>
        <v>0</v>
      </c>
      <c r="M63" s="3">
        <f>IF(AND(Table1[[#This Row],[STATES in numeric format]]=1,F62=-1),1,0)</f>
        <v>0</v>
      </c>
      <c r="N63" s="3">
        <f>IF(AND(Table1[[#This Row],[STATES in numeric format]]=1,F62=0),1,0)</f>
        <v>0</v>
      </c>
      <c r="O63" s="3">
        <f>IF(AND(Table1[[#This Row],[STATES in numeric format]]=1,F62=1),1,0)</f>
        <v>0</v>
      </c>
    </row>
    <row r="64" spans="1:15" x14ac:dyDescent="0.3">
      <c r="A64" s="1">
        <v>43920</v>
      </c>
      <c r="B64">
        <v>28440.32</v>
      </c>
      <c r="C64">
        <f>Table1[[#This Row],[Close]]-0.001*Table1[[#This Row],[Close]]</f>
        <v>28411.879679999998</v>
      </c>
      <c r="D64">
        <f>Table1[[#This Row],[Close]]+0.001*Table1[[#This Row],[Close]]</f>
        <v>28468.760320000001</v>
      </c>
      <c r="E64" t="str">
        <f>IF(Table1[[#This Row],[Close]]&gt;D63,"UP",IF(Table1[[#This Row],[Close]]&lt;C63,"Down","Constant"))</f>
        <v>Down</v>
      </c>
      <c r="F64" s="3">
        <f>IF(Table1[[#This Row],[Column1]]="Up",1,IF(Table1[[#This Row],[Column1]]="Down",-1,0))</f>
        <v>-1</v>
      </c>
      <c r="G64" s="3">
        <f>IF(AND(Table1[[#This Row],[STATES in numeric format]]=-1,F63=-1),1,0)</f>
        <v>1</v>
      </c>
      <c r="H64" s="3">
        <f>IF(AND(Table1[[#This Row],[STATES in numeric format]]=-1,F63=0),1,0)</f>
        <v>0</v>
      </c>
      <c r="I64" s="3">
        <f>IF(AND(Table1[[#This Row],[STATES in numeric format]]=-1,F63=1),1,0)</f>
        <v>0</v>
      </c>
      <c r="J64" s="3">
        <f>IF(AND(Table1[[#This Row],[STATES in numeric format]]=0,F63=-1),1,0)</f>
        <v>0</v>
      </c>
      <c r="K64" s="3">
        <f>IF(AND(Table1[[#This Row],[STATES in numeric format]]=0,F63=0),1,0)</f>
        <v>0</v>
      </c>
      <c r="L64" s="3">
        <f>IF(AND(Table1[[#This Row],[STATES in numeric format]]=0,F63=1),1,0)</f>
        <v>0</v>
      </c>
      <c r="M64" s="3">
        <f>IF(AND(Table1[[#This Row],[STATES in numeric format]]=1,F63=-1),1,0)</f>
        <v>0</v>
      </c>
      <c r="N64" s="3">
        <f>IF(AND(Table1[[#This Row],[STATES in numeric format]]=1,F63=0),1,0)</f>
        <v>0</v>
      </c>
      <c r="O64" s="3">
        <f>IF(AND(Table1[[#This Row],[STATES in numeric format]]=1,F63=1),1,0)</f>
        <v>0</v>
      </c>
    </row>
    <row r="65" spans="1:15" x14ac:dyDescent="0.3">
      <c r="A65" s="1">
        <v>43921</v>
      </c>
      <c r="B65">
        <v>29468.49</v>
      </c>
      <c r="C65">
        <f>Table1[[#This Row],[Close]]-0.001*Table1[[#This Row],[Close]]</f>
        <v>29439.021510000002</v>
      </c>
      <c r="D65">
        <f>Table1[[#This Row],[Close]]+0.001*Table1[[#This Row],[Close]]</f>
        <v>29497.958490000001</v>
      </c>
      <c r="E65" t="str">
        <f>IF(Table1[[#This Row],[Close]]&gt;D64,"UP",IF(Table1[[#This Row],[Close]]&lt;C64,"Down","Constant"))</f>
        <v>UP</v>
      </c>
      <c r="F65" s="3">
        <f>IF(Table1[[#This Row],[Column1]]="Up",1,IF(Table1[[#This Row],[Column1]]="Down",-1,0))</f>
        <v>1</v>
      </c>
      <c r="G65" s="3">
        <f>IF(AND(Table1[[#This Row],[STATES in numeric format]]=-1,F64=-1),1,0)</f>
        <v>0</v>
      </c>
      <c r="H65" s="3">
        <f>IF(AND(Table1[[#This Row],[STATES in numeric format]]=-1,F64=0),1,0)</f>
        <v>0</v>
      </c>
      <c r="I65" s="3">
        <f>IF(AND(Table1[[#This Row],[STATES in numeric format]]=-1,F64=1),1,0)</f>
        <v>0</v>
      </c>
      <c r="J65" s="3">
        <f>IF(AND(Table1[[#This Row],[STATES in numeric format]]=0,F64=-1),1,0)</f>
        <v>0</v>
      </c>
      <c r="K65" s="3">
        <f>IF(AND(Table1[[#This Row],[STATES in numeric format]]=0,F64=0),1,0)</f>
        <v>0</v>
      </c>
      <c r="L65" s="3">
        <f>IF(AND(Table1[[#This Row],[STATES in numeric format]]=0,F64=1),1,0)</f>
        <v>0</v>
      </c>
      <c r="M65" s="3">
        <f>IF(AND(Table1[[#This Row],[STATES in numeric format]]=1,F64=-1),1,0)</f>
        <v>1</v>
      </c>
      <c r="N65" s="3">
        <f>IF(AND(Table1[[#This Row],[STATES in numeric format]]=1,F64=0),1,0)</f>
        <v>0</v>
      </c>
      <c r="O65" s="3">
        <f>IF(AND(Table1[[#This Row],[STATES in numeric format]]=1,F64=1),1,0)</f>
        <v>0</v>
      </c>
    </row>
    <row r="66" spans="1:15" x14ac:dyDescent="0.3">
      <c r="A66" s="1">
        <v>43922</v>
      </c>
      <c r="B66">
        <v>28265.31</v>
      </c>
      <c r="C66">
        <f>Table1[[#This Row],[Close]]-0.001*Table1[[#This Row],[Close]]</f>
        <v>28237.044690000002</v>
      </c>
      <c r="D66">
        <f>Table1[[#This Row],[Close]]+0.001*Table1[[#This Row],[Close]]</f>
        <v>28293.57531</v>
      </c>
      <c r="E66" t="str">
        <f>IF(Table1[[#This Row],[Close]]&gt;D65,"UP",IF(Table1[[#This Row],[Close]]&lt;C65,"Down","Constant"))</f>
        <v>Down</v>
      </c>
      <c r="F66" s="3">
        <f>IF(Table1[[#This Row],[Column1]]="Up",1,IF(Table1[[#This Row],[Column1]]="Down",-1,0))</f>
        <v>-1</v>
      </c>
      <c r="G66" s="3">
        <f>IF(AND(Table1[[#This Row],[STATES in numeric format]]=-1,F65=-1),1,0)</f>
        <v>0</v>
      </c>
      <c r="H66" s="3">
        <f>IF(AND(Table1[[#This Row],[STATES in numeric format]]=-1,F65=0),1,0)</f>
        <v>0</v>
      </c>
      <c r="I66" s="3">
        <f>IF(AND(Table1[[#This Row],[STATES in numeric format]]=-1,F65=1),1,0)</f>
        <v>1</v>
      </c>
      <c r="J66" s="3">
        <f>IF(AND(Table1[[#This Row],[STATES in numeric format]]=0,F65=-1),1,0)</f>
        <v>0</v>
      </c>
      <c r="K66" s="3">
        <f>IF(AND(Table1[[#This Row],[STATES in numeric format]]=0,F65=0),1,0)</f>
        <v>0</v>
      </c>
      <c r="L66" s="3">
        <f>IF(AND(Table1[[#This Row],[STATES in numeric format]]=0,F65=1),1,0)</f>
        <v>0</v>
      </c>
      <c r="M66" s="3">
        <f>IF(AND(Table1[[#This Row],[STATES in numeric format]]=1,F65=-1),1,0)</f>
        <v>0</v>
      </c>
      <c r="N66" s="3">
        <f>IF(AND(Table1[[#This Row],[STATES in numeric format]]=1,F65=0),1,0)</f>
        <v>0</v>
      </c>
      <c r="O66" s="3">
        <f>IF(AND(Table1[[#This Row],[STATES in numeric format]]=1,F65=1),1,0)</f>
        <v>0</v>
      </c>
    </row>
    <row r="67" spans="1:15" x14ac:dyDescent="0.3">
      <c r="A67" s="1">
        <v>43924</v>
      </c>
      <c r="B67">
        <v>27590.95</v>
      </c>
      <c r="C67">
        <f>Table1[[#This Row],[Close]]-0.001*Table1[[#This Row],[Close]]</f>
        <v>27563.359049999999</v>
      </c>
      <c r="D67">
        <f>Table1[[#This Row],[Close]]+0.001*Table1[[#This Row],[Close]]</f>
        <v>27618.540950000002</v>
      </c>
      <c r="E67" t="str">
        <f>IF(Table1[[#This Row],[Close]]&gt;D66,"UP",IF(Table1[[#This Row],[Close]]&lt;C66,"Down","Constant"))</f>
        <v>Down</v>
      </c>
      <c r="F67" s="3">
        <f>IF(Table1[[#This Row],[Column1]]="Up",1,IF(Table1[[#This Row],[Column1]]="Down",-1,0))</f>
        <v>-1</v>
      </c>
      <c r="G67" s="3">
        <f>IF(AND(Table1[[#This Row],[STATES in numeric format]]=-1,F66=-1),1,0)</f>
        <v>1</v>
      </c>
      <c r="H67" s="3">
        <f>IF(AND(Table1[[#This Row],[STATES in numeric format]]=-1,F66=0),1,0)</f>
        <v>0</v>
      </c>
      <c r="I67" s="3">
        <f>IF(AND(Table1[[#This Row],[STATES in numeric format]]=-1,F66=1),1,0)</f>
        <v>0</v>
      </c>
      <c r="J67" s="3">
        <f>IF(AND(Table1[[#This Row],[STATES in numeric format]]=0,F66=-1),1,0)</f>
        <v>0</v>
      </c>
      <c r="K67" s="3">
        <f>IF(AND(Table1[[#This Row],[STATES in numeric format]]=0,F66=0),1,0)</f>
        <v>0</v>
      </c>
      <c r="L67" s="3">
        <f>IF(AND(Table1[[#This Row],[STATES in numeric format]]=0,F66=1),1,0)</f>
        <v>0</v>
      </c>
      <c r="M67" s="3">
        <f>IF(AND(Table1[[#This Row],[STATES in numeric format]]=1,F66=-1),1,0)</f>
        <v>0</v>
      </c>
      <c r="N67" s="3">
        <f>IF(AND(Table1[[#This Row],[STATES in numeric format]]=1,F66=0),1,0)</f>
        <v>0</v>
      </c>
      <c r="O67" s="3">
        <f>IF(AND(Table1[[#This Row],[STATES in numeric format]]=1,F66=1),1,0)</f>
        <v>0</v>
      </c>
    </row>
    <row r="68" spans="1:15" x14ac:dyDescent="0.3">
      <c r="A68" s="1">
        <v>43928</v>
      </c>
      <c r="B68">
        <v>30067.21</v>
      </c>
      <c r="C68">
        <f>Table1[[#This Row],[Close]]-0.001*Table1[[#This Row],[Close]]</f>
        <v>30037.142789999998</v>
      </c>
      <c r="D68">
        <f>Table1[[#This Row],[Close]]+0.001*Table1[[#This Row],[Close]]</f>
        <v>30097.27721</v>
      </c>
      <c r="E68" t="str">
        <f>IF(Table1[[#This Row],[Close]]&gt;D67,"UP",IF(Table1[[#This Row],[Close]]&lt;C67,"Down","Constant"))</f>
        <v>UP</v>
      </c>
      <c r="F68" s="3">
        <f>IF(Table1[[#This Row],[Column1]]="Up",1,IF(Table1[[#This Row],[Column1]]="Down",-1,0))</f>
        <v>1</v>
      </c>
      <c r="G68" s="3">
        <f>IF(AND(Table1[[#This Row],[STATES in numeric format]]=-1,F67=-1),1,0)</f>
        <v>0</v>
      </c>
      <c r="H68" s="3">
        <f>IF(AND(Table1[[#This Row],[STATES in numeric format]]=-1,F67=0),1,0)</f>
        <v>0</v>
      </c>
      <c r="I68" s="3">
        <f>IF(AND(Table1[[#This Row],[STATES in numeric format]]=-1,F67=1),1,0)</f>
        <v>0</v>
      </c>
      <c r="J68" s="3">
        <f>IF(AND(Table1[[#This Row],[STATES in numeric format]]=0,F67=-1),1,0)</f>
        <v>0</v>
      </c>
      <c r="K68" s="3">
        <f>IF(AND(Table1[[#This Row],[STATES in numeric format]]=0,F67=0),1,0)</f>
        <v>0</v>
      </c>
      <c r="L68" s="3">
        <f>IF(AND(Table1[[#This Row],[STATES in numeric format]]=0,F67=1),1,0)</f>
        <v>0</v>
      </c>
      <c r="M68" s="3">
        <f>IF(AND(Table1[[#This Row],[STATES in numeric format]]=1,F67=-1),1,0)</f>
        <v>1</v>
      </c>
      <c r="N68" s="3">
        <f>IF(AND(Table1[[#This Row],[STATES in numeric format]]=1,F67=0),1,0)</f>
        <v>0</v>
      </c>
      <c r="O68" s="3">
        <f>IF(AND(Table1[[#This Row],[STATES in numeric format]]=1,F67=1),1,0)</f>
        <v>0</v>
      </c>
    </row>
    <row r="69" spans="1:15" x14ac:dyDescent="0.3">
      <c r="A69" s="1">
        <v>43929</v>
      </c>
      <c r="B69">
        <v>29893.96</v>
      </c>
      <c r="C69">
        <f>Table1[[#This Row],[Close]]-0.001*Table1[[#This Row],[Close]]</f>
        <v>29864.066039999998</v>
      </c>
      <c r="D69">
        <f>Table1[[#This Row],[Close]]+0.001*Table1[[#This Row],[Close]]</f>
        <v>29923.85396</v>
      </c>
      <c r="E69" t="str">
        <f>IF(Table1[[#This Row],[Close]]&gt;D68,"UP",IF(Table1[[#This Row],[Close]]&lt;C68,"Down","Constant"))</f>
        <v>Down</v>
      </c>
      <c r="F69" s="3">
        <f>IF(Table1[[#This Row],[Column1]]="Up",1,IF(Table1[[#This Row],[Column1]]="Down",-1,0))</f>
        <v>-1</v>
      </c>
      <c r="G69" s="3">
        <f>IF(AND(Table1[[#This Row],[STATES in numeric format]]=-1,F68=-1),1,0)</f>
        <v>0</v>
      </c>
      <c r="H69" s="3">
        <f>IF(AND(Table1[[#This Row],[STATES in numeric format]]=-1,F68=0),1,0)</f>
        <v>0</v>
      </c>
      <c r="I69" s="3">
        <f>IF(AND(Table1[[#This Row],[STATES in numeric format]]=-1,F68=1),1,0)</f>
        <v>1</v>
      </c>
      <c r="J69" s="3">
        <f>IF(AND(Table1[[#This Row],[STATES in numeric format]]=0,F68=-1),1,0)</f>
        <v>0</v>
      </c>
      <c r="K69" s="3">
        <f>IF(AND(Table1[[#This Row],[STATES in numeric format]]=0,F68=0),1,0)</f>
        <v>0</v>
      </c>
      <c r="L69" s="3">
        <f>IF(AND(Table1[[#This Row],[STATES in numeric format]]=0,F68=1),1,0)</f>
        <v>0</v>
      </c>
      <c r="M69" s="3">
        <f>IF(AND(Table1[[#This Row],[STATES in numeric format]]=1,F68=-1),1,0)</f>
        <v>0</v>
      </c>
      <c r="N69" s="3">
        <f>IF(AND(Table1[[#This Row],[STATES in numeric format]]=1,F68=0),1,0)</f>
        <v>0</v>
      </c>
      <c r="O69" s="3">
        <f>IF(AND(Table1[[#This Row],[STATES in numeric format]]=1,F68=1),1,0)</f>
        <v>0</v>
      </c>
    </row>
    <row r="70" spans="1:15" x14ac:dyDescent="0.3">
      <c r="A70" s="1">
        <v>43930</v>
      </c>
      <c r="B70">
        <v>31159.62</v>
      </c>
      <c r="C70">
        <f>Table1[[#This Row],[Close]]-0.001*Table1[[#This Row],[Close]]</f>
        <v>31128.46038</v>
      </c>
      <c r="D70">
        <f>Table1[[#This Row],[Close]]+0.001*Table1[[#This Row],[Close]]</f>
        <v>31190.779619999998</v>
      </c>
      <c r="E70" t="str">
        <f>IF(Table1[[#This Row],[Close]]&gt;D69,"UP",IF(Table1[[#This Row],[Close]]&lt;C69,"Down","Constant"))</f>
        <v>UP</v>
      </c>
      <c r="F70" s="3">
        <f>IF(Table1[[#This Row],[Column1]]="Up",1,IF(Table1[[#This Row],[Column1]]="Down",-1,0))</f>
        <v>1</v>
      </c>
      <c r="G70" s="3">
        <f>IF(AND(Table1[[#This Row],[STATES in numeric format]]=-1,F69=-1),1,0)</f>
        <v>0</v>
      </c>
      <c r="H70" s="3">
        <f>IF(AND(Table1[[#This Row],[STATES in numeric format]]=-1,F69=0),1,0)</f>
        <v>0</v>
      </c>
      <c r="I70" s="3">
        <f>IF(AND(Table1[[#This Row],[STATES in numeric format]]=-1,F69=1),1,0)</f>
        <v>0</v>
      </c>
      <c r="J70" s="3">
        <f>IF(AND(Table1[[#This Row],[STATES in numeric format]]=0,F69=-1),1,0)</f>
        <v>0</v>
      </c>
      <c r="K70" s="3">
        <f>IF(AND(Table1[[#This Row],[STATES in numeric format]]=0,F69=0),1,0)</f>
        <v>0</v>
      </c>
      <c r="L70" s="3">
        <f>IF(AND(Table1[[#This Row],[STATES in numeric format]]=0,F69=1),1,0)</f>
        <v>0</v>
      </c>
      <c r="M70" s="3">
        <f>IF(AND(Table1[[#This Row],[STATES in numeric format]]=1,F69=-1),1,0)</f>
        <v>1</v>
      </c>
      <c r="N70" s="3">
        <f>IF(AND(Table1[[#This Row],[STATES in numeric format]]=1,F69=0),1,0)</f>
        <v>0</v>
      </c>
      <c r="O70" s="3">
        <f>IF(AND(Table1[[#This Row],[STATES in numeric format]]=1,F69=1),1,0)</f>
        <v>0</v>
      </c>
    </row>
    <row r="71" spans="1:15" x14ac:dyDescent="0.3">
      <c r="A71" s="1">
        <v>43934</v>
      </c>
      <c r="B71">
        <v>30690.02</v>
      </c>
      <c r="C71">
        <f>Table1[[#This Row],[Close]]-0.001*Table1[[#This Row],[Close]]</f>
        <v>30659.329980000002</v>
      </c>
      <c r="D71">
        <f>Table1[[#This Row],[Close]]+0.001*Table1[[#This Row],[Close]]</f>
        <v>30720.710019999999</v>
      </c>
      <c r="E71" t="str">
        <f>IF(Table1[[#This Row],[Close]]&gt;D70,"UP",IF(Table1[[#This Row],[Close]]&lt;C70,"Down","Constant"))</f>
        <v>Down</v>
      </c>
      <c r="F71" s="3">
        <f>IF(Table1[[#This Row],[Column1]]="Up",1,IF(Table1[[#This Row],[Column1]]="Down",-1,0))</f>
        <v>-1</v>
      </c>
      <c r="G71" s="3">
        <f>IF(AND(Table1[[#This Row],[STATES in numeric format]]=-1,F70=-1),1,0)</f>
        <v>0</v>
      </c>
      <c r="H71" s="3">
        <f>IF(AND(Table1[[#This Row],[STATES in numeric format]]=-1,F70=0),1,0)</f>
        <v>0</v>
      </c>
      <c r="I71" s="3">
        <f>IF(AND(Table1[[#This Row],[STATES in numeric format]]=-1,F70=1),1,0)</f>
        <v>1</v>
      </c>
      <c r="J71" s="3">
        <f>IF(AND(Table1[[#This Row],[STATES in numeric format]]=0,F70=-1),1,0)</f>
        <v>0</v>
      </c>
      <c r="K71" s="3">
        <f>IF(AND(Table1[[#This Row],[STATES in numeric format]]=0,F70=0),1,0)</f>
        <v>0</v>
      </c>
      <c r="L71" s="3">
        <f>IF(AND(Table1[[#This Row],[STATES in numeric format]]=0,F70=1),1,0)</f>
        <v>0</v>
      </c>
      <c r="M71" s="3">
        <f>IF(AND(Table1[[#This Row],[STATES in numeric format]]=1,F70=-1),1,0)</f>
        <v>0</v>
      </c>
      <c r="N71" s="3">
        <f>IF(AND(Table1[[#This Row],[STATES in numeric format]]=1,F70=0),1,0)</f>
        <v>0</v>
      </c>
      <c r="O71" s="3">
        <f>IF(AND(Table1[[#This Row],[STATES in numeric format]]=1,F70=1),1,0)</f>
        <v>0</v>
      </c>
    </row>
    <row r="72" spans="1:15" x14ac:dyDescent="0.3">
      <c r="A72" s="1">
        <v>43936</v>
      </c>
      <c r="B72">
        <v>30379.81</v>
      </c>
      <c r="C72">
        <f>Table1[[#This Row],[Close]]-0.001*Table1[[#This Row],[Close]]</f>
        <v>30349.430190000003</v>
      </c>
      <c r="D72">
        <f>Table1[[#This Row],[Close]]+0.001*Table1[[#This Row],[Close]]</f>
        <v>30410.18981</v>
      </c>
      <c r="E72" t="str">
        <f>IF(Table1[[#This Row],[Close]]&gt;D71,"UP",IF(Table1[[#This Row],[Close]]&lt;C71,"Down","Constant"))</f>
        <v>Down</v>
      </c>
      <c r="F72" s="3">
        <f>IF(Table1[[#This Row],[Column1]]="Up",1,IF(Table1[[#This Row],[Column1]]="Down",-1,0))</f>
        <v>-1</v>
      </c>
      <c r="G72" s="3">
        <f>IF(AND(Table1[[#This Row],[STATES in numeric format]]=-1,F71=-1),1,0)</f>
        <v>1</v>
      </c>
      <c r="H72" s="3">
        <f>IF(AND(Table1[[#This Row],[STATES in numeric format]]=-1,F71=0),1,0)</f>
        <v>0</v>
      </c>
      <c r="I72" s="3">
        <f>IF(AND(Table1[[#This Row],[STATES in numeric format]]=-1,F71=1),1,0)</f>
        <v>0</v>
      </c>
      <c r="J72" s="3">
        <f>IF(AND(Table1[[#This Row],[STATES in numeric format]]=0,F71=-1),1,0)</f>
        <v>0</v>
      </c>
      <c r="K72" s="3">
        <f>IF(AND(Table1[[#This Row],[STATES in numeric format]]=0,F71=0),1,0)</f>
        <v>0</v>
      </c>
      <c r="L72" s="3">
        <f>IF(AND(Table1[[#This Row],[STATES in numeric format]]=0,F71=1),1,0)</f>
        <v>0</v>
      </c>
      <c r="M72" s="3">
        <f>IF(AND(Table1[[#This Row],[STATES in numeric format]]=1,F71=-1),1,0)</f>
        <v>0</v>
      </c>
      <c r="N72" s="3">
        <f>IF(AND(Table1[[#This Row],[STATES in numeric format]]=1,F71=0),1,0)</f>
        <v>0</v>
      </c>
      <c r="O72" s="3">
        <f>IF(AND(Table1[[#This Row],[STATES in numeric format]]=1,F71=1),1,0)</f>
        <v>0</v>
      </c>
    </row>
    <row r="73" spans="1:15" x14ac:dyDescent="0.3">
      <c r="A73" s="1">
        <v>43937</v>
      </c>
      <c r="B73">
        <v>30602.61</v>
      </c>
      <c r="C73">
        <f>Table1[[#This Row],[Close]]-0.001*Table1[[#This Row],[Close]]</f>
        <v>30572.007389999999</v>
      </c>
      <c r="D73">
        <f>Table1[[#This Row],[Close]]+0.001*Table1[[#This Row],[Close]]</f>
        <v>30633.212610000002</v>
      </c>
      <c r="E73" t="str">
        <f>IF(Table1[[#This Row],[Close]]&gt;D72,"UP",IF(Table1[[#This Row],[Close]]&lt;C72,"Down","Constant"))</f>
        <v>UP</v>
      </c>
      <c r="F73" s="3">
        <f>IF(Table1[[#This Row],[Column1]]="Up",1,IF(Table1[[#This Row],[Column1]]="Down",-1,0))</f>
        <v>1</v>
      </c>
      <c r="G73" s="3">
        <f>IF(AND(Table1[[#This Row],[STATES in numeric format]]=-1,F72=-1),1,0)</f>
        <v>0</v>
      </c>
      <c r="H73" s="3">
        <f>IF(AND(Table1[[#This Row],[STATES in numeric format]]=-1,F72=0),1,0)</f>
        <v>0</v>
      </c>
      <c r="I73" s="3">
        <f>IF(AND(Table1[[#This Row],[STATES in numeric format]]=-1,F72=1),1,0)</f>
        <v>0</v>
      </c>
      <c r="J73" s="3">
        <f>IF(AND(Table1[[#This Row],[STATES in numeric format]]=0,F72=-1),1,0)</f>
        <v>0</v>
      </c>
      <c r="K73" s="3">
        <f>IF(AND(Table1[[#This Row],[STATES in numeric format]]=0,F72=0),1,0)</f>
        <v>0</v>
      </c>
      <c r="L73" s="3">
        <f>IF(AND(Table1[[#This Row],[STATES in numeric format]]=0,F72=1),1,0)</f>
        <v>0</v>
      </c>
      <c r="M73" s="3">
        <f>IF(AND(Table1[[#This Row],[STATES in numeric format]]=1,F72=-1),1,0)</f>
        <v>1</v>
      </c>
      <c r="N73" s="3">
        <f>IF(AND(Table1[[#This Row],[STATES in numeric format]]=1,F72=0),1,0)</f>
        <v>0</v>
      </c>
      <c r="O73" s="3">
        <f>IF(AND(Table1[[#This Row],[STATES in numeric format]]=1,F72=1),1,0)</f>
        <v>0</v>
      </c>
    </row>
    <row r="74" spans="1:15" x14ac:dyDescent="0.3">
      <c r="A74" s="1">
        <v>43938</v>
      </c>
      <c r="B74">
        <v>31588.720000000001</v>
      </c>
      <c r="C74">
        <f>Table1[[#This Row],[Close]]-0.001*Table1[[#This Row],[Close]]</f>
        <v>31557.131280000001</v>
      </c>
      <c r="D74">
        <f>Table1[[#This Row],[Close]]+0.001*Table1[[#This Row],[Close]]</f>
        <v>31620.308720000001</v>
      </c>
      <c r="E74" t="str">
        <f>IF(Table1[[#This Row],[Close]]&gt;D73,"UP",IF(Table1[[#This Row],[Close]]&lt;C73,"Down","Constant"))</f>
        <v>UP</v>
      </c>
      <c r="F74" s="3">
        <f>IF(Table1[[#This Row],[Column1]]="Up",1,IF(Table1[[#This Row],[Column1]]="Down",-1,0))</f>
        <v>1</v>
      </c>
      <c r="G74" s="3">
        <f>IF(AND(Table1[[#This Row],[STATES in numeric format]]=-1,F73=-1),1,0)</f>
        <v>0</v>
      </c>
      <c r="H74" s="3">
        <f>IF(AND(Table1[[#This Row],[STATES in numeric format]]=-1,F73=0),1,0)</f>
        <v>0</v>
      </c>
      <c r="I74" s="3">
        <f>IF(AND(Table1[[#This Row],[STATES in numeric format]]=-1,F73=1),1,0)</f>
        <v>0</v>
      </c>
      <c r="J74" s="3">
        <f>IF(AND(Table1[[#This Row],[STATES in numeric format]]=0,F73=-1),1,0)</f>
        <v>0</v>
      </c>
      <c r="K74" s="3">
        <f>IF(AND(Table1[[#This Row],[STATES in numeric format]]=0,F73=0),1,0)</f>
        <v>0</v>
      </c>
      <c r="L74" s="3">
        <f>IF(AND(Table1[[#This Row],[STATES in numeric format]]=0,F73=1),1,0)</f>
        <v>0</v>
      </c>
      <c r="M74" s="3">
        <f>IF(AND(Table1[[#This Row],[STATES in numeric format]]=1,F73=-1),1,0)</f>
        <v>0</v>
      </c>
      <c r="N74" s="3">
        <f>IF(AND(Table1[[#This Row],[STATES in numeric format]]=1,F73=0),1,0)</f>
        <v>0</v>
      </c>
      <c r="O74" s="3">
        <f>IF(AND(Table1[[#This Row],[STATES in numeric format]]=1,F73=1),1,0)</f>
        <v>1</v>
      </c>
    </row>
    <row r="75" spans="1:15" x14ac:dyDescent="0.3">
      <c r="A75" s="1">
        <v>43941</v>
      </c>
      <c r="B75">
        <v>31648</v>
      </c>
      <c r="C75">
        <f>Table1[[#This Row],[Close]]-0.001*Table1[[#This Row],[Close]]</f>
        <v>31616.351999999999</v>
      </c>
      <c r="D75">
        <f>Table1[[#This Row],[Close]]+0.001*Table1[[#This Row],[Close]]</f>
        <v>31679.648000000001</v>
      </c>
      <c r="E75" t="str">
        <f>IF(Table1[[#This Row],[Close]]&gt;D74,"UP",IF(Table1[[#This Row],[Close]]&lt;C74,"Down","Constant"))</f>
        <v>UP</v>
      </c>
      <c r="F75" s="3">
        <f>IF(Table1[[#This Row],[Column1]]="Up",1,IF(Table1[[#This Row],[Column1]]="Down",-1,0))</f>
        <v>1</v>
      </c>
      <c r="G75" s="3">
        <f>IF(AND(Table1[[#This Row],[STATES in numeric format]]=-1,F74=-1),1,0)</f>
        <v>0</v>
      </c>
      <c r="H75" s="3">
        <f>IF(AND(Table1[[#This Row],[STATES in numeric format]]=-1,F74=0),1,0)</f>
        <v>0</v>
      </c>
      <c r="I75" s="3">
        <f>IF(AND(Table1[[#This Row],[STATES in numeric format]]=-1,F74=1),1,0)</f>
        <v>0</v>
      </c>
      <c r="J75" s="3">
        <f>IF(AND(Table1[[#This Row],[STATES in numeric format]]=0,F74=-1),1,0)</f>
        <v>0</v>
      </c>
      <c r="K75" s="3">
        <f>IF(AND(Table1[[#This Row],[STATES in numeric format]]=0,F74=0),1,0)</f>
        <v>0</v>
      </c>
      <c r="L75" s="3">
        <f>IF(AND(Table1[[#This Row],[STATES in numeric format]]=0,F74=1),1,0)</f>
        <v>0</v>
      </c>
      <c r="M75" s="3">
        <f>IF(AND(Table1[[#This Row],[STATES in numeric format]]=1,F74=-1),1,0)</f>
        <v>0</v>
      </c>
      <c r="N75" s="3">
        <f>IF(AND(Table1[[#This Row],[STATES in numeric format]]=1,F74=0),1,0)</f>
        <v>0</v>
      </c>
      <c r="O75" s="3">
        <f>IF(AND(Table1[[#This Row],[STATES in numeric format]]=1,F74=1),1,0)</f>
        <v>1</v>
      </c>
    </row>
    <row r="76" spans="1:15" x14ac:dyDescent="0.3">
      <c r="A76" s="1">
        <v>43942</v>
      </c>
      <c r="B76">
        <v>30636.71</v>
      </c>
      <c r="C76">
        <f>Table1[[#This Row],[Close]]-0.001*Table1[[#This Row],[Close]]</f>
        <v>30606.07329</v>
      </c>
      <c r="D76">
        <f>Table1[[#This Row],[Close]]+0.001*Table1[[#This Row],[Close]]</f>
        <v>30667.346709999998</v>
      </c>
      <c r="E76" t="str">
        <f>IF(Table1[[#This Row],[Close]]&gt;D75,"UP",IF(Table1[[#This Row],[Close]]&lt;C75,"Down","Constant"))</f>
        <v>Down</v>
      </c>
      <c r="F76" s="3">
        <f>IF(Table1[[#This Row],[Column1]]="Up",1,IF(Table1[[#This Row],[Column1]]="Down",-1,0))</f>
        <v>-1</v>
      </c>
      <c r="G76" s="3">
        <f>IF(AND(Table1[[#This Row],[STATES in numeric format]]=-1,F75=-1),1,0)</f>
        <v>0</v>
      </c>
      <c r="H76" s="3">
        <f>IF(AND(Table1[[#This Row],[STATES in numeric format]]=-1,F75=0),1,0)</f>
        <v>0</v>
      </c>
      <c r="I76" s="3">
        <f>IF(AND(Table1[[#This Row],[STATES in numeric format]]=-1,F75=1),1,0)</f>
        <v>1</v>
      </c>
      <c r="J76" s="3">
        <f>IF(AND(Table1[[#This Row],[STATES in numeric format]]=0,F75=-1),1,0)</f>
        <v>0</v>
      </c>
      <c r="K76" s="3">
        <f>IF(AND(Table1[[#This Row],[STATES in numeric format]]=0,F75=0),1,0)</f>
        <v>0</v>
      </c>
      <c r="L76" s="3">
        <f>IF(AND(Table1[[#This Row],[STATES in numeric format]]=0,F75=1),1,0)</f>
        <v>0</v>
      </c>
      <c r="M76" s="3">
        <f>IF(AND(Table1[[#This Row],[STATES in numeric format]]=1,F75=-1),1,0)</f>
        <v>0</v>
      </c>
      <c r="N76" s="3">
        <f>IF(AND(Table1[[#This Row],[STATES in numeric format]]=1,F75=0),1,0)</f>
        <v>0</v>
      </c>
      <c r="O76" s="3">
        <f>IF(AND(Table1[[#This Row],[STATES in numeric format]]=1,F75=1),1,0)</f>
        <v>0</v>
      </c>
    </row>
    <row r="77" spans="1:15" x14ac:dyDescent="0.3">
      <c r="A77" s="1">
        <v>43943</v>
      </c>
      <c r="B77">
        <v>31379.55</v>
      </c>
      <c r="C77">
        <f>Table1[[#This Row],[Close]]-0.001*Table1[[#This Row],[Close]]</f>
        <v>31348.170449999998</v>
      </c>
      <c r="D77">
        <f>Table1[[#This Row],[Close]]+0.001*Table1[[#This Row],[Close]]</f>
        <v>31410.929550000001</v>
      </c>
      <c r="E77" t="str">
        <f>IF(Table1[[#This Row],[Close]]&gt;D76,"UP",IF(Table1[[#This Row],[Close]]&lt;C76,"Down","Constant"))</f>
        <v>UP</v>
      </c>
      <c r="F77" s="3">
        <f>IF(Table1[[#This Row],[Column1]]="Up",1,IF(Table1[[#This Row],[Column1]]="Down",-1,0))</f>
        <v>1</v>
      </c>
      <c r="G77" s="3">
        <f>IF(AND(Table1[[#This Row],[STATES in numeric format]]=-1,F76=-1),1,0)</f>
        <v>0</v>
      </c>
      <c r="H77" s="3">
        <f>IF(AND(Table1[[#This Row],[STATES in numeric format]]=-1,F76=0),1,0)</f>
        <v>0</v>
      </c>
      <c r="I77" s="3">
        <f>IF(AND(Table1[[#This Row],[STATES in numeric format]]=-1,F76=1),1,0)</f>
        <v>0</v>
      </c>
      <c r="J77" s="3">
        <f>IF(AND(Table1[[#This Row],[STATES in numeric format]]=0,F76=-1),1,0)</f>
        <v>0</v>
      </c>
      <c r="K77" s="3">
        <f>IF(AND(Table1[[#This Row],[STATES in numeric format]]=0,F76=0),1,0)</f>
        <v>0</v>
      </c>
      <c r="L77" s="3">
        <f>IF(AND(Table1[[#This Row],[STATES in numeric format]]=0,F76=1),1,0)</f>
        <v>0</v>
      </c>
      <c r="M77" s="3">
        <f>IF(AND(Table1[[#This Row],[STATES in numeric format]]=1,F76=-1),1,0)</f>
        <v>1</v>
      </c>
      <c r="N77" s="3">
        <f>IF(AND(Table1[[#This Row],[STATES in numeric format]]=1,F76=0),1,0)</f>
        <v>0</v>
      </c>
      <c r="O77" s="3">
        <f>IF(AND(Table1[[#This Row],[STATES in numeric format]]=1,F76=1),1,0)</f>
        <v>0</v>
      </c>
    </row>
    <row r="78" spans="1:15" x14ac:dyDescent="0.3">
      <c r="A78" s="1">
        <v>43944</v>
      </c>
      <c r="B78">
        <v>31863.08</v>
      </c>
      <c r="C78">
        <f>Table1[[#This Row],[Close]]-0.001*Table1[[#This Row],[Close]]</f>
        <v>31831.216920000003</v>
      </c>
      <c r="D78">
        <f>Table1[[#This Row],[Close]]+0.001*Table1[[#This Row],[Close]]</f>
        <v>31894.943080000001</v>
      </c>
      <c r="E78" t="str">
        <f>IF(Table1[[#This Row],[Close]]&gt;D77,"UP",IF(Table1[[#This Row],[Close]]&lt;C77,"Down","Constant"))</f>
        <v>UP</v>
      </c>
      <c r="F78" s="3">
        <f>IF(Table1[[#This Row],[Column1]]="Up",1,IF(Table1[[#This Row],[Column1]]="Down",-1,0))</f>
        <v>1</v>
      </c>
      <c r="G78" s="3">
        <f>IF(AND(Table1[[#This Row],[STATES in numeric format]]=-1,F77=-1),1,0)</f>
        <v>0</v>
      </c>
      <c r="H78" s="3">
        <f>IF(AND(Table1[[#This Row],[STATES in numeric format]]=-1,F77=0),1,0)</f>
        <v>0</v>
      </c>
      <c r="I78" s="3">
        <f>IF(AND(Table1[[#This Row],[STATES in numeric format]]=-1,F77=1),1,0)</f>
        <v>0</v>
      </c>
      <c r="J78" s="3">
        <f>IF(AND(Table1[[#This Row],[STATES in numeric format]]=0,F77=-1),1,0)</f>
        <v>0</v>
      </c>
      <c r="K78" s="3">
        <f>IF(AND(Table1[[#This Row],[STATES in numeric format]]=0,F77=0),1,0)</f>
        <v>0</v>
      </c>
      <c r="L78" s="3">
        <f>IF(AND(Table1[[#This Row],[STATES in numeric format]]=0,F77=1),1,0)</f>
        <v>0</v>
      </c>
      <c r="M78" s="3">
        <f>IF(AND(Table1[[#This Row],[STATES in numeric format]]=1,F77=-1),1,0)</f>
        <v>0</v>
      </c>
      <c r="N78" s="3">
        <f>IF(AND(Table1[[#This Row],[STATES in numeric format]]=1,F77=0),1,0)</f>
        <v>0</v>
      </c>
      <c r="O78" s="3">
        <f>IF(AND(Table1[[#This Row],[STATES in numeric format]]=1,F77=1),1,0)</f>
        <v>1</v>
      </c>
    </row>
    <row r="79" spans="1:15" x14ac:dyDescent="0.3">
      <c r="A79" s="1">
        <v>43945</v>
      </c>
      <c r="B79">
        <v>31327.22</v>
      </c>
      <c r="C79">
        <f>Table1[[#This Row],[Close]]-0.001*Table1[[#This Row],[Close]]</f>
        <v>31295.892780000002</v>
      </c>
      <c r="D79">
        <f>Table1[[#This Row],[Close]]+0.001*Table1[[#This Row],[Close]]</f>
        <v>31358.54722</v>
      </c>
      <c r="E79" t="str">
        <f>IF(Table1[[#This Row],[Close]]&gt;D78,"UP",IF(Table1[[#This Row],[Close]]&lt;C78,"Down","Constant"))</f>
        <v>Down</v>
      </c>
      <c r="F79" s="3">
        <f>IF(Table1[[#This Row],[Column1]]="Up",1,IF(Table1[[#This Row],[Column1]]="Down",-1,0))</f>
        <v>-1</v>
      </c>
      <c r="G79" s="3">
        <f>IF(AND(Table1[[#This Row],[STATES in numeric format]]=-1,F78=-1),1,0)</f>
        <v>0</v>
      </c>
      <c r="H79" s="3">
        <f>IF(AND(Table1[[#This Row],[STATES in numeric format]]=-1,F78=0),1,0)</f>
        <v>0</v>
      </c>
      <c r="I79" s="3">
        <f>IF(AND(Table1[[#This Row],[STATES in numeric format]]=-1,F78=1),1,0)</f>
        <v>1</v>
      </c>
      <c r="J79" s="3">
        <f>IF(AND(Table1[[#This Row],[STATES in numeric format]]=0,F78=-1),1,0)</f>
        <v>0</v>
      </c>
      <c r="K79" s="3">
        <f>IF(AND(Table1[[#This Row],[STATES in numeric format]]=0,F78=0),1,0)</f>
        <v>0</v>
      </c>
      <c r="L79" s="3">
        <f>IF(AND(Table1[[#This Row],[STATES in numeric format]]=0,F78=1),1,0)</f>
        <v>0</v>
      </c>
      <c r="M79" s="3">
        <f>IF(AND(Table1[[#This Row],[STATES in numeric format]]=1,F78=-1),1,0)</f>
        <v>0</v>
      </c>
      <c r="N79" s="3">
        <f>IF(AND(Table1[[#This Row],[STATES in numeric format]]=1,F78=0),1,0)</f>
        <v>0</v>
      </c>
      <c r="O79" s="3">
        <f>IF(AND(Table1[[#This Row],[STATES in numeric format]]=1,F78=1),1,0)</f>
        <v>0</v>
      </c>
    </row>
    <row r="80" spans="1:15" x14ac:dyDescent="0.3">
      <c r="A80" s="1">
        <v>43948</v>
      </c>
      <c r="B80">
        <v>31743.08</v>
      </c>
      <c r="C80">
        <f>Table1[[#This Row],[Close]]-0.001*Table1[[#This Row],[Close]]</f>
        <v>31711.336920000002</v>
      </c>
      <c r="D80">
        <f>Table1[[#This Row],[Close]]+0.001*Table1[[#This Row],[Close]]</f>
        <v>31774.823080000002</v>
      </c>
      <c r="E80" t="str">
        <f>IF(Table1[[#This Row],[Close]]&gt;D79,"UP",IF(Table1[[#This Row],[Close]]&lt;C79,"Down","Constant"))</f>
        <v>UP</v>
      </c>
      <c r="F80" s="3">
        <f>IF(Table1[[#This Row],[Column1]]="Up",1,IF(Table1[[#This Row],[Column1]]="Down",-1,0))</f>
        <v>1</v>
      </c>
      <c r="G80" s="3">
        <f>IF(AND(Table1[[#This Row],[STATES in numeric format]]=-1,F79=-1),1,0)</f>
        <v>0</v>
      </c>
      <c r="H80" s="3">
        <f>IF(AND(Table1[[#This Row],[STATES in numeric format]]=-1,F79=0),1,0)</f>
        <v>0</v>
      </c>
      <c r="I80" s="3">
        <f>IF(AND(Table1[[#This Row],[STATES in numeric format]]=-1,F79=1),1,0)</f>
        <v>0</v>
      </c>
      <c r="J80" s="3">
        <f>IF(AND(Table1[[#This Row],[STATES in numeric format]]=0,F79=-1),1,0)</f>
        <v>0</v>
      </c>
      <c r="K80" s="3">
        <f>IF(AND(Table1[[#This Row],[STATES in numeric format]]=0,F79=0),1,0)</f>
        <v>0</v>
      </c>
      <c r="L80" s="3">
        <f>IF(AND(Table1[[#This Row],[STATES in numeric format]]=0,F79=1),1,0)</f>
        <v>0</v>
      </c>
      <c r="M80" s="3">
        <f>IF(AND(Table1[[#This Row],[STATES in numeric format]]=1,F79=-1),1,0)</f>
        <v>1</v>
      </c>
      <c r="N80" s="3">
        <f>IF(AND(Table1[[#This Row],[STATES in numeric format]]=1,F79=0),1,0)</f>
        <v>0</v>
      </c>
      <c r="O80" s="3">
        <f>IF(AND(Table1[[#This Row],[STATES in numeric format]]=1,F79=1),1,0)</f>
        <v>0</v>
      </c>
    </row>
    <row r="81" spans="1:15" x14ac:dyDescent="0.3">
      <c r="A81" s="1">
        <v>43949</v>
      </c>
      <c r="B81">
        <v>32114.52</v>
      </c>
      <c r="C81">
        <f>Table1[[#This Row],[Close]]-0.001*Table1[[#This Row],[Close]]</f>
        <v>32082.405480000001</v>
      </c>
      <c r="D81">
        <f>Table1[[#This Row],[Close]]+0.001*Table1[[#This Row],[Close]]</f>
        <v>32146.63452</v>
      </c>
      <c r="E81" t="str">
        <f>IF(Table1[[#This Row],[Close]]&gt;D80,"UP",IF(Table1[[#This Row],[Close]]&lt;C80,"Down","Constant"))</f>
        <v>UP</v>
      </c>
      <c r="F81" s="3">
        <f>IF(Table1[[#This Row],[Column1]]="Up",1,IF(Table1[[#This Row],[Column1]]="Down",-1,0))</f>
        <v>1</v>
      </c>
      <c r="G81" s="3">
        <f>IF(AND(Table1[[#This Row],[STATES in numeric format]]=-1,F80=-1),1,0)</f>
        <v>0</v>
      </c>
      <c r="H81" s="3">
        <f>IF(AND(Table1[[#This Row],[STATES in numeric format]]=-1,F80=0),1,0)</f>
        <v>0</v>
      </c>
      <c r="I81" s="3">
        <f>IF(AND(Table1[[#This Row],[STATES in numeric format]]=-1,F80=1),1,0)</f>
        <v>0</v>
      </c>
      <c r="J81" s="3">
        <f>IF(AND(Table1[[#This Row],[STATES in numeric format]]=0,F80=-1),1,0)</f>
        <v>0</v>
      </c>
      <c r="K81" s="3">
        <f>IF(AND(Table1[[#This Row],[STATES in numeric format]]=0,F80=0),1,0)</f>
        <v>0</v>
      </c>
      <c r="L81" s="3">
        <f>IF(AND(Table1[[#This Row],[STATES in numeric format]]=0,F80=1),1,0)</f>
        <v>0</v>
      </c>
      <c r="M81" s="3">
        <f>IF(AND(Table1[[#This Row],[STATES in numeric format]]=1,F80=-1),1,0)</f>
        <v>0</v>
      </c>
      <c r="N81" s="3">
        <f>IF(AND(Table1[[#This Row],[STATES in numeric format]]=1,F80=0),1,0)</f>
        <v>0</v>
      </c>
      <c r="O81" s="3">
        <f>IF(AND(Table1[[#This Row],[STATES in numeric format]]=1,F80=1),1,0)</f>
        <v>1</v>
      </c>
    </row>
    <row r="82" spans="1:15" x14ac:dyDescent="0.3">
      <c r="A82" s="1">
        <v>43950</v>
      </c>
      <c r="B82">
        <v>32720.16</v>
      </c>
      <c r="C82">
        <f>Table1[[#This Row],[Close]]-0.001*Table1[[#This Row],[Close]]</f>
        <v>32687.439839999999</v>
      </c>
      <c r="D82">
        <f>Table1[[#This Row],[Close]]+0.001*Table1[[#This Row],[Close]]</f>
        <v>32752.880160000001</v>
      </c>
      <c r="E82" t="str">
        <f>IF(Table1[[#This Row],[Close]]&gt;D81,"UP",IF(Table1[[#This Row],[Close]]&lt;C81,"Down","Constant"))</f>
        <v>UP</v>
      </c>
      <c r="F82" s="3">
        <f>IF(Table1[[#This Row],[Column1]]="Up",1,IF(Table1[[#This Row],[Column1]]="Down",-1,0))</f>
        <v>1</v>
      </c>
      <c r="G82" s="3">
        <f>IF(AND(Table1[[#This Row],[STATES in numeric format]]=-1,F81=-1),1,0)</f>
        <v>0</v>
      </c>
      <c r="H82" s="3">
        <f>IF(AND(Table1[[#This Row],[STATES in numeric format]]=-1,F81=0),1,0)</f>
        <v>0</v>
      </c>
      <c r="I82" s="3">
        <f>IF(AND(Table1[[#This Row],[STATES in numeric format]]=-1,F81=1),1,0)</f>
        <v>0</v>
      </c>
      <c r="J82" s="3">
        <f>IF(AND(Table1[[#This Row],[STATES in numeric format]]=0,F81=-1),1,0)</f>
        <v>0</v>
      </c>
      <c r="K82" s="3">
        <f>IF(AND(Table1[[#This Row],[STATES in numeric format]]=0,F81=0),1,0)</f>
        <v>0</v>
      </c>
      <c r="L82" s="3">
        <f>IF(AND(Table1[[#This Row],[STATES in numeric format]]=0,F81=1),1,0)</f>
        <v>0</v>
      </c>
      <c r="M82" s="3">
        <f>IF(AND(Table1[[#This Row],[STATES in numeric format]]=1,F81=-1),1,0)</f>
        <v>0</v>
      </c>
      <c r="N82" s="3">
        <f>IF(AND(Table1[[#This Row],[STATES in numeric format]]=1,F81=0),1,0)</f>
        <v>0</v>
      </c>
      <c r="O82" s="3">
        <f>IF(AND(Table1[[#This Row],[STATES in numeric format]]=1,F81=1),1,0)</f>
        <v>1</v>
      </c>
    </row>
    <row r="83" spans="1:15" x14ac:dyDescent="0.3">
      <c r="A83" s="1">
        <v>43951</v>
      </c>
      <c r="B83">
        <v>33717.620000000003</v>
      </c>
      <c r="C83">
        <f>Table1[[#This Row],[Close]]-0.001*Table1[[#This Row],[Close]]</f>
        <v>33683.90238</v>
      </c>
      <c r="D83">
        <f>Table1[[#This Row],[Close]]+0.001*Table1[[#This Row],[Close]]</f>
        <v>33751.337620000006</v>
      </c>
      <c r="E83" t="str">
        <f>IF(Table1[[#This Row],[Close]]&gt;D82,"UP",IF(Table1[[#This Row],[Close]]&lt;C82,"Down","Constant"))</f>
        <v>UP</v>
      </c>
      <c r="F83" s="3">
        <f>IF(Table1[[#This Row],[Column1]]="Up",1,IF(Table1[[#This Row],[Column1]]="Down",-1,0))</f>
        <v>1</v>
      </c>
      <c r="G83" s="3">
        <f>IF(AND(Table1[[#This Row],[STATES in numeric format]]=-1,F82=-1),1,0)</f>
        <v>0</v>
      </c>
      <c r="H83" s="3">
        <f>IF(AND(Table1[[#This Row],[STATES in numeric format]]=-1,F82=0),1,0)</f>
        <v>0</v>
      </c>
      <c r="I83" s="3">
        <f>IF(AND(Table1[[#This Row],[STATES in numeric format]]=-1,F82=1),1,0)</f>
        <v>0</v>
      </c>
      <c r="J83" s="3">
        <f>IF(AND(Table1[[#This Row],[STATES in numeric format]]=0,F82=-1),1,0)</f>
        <v>0</v>
      </c>
      <c r="K83" s="3">
        <f>IF(AND(Table1[[#This Row],[STATES in numeric format]]=0,F82=0),1,0)</f>
        <v>0</v>
      </c>
      <c r="L83" s="3">
        <f>IF(AND(Table1[[#This Row],[STATES in numeric format]]=0,F82=1),1,0)</f>
        <v>0</v>
      </c>
      <c r="M83" s="3">
        <f>IF(AND(Table1[[#This Row],[STATES in numeric format]]=1,F82=-1),1,0)</f>
        <v>0</v>
      </c>
      <c r="N83" s="3">
        <f>IF(AND(Table1[[#This Row],[STATES in numeric format]]=1,F82=0),1,0)</f>
        <v>0</v>
      </c>
      <c r="O83" s="3">
        <f>IF(AND(Table1[[#This Row],[STATES in numeric format]]=1,F82=1),1,0)</f>
        <v>1</v>
      </c>
    </row>
    <row r="84" spans="1:15" x14ac:dyDescent="0.3">
      <c r="A84" s="1">
        <v>43955</v>
      </c>
      <c r="B84">
        <v>31715.35</v>
      </c>
      <c r="C84">
        <f>Table1[[#This Row],[Close]]-0.001*Table1[[#This Row],[Close]]</f>
        <v>31683.63465</v>
      </c>
      <c r="D84">
        <f>Table1[[#This Row],[Close]]+0.001*Table1[[#This Row],[Close]]</f>
        <v>31747.065349999997</v>
      </c>
      <c r="E84" t="str">
        <f>IF(Table1[[#This Row],[Close]]&gt;D83,"UP",IF(Table1[[#This Row],[Close]]&lt;C83,"Down","Constant"))</f>
        <v>Down</v>
      </c>
      <c r="F84" s="3">
        <f>IF(Table1[[#This Row],[Column1]]="Up",1,IF(Table1[[#This Row],[Column1]]="Down",-1,0))</f>
        <v>-1</v>
      </c>
      <c r="G84" s="3">
        <f>IF(AND(Table1[[#This Row],[STATES in numeric format]]=-1,F83=-1),1,0)</f>
        <v>0</v>
      </c>
      <c r="H84" s="3">
        <f>IF(AND(Table1[[#This Row],[STATES in numeric format]]=-1,F83=0),1,0)</f>
        <v>0</v>
      </c>
      <c r="I84" s="3">
        <f>IF(AND(Table1[[#This Row],[STATES in numeric format]]=-1,F83=1),1,0)</f>
        <v>1</v>
      </c>
      <c r="J84" s="3">
        <f>IF(AND(Table1[[#This Row],[STATES in numeric format]]=0,F83=-1),1,0)</f>
        <v>0</v>
      </c>
      <c r="K84" s="3">
        <f>IF(AND(Table1[[#This Row],[STATES in numeric format]]=0,F83=0),1,0)</f>
        <v>0</v>
      </c>
      <c r="L84" s="3">
        <f>IF(AND(Table1[[#This Row],[STATES in numeric format]]=0,F83=1),1,0)</f>
        <v>0</v>
      </c>
      <c r="M84" s="3">
        <f>IF(AND(Table1[[#This Row],[STATES in numeric format]]=1,F83=-1),1,0)</f>
        <v>0</v>
      </c>
      <c r="N84" s="3">
        <f>IF(AND(Table1[[#This Row],[STATES in numeric format]]=1,F83=0),1,0)</f>
        <v>0</v>
      </c>
      <c r="O84" s="3">
        <f>IF(AND(Table1[[#This Row],[STATES in numeric format]]=1,F83=1),1,0)</f>
        <v>0</v>
      </c>
    </row>
    <row r="85" spans="1:15" x14ac:dyDescent="0.3">
      <c r="A85" s="1">
        <v>43956</v>
      </c>
      <c r="B85">
        <v>31453.51</v>
      </c>
      <c r="C85">
        <f>Table1[[#This Row],[Close]]-0.001*Table1[[#This Row],[Close]]</f>
        <v>31422.056489999999</v>
      </c>
      <c r="D85">
        <f>Table1[[#This Row],[Close]]+0.001*Table1[[#This Row],[Close]]</f>
        <v>31484.963509999998</v>
      </c>
      <c r="E85" t="str">
        <f>IF(Table1[[#This Row],[Close]]&gt;D84,"UP",IF(Table1[[#This Row],[Close]]&lt;C84,"Down","Constant"))</f>
        <v>Down</v>
      </c>
      <c r="F85" s="3">
        <f>IF(Table1[[#This Row],[Column1]]="Up",1,IF(Table1[[#This Row],[Column1]]="Down",-1,0))</f>
        <v>-1</v>
      </c>
      <c r="G85" s="3">
        <f>IF(AND(Table1[[#This Row],[STATES in numeric format]]=-1,F84=-1),1,0)</f>
        <v>1</v>
      </c>
      <c r="H85" s="3">
        <f>IF(AND(Table1[[#This Row],[STATES in numeric format]]=-1,F84=0),1,0)</f>
        <v>0</v>
      </c>
      <c r="I85" s="3">
        <f>IF(AND(Table1[[#This Row],[STATES in numeric format]]=-1,F84=1),1,0)</f>
        <v>0</v>
      </c>
      <c r="J85" s="3">
        <f>IF(AND(Table1[[#This Row],[STATES in numeric format]]=0,F84=-1),1,0)</f>
        <v>0</v>
      </c>
      <c r="K85" s="3">
        <f>IF(AND(Table1[[#This Row],[STATES in numeric format]]=0,F84=0),1,0)</f>
        <v>0</v>
      </c>
      <c r="L85" s="3">
        <f>IF(AND(Table1[[#This Row],[STATES in numeric format]]=0,F84=1),1,0)</f>
        <v>0</v>
      </c>
      <c r="M85" s="3">
        <f>IF(AND(Table1[[#This Row],[STATES in numeric format]]=1,F84=-1),1,0)</f>
        <v>0</v>
      </c>
      <c r="N85" s="3">
        <f>IF(AND(Table1[[#This Row],[STATES in numeric format]]=1,F84=0),1,0)</f>
        <v>0</v>
      </c>
      <c r="O85" s="3">
        <f>IF(AND(Table1[[#This Row],[STATES in numeric format]]=1,F84=1),1,0)</f>
        <v>0</v>
      </c>
    </row>
    <row r="86" spans="1:15" x14ac:dyDescent="0.3">
      <c r="A86" s="1">
        <v>43957</v>
      </c>
      <c r="B86">
        <v>31685.75</v>
      </c>
      <c r="C86">
        <f>Table1[[#This Row],[Close]]-0.001*Table1[[#This Row],[Close]]</f>
        <v>31654.064249999999</v>
      </c>
      <c r="D86">
        <f>Table1[[#This Row],[Close]]+0.001*Table1[[#This Row],[Close]]</f>
        <v>31717.435750000001</v>
      </c>
      <c r="E86" t="str">
        <f>IF(Table1[[#This Row],[Close]]&gt;D85,"UP",IF(Table1[[#This Row],[Close]]&lt;C85,"Down","Constant"))</f>
        <v>UP</v>
      </c>
      <c r="F86" s="3">
        <f>IF(Table1[[#This Row],[Column1]]="Up",1,IF(Table1[[#This Row],[Column1]]="Down",-1,0))</f>
        <v>1</v>
      </c>
      <c r="G86" s="3">
        <f>IF(AND(Table1[[#This Row],[STATES in numeric format]]=-1,F85=-1),1,0)</f>
        <v>0</v>
      </c>
      <c r="H86" s="3">
        <f>IF(AND(Table1[[#This Row],[STATES in numeric format]]=-1,F85=0),1,0)</f>
        <v>0</v>
      </c>
      <c r="I86" s="3">
        <f>IF(AND(Table1[[#This Row],[STATES in numeric format]]=-1,F85=1),1,0)</f>
        <v>0</v>
      </c>
      <c r="J86" s="3">
        <f>IF(AND(Table1[[#This Row],[STATES in numeric format]]=0,F85=-1),1,0)</f>
        <v>0</v>
      </c>
      <c r="K86" s="3">
        <f>IF(AND(Table1[[#This Row],[STATES in numeric format]]=0,F85=0),1,0)</f>
        <v>0</v>
      </c>
      <c r="L86" s="3">
        <f>IF(AND(Table1[[#This Row],[STATES in numeric format]]=0,F85=1),1,0)</f>
        <v>0</v>
      </c>
      <c r="M86" s="3">
        <f>IF(AND(Table1[[#This Row],[STATES in numeric format]]=1,F85=-1),1,0)</f>
        <v>1</v>
      </c>
      <c r="N86" s="3">
        <f>IF(AND(Table1[[#This Row],[STATES in numeric format]]=1,F85=0),1,0)</f>
        <v>0</v>
      </c>
      <c r="O86" s="3">
        <f>IF(AND(Table1[[#This Row],[STATES in numeric format]]=1,F85=1),1,0)</f>
        <v>0</v>
      </c>
    </row>
    <row r="87" spans="1:15" x14ac:dyDescent="0.3">
      <c r="A87" s="1">
        <v>43958</v>
      </c>
      <c r="B87">
        <v>31443.38</v>
      </c>
      <c r="C87">
        <f>Table1[[#This Row],[Close]]-0.001*Table1[[#This Row],[Close]]</f>
        <v>31411.93662</v>
      </c>
      <c r="D87">
        <f>Table1[[#This Row],[Close]]+0.001*Table1[[#This Row],[Close]]</f>
        <v>31474.823380000002</v>
      </c>
      <c r="E87" t="str">
        <f>IF(Table1[[#This Row],[Close]]&gt;D86,"UP",IF(Table1[[#This Row],[Close]]&lt;C86,"Down","Constant"))</f>
        <v>Down</v>
      </c>
      <c r="F87" s="3">
        <f>IF(Table1[[#This Row],[Column1]]="Up",1,IF(Table1[[#This Row],[Column1]]="Down",-1,0))</f>
        <v>-1</v>
      </c>
      <c r="G87" s="3">
        <f>IF(AND(Table1[[#This Row],[STATES in numeric format]]=-1,F86=-1),1,0)</f>
        <v>0</v>
      </c>
      <c r="H87" s="3">
        <f>IF(AND(Table1[[#This Row],[STATES in numeric format]]=-1,F86=0),1,0)</f>
        <v>0</v>
      </c>
      <c r="I87" s="3">
        <f>IF(AND(Table1[[#This Row],[STATES in numeric format]]=-1,F86=1),1,0)</f>
        <v>1</v>
      </c>
      <c r="J87" s="3">
        <f>IF(AND(Table1[[#This Row],[STATES in numeric format]]=0,F86=-1),1,0)</f>
        <v>0</v>
      </c>
      <c r="K87" s="3">
        <f>IF(AND(Table1[[#This Row],[STATES in numeric format]]=0,F86=0),1,0)</f>
        <v>0</v>
      </c>
      <c r="L87" s="3">
        <f>IF(AND(Table1[[#This Row],[STATES in numeric format]]=0,F86=1),1,0)</f>
        <v>0</v>
      </c>
      <c r="M87" s="3">
        <f>IF(AND(Table1[[#This Row],[STATES in numeric format]]=1,F86=-1),1,0)</f>
        <v>0</v>
      </c>
      <c r="N87" s="3">
        <f>IF(AND(Table1[[#This Row],[STATES in numeric format]]=1,F86=0),1,0)</f>
        <v>0</v>
      </c>
      <c r="O87" s="3">
        <f>IF(AND(Table1[[#This Row],[STATES in numeric format]]=1,F86=1),1,0)</f>
        <v>0</v>
      </c>
    </row>
    <row r="88" spans="1:15" x14ac:dyDescent="0.3">
      <c r="A88" s="1">
        <v>43959</v>
      </c>
      <c r="B88">
        <v>31642.7</v>
      </c>
      <c r="C88">
        <f>Table1[[#This Row],[Close]]-0.001*Table1[[#This Row],[Close]]</f>
        <v>31611.0573</v>
      </c>
      <c r="D88">
        <f>Table1[[#This Row],[Close]]+0.001*Table1[[#This Row],[Close]]</f>
        <v>31674.342700000001</v>
      </c>
      <c r="E88" t="str">
        <f>IF(Table1[[#This Row],[Close]]&gt;D87,"UP",IF(Table1[[#This Row],[Close]]&lt;C87,"Down","Constant"))</f>
        <v>UP</v>
      </c>
      <c r="F88" s="3">
        <f>IF(Table1[[#This Row],[Column1]]="Up",1,IF(Table1[[#This Row],[Column1]]="Down",-1,0))</f>
        <v>1</v>
      </c>
      <c r="G88" s="3">
        <f>IF(AND(Table1[[#This Row],[STATES in numeric format]]=-1,F87=-1),1,0)</f>
        <v>0</v>
      </c>
      <c r="H88" s="3">
        <f>IF(AND(Table1[[#This Row],[STATES in numeric format]]=-1,F87=0),1,0)</f>
        <v>0</v>
      </c>
      <c r="I88" s="3">
        <f>IF(AND(Table1[[#This Row],[STATES in numeric format]]=-1,F87=1),1,0)</f>
        <v>0</v>
      </c>
      <c r="J88" s="3">
        <f>IF(AND(Table1[[#This Row],[STATES in numeric format]]=0,F87=-1),1,0)</f>
        <v>0</v>
      </c>
      <c r="K88" s="3">
        <f>IF(AND(Table1[[#This Row],[STATES in numeric format]]=0,F87=0),1,0)</f>
        <v>0</v>
      </c>
      <c r="L88" s="3">
        <f>IF(AND(Table1[[#This Row],[STATES in numeric format]]=0,F87=1),1,0)</f>
        <v>0</v>
      </c>
      <c r="M88" s="3">
        <f>IF(AND(Table1[[#This Row],[STATES in numeric format]]=1,F87=-1),1,0)</f>
        <v>1</v>
      </c>
      <c r="N88" s="3">
        <f>IF(AND(Table1[[#This Row],[STATES in numeric format]]=1,F87=0),1,0)</f>
        <v>0</v>
      </c>
      <c r="O88" s="3">
        <f>IF(AND(Table1[[#This Row],[STATES in numeric format]]=1,F87=1),1,0)</f>
        <v>0</v>
      </c>
    </row>
    <row r="89" spans="1:15" x14ac:dyDescent="0.3">
      <c r="A89" s="1">
        <v>43962</v>
      </c>
      <c r="B89">
        <v>31561.22</v>
      </c>
      <c r="C89">
        <f>Table1[[#This Row],[Close]]-0.001*Table1[[#This Row],[Close]]</f>
        <v>31529.658780000002</v>
      </c>
      <c r="D89">
        <f>Table1[[#This Row],[Close]]+0.001*Table1[[#This Row],[Close]]</f>
        <v>31592.781220000001</v>
      </c>
      <c r="E89" t="str">
        <f>IF(Table1[[#This Row],[Close]]&gt;D88,"UP",IF(Table1[[#This Row],[Close]]&lt;C88,"Down","Constant"))</f>
        <v>Down</v>
      </c>
      <c r="F89" s="3">
        <f>IF(Table1[[#This Row],[Column1]]="Up",1,IF(Table1[[#This Row],[Column1]]="Down",-1,0))</f>
        <v>-1</v>
      </c>
      <c r="G89" s="3">
        <f>IF(AND(Table1[[#This Row],[STATES in numeric format]]=-1,F88=-1),1,0)</f>
        <v>0</v>
      </c>
      <c r="H89" s="3">
        <f>IF(AND(Table1[[#This Row],[STATES in numeric format]]=-1,F88=0),1,0)</f>
        <v>0</v>
      </c>
      <c r="I89" s="3">
        <f>IF(AND(Table1[[#This Row],[STATES in numeric format]]=-1,F88=1),1,0)</f>
        <v>1</v>
      </c>
      <c r="J89" s="3">
        <f>IF(AND(Table1[[#This Row],[STATES in numeric format]]=0,F88=-1),1,0)</f>
        <v>0</v>
      </c>
      <c r="K89" s="3">
        <f>IF(AND(Table1[[#This Row],[STATES in numeric format]]=0,F88=0),1,0)</f>
        <v>0</v>
      </c>
      <c r="L89" s="3">
        <f>IF(AND(Table1[[#This Row],[STATES in numeric format]]=0,F88=1),1,0)</f>
        <v>0</v>
      </c>
      <c r="M89" s="3">
        <f>IF(AND(Table1[[#This Row],[STATES in numeric format]]=1,F88=-1),1,0)</f>
        <v>0</v>
      </c>
      <c r="N89" s="3">
        <f>IF(AND(Table1[[#This Row],[STATES in numeric format]]=1,F88=0),1,0)</f>
        <v>0</v>
      </c>
      <c r="O89" s="3">
        <f>IF(AND(Table1[[#This Row],[STATES in numeric format]]=1,F88=1),1,0)</f>
        <v>0</v>
      </c>
    </row>
    <row r="90" spans="1:15" x14ac:dyDescent="0.3">
      <c r="A90" s="1">
        <v>43963</v>
      </c>
      <c r="B90">
        <v>31371.119999999999</v>
      </c>
      <c r="C90">
        <f>Table1[[#This Row],[Close]]-0.001*Table1[[#This Row],[Close]]</f>
        <v>31339.748879999999</v>
      </c>
      <c r="D90">
        <f>Table1[[#This Row],[Close]]+0.001*Table1[[#This Row],[Close]]</f>
        <v>31402.491119999999</v>
      </c>
      <c r="E90" t="str">
        <f>IF(Table1[[#This Row],[Close]]&gt;D89,"UP",IF(Table1[[#This Row],[Close]]&lt;C89,"Down","Constant"))</f>
        <v>Down</v>
      </c>
      <c r="F90" s="3">
        <f>IF(Table1[[#This Row],[Column1]]="Up",1,IF(Table1[[#This Row],[Column1]]="Down",-1,0))</f>
        <v>-1</v>
      </c>
      <c r="G90" s="3">
        <f>IF(AND(Table1[[#This Row],[STATES in numeric format]]=-1,F89=-1),1,0)</f>
        <v>1</v>
      </c>
      <c r="H90" s="3">
        <f>IF(AND(Table1[[#This Row],[STATES in numeric format]]=-1,F89=0),1,0)</f>
        <v>0</v>
      </c>
      <c r="I90" s="3">
        <f>IF(AND(Table1[[#This Row],[STATES in numeric format]]=-1,F89=1),1,0)</f>
        <v>0</v>
      </c>
      <c r="J90" s="3">
        <f>IF(AND(Table1[[#This Row],[STATES in numeric format]]=0,F89=-1),1,0)</f>
        <v>0</v>
      </c>
      <c r="K90" s="3">
        <f>IF(AND(Table1[[#This Row],[STATES in numeric format]]=0,F89=0),1,0)</f>
        <v>0</v>
      </c>
      <c r="L90" s="3">
        <f>IF(AND(Table1[[#This Row],[STATES in numeric format]]=0,F89=1),1,0)</f>
        <v>0</v>
      </c>
      <c r="M90" s="3">
        <f>IF(AND(Table1[[#This Row],[STATES in numeric format]]=1,F89=-1),1,0)</f>
        <v>0</v>
      </c>
      <c r="N90" s="3">
        <f>IF(AND(Table1[[#This Row],[STATES in numeric format]]=1,F89=0),1,0)</f>
        <v>0</v>
      </c>
      <c r="O90" s="3">
        <f>IF(AND(Table1[[#This Row],[STATES in numeric format]]=1,F89=1),1,0)</f>
        <v>0</v>
      </c>
    </row>
    <row r="91" spans="1:15" x14ac:dyDescent="0.3">
      <c r="A91" s="1">
        <v>43964</v>
      </c>
      <c r="B91">
        <v>32008.61</v>
      </c>
      <c r="C91">
        <f>Table1[[#This Row],[Close]]-0.001*Table1[[#This Row],[Close]]</f>
        <v>31976.60139</v>
      </c>
      <c r="D91">
        <f>Table1[[#This Row],[Close]]+0.001*Table1[[#This Row],[Close]]</f>
        <v>32040.618610000001</v>
      </c>
      <c r="E91" t="str">
        <f>IF(Table1[[#This Row],[Close]]&gt;D90,"UP",IF(Table1[[#This Row],[Close]]&lt;C90,"Down","Constant"))</f>
        <v>UP</v>
      </c>
      <c r="F91" s="3">
        <f>IF(Table1[[#This Row],[Column1]]="Up",1,IF(Table1[[#This Row],[Column1]]="Down",-1,0))</f>
        <v>1</v>
      </c>
      <c r="G91" s="3">
        <f>IF(AND(Table1[[#This Row],[STATES in numeric format]]=-1,F90=-1),1,0)</f>
        <v>0</v>
      </c>
      <c r="H91" s="3">
        <f>IF(AND(Table1[[#This Row],[STATES in numeric format]]=-1,F90=0),1,0)</f>
        <v>0</v>
      </c>
      <c r="I91" s="3">
        <f>IF(AND(Table1[[#This Row],[STATES in numeric format]]=-1,F90=1),1,0)</f>
        <v>0</v>
      </c>
      <c r="J91" s="3">
        <f>IF(AND(Table1[[#This Row],[STATES in numeric format]]=0,F90=-1),1,0)</f>
        <v>0</v>
      </c>
      <c r="K91" s="3">
        <f>IF(AND(Table1[[#This Row],[STATES in numeric format]]=0,F90=0),1,0)</f>
        <v>0</v>
      </c>
      <c r="L91" s="3">
        <f>IF(AND(Table1[[#This Row],[STATES in numeric format]]=0,F90=1),1,0)</f>
        <v>0</v>
      </c>
      <c r="M91" s="3">
        <f>IF(AND(Table1[[#This Row],[STATES in numeric format]]=1,F90=-1),1,0)</f>
        <v>1</v>
      </c>
      <c r="N91" s="3">
        <f>IF(AND(Table1[[#This Row],[STATES in numeric format]]=1,F90=0),1,0)</f>
        <v>0</v>
      </c>
      <c r="O91" s="3">
        <f>IF(AND(Table1[[#This Row],[STATES in numeric format]]=1,F90=1),1,0)</f>
        <v>0</v>
      </c>
    </row>
    <row r="92" spans="1:15" x14ac:dyDescent="0.3">
      <c r="A92" s="1">
        <v>43965</v>
      </c>
      <c r="B92">
        <v>31122.89</v>
      </c>
      <c r="C92">
        <f>Table1[[#This Row],[Close]]-0.001*Table1[[#This Row],[Close]]</f>
        <v>31091.767110000001</v>
      </c>
      <c r="D92">
        <f>Table1[[#This Row],[Close]]+0.001*Table1[[#This Row],[Close]]</f>
        <v>31154.012889999998</v>
      </c>
      <c r="E92" t="str">
        <f>IF(Table1[[#This Row],[Close]]&gt;D91,"UP",IF(Table1[[#This Row],[Close]]&lt;C91,"Down","Constant"))</f>
        <v>Down</v>
      </c>
      <c r="F92" s="3">
        <f>IF(Table1[[#This Row],[Column1]]="Up",1,IF(Table1[[#This Row],[Column1]]="Down",-1,0))</f>
        <v>-1</v>
      </c>
      <c r="G92" s="3">
        <f>IF(AND(Table1[[#This Row],[STATES in numeric format]]=-1,F91=-1),1,0)</f>
        <v>0</v>
      </c>
      <c r="H92" s="3">
        <f>IF(AND(Table1[[#This Row],[STATES in numeric format]]=-1,F91=0),1,0)</f>
        <v>0</v>
      </c>
      <c r="I92" s="3">
        <f>IF(AND(Table1[[#This Row],[STATES in numeric format]]=-1,F91=1),1,0)</f>
        <v>1</v>
      </c>
      <c r="J92" s="3">
        <f>IF(AND(Table1[[#This Row],[STATES in numeric format]]=0,F91=-1),1,0)</f>
        <v>0</v>
      </c>
      <c r="K92" s="3">
        <f>IF(AND(Table1[[#This Row],[STATES in numeric format]]=0,F91=0),1,0)</f>
        <v>0</v>
      </c>
      <c r="L92" s="3">
        <f>IF(AND(Table1[[#This Row],[STATES in numeric format]]=0,F91=1),1,0)</f>
        <v>0</v>
      </c>
      <c r="M92" s="3">
        <f>IF(AND(Table1[[#This Row],[STATES in numeric format]]=1,F91=-1),1,0)</f>
        <v>0</v>
      </c>
      <c r="N92" s="3">
        <f>IF(AND(Table1[[#This Row],[STATES in numeric format]]=1,F91=0),1,0)</f>
        <v>0</v>
      </c>
      <c r="O92" s="3">
        <f>IF(AND(Table1[[#This Row],[STATES in numeric format]]=1,F91=1),1,0)</f>
        <v>0</v>
      </c>
    </row>
    <row r="93" spans="1:15" x14ac:dyDescent="0.3">
      <c r="A93" s="1">
        <v>43966</v>
      </c>
      <c r="B93">
        <v>31097.73</v>
      </c>
      <c r="C93">
        <f>Table1[[#This Row],[Close]]-0.001*Table1[[#This Row],[Close]]</f>
        <v>31066.632269999998</v>
      </c>
      <c r="D93">
        <f>Table1[[#This Row],[Close]]+0.001*Table1[[#This Row],[Close]]</f>
        <v>31128.827730000001</v>
      </c>
      <c r="E93" t="str">
        <f>IF(Table1[[#This Row],[Close]]&gt;D92,"UP",IF(Table1[[#This Row],[Close]]&lt;C92,"Down","Constant"))</f>
        <v>Constant</v>
      </c>
      <c r="F93" s="3">
        <f>IF(Table1[[#This Row],[Column1]]="Up",1,IF(Table1[[#This Row],[Column1]]="Down",-1,0))</f>
        <v>0</v>
      </c>
      <c r="G93" s="3">
        <f>IF(AND(Table1[[#This Row],[STATES in numeric format]]=-1,F92=-1),1,0)</f>
        <v>0</v>
      </c>
      <c r="H93" s="3">
        <f>IF(AND(Table1[[#This Row],[STATES in numeric format]]=-1,F92=0),1,0)</f>
        <v>0</v>
      </c>
      <c r="I93" s="3">
        <f>IF(AND(Table1[[#This Row],[STATES in numeric format]]=-1,F92=1),1,0)</f>
        <v>0</v>
      </c>
      <c r="J93" s="3">
        <f>IF(AND(Table1[[#This Row],[STATES in numeric format]]=0,F92=-1),1,0)</f>
        <v>1</v>
      </c>
      <c r="K93" s="3">
        <f>IF(AND(Table1[[#This Row],[STATES in numeric format]]=0,F92=0),1,0)</f>
        <v>0</v>
      </c>
      <c r="L93" s="3">
        <f>IF(AND(Table1[[#This Row],[STATES in numeric format]]=0,F92=1),1,0)</f>
        <v>0</v>
      </c>
      <c r="M93" s="3">
        <f>IF(AND(Table1[[#This Row],[STATES in numeric format]]=1,F92=-1),1,0)</f>
        <v>0</v>
      </c>
      <c r="N93" s="3">
        <f>IF(AND(Table1[[#This Row],[STATES in numeric format]]=1,F92=0),1,0)</f>
        <v>0</v>
      </c>
      <c r="O93" s="3">
        <f>IF(AND(Table1[[#This Row],[STATES in numeric format]]=1,F92=1),1,0)</f>
        <v>0</v>
      </c>
    </row>
    <row r="94" spans="1:15" x14ac:dyDescent="0.3">
      <c r="A94" s="1">
        <v>43969</v>
      </c>
      <c r="B94">
        <v>30028.98</v>
      </c>
      <c r="C94">
        <f>Table1[[#This Row],[Close]]-0.001*Table1[[#This Row],[Close]]</f>
        <v>29998.95102</v>
      </c>
      <c r="D94">
        <f>Table1[[#This Row],[Close]]+0.001*Table1[[#This Row],[Close]]</f>
        <v>30059.008979999999</v>
      </c>
      <c r="E94" t="str">
        <f>IF(Table1[[#This Row],[Close]]&gt;D93,"UP",IF(Table1[[#This Row],[Close]]&lt;C93,"Down","Constant"))</f>
        <v>Down</v>
      </c>
      <c r="F94" s="3">
        <f>IF(Table1[[#This Row],[Column1]]="Up",1,IF(Table1[[#This Row],[Column1]]="Down",-1,0))</f>
        <v>-1</v>
      </c>
      <c r="G94" s="3">
        <f>IF(AND(Table1[[#This Row],[STATES in numeric format]]=-1,F93=-1),1,0)</f>
        <v>0</v>
      </c>
      <c r="H94" s="3">
        <f>IF(AND(Table1[[#This Row],[STATES in numeric format]]=-1,F93=0),1,0)</f>
        <v>1</v>
      </c>
      <c r="I94" s="3">
        <f>IF(AND(Table1[[#This Row],[STATES in numeric format]]=-1,F93=1),1,0)</f>
        <v>0</v>
      </c>
      <c r="J94" s="3">
        <f>IF(AND(Table1[[#This Row],[STATES in numeric format]]=0,F93=-1),1,0)</f>
        <v>0</v>
      </c>
      <c r="K94" s="3">
        <f>IF(AND(Table1[[#This Row],[STATES in numeric format]]=0,F93=0),1,0)</f>
        <v>0</v>
      </c>
      <c r="L94" s="3">
        <f>IF(AND(Table1[[#This Row],[STATES in numeric format]]=0,F93=1),1,0)</f>
        <v>0</v>
      </c>
      <c r="M94" s="3">
        <f>IF(AND(Table1[[#This Row],[STATES in numeric format]]=1,F93=-1),1,0)</f>
        <v>0</v>
      </c>
      <c r="N94" s="3">
        <f>IF(AND(Table1[[#This Row],[STATES in numeric format]]=1,F93=0),1,0)</f>
        <v>0</v>
      </c>
      <c r="O94" s="3">
        <f>IF(AND(Table1[[#This Row],[STATES in numeric format]]=1,F93=1),1,0)</f>
        <v>0</v>
      </c>
    </row>
    <row r="95" spans="1:15" x14ac:dyDescent="0.3">
      <c r="A95" s="1">
        <v>43970</v>
      </c>
      <c r="B95">
        <v>30196.17</v>
      </c>
      <c r="C95">
        <f>Table1[[#This Row],[Close]]-0.001*Table1[[#This Row],[Close]]</f>
        <v>30165.973829999999</v>
      </c>
      <c r="D95">
        <f>Table1[[#This Row],[Close]]+0.001*Table1[[#This Row],[Close]]</f>
        <v>30226.366169999998</v>
      </c>
      <c r="E95" t="str">
        <f>IF(Table1[[#This Row],[Close]]&gt;D94,"UP",IF(Table1[[#This Row],[Close]]&lt;C94,"Down","Constant"))</f>
        <v>UP</v>
      </c>
      <c r="F95" s="3">
        <f>IF(Table1[[#This Row],[Column1]]="Up",1,IF(Table1[[#This Row],[Column1]]="Down",-1,0))</f>
        <v>1</v>
      </c>
      <c r="G95" s="3">
        <f>IF(AND(Table1[[#This Row],[STATES in numeric format]]=-1,F94=-1),1,0)</f>
        <v>0</v>
      </c>
      <c r="H95" s="3">
        <f>IF(AND(Table1[[#This Row],[STATES in numeric format]]=-1,F94=0),1,0)</f>
        <v>0</v>
      </c>
      <c r="I95" s="3">
        <f>IF(AND(Table1[[#This Row],[STATES in numeric format]]=-1,F94=1),1,0)</f>
        <v>0</v>
      </c>
      <c r="J95" s="3">
        <f>IF(AND(Table1[[#This Row],[STATES in numeric format]]=0,F94=-1),1,0)</f>
        <v>0</v>
      </c>
      <c r="K95" s="3">
        <f>IF(AND(Table1[[#This Row],[STATES in numeric format]]=0,F94=0),1,0)</f>
        <v>0</v>
      </c>
      <c r="L95" s="3">
        <f>IF(AND(Table1[[#This Row],[STATES in numeric format]]=0,F94=1),1,0)</f>
        <v>0</v>
      </c>
      <c r="M95" s="3">
        <f>IF(AND(Table1[[#This Row],[STATES in numeric format]]=1,F94=-1),1,0)</f>
        <v>1</v>
      </c>
      <c r="N95" s="3">
        <f>IF(AND(Table1[[#This Row],[STATES in numeric format]]=1,F94=0),1,0)</f>
        <v>0</v>
      </c>
      <c r="O95" s="3">
        <f>IF(AND(Table1[[#This Row],[STATES in numeric format]]=1,F94=1),1,0)</f>
        <v>0</v>
      </c>
    </row>
    <row r="96" spans="1:15" x14ac:dyDescent="0.3">
      <c r="A96" s="1">
        <v>43971</v>
      </c>
      <c r="B96">
        <v>30818.61</v>
      </c>
      <c r="C96">
        <f>Table1[[#This Row],[Close]]-0.001*Table1[[#This Row],[Close]]</f>
        <v>30787.791390000002</v>
      </c>
      <c r="D96">
        <f>Table1[[#This Row],[Close]]+0.001*Table1[[#This Row],[Close]]</f>
        <v>30849.428609999999</v>
      </c>
      <c r="E96" t="str">
        <f>IF(Table1[[#This Row],[Close]]&gt;D95,"UP",IF(Table1[[#This Row],[Close]]&lt;C95,"Down","Constant"))</f>
        <v>UP</v>
      </c>
      <c r="F96" s="3">
        <f>IF(Table1[[#This Row],[Column1]]="Up",1,IF(Table1[[#This Row],[Column1]]="Down",-1,0))</f>
        <v>1</v>
      </c>
      <c r="G96" s="3">
        <f>IF(AND(Table1[[#This Row],[STATES in numeric format]]=-1,F95=-1),1,0)</f>
        <v>0</v>
      </c>
      <c r="H96" s="3">
        <f>IF(AND(Table1[[#This Row],[STATES in numeric format]]=-1,F95=0),1,0)</f>
        <v>0</v>
      </c>
      <c r="I96" s="3">
        <f>IF(AND(Table1[[#This Row],[STATES in numeric format]]=-1,F95=1),1,0)</f>
        <v>0</v>
      </c>
      <c r="J96" s="3">
        <f>IF(AND(Table1[[#This Row],[STATES in numeric format]]=0,F95=-1),1,0)</f>
        <v>0</v>
      </c>
      <c r="K96" s="3">
        <f>IF(AND(Table1[[#This Row],[STATES in numeric format]]=0,F95=0),1,0)</f>
        <v>0</v>
      </c>
      <c r="L96" s="3">
        <f>IF(AND(Table1[[#This Row],[STATES in numeric format]]=0,F95=1),1,0)</f>
        <v>0</v>
      </c>
      <c r="M96" s="3">
        <f>IF(AND(Table1[[#This Row],[STATES in numeric format]]=1,F95=-1),1,0)</f>
        <v>0</v>
      </c>
      <c r="N96" s="3">
        <f>IF(AND(Table1[[#This Row],[STATES in numeric format]]=1,F95=0),1,0)</f>
        <v>0</v>
      </c>
      <c r="O96" s="3">
        <f>IF(AND(Table1[[#This Row],[STATES in numeric format]]=1,F95=1),1,0)</f>
        <v>1</v>
      </c>
    </row>
    <row r="97" spans="1:15" x14ac:dyDescent="0.3">
      <c r="A97" s="1">
        <v>43972</v>
      </c>
      <c r="B97">
        <v>30932.9</v>
      </c>
      <c r="C97">
        <f>Table1[[#This Row],[Close]]-0.001*Table1[[#This Row],[Close]]</f>
        <v>30901.967100000002</v>
      </c>
      <c r="D97">
        <f>Table1[[#This Row],[Close]]+0.001*Table1[[#This Row],[Close]]</f>
        <v>30963.832900000001</v>
      </c>
      <c r="E97" t="str">
        <f>IF(Table1[[#This Row],[Close]]&gt;D96,"UP",IF(Table1[[#This Row],[Close]]&lt;C96,"Down","Constant"))</f>
        <v>UP</v>
      </c>
      <c r="F97" s="3">
        <f>IF(Table1[[#This Row],[Column1]]="Up",1,IF(Table1[[#This Row],[Column1]]="Down",-1,0))</f>
        <v>1</v>
      </c>
      <c r="G97" s="3">
        <f>IF(AND(Table1[[#This Row],[STATES in numeric format]]=-1,F96=-1),1,0)</f>
        <v>0</v>
      </c>
      <c r="H97" s="3">
        <f>IF(AND(Table1[[#This Row],[STATES in numeric format]]=-1,F96=0),1,0)</f>
        <v>0</v>
      </c>
      <c r="I97" s="3">
        <f>IF(AND(Table1[[#This Row],[STATES in numeric format]]=-1,F96=1),1,0)</f>
        <v>0</v>
      </c>
      <c r="J97" s="3">
        <f>IF(AND(Table1[[#This Row],[STATES in numeric format]]=0,F96=-1),1,0)</f>
        <v>0</v>
      </c>
      <c r="K97" s="3">
        <f>IF(AND(Table1[[#This Row],[STATES in numeric format]]=0,F96=0),1,0)</f>
        <v>0</v>
      </c>
      <c r="L97" s="3">
        <f>IF(AND(Table1[[#This Row],[STATES in numeric format]]=0,F96=1),1,0)</f>
        <v>0</v>
      </c>
      <c r="M97" s="3">
        <f>IF(AND(Table1[[#This Row],[STATES in numeric format]]=1,F96=-1),1,0)</f>
        <v>0</v>
      </c>
      <c r="N97" s="3">
        <f>IF(AND(Table1[[#This Row],[STATES in numeric format]]=1,F96=0),1,0)</f>
        <v>0</v>
      </c>
      <c r="O97" s="3">
        <f>IF(AND(Table1[[#This Row],[STATES in numeric format]]=1,F96=1),1,0)</f>
        <v>1</v>
      </c>
    </row>
    <row r="98" spans="1:15" x14ac:dyDescent="0.3">
      <c r="A98" s="1">
        <v>43973</v>
      </c>
      <c r="B98">
        <v>30672.59</v>
      </c>
      <c r="C98">
        <f>Table1[[#This Row],[Close]]-0.001*Table1[[#This Row],[Close]]</f>
        <v>30641.917410000002</v>
      </c>
      <c r="D98">
        <f>Table1[[#This Row],[Close]]+0.001*Table1[[#This Row],[Close]]</f>
        <v>30703.262589999998</v>
      </c>
      <c r="E98" t="str">
        <f>IF(Table1[[#This Row],[Close]]&gt;D97,"UP",IF(Table1[[#This Row],[Close]]&lt;C97,"Down","Constant"))</f>
        <v>Down</v>
      </c>
      <c r="F98" s="3">
        <f>IF(Table1[[#This Row],[Column1]]="Up",1,IF(Table1[[#This Row],[Column1]]="Down",-1,0))</f>
        <v>-1</v>
      </c>
      <c r="G98" s="3">
        <f>IF(AND(Table1[[#This Row],[STATES in numeric format]]=-1,F97=-1),1,0)</f>
        <v>0</v>
      </c>
      <c r="H98" s="3">
        <f>IF(AND(Table1[[#This Row],[STATES in numeric format]]=-1,F97=0),1,0)</f>
        <v>0</v>
      </c>
      <c r="I98" s="3">
        <f>IF(AND(Table1[[#This Row],[STATES in numeric format]]=-1,F97=1),1,0)</f>
        <v>1</v>
      </c>
      <c r="J98" s="3">
        <f>IF(AND(Table1[[#This Row],[STATES in numeric format]]=0,F97=-1),1,0)</f>
        <v>0</v>
      </c>
      <c r="K98" s="3">
        <f>IF(AND(Table1[[#This Row],[STATES in numeric format]]=0,F97=0),1,0)</f>
        <v>0</v>
      </c>
      <c r="L98" s="3">
        <f>IF(AND(Table1[[#This Row],[STATES in numeric format]]=0,F97=1),1,0)</f>
        <v>0</v>
      </c>
      <c r="M98" s="3">
        <f>IF(AND(Table1[[#This Row],[STATES in numeric format]]=1,F97=-1),1,0)</f>
        <v>0</v>
      </c>
      <c r="N98" s="3">
        <f>IF(AND(Table1[[#This Row],[STATES in numeric format]]=1,F97=0),1,0)</f>
        <v>0</v>
      </c>
      <c r="O98" s="3">
        <f>IF(AND(Table1[[#This Row],[STATES in numeric format]]=1,F97=1),1,0)</f>
        <v>0</v>
      </c>
    </row>
    <row r="99" spans="1:15" x14ac:dyDescent="0.3">
      <c r="A99" s="1">
        <v>43977</v>
      </c>
      <c r="B99">
        <v>30609.3</v>
      </c>
      <c r="C99">
        <f>Table1[[#This Row],[Close]]-0.001*Table1[[#This Row],[Close]]</f>
        <v>30578.690699999999</v>
      </c>
      <c r="D99">
        <f>Table1[[#This Row],[Close]]+0.001*Table1[[#This Row],[Close]]</f>
        <v>30639.909299999999</v>
      </c>
      <c r="E99" t="str">
        <f>IF(Table1[[#This Row],[Close]]&gt;D98,"UP",IF(Table1[[#This Row],[Close]]&lt;C98,"Down","Constant"))</f>
        <v>Down</v>
      </c>
      <c r="F99" s="3">
        <f>IF(Table1[[#This Row],[Column1]]="Up",1,IF(Table1[[#This Row],[Column1]]="Down",-1,0))</f>
        <v>-1</v>
      </c>
      <c r="G99" s="3">
        <f>IF(AND(Table1[[#This Row],[STATES in numeric format]]=-1,F98=-1),1,0)</f>
        <v>1</v>
      </c>
      <c r="H99" s="3">
        <f>IF(AND(Table1[[#This Row],[STATES in numeric format]]=-1,F98=0),1,0)</f>
        <v>0</v>
      </c>
      <c r="I99" s="3">
        <f>IF(AND(Table1[[#This Row],[STATES in numeric format]]=-1,F98=1),1,0)</f>
        <v>0</v>
      </c>
      <c r="J99" s="3">
        <f>IF(AND(Table1[[#This Row],[STATES in numeric format]]=0,F98=-1),1,0)</f>
        <v>0</v>
      </c>
      <c r="K99" s="3">
        <f>IF(AND(Table1[[#This Row],[STATES in numeric format]]=0,F98=0),1,0)</f>
        <v>0</v>
      </c>
      <c r="L99" s="3">
        <f>IF(AND(Table1[[#This Row],[STATES in numeric format]]=0,F98=1),1,0)</f>
        <v>0</v>
      </c>
      <c r="M99" s="3">
        <f>IF(AND(Table1[[#This Row],[STATES in numeric format]]=1,F98=-1),1,0)</f>
        <v>0</v>
      </c>
      <c r="N99" s="3">
        <f>IF(AND(Table1[[#This Row],[STATES in numeric format]]=1,F98=0),1,0)</f>
        <v>0</v>
      </c>
      <c r="O99" s="3">
        <f>IF(AND(Table1[[#This Row],[STATES in numeric format]]=1,F98=1),1,0)</f>
        <v>0</v>
      </c>
    </row>
    <row r="100" spans="1:15" x14ac:dyDescent="0.3">
      <c r="A100" s="1">
        <v>43978</v>
      </c>
      <c r="B100">
        <v>31605.22</v>
      </c>
      <c r="C100">
        <f>Table1[[#This Row],[Close]]-0.001*Table1[[#This Row],[Close]]</f>
        <v>31573.61478</v>
      </c>
      <c r="D100">
        <f>Table1[[#This Row],[Close]]+0.001*Table1[[#This Row],[Close]]</f>
        <v>31636.825220000002</v>
      </c>
      <c r="E100" t="str">
        <f>IF(Table1[[#This Row],[Close]]&gt;D99,"UP",IF(Table1[[#This Row],[Close]]&lt;C99,"Down","Constant"))</f>
        <v>UP</v>
      </c>
      <c r="F100" s="3">
        <f>IF(Table1[[#This Row],[Column1]]="Up",1,IF(Table1[[#This Row],[Column1]]="Down",-1,0))</f>
        <v>1</v>
      </c>
      <c r="G100" s="3">
        <f>IF(AND(Table1[[#This Row],[STATES in numeric format]]=-1,F99=-1),1,0)</f>
        <v>0</v>
      </c>
      <c r="H100" s="3">
        <f>IF(AND(Table1[[#This Row],[STATES in numeric format]]=-1,F99=0),1,0)</f>
        <v>0</v>
      </c>
      <c r="I100" s="3">
        <f>IF(AND(Table1[[#This Row],[STATES in numeric format]]=-1,F99=1),1,0)</f>
        <v>0</v>
      </c>
      <c r="J100" s="3">
        <f>IF(AND(Table1[[#This Row],[STATES in numeric format]]=0,F99=-1),1,0)</f>
        <v>0</v>
      </c>
      <c r="K100" s="3">
        <f>IF(AND(Table1[[#This Row],[STATES in numeric format]]=0,F99=0),1,0)</f>
        <v>0</v>
      </c>
      <c r="L100" s="3">
        <f>IF(AND(Table1[[#This Row],[STATES in numeric format]]=0,F99=1),1,0)</f>
        <v>0</v>
      </c>
      <c r="M100" s="3">
        <f>IF(AND(Table1[[#This Row],[STATES in numeric format]]=1,F99=-1),1,0)</f>
        <v>1</v>
      </c>
      <c r="N100" s="3">
        <f>IF(AND(Table1[[#This Row],[STATES in numeric format]]=1,F99=0),1,0)</f>
        <v>0</v>
      </c>
      <c r="O100" s="3">
        <f>IF(AND(Table1[[#This Row],[STATES in numeric format]]=1,F99=1),1,0)</f>
        <v>0</v>
      </c>
    </row>
    <row r="101" spans="1:15" x14ac:dyDescent="0.3">
      <c r="A101" s="1">
        <v>43979</v>
      </c>
      <c r="B101">
        <v>32200.59</v>
      </c>
      <c r="C101">
        <f>Table1[[#This Row],[Close]]-0.001*Table1[[#This Row],[Close]]</f>
        <v>32168.38941</v>
      </c>
      <c r="D101">
        <f>Table1[[#This Row],[Close]]+0.001*Table1[[#This Row],[Close]]</f>
        <v>32232.790590000001</v>
      </c>
      <c r="E101" t="str">
        <f>IF(Table1[[#This Row],[Close]]&gt;D100,"UP",IF(Table1[[#This Row],[Close]]&lt;C100,"Down","Constant"))</f>
        <v>UP</v>
      </c>
      <c r="F101" s="3">
        <f>IF(Table1[[#This Row],[Column1]]="Up",1,IF(Table1[[#This Row],[Column1]]="Down",-1,0))</f>
        <v>1</v>
      </c>
      <c r="G101" s="3">
        <f>IF(AND(Table1[[#This Row],[STATES in numeric format]]=-1,F100=-1),1,0)</f>
        <v>0</v>
      </c>
      <c r="H101" s="3">
        <f>IF(AND(Table1[[#This Row],[STATES in numeric format]]=-1,F100=0),1,0)</f>
        <v>0</v>
      </c>
      <c r="I101" s="3">
        <f>IF(AND(Table1[[#This Row],[STATES in numeric format]]=-1,F100=1),1,0)</f>
        <v>0</v>
      </c>
      <c r="J101" s="3">
        <f>IF(AND(Table1[[#This Row],[STATES in numeric format]]=0,F100=-1),1,0)</f>
        <v>0</v>
      </c>
      <c r="K101" s="3">
        <f>IF(AND(Table1[[#This Row],[STATES in numeric format]]=0,F100=0),1,0)</f>
        <v>0</v>
      </c>
      <c r="L101" s="3">
        <f>IF(AND(Table1[[#This Row],[STATES in numeric format]]=0,F100=1),1,0)</f>
        <v>0</v>
      </c>
      <c r="M101" s="3">
        <f>IF(AND(Table1[[#This Row],[STATES in numeric format]]=1,F100=-1),1,0)</f>
        <v>0</v>
      </c>
      <c r="N101" s="3">
        <f>IF(AND(Table1[[#This Row],[STATES in numeric format]]=1,F100=0),1,0)</f>
        <v>0</v>
      </c>
      <c r="O101" s="3">
        <f>IF(AND(Table1[[#This Row],[STATES in numeric format]]=1,F100=1),1,0)</f>
        <v>1</v>
      </c>
    </row>
    <row r="102" spans="1:15" x14ac:dyDescent="0.3">
      <c r="A102" s="1">
        <v>43980</v>
      </c>
      <c r="B102">
        <v>32424.1</v>
      </c>
      <c r="C102">
        <f>Table1[[#This Row],[Close]]-0.001*Table1[[#This Row],[Close]]</f>
        <v>32391.675899999998</v>
      </c>
      <c r="D102">
        <f>Table1[[#This Row],[Close]]+0.001*Table1[[#This Row],[Close]]</f>
        <v>32456.524099999999</v>
      </c>
      <c r="E102" t="str">
        <f>IF(Table1[[#This Row],[Close]]&gt;D101,"UP",IF(Table1[[#This Row],[Close]]&lt;C101,"Down","Constant"))</f>
        <v>UP</v>
      </c>
      <c r="F102" s="3">
        <f>IF(Table1[[#This Row],[Column1]]="Up",1,IF(Table1[[#This Row],[Column1]]="Down",-1,0))</f>
        <v>1</v>
      </c>
      <c r="G102" s="3">
        <f>IF(AND(Table1[[#This Row],[STATES in numeric format]]=-1,F101=-1),1,0)</f>
        <v>0</v>
      </c>
      <c r="H102" s="3">
        <f>IF(AND(Table1[[#This Row],[STATES in numeric format]]=-1,F101=0),1,0)</f>
        <v>0</v>
      </c>
      <c r="I102" s="3">
        <f>IF(AND(Table1[[#This Row],[STATES in numeric format]]=-1,F101=1),1,0)</f>
        <v>0</v>
      </c>
      <c r="J102" s="3">
        <f>IF(AND(Table1[[#This Row],[STATES in numeric format]]=0,F101=-1),1,0)</f>
        <v>0</v>
      </c>
      <c r="K102" s="3">
        <f>IF(AND(Table1[[#This Row],[STATES in numeric format]]=0,F101=0),1,0)</f>
        <v>0</v>
      </c>
      <c r="L102" s="3">
        <f>IF(AND(Table1[[#This Row],[STATES in numeric format]]=0,F101=1),1,0)</f>
        <v>0</v>
      </c>
      <c r="M102" s="3">
        <f>IF(AND(Table1[[#This Row],[STATES in numeric format]]=1,F101=-1),1,0)</f>
        <v>0</v>
      </c>
      <c r="N102" s="3">
        <f>IF(AND(Table1[[#This Row],[STATES in numeric format]]=1,F101=0),1,0)</f>
        <v>0</v>
      </c>
      <c r="O102" s="3">
        <f>IF(AND(Table1[[#This Row],[STATES in numeric format]]=1,F101=1),1,0)</f>
        <v>1</v>
      </c>
    </row>
    <row r="103" spans="1:15" x14ac:dyDescent="0.3">
      <c r="A103" s="1">
        <v>43983</v>
      </c>
      <c r="B103">
        <v>33303.519999999997</v>
      </c>
      <c r="C103">
        <f>Table1[[#This Row],[Close]]-0.001*Table1[[#This Row],[Close]]</f>
        <v>33270.216479999995</v>
      </c>
      <c r="D103">
        <f>Table1[[#This Row],[Close]]+0.001*Table1[[#This Row],[Close]]</f>
        <v>33336.823519999998</v>
      </c>
      <c r="E103" t="str">
        <f>IF(Table1[[#This Row],[Close]]&gt;D102,"UP",IF(Table1[[#This Row],[Close]]&lt;C102,"Down","Constant"))</f>
        <v>UP</v>
      </c>
      <c r="F103" s="3">
        <f>IF(Table1[[#This Row],[Column1]]="Up",1,IF(Table1[[#This Row],[Column1]]="Down",-1,0))</f>
        <v>1</v>
      </c>
      <c r="G103" s="3">
        <f>IF(AND(Table1[[#This Row],[STATES in numeric format]]=-1,F102=-1),1,0)</f>
        <v>0</v>
      </c>
      <c r="H103" s="3">
        <f>IF(AND(Table1[[#This Row],[STATES in numeric format]]=-1,F102=0),1,0)</f>
        <v>0</v>
      </c>
      <c r="I103" s="3">
        <f>IF(AND(Table1[[#This Row],[STATES in numeric format]]=-1,F102=1),1,0)</f>
        <v>0</v>
      </c>
      <c r="J103" s="3">
        <f>IF(AND(Table1[[#This Row],[STATES in numeric format]]=0,F102=-1),1,0)</f>
        <v>0</v>
      </c>
      <c r="K103" s="3">
        <f>IF(AND(Table1[[#This Row],[STATES in numeric format]]=0,F102=0),1,0)</f>
        <v>0</v>
      </c>
      <c r="L103" s="3">
        <f>IF(AND(Table1[[#This Row],[STATES in numeric format]]=0,F102=1),1,0)</f>
        <v>0</v>
      </c>
      <c r="M103" s="3">
        <f>IF(AND(Table1[[#This Row],[STATES in numeric format]]=1,F102=-1),1,0)</f>
        <v>0</v>
      </c>
      <c r="N103" s="3">
        <f>IF(AND(Table1[[#This Row],[STATES in numeric format]]=1,F102=0),1,0)</f>
        <v>0</v>
      </c>
      <c r="O103" s="3">
        <f>IF(AND(Table1[[#This Row],[STATES in numeric format]]=1,F102=1),1,0)</f>
        <v>1</v>
      </c>
    </row>
    <row r="104" spans="1:15" x14ac:dyDescent="0.3">
      <c r="A104" s="1">
        <v>43984</v>
      </c>
      <c r="B104">
        <v>33825.53</v>
      </c>
      <c r="C104">
        <f>Table1[[#This Row],[Close]]-0.001*Table1[[#This Row],[Close]]</f>
        <v>33791.704469999997</v>
      </c>
      <c r="D104">
        <f>Table1[[#This Row],[Close]]+0.001*Table1[[#This Row],[Close]]</f>
        <v>33859.355530000001</v>
      </c>
      <c r="E104" t="str">
        <f>IF(Table1[[#This Row],[Close]]&gt;D103,"UP",IF(Table1[[#This Row],[Close]]&lt;C103,"Down","Constant"))</f>
        <v>UP</v>
      </c>
      <c r="F104" s="3">
        <f>IF(Table1[[#This Row],[Column1]]="Up",1,IF(Table1[[#This Row],[Column1]]="Down",-1,0))</f>
        <v>1</v>
      </c>
      <c r="G104" s="3">
        <f>IF(AND(Table1[[#This Row],[STATES in numeric format]]=-1,F103=-1),1,0)</f>
        <v>0</v>
      </c>
      <c r="H104" s="3">
        <f>IF(AND(Table1[[#This Row],[STATES in numeric format]]=-1,F103=0),1,0)</f>
        <v>0</v>
      </c>
      <c r="I104" s="3">
        <f>IF(AND(Table1[[#This Row],[STATES in numeric format]]=-1,F103=1),1,0)</f>
        <v>0</v>
      </c>
      <c r="J104" s="3">
        <f>IF(AND(Table1[[#This Row],[STATES in numeric format]]=0,F103=-1),1,0)</f>
        <v>0</v>
      </c>
      <c r="K104" s="3">
        <f>IF(AND(Table1[[#This Row],[STATES in numeric format]]=0,F103=0),1,0)</f>
        <v>0</v>
      </c>
      <c r="L104" s="3">
        <f>IF(AND(Table1[[#This Row],[STATES in numeric format]]=0,F103=1),1,0)</f>
        <v>0</v>
      </c>
      <c r="M104" s="3">
        <f>IF(AND(Table1[[#This Row],[STATES in numeric format]]=1,F103=-1),1,0)</f>
        <v>0</v>
      </c>
      <c r="N104" s="3">
        <f>IF(AND(Table1[[#This Row],[STATES in numeric format]]=1,F103=0),1,0)</f>
        <v>0</v>
      </c>
      <c r="O104" s="3">
        <f>IF(AND(Table1[[#This Row],[STATES in numeric format]]=1,F103=1),1,0)</f>
        <v>1</v>
      </c>
    </row>
    <row r="105" spans="1:15" x14ac:dyDescent="0.3">
      <c r="A105" s="1">
        <v>43985</v>
      </c>
      <c r="B105">
        <v>34109.54</v>
      </c>
      <c r="C105">
        <f>Table1[[#This Row],[Close]]-0.001*Table1[[#This Row],[Close]]</f>
        <v>34075.430460000003</v>
      </c>
      <c r="D105">
        <f>Table1[[#This Row],[Close]]+0.001*Table1[[#This Row],[Close]]</f>
        <v>34143.649539999999</v>
      </c>
      <c r="E105" t="str">
        <f>IF(Table1[[#This Row],[Close]]&gt;D104,"UP",IF(Table1[[#This Row],[Close]]&lt;C104,"Down","Constant"))</f>
        <v>UP</v>
      </c>
      <c r="F105" s="3">
        <f>IF(Table1[[#This Row],[Column1]]="Up",1,IF(Table1[[#This Row],[Column1]]="Down",-1,0))</f>
        <v>1</v>
      </c>
      <c r="G105" s="3">
        <f>IF(AND(Table1[[#This Row],[STATES in numeric format]]=-1,F104=-1),1,0)</f>
        <v>0</v>
      </c>
      <c r="H105" s="3">
        <f>IF(AND(Table1[[#This Row],[STATES in numeric format]]=-1,F104=0),1,0)</f>
        <v>0</v>
      </c>
      <c r="I105" s="3">
        <f>IF(AND(Table1[[#This Row],[STATES in numeric format]]=-1,F104=1),1,0)</f>
        <v>0</v>
      </c>
      <c r="J105" s="3">
        <f>IF(AND(Table1[[#This Row],[STATES in numeric format]]=0,F104=-1),1,0)</f>
        <v>0</v>
      </c>
      <c r="K105" s="3">
        <f>IF(AND(Table1[[#This Row],[STATES in numeric format]]=0,F104=0),1,0)</f>
        <v>0</v>
      </c>
      <c r="L105" s="3">
        <f>IF(AND(Table1[[#This Row],[STATES in numeric format]]=0,F104=1),1,0)</f>
        <v>0</v>
      </c>
      <c r="M105" s="3">
        <f>IF(AND(Table1[[#This Row],[STATES in numeric format]]=1,F104=-1),1,0)</f>
        <v>0</v>
      </c>
      <c r="N105" s="3">
        <f>IF(AND(Table1[[#This Row],[STATES in numeric format]]=1,F104=0),1,0)</f>
        <v>0</v>
      </c>
      <c r="O105" s="3">
        <f>IF(AND(Table1[[#This Row],[STATES in numeric format]]=1,F104=1),1,0)</f>
        <v>1</v>
      </c>
    </row>
    <row r="106" spans="1:15" x14ac:dyDescent="0.3">
      <c r="A106" s="1">
        <v>43986</v>
      </c>
      <c r="B106">
        <v>33980.699999999997</v>
      </c>
      <c r="C106">
        <f>Table1[[#This Row],[Close]]-0.001*Table1[[#This Row],[Close]]</f>
        <v>33946.719299999997</v>
      </c>
      <c r="D106">
        <f>Table1[[#This Row],[Close]]+0.001*Table1[[#This Row],[Close]]</f>
        <v>34014.680699999997</v>
      </c>
      <c r="E106" t="str">
        <f>IF(Table1[[#This Row],[Close]]&gt;D105,"UP",IF(Table1[[#This Row],[Close]]&lt;C105,"Down","Constant"))</f>
        <v>Down</v>
      </c>
      <c r="F106" s="3">
        <f>IF(Table1[[#This Row],[Column1]]="Up",1,IF(Table1[[#This Row],[Column1]]="Down",-1,0))</f>
        <v>-1</v>
      </c>
      <c r="G106" s="3">
        <f>IF(AND(Table1[[#This Row],[STATES in numeric format]]=-1,F105=-1),1,0)</f>
        <v>0</v>
      </c>
      <c r="H106" s="3">
        <f>IF(AND(Table1[[#This Row],[STATES in numeric format]]=-1,F105=0),1,0)</f>
        <v>0</v>
      </c>
      <c r="I106" s="3">
        <f>IF(AND(Table1[[#This Row],[STATES in numeric format]]=-1,F105=1),1,0)</f>
        <v>1</v>
      </c>
      <c r="J106" s="3">
        <f>IF(AND(Table1[[#This Row],[STATES in numeric format]]=0,F105=-1),1,0)</f>
        <v>0</v>
      </c>
      <c r="K106" s="3">
        <f>IF(AND(Table1[[#This Row],[STATES in numeric format]]=0,F105=0),1,0)</f>
        <v>0</v>
      </c>
      <c r="L106" s="3">
        <f>IF(AND(Table1[[#This Row],[STATES in numeric format]]=0,F105=1),1,0)</f>
        <v>0</v>
      </c>
      <c r="M106" s="3">
        <f>IF(AND(Table1[[#This Row],[STATES in numeric format]]=1,F105=-1),1,0)</f>
        <v>0</v>
      </c>
      <c r="N106" s="3">
        <f>IF(AND(Table1[[#This Row],[STATES in numeric format]]=1,F105=0),1,0)</f>
        <v>0</v>
      </c>
      <c r="O106" s="3">
        <f>IF(AND(Table1[[#This Row],[STATES in numeric format]]=1,F105=1),1,0)</f>
        <v>0</v>
      </c>
    </row>
    <row r="107" spans="1:15" x14ac:dyDescent="0.3">
      <c r="A107" s="1">
        <v>43987</v>
      </c>
      <c r="B107">
        <v>34287.24</v>
      </c>
      <c r="C107">
        <f>Table1[[#This Row],[Close]]-0.001*Table1[[#This Row],[Close]]</f>
        <v>34252.95276</v>
      </c>
      <c r="D107">
        <f>Table1[[#This Row],[Close]]+0.001*Table1[[#This Row],[Close]]</f>
        <v>34321.527239999996</v>
      </c>
      <c r="E107" t="str">
        <f>IF(Table1[[#This Row],[Close]]&gt;D106,"UP",IF(Table1[[#This Row],[Close]]&lt;C106,"Down","Constant"))</f>
        <v>UP</v>
      </c>
      <c r="F107" s="3">
        <f>IF(Table1[[#This Row],[Column1]]="Up",1,IF(Table1[[#This Row],[Column1]]="Down",-1,0))</f>
        <v>1</v>
      </c>
      <c r="G107" s="3">
        <f>IF(AND(Table1[[#This Row],[STATES in numeric format]]=-1,F106=-1),1,0)</f>
        <v>0</v>
      </c>
      <c r="H107" s="3">
        <f>IF(AND(Table1[[#This Row],[STATES in numeric format]]=-1,F106=0),1,0)</f>
        <v>0</v>
      </c>
      <c r="I107" s="3">
        <f>IF(AND(Table1[[#This Row],[STATES in numeric format]]=-1,F106=1),1,0)</f>
        <v>0</v>
      </c>
      <c r="J107" s="3">
        <f>IF(AND(Table1[[#This Row],[STATES in numeric format]]=0,F106=-1),1,0)</f>
        <v>0</v>
      </c>
      <c r="K107" s="3">
        <f>IF(AND(Table1[[#This Row],[STATES in numeric format]]=0,F106=0),1,0)</f>
        <v>0</v>
      </c>
      <c r="L107" s="3">
        <f>IF(AND(Table1[[#This Row],[STATES in numeric format]]=0,F106=1),1,0)</f>
        <v>0</v>
      </c>
      <c r="M107" s="3">
        <f>IF(AND(Table1[[#This Row],[STATES in numeric format]]=1,F106=-1),1,0)</f>
        <v>1</v>
      </c>
      <c r="N107" s="3">
        <f>IF(AND(Table1[[#This Row],[STATES in numeric format]]=1,F106=0),1,0)</f>
        <v>0</v>
      </c>
      <c r="O107" s="3">
        <f>IF(AND(Table1[[#This Row],[STATES in numeric format]]=1,F106=1),1,0)</f>
        <v>0</v>
      </c>
    </row>
    <row r="108" spans="1:15" x14ac:dyDescent="0.3">
      <c r="A108" s="1">
        <v>43990</v>
      </c>
      <c r="B108">
        <v>34370.58</v>
      </c>
      <c r="C108">
        <f>Table1[[#This Row],[Close]]-0.001*Table1[[#This Row],[Close]]</f>
        <v>34336.209419999999</v>
      </c>
      <c r="D108">
        <f>Table1[[#This Row],[Close]]+0.001*Table1[[#This Row],[Close]]</f>
        <v>34404.950580000004</v>
      </c>
      <c r="E108" t="str">
        <f>IF(Table1[[#This Row],[Close]]&gt;D107,"UP",IF(Table1[[#This Row],[Close]]&lt;C107,"Down","Constant"))</f>
        <v>UP</v>
      </c>
      <c r="F108" s="3">
        <f>IF(Table1[[#This Row],[Column1]]="Up",1,IF(Table1[[#This Row],[Column1]]="Down",-1,0))</f>
        <v>1</v>
      </c>
      <c r="G108" s="3">
        <f>IF(AND(Table1[[#This Row],[STATES in numeric format]]=-1,F107=-1),1,0)</f>
        <v>0</v>
      </c>
      <c r="H108" s="3">
        <f>IF(AND(Table1[[#This Row],[STATES in numeric format]]=-1,F107=0),1,0)</f>
        <v>0</v>
      </c>
      <c r="I108" s="3">
        <f>IF(AND(Table1[[#This Row],[STATES in numeric format]]=-1,F107=1),1,0)</f>
        <v>0</v>
      </c>
      <c r="J108" s="3">
        <f>IF(AND(Table1[[#This Row],[STATES in numeric format]]=0,F107=-1),1,0)</f>
        <v>0</v>
      </c>
      <c r="K108" s="3">
        <f>IF(AND(Table1[[#This Row],[STATES in numeric format]]=0,F107=0),1,0)</f>
        <v>0</v>
      </c>
      <c r="L108" s="3">
        <f>IF(AND(Table1[[#This Row],[STATES in numeric format]]=0,F107=1),1,0)</f>
        <v>0</v>
      </c>
      <c r="M108" s="3">
        <f>IF(AND(Table1[[#This Row],[STATES in numeric format]]=1,F107=-1),1,0)</f>
        <v>0</v>
      </c>
      <c r="N108" s="3">
        <f>IF(AND(Table1[[#This Row],[STATES in numeric format]]=1,F107=0),1,0)</f>
        <v>0</v>
      </c>
      <c r="O108" s="3">
        <f>IF(AND(Table1[[#This Row],[STATES in numeric format]]=1,F107=1),1,0)</f>
        <v>1</v>
      </c>
    </row>
    <row r="109" spans="1:15" x14ac:dyDescent="0.3">
      <c r="A109" s="1">
        <v>43991</v>
      </c>
      <c r="B109">
        <v>33956.69</v>
      </c>
      <c r="C109">
        <f>Table1[[#This Row],[Close]]-0.001*Table1[[#This Row],[Close]]</f>
        <v>33922.733310000003</v>
      </c>
      <c r="D109">
        <f>Table1[[#This Row],[Close]]+0.001*Table1[[#This Row],[Close]]</f>
        <v>33990.646690000001</v>
      </c>
      <c r="E109" t="str">
        <f>IF(Table1[[#This Row],[Close]]&gt;D108,"UP",IF(Table1[[#This Row],[Close]]&lt;C108,"Down","Constant"))</f>
        <v>Down</v>
      </c>
      <c r="F109" s="3">
        <f>IF(Table1[[#This Row],[Column1]]="Up",1,IF(Table1[[#This Row],[Column1]]="Down",-1,0))</f>
        <v>-1</v>
      </c>
      <c r="G109" s="3">
        <f>IF(AND(Table1[[#This Row],[STATES in numeric format]]=-1,F108=-1),1,0)</f>
        <v>0</v>
      </c>
      <c r="H109" s="3">
        <f>IF(AND(Table1[[#This Row],[STATES in numeric format]]=-1,F108=0),1,0)</f>
        <v>0</v>
      </c>
      <c r="I109" s="3">
        <f>IF(AND(Table1[[#This Row],[STATES in numeric format]]=-1,F108=1),1,0)</f>
        <v>1</v>
      </c>
      <c r="J109" s="3">
        <f>IF(AND(Table1[[#This Row],[STATES in numeric format]]=0,F108=-1),1,0)</f>
        <v>0</v>
      </c>
      <c r="K109" s="3">
        <f>IF(AND(Table1[[#This Row],[STATES in numeric format]]=0,F108=0),1,0)</f>
        <v>0</v>
      </c>
      <c r="L109" s="3">
        <f>IF(AND(Table1[[#This Row],[STATES in numeric format]]=0,F108=1),1,0)</f>
        <v>0</v>
      </c>
      <c r="M109" s="3">
        <f>IF(AND(Table1[[#This Row],[STATES in numeric format]]=1,F108=-1),1,0)</f>
        <v>0</v>
      </c>
      <c r="N109" s="3">
        <f>IF(AND(Table1[[#This Row],[STATES in numeric format]]=1,F108=0),1,0)</f>
        <v>0</v>
      </c>
      <c r="O109" s="3">
        <f>IF(AND(Table1[[#This Row],[STATES in numeric format]]=1,F108=1),1,0)</f>
        <v>0</v>
      </c>
    </row>
    <row r="110" spans="1:15" x14ac:dyDescent="0.3">
      <c r="A110" s="1">
        <v>43992</v>
      </c>
      <c r="B110">
        <v>34247.050000000003</v>
      </c>
      <c r="C110">
        <f>Table1[[#This Row],[Close]]-0.001*Table1[[#This Row],[Close]]</f>
        <v>34212.802950000005</v>
      </c>
      <c r="D110">
        <f>Table1[[#This Row],[Close]]+0.001*Table1[[#This Row],[Close]]</f>
        <v>34281.297050000001</v>
      </c>
      <c r="E110" t="str">
        <f>IF(Table1[[#This Row],[Close]]&gt;D109,"UP",IF(Table1[[#This Row],[Close]]&lt;C109,"Down","Constant"))</f>
        <v>UP</v>
      </c>
      <c r="F110" s="3">
        <f>IF(Table1[[#This Row],[Column1]]="Up",1,IF(Table1[[#This Row],[Column1]]="Down",-1,0))</f>
        <v>1</v>
      </c>
      <c r="G110" s="3">
        <f>IF(AND(Table1[[#This Row],[STATES in numeric format]]=-1,F109=-1),1,0)</f>
        <v>0</v>
      </c>
      <c r="H110" s="3">
        <f>IF(AND(Table1[[#This Row],[STATES in numeric format]]=-1,F109=0),1,0)</f>
        <v>0</v>
      </c>
      <c r="I110" s="3">
        <f>IF(AND(Table1[[#This Row],[STATES in numeric format]]=-1,F109=1),1,0)</f>
        <v>0</v>
      </c>
      <c r="J110" s="3">
        <f>IF(AND(Table1[[#This Row],[STATES in numeric format]]=0,F109=-1),1,0)</f>
        <v>0</v>
      </c>
      <c r="K110" s="3">
        <f>IF(AND(Table1[[#This Row],[STATES in numeric format]]=0,F109=0),1,0)</f>
        <v>0</v>
      </c>
      <c r="L110" s="3">
        <f>IF(AND(Table1[[#This Row],[STATES in numeric format]]=0,F109=1),1,0)</f>
        <v>0</v>
      </c>
      <c r="M110" s="3">
        <f>IF(AND(Table1[[#This Row],[STATES in numeric format]]=1,F109=-1),1,0)</f>
        <v>1</v>
      </c>
      <c r="N110" s="3">
        <f>IF(AND(Table1[[#This Row],[STATES in numeric format]]=1,F109=0),1,0)</f>
        <v>0</v>
      </c>
      <c r="O110" s="3">
        <f>IF(AND(Table1[[#This Row],[STATES in numeric format]]=1,F109=1),1,0)</f>
        <v>0</v>
      </c>
    </row>
    <row r="111" spans="1:15" x14ac:dyDescent="0.3">
      <c r="A111" s="1">
        <v>43993</v>
      </c>
      <c r="B111">
        <v>33538.370000000003</v>
      </c>
      <c r="C111">
        <f>Table1[[#This Row],[Close]]-0.001*Table1[[#This Row],[Close]]</f>
        <v>33504.831630000001</v>
      </c>
      <c r="D111">
        <f>Table1[[#This Row],[Close]]+0.001*Table1[[#This Row],[Close]]</f>
        <v>33571.908370000005</v>
      </c>
      <c r="E111" t="str">
        <f>IF(Table1[[#This Row],[Close]]&gt;D110,"UP",IF(Table1[[#This Row],[Close]]&lt;C110,"Down","Constant"))</f>
        <v>Down</v>
      </c>
      <c r="F111" s="3">
        <f>IF(Table1[[#This Row],[Column1]]="Up",1,IF(Table1[[#This Row],[Column1]]="Down",-1,0))</f>
        <v>-1</v>
      </c>
      <c r="G111" s="3">
        <f>IF(AND(Table1[[#This Row],[STATES in numeric format]]=-1,F110=-1),1,0)</f>
        <v>0</v>
      </c>
      <c r="H111" s="3">
        <f>IF(AND(Table1[[#This Row],[STATES in numeric format]]=-1,F110=0),1,0)</f>
        <v>0</v>
      </c>
      <c r="I111" s="3">
        <f>IF(AND(Table1[[#This Row],[STATES in numeric format]]=-1,F110=1),1,0)</f>
        <v>1</v>
      </c>
      <c r="J111" s="3">
        <f>IF(AND(Table1[[#This Row],[STATES in numeric format]]=0,F110=-1),1,0)</f>
        <v>0</v>
      </c>
      <c r="K111" s="3">
        <f>IF(AND(Table1[[#This Row],[STATES in numeric format]]=0,F110=0),1,0)</f>
        <v>0</v>
      </c>
      <c r="L111" s="3">
        <f>IF(AND(Table1[[#This Row],[STATES in numeric format]]=0,F110=1),1,0)</f>
        <v>0</v>
      </c>
      <c r="M111" s="3">
        <f>IF(AND(Table1[[#This Row],[STATES in numeric format]]=1,F110=-1),1,0)</f>
        <v>0</v>
      </c>
      <c r="N111" s="3">
        <f>IF(AND(Table1[[#This Row],[STATES in numeric format]]=1,F110=0),1,0)</f>
        <v>0</v>
      </c>
      <c r="O111" s="3">
        <f>IF(AND(Table1[[#This Row],[STATES in numeric format]]=1,F110=1),1,0)</f>
        <v>0</v>
      </c>
    </row>
    <row r="112" spans="1:15" x14ac:dyDescent="0.3">
      <c r="A112" s="1">
        <v>43994</v>
      </c>
      <c r="B112">
        <v>33780.89</v>
      </c>
      <c r="C112">
        <f>Table1[[#This Row],[Close]]-0.001*Table1[[#This Row],[Close]]</f>
        <v>33747.109109999998</v>
      </c>
      <c r="D112">
        <f>Table1[[#This Row],[Close]]+0.001*Table1[[#This Row],[Close]]</f>
        <v>33814.670890000001</v>
      </c>
      <c r="E112" t="str">
        <f>IF(Table1[[#This Row],[Close]]&gt;D111,"UP",IF(Table1[[#This Row],[Close]]&lt;C111,"Down","Constant"))</f>
        <v>UP</v>
      </c>
      <c r="F112" s="3">
        <f>IF(Table1[[#This Row],[Column1]]="Up",1,IF(Table1[[#This Row],[Column1]]="Down",-1,0))</f>
        <v>1</v>
      </c>
      <c r="G112" s="3">
        <f>IF(AND(Table1[[#This Row],[STATES in numeric format]]=-1,F111=-1),1,0)</f>
        <v>0</v>
      </c>
      <c r="H112" s="3">
        <f>IF(AND(Table1[[#This Row],[STATES in numeric format]]=-1,F111=0),1,0)</f>
        <v>0</v>
      </c>
      <c r="I112" s="3">
        <f>IF(AND(Table1[[#This Row],[STATES in numeric format]]=-1,F111=1),1,0)</f>
        <v>0</v>
      </c>
      <c r="J112" s="3">
        <f>IF(AND(Table1[[#This Row],[STATES in numeric format]]=0,F111=-1),1,0)</f>
        <v>0</v>
      </c>
      <c r="K112" s="3">
        <f>IF(AND(Table1[[#This Row],[STATES in numeric format]]=0,F111=0),1,0)</f>
        <v>0</v>
      </c>
      <c r="L112" s="3">
        <f>IF(AND(Table1[[#This Row],[STATES in numeric format]]=0,F111=1),1,0)</f>
        <v>0</v>
      </c>
      <c r="M112" s="3">
        <f>IF(AND(Table1[[#This Row],[STATES in numeric format]]=1,F111=-1),1,0)</f>
        <v>1</v>
      </c>
      <c r="N112" s="3">
        <f>IF(AND(Table1[[#This Row],[STATES in numeric format]]=1,F111=0),1,0)</f>
        <v>0</v>
      </c>
      <c r="O112" s="3">
        <f>IF(AND(Table1[[#This Row],[STATES in numeric format]]=1,F111=1),1,0)</f>
        <v>0</v>
      </c>
    </row>
    <row r="113" spans="1:15" x14ac:dyDescent="0.3">
      <c r="A113" s="1">
        <v>43997</v>
      </c>
      <c r="B113">
        <v>33228.800000000003</v>
      </c>
      <c r="C113">
        <f>Table1[[#This Row],[Close]]-0.001*Table1[[#This Row],[Close]]</f>
        <v>33195.571200000006</v>
      </c>
      <c r="D113">
        <f>Table1[[#This Row],[Close]]+0.001*Table1[[#This Row],[Close]]</f>
        <v>33262.0288</v>
      </c>
      <c r="E113" t="str">
        <f>IF(Table1[[#This Row],[Close]]&gt;D112,"UP",IF(Table1[[#This Row],[Close]]&lt;C112,"Down","Constant"))</f>
        <v>Down</v>
      </c>
      <c r="F113" s="3">
        <f>IF(Table1[[#This Row],[Column1]]="Up",1,IF(Table1[[#This Row],[Column1]]="Down",-1,0))</f>
        <v>-1</v>
      </c>
      <c r="G113" s="3">
        <f>IF(AND(Table1[[#This Row],[STATES in numeric format]]=-1,F112=-1),1,0)</f>
        <v>0</v>
      </c>
      <c r="H113" s="3">
        <f>IF(AND(Table1[[#This Row],[STATES in numeric format]]=-1,F112=0),1,0)</f>
        <v>0</v>
      </c>
      <c r="I113" s="3">
        <f>IF(AND(Table1[[#This Row],[STATES in numeric format]]=-1,F112=1),1,0)</f>
        <v>1</v>
      </c>
      <c r="J113" s="3">
        <f>IF(AND(Table1[[#This Row],[STATES in numeric format]]=0,F112=-1),1,0)</f>
        <v>0</v>
      </c>
      <c r="K113" s="3">
        <f>IF(AND(Table1[[#This Row],[STATES in numeric format]]=0,F112=0),1,0)</f>
        <v>0</v>
      </c>
      <c r="L113" s="3">
        <f>IF(AND(Table1[[#This Row],[STATES in numeric format]]=0,F112=1),1,0)</f>
        <v>0</v>
      </c>
      <c r="M113" s="3">
        <f>IF(AND(Table1[[#This Row],[STATES in numeric format]]=1,F112=-1),1,0)</f>
        <v>0</v>
      </c>
      <c r="N113" s="3">
        <f>IF(AND(Table1[[#This Row],[STATES in numeric format]]=1,F112=0),1,0)</f>
        <v>0</v>
      </c>
      <c r="O113" s="3">
        <f>IF(AND(Table1[[#This Row],[STATES in numeric format]]=1,F112=1),1,0)</f>
        <v>0</v>
      </c>
    </row>
    <row r="114" spans="1:15" x14ac:dyDescent="0.3">
      <c r="A114" s="1">
        <v>43998</v>
      </c>
      <c r="B114">
        <v>33605.22</v>
      </c>
      <c r="C114">
        <f>Table1[[#This Row],[Close]]-0.001*Table1[[#This Row],[Close]]</f>
        <v>33571.614780000004</v>
      </c>
      <c r="D114">
        <f>Table1[[#This Row],[Close]]+0.001*Table1[[#This Row],[Close]]</f>
        <v>33638.825219999999</v>
      </c>
      <c r="E114" t="str">
        <f>IF(Table1[[#This Row],[Close]]&gt;D113,"UP",IF(Table1[[#This Row],[Close]]&lt;C113,"Down","Constant"))</f>
        <v>UP</v>
      </c>
      <c r="F114" s="3">
        <f>IF(Table1[[#This Row],[Column1]]="Up",1,IF(Table1[[#This Row],[Column1]]="Down",-1,0))</f>
        <v>1</v>
      </c>
      <c r="G114" s="3">
        <f>IF(AND(Table1[[#This Row],[STATES in numeric format]]=-1,F113=-1),1,0)</f>
        <v>0</v>
      </c>
      <c r="H114" s="3">
        <f>IF(AND(Table1[[#This Row],[STATES in numeric format]]=-1,F113=0),1,0)</f>
        <v>0</v>
      </c>
      <c r="I114" s="3">
        <f>IF(AND(Table1[[#This Row],[STATES in numeric format]]=-1,F113=1),1,0)</f>
        <v>0</v>
      </c>
      <c r="J114" s="3">
        <f>IF(AND(Table1[[#This Row],[STATES in numeric format]]=0,F113=-1),1,0)</f>
        <v>0</v>
      </c>
      <c r="K114" s="3">
        <f>IF(AND(Table1[[#This Row],[STATES in numeric format]]=0,F113=0),1,0)</f>
        <v>0</v>
      </c>
      <c r="L114" s="3">
        <f>IF(AND(Table1[[#This Row],[STATES in numeric format]]=0,F113=1),1,0)</f>
        <v>0</v>
      </c>
      <c r="M114" s="3">
        <f>IF(AND(Table1[[#This Row],[STATES in numeric format]]=1,F113=-1),1,0)</f>
        <v>1</v>
      </c>
      <c r="N114" s="3">
        <f>IF(AND(Table1[[#This Row],[STATES in numeric format]]=1,F113=0),1,0)</f>
        <v>0</v>
      </c>
      <c r="O114" s="3">
        <f>IF(AND(Table1[[#This Row],[STATES in numeric format]]=1,F113=1),1,0)</f>
        <v>0</v>
      </c>
    </row>
    <row r="115" spans="1:15" x14ac:dyDescent="0.3">
      <c r="A115" s="1">
        <v>43999</v>
      </c>
      <c r="B115">
        <v>33507.919999999998</v>
      </c>
      <c r="C115">
        <f>Table1[[#This Row],[Close]]-0.001*Table1[[#This Row],[Close]]</f>
        <v>33474.412080000002</v>
      </c>
      <c r="D115">
        <f>Table1[[#This Row],[Close]]+0.001*Table1[[#This Row],[Close]]</f>
        <v>33541.427919999995</v>
      </c>
      <c r="E115" t="str">
        <f>IF(Table1[[#This Row],[Close]]&gt;D114,"UP",IF(Table1[[#This Row],[Close]]&lt;C114,"Down","Constant"))</f>
        <v>Down</v>
      </c>
      <c r="F115" s="3">
        <f>IF(Table1[[#This Row],[Column1]]="Up",1,IF(Table1[[#This Row],[Column1]]="Down",-1,0))</f>
        <v>-1</v>
      </c>
      <c r="G115" s="3">
        <f>IF(AND(Table1[[#This Row],[STATES in numeric format]]=-1,F114=-1),1,0)</f>
        <v>0</v>
      </c>
      <c r="H115" s="3">
        <f>IF(AND(Table1[[#This Row],[STATES in numeric format]]=-1,F114=0),1,0)</f>
        <v>0</v>
      </c>
      <c r="I115" s="3">
        <f>IF(AND(Table1[[#This Row],[STATES in numeric format]]=-1,F114=1),1,0)</f>
        <v>1</v>
      </c>
      <c r="J115" s="3">
        <f>IF(AND(Table1[[#This Row],[STATES in numeric format]]=0,F114=-1),1,0)</f>
        <v>0</v>
      </c>
      <c r="K115" s="3">
        <f>IF(AND(Table1[[#This Row],[STATES in numeric format]]=0,F114=0),1,0)</f>
        <v>0</v>
      </c>
      <c r="L115" s="3">
        <f>IF(AND(Table1[[#This Row],[STATES in numeric format]]=0,F114=1),1,0)</f>
        <v>0</v>
      </c>
      <c r="M115" s="3">
        <f>IF(AND(Table1[[#This Row],[STATES in numeric format]]=1,F114=-1),1,0)</f>
        <v>0</v>
      </c>
      <c r="N115" s="3">
        <f>IF(AND(Table1[[#This Row],[STATES in numeric format]]=1,F114=0),1,0)</f>
        <v>0</v>
      </c>
      <c r="O115" s="3">
        <f>IF(AND(Table1[[#This Row],[STATES in numeric format]]=1,F114=1),1,0)</f>
        <v>0</v>
      </c>
    </row>
    <row r="116" spans="1:15" x14ac:dyDescent="0.3">
      <c r="A116" s="1">
        <v>44000</v>
      </c>
      <c r="B116">
        <v>34208.050000000003</v>
      </c>
      <c r="C116">
        <f>Table1[[#This Row],[Close]]-0.001*Table1[[#This Row],[Close]]</f>
        <v>34173.841950000002</v>
      </c>
      <c r="D116">
        <f>Table1[[#This Row],[Close]]+0.001*Table1[[#This Row],[Close]]</f>
        <v>34242.258050000004</v>
      </c>
      <c r="E116" t="str">
        <f>IF(Table1[[#This Row],[Close]]&gt;D115,"UP",IF(Table1[[#This Row],[Close]]&lt;C115,"Down","Constant"))</f>
        <v>UP</v>
      </c>
      <c r="F116" s="3">
        <f>IF(Table1[[#This Row],[Column1]]="Up",1,IF(Table1[[#This Row],[Column1]]="Down",-1,0))</f>
        <v>1</v>
      </c>
      <c r="G116" s="3">
        <f>IF(AND(Table1[[#This Row],[STATES in numeric format]]=-1,F115=-1),1,0)</f>
        <v>0</v>
      </c>
      <c r="H116" s="3">
        <f>IF(AND(Table1[[#This Row],[STATES in numeric format]]=-1,F115=0),1,0)</f>
        <v>0</v>
      </c>
      <c r="I116" s="3">
        <f>IF(AND(Table1[[#This Row],[STATES in numeric format]]=-1,F115=1),1,0)</f>
        <v>0</v>
      </c>
      <c r="J116" s="3">
        <f>IF(AND(Table1[[#This Row],[STATES in numeric format]]=0,F115=-1),1,0)</f>
        <v>0</v>
      </c>
      <c r="K116" s="3">
        <f>IF(AND(Table1[[#This Row],[STATES in numeric format]]=0,F115=0),1,0)</f>
        <v>0</v>
      </c>
      <c r="L116" s="3">
        <f>IF(AND(Table1[[#This Row],[STATES in numeric format]]=0,F115=1),1,0)</f>
        <v>0</v>
      </c>
      <c r="M116" s="3">
        <f>IF(AND(Table1[[#This Row],[STATES in numeric format]]=1,F115=-1),1,0)</f>
        <v>1</v>
      </c>
      <c r="N116" s="3">
        <f>IF(AND(Table1[[#This Row],[STATES in numeric format]]=1,F115=0),1,0)</f>
        <v>0</v>
      </c>
      <c r="O116" s="3">
        <f>IF(AND(Table1[[#This Row],[STATES in numeric format]]=1,F115=1),1,0)</f>
        <v>0</v>
      </c>
    </row>
    <row r="117" spans="1:15" x14ac:dyDescent="0.3">
      <c r="A117" s="1">
        <v>44001</v>
      </c>
      <c r="B117">
        <v>34731.730000000003</v>
      </c>
      <c r="C117">
        <f>Table1[[#This Row],[Close]]-0.001*Table1[[#This Row],[Close]]</f>
        <v>34696.998270000004</v>
      </c>
      <c r="D117">
        <f>Table1[[#This Row],[Close]]+0.001*Table1[[#This Row],[Close]]</f>
        <v>34766.461730000003</v>
      </c>
      <c r="E117" t="str">
        <f>IF(Table1[[#This Row],[Close]]&gt;D116,"UP",IF(Table1[[#This Row],[Close]]&lt;C116,"Down","Constant"))</f>
        <v>UP</v>
      </c>
      <c r="F117" s="3">
        <f>IF(Table1[[#This Row],[Column1]]="Up",1,IF(Table1[[#This Row],[Column1]]="Down",-1,0))</f>
        <v>1</v>
      </c>
      <c r="G117" s="3">
        <f>IF(AND(Table1[[#This Row],[STATES in numeric format]]=-1,F116=-1),1,0)</f>
        <v>0</v>
      </c>
      <c r="H117" s="3">
        <f>IF(AND(Table1[[#This Row],[STATES in numeric format]]=-1,F116=0),1,0)</f>
        <v>0</v>
      </c>
      <c r="I117" s="3">
        <f>IF(AND(Table1[[#This Row],[STATES in numeric format]]=-1,F116=1),1,0)</f>
        <v>0</v>
      </c>
      <c r="J117" s="3">
        <f>IF(AND(Table1[[#This Row],[STATES in numeric format]]=0,F116=-1),1,0)</f>
        <v>0</v>
      </c>
      <c r="K117" s="3">
        <f>IF(AND(Table1[[#This Row],[STATES in numeric format]]=0,F116=0),1,0)</f>
        <v>0</v>
      </c>
      <c r="L117" s="3">
        <f>IF(AND(Table1[[#This Row],[STATES in numeric format]]=0,F116=1),1,0)</f>
        <v>0</v>
      </c>
      <c r="M117" s="3">
        <f>IF(AND(Table1[[#This Row],[STATES in numeric format]]=1,F116=-1),1,0)</f>
        <v>0</v>
      </c>
      <c r="N117" s="3">
        <f>IF(AND(Table1[[#This Row],[STATES in numeric format]]=1,F116=0),1,0)</f>
        <v>0</v>
      </c>
      <c r="O117" s="3">
        <f>IF(AND(Table1[[#This Row],[STATES in numeric format]]=1,F116=1),1,0)</f>
        <v>1</v>
      </c>
    </row>
    <row r="118" spans="1:15" x14ac:dyDescent="0.3">
      <c r="A118" s="1">
        <v>44004</v>
      </c>
      <c r="B118">
        <v>34911.32</v>
      </c>
      <c r="C118">
        <f>Table1[[#This Row],[Close]]-0.001*Table1[[#This Row],[Close]]</f>
        <v>34876.40868</v>
      </c>
      <c r="D118">
        <f>Table1[[#This Row],[Close]]+0.001*Table1[[#This Row],[Close]]</f>
        <v>34946.231319999999</v>
      </c>
      <c r="E118" t="str">
        <f>IF(Table1[[#This Row],[Close]]&gt;D117,"UP",IF(Table1[[#This Row],[Close]]&lt;C117,"Down","Constant"))</f>
        <v>UP</v>
      </c>
      <c r="F118" s="3">
        <f>IF(Table1[[#This Row],[Column1]]="Up",1,IF(Table1[[#This Row],[Column1]]="Down",-1,0))</f>
        <v>1</v>
      </c>
      <c r="G118" s="3">
        <f>IF(AND(Table1[[#This Row],[STATES in numeric format]]=-1,F117=-1),1,0)</f>
        <v>0</v>
      </c>
      <c r="H118" s="3">
        <f>IF(AND(Table1[[#This Row],[STATES in numeric format]]=-1,F117=0),1,0)</f>
        <v>0</v>
      </c>
      <c r="I118" s="3">
        <f>IF(AND(Table1[[#This Row],[STATES in numeric format]]=-1,F117=1),1,0)</f>
        <v>0</v>
      </c>
      <c r="J118" s="3">
        <f>IF(AND(Table1[[#This Row],[STATES in numeric format]]=0,F117=-1),1,0)</f>
        <v>0</v>
      </c>
      <c r="K118" s="3">
        <f>IF(AND(Table1[[#This Row],[STATES in numeric format]]=0,F117=0),1,0)</f>
        <v>0</v>
      </c>
      <c r="L118" s="3">
        <f>IF(AND(Table1[[#This Row],[STATES in numeric format]]=0,F117=1),1,0)</f>
        <v>0</v>
      </c>
      <c r="M118" s="3">
        <f>IF(AND(Table1[[#This Row],[STATES in numeric format]]=1,F117=-1),1,0)</f>
        <v>0</v>
      </c>
      <c r="N118" s="3">
        <f>IF(AND(Table1[[#This Row],[STATES in numeric format]]=1,F117=0),1,0)</f>
        <v>0</v>
      </c>
      <c r="O118" s="3">
        <f>IF(AND(Table1[[#This Row],[STATES in numeric format]]=1,F117=1),1,0)</f>
        <v>1</v>
      </c>
    </row>
    <row r="119" spans="1:15" x14ac:dyDescent="0.3">
      <c r="A119" s="1">
        <v>44005</v>
      </c>
      <c r="B119">
        <v>35430.43</v>
      </c>
      <c r="C119">
        <f>Table1[[#This Row],[Close]]-0.001*Table1[[#This Row],[Close]]</f>
        <v>35394.99957</v>
      </c>
      <c r="D119">
        <f>Table1[[#This Row],[Close]]+0.001*Table1[[#This Row],[Close]]</f>
        <v>35465.860430000001</v>
      </c>
      <c r="E119" t="str">
        <f>IF(Table1[[#This Row],[Close]]&gt;D118,"UP",IF(Table1[[#This Row],[Close]]&lt;C118,"Down","Constant"))</f>
        <v>UP</v>
      </c>
      <c r="F119" s="3">
        <f>IF(Table1[[#This Row],[Column1]]="Up",1,IF(Table1[[#This Row],[Column1]]="Down",-1,0))</f>
        <v>1</v>
      </c>
      <c r="G119" s="3">
        <f>IF(AND(Table1[[#This Row],[STATES in numeric format]]=-1,F118=-1),1,0)</f>
        <v>0</v>
      </c>
      <c r="H119" s="3">
        <f>IF(AND(Table1[[#This Row],[STATES in numeric format]]=-1,F118=0),1,0)</f>
        <v>0</v>
      </c>
      <c r="I119" s="3">
        <f>IF(AND(Table1[[#This Row],[STATES in numeric format]]=-1,F118=1),1,0)</f>
        <v>0</v>
      </c>
      <c r="J119" s="3">
        <f>IF(AND(Table1[[#This Row],[STATES in numeric format]]=0,F118=-1),1,0)</f>
        <v>0</v>
      </c>
      <c r="K119" s="3">
        <f>IF(AND(Table1[[#This Row],[STATES in numeric format]]=0,F118=0),1,0)</f>
        <v>0</v>
      </c>
      <c r="L119" s="3">
        <f>IF(AND(Table1[[#This Row],[STATES in numeric format]]=0,F118=1),1,0)</f>
        <v>0</v>
      </c>
      <c r="M119" s="3">
        <f>IF(AND(Table1[[#This Row],[STATES in numeric format]]=1,F118=-1),1,0)</f>
        <v>0</v>
      </c>
      <c r="N119" s="3">
        <f>IF(AND(Table1[[#This Row],[STATES in numeric format]]=1,F118=0),1,0)</f>
        <v>0</v>
      </c>
      <c r="O119" s="3">
        <f>IF(AND(Table1[[#This Row],[STATES in numeric format]]=1,F118=1),1,0)</f>
        <v>1</v>
      </c>
    </row>
    <row r="120" spans="1:15" x14ac:dyDescent="0.3">
      <c r="A120" s="1">
        <v>44006</v>
      </c>
      <c r="B120">
        <v>34868.980000000003</v>
      </c>
      <c r="C120">
        <f>Table1[[#This Row],[Close]]-0.001*Table1[[#This Row],[Close]]</f>
        <v>34834.111020000004</v>
      </c>
      <c r="D120">
        <f>Table1[[#This Row],[Close]]+0.001*Table1[[#This Row],[Close]]</f>
        <v>34903.848980000002</v>
      </c>
      <c r="E120" t="str">
        <f>IF(Table1[[#This Row],[Close]]&gt;D119,"UP",IF(Table1[[#This Row],[Close]]&lt;C119,"Down","Constant"))</f>
        <v>Down</v>
      </c>
      <c r="F120" s="3">
        <f>IF(Table1[[#This Row],[Column1]]="Up",1,IF(Table1[[#This Row],[Column1]]="Down",-1,0))</f>
        <v>-1</v>
      </c>
      <c r="G120" s="3">
        <f>IF(AND(Table1[[#This Row],[STATES in numeric format]]=-1,F119=-1),1,0)</f>
        <v>0</v>
      </c>
      <c r="H120" s="3">
        <f>IF(AND(Table1[[#This Row],[STATES in numeric format]]=-1,F119=0),1,0)</f>
        <v>0</v>
      </c>
      <c r="I120" s="3">
        <f>IF(AND(Table1[[#This Row],[STATES in numeric format]]=-1,F119=1),1,0)</f>
        <v>1</v>
      </c>
      <c r="J120" s="3">
        <f>IF(AND(Table1[[#This Row],[STATES in numeric format]]=0,F119=-1),1,0)</f>
        <v>0</v>
      </c>
      <c r="K120" s="3">
        <f>IF(AND(Table1[[#This Row],[STATES in numeric format]]=0,F119=0),1,0)</f>
        <v>0</v>
      </c>
      <c r="L120" s="3">
        <f>IF(AND(Table1[[#This Row],[STATES in numeric format]]=0,F119=1),1,0)</f>
        <v>0</v>
      </c>
      <c r="M120" s="3">
        <f>IF(AND(Table1[[#This Row],[STATES in numeric format]]=1,F119=-1),1,0)</f>
        <v>0</v>
      </c>
      <c r="N120" s="3">
        <f>IF(AND(Table1[[#This Row],[STATES in numeric format]]=1,F119=0),1,0)</f>
        <v>0</v>
      </c>
      <c r="O120" s="3">
        <f>IF(AND(Table1[[#This Row],[STATES in numeric format]]=1,F119=1),1,0)</f>
        <v>0</v>
      </c>
    </row>
    <row r="121" spans="1:15" x14ac:dyDescent="0.3">
      <c r="A121" s="1">
        <v>44007</v>
      </c>
      <c r="B121">
        <v>34842.1</v>
      </c>
      <c r="C121">
        <f>Table1[[#This Row],[Close]]-0.001*Table1[[#This Row],[Close]]</f>
        <v>34807.257899999997</v>
      </c>
      <c r="D121">
        <f>Table1[[#This Row],[Close]]+0.001*Table1[[#This Row],[Close]]</f>
        <v>34876.9421</v>
      </c>
      <c r="E121" t="str">
        <f>IF(Table1[[#This Row],[Close]]&gt;D120,"UP",IF(Table1[[#This Row],[Close]]&lt;C120,"Down","Constant"))</f>
        <v>Constant</v>
      </c>
      <c r="F121" s="3">
        <f>IF(Table1[[#This Row],[Column1]]="Up",1,IF(Table1[[#This Row],[Column1]]="Down",-1,0))</f>
        <v>0</v>
      </c>
      <c r="G121" s="3">
        <f>IF(AND(Table1[[#This Row],[STATES in numeric format]]=-1,F120=-1),1,0)</f>
        <v>0</v>
      </c>
      <c r="H121" s="3">
        <f>IF(AND(Table1[[#This Row],[STATES in numeric format]]=-1,F120=0),1,0)</f>
        <v>0</v>
      </c>
      <c r="I121" s="3">
        <f>IF(AND(Table1[[#This Row],[STATES in numeric format]]=-1,F120=1),1,0)</f>
        <v>0</v>
      </c>
      <c r="J121" s="3">
        <f>IF(AND(Table1[[#This Row],[STATES in numeric format]]=0,F120=-1),1,0)</f>
        <v>1</v>
      </c>
      <c r="K121" s="3">
        <f>IF(AND(Table1[[#This Row],[STATES in numeric format]]=0,F120=0),1,0)</f>
        <v>0</v>
      </c>
      <c r="L121" s="3">
        <f>IF(AND(Table1[[#This Row],[STATES in numeric format]]=0,F120=1),1,0)</f>
        <v>0</v>
      </c>
      <c r="M121" s="3">
        <f>IF(AND(Table1[[#This Row],[STATES in numeric format]]=1,F120=-1),1,0)</f>
        <v>0</v>
      </c>
      <c r="N121" s="3">
        <f>IF(AND(Table1[[#This Row],[STATES in numeric format]]=1,F120=0),1,0)</f>
        <v>0</v>
      </c>
      <c r="O121" s="3">
        <f>IF(AND(Table1[[#This Row],[STATES in numeric format]]=1,F120=1),1,0)</f>
        <v>0</v>
      </c>
    </row>
    <row r="122" spans="1:15" x14ac:dyDescent="0.3">
      <c r="A122" s="1">
        <v>44008</v>
      </c>
      <c r="B122">
        <v>35171.269999999997</v>
      </c>
      <c r="C122">
        <f>Table1[[#This Row],[Close]]-0.001*Table1[[#This Row],[Close]]</f>
        <v>35136.098729999998</v>
      </c>
      <c r="D122">
        <f>Table1[[#This Row],[Close]]+0.001*Table1[[#This Row],[Close]]</f>
        <v>35206.441269999996</v>
      </c>
      <c r="E122" t="str">
        <f>IF(Table1[[#This Row],[Close]]&gt;D121,"UP",IF(Table1[[#This Row],[Close]]&lt;C121,"Down","Constant"))</f>
        <v>UP</v>
      </c>
      <c r="F122" s="3">
        <f>IF(Table1[[#This Row],[Column1]]="Up",1,IF(Table1[[#This Row],[Column1]]="Down",-1,0))</f>
        <v>1</v>
      </c>
      <c r="G122" s="3">
        <f>IF(AND(Table1[[#This Row],[STATES in numeric format]]=-1,F121=-1),1,0)</f>
        <v>0</v>
      </c>
      <c r="H122" s="3">
        <f>IF(AND(Table1[[#This Row],[STATES in numeric format]]=-1,F121=0),1,0)</f>
        <v>0</v>
      </c>
      <c r="I122" s="3">
        <f>IF(AND(Table1[[#This Row],[STATES in numeric format]]=-1,F121=1),1,0)</f>
        <v>0</v>
      </c>
      <c r="J122" s="3">
        <f>IF(AND(Table1[[#This Row],[STATES in numeric format]]=0,F121=-1),1,0)</f>
        <v>0</v>
      </c>
      <c r="K122" s="3">
        <f>IF(AND(Table1[[#This Row],[STATES in numeric format]]=0,F121=0),1,0)</f>
        <v>0</v>
      </c>
      <c r="L122" s="3">
        <f>IF(AND(Table1[[#This Row],[STATES in numeric format]]=0,F121=1),1,0)</f>
        <v>0</v>
      </c>
      <c r="M122" s="3">
        <f>IF(AND(Table1[[#This Row],[STATES in numeric format]]=1,F121=-1),1,0)</f>
        <v>0</v>
      </c>
      <c r="N122" s="3">
        <f>IF(AND(Table1[[#This Row],[STATES in numeric format]]=1,F121=0),1,0)</f>
        <v>1</v>
      </c>
      <c r="O122" s="3">
        <f>IF(AND(Table1[[#This Row],[STATES in numeric format]]=1,F121=1),1,0)</f>
        <v>0</v>
      </c>
    </row>
    <row r="123" spans="1:15" x14ac:dyDescent="0.3">
      <c r="A123" s="1">
        <v>44011</v>
      </c>
      <c r="B123">
        <v>34961.519999999997</v>
      </c>
      <c r="C123">
        <f>Table1[[#This Row],[Close]]-0.001*Table1[[#This Row],[Close]]</f>
        <v>34926.55848</v>
      </c>
      <c r="D123">
        <f>Table1[[#This Row],[Close]]+0.001*Table1[[#This Row],[Close]]</f>
        <v>34996.481519999994</v>
      </c>
      <c r="E123" t="str">
        <f>IF(Table1[[#This Row],[Close]]&gt;D122,"UP",IF(Table1[[#This Row],[Close]]&lt;C122,"Down","Constant"))</f>
        <v>Down</v>
      </c>
      <c r="F123" s="3">
        <f>IF(Table1[[#This Row],[Column1]]="Up",1,IF(Table1[[#This Row],[Column1]]="Down",-1,0))</f>
        <v>-1</v>
      </c>
      <c r="G123" s="3">
        <f>IF(AND(Table1[[#This Row],[STATES in numeric format]]=-1,F122=-1),1,0)</f>
        <v>0</v>
      </c>
      <c r="H123" s="3">
        <f>IF(AND(Table1[[#This Row],[STATES in numeric format]]=-1,F122=0),1,0)</f>
        <v>0</v>
      </c>
      <c r="I123" s="3">
        <f>IF(AND(Table1[[#This Row],[STATES in numeric format]]=-1,F122=1),1,0)</f>
        <v>1</v>
      </c>
      <c r="J123" s="3">
        <f>IF(AND(Table1[[#This Row],[STATES in numeric format]]=0,F122=-1),1,0)</f>
        <v>0</v>
      </c>
      <c r="K123" s="3">
        <f>IF(AND(Table1[[#This Row],[STATES in numeric format]]=0,F122=0),1,0)</f>
        <v>0</v>
      </c>
      <c r="L123" s="3">
        <f>IF(AND(Table1[[#This Row],[STATES in numeric format]]=0,F122=1),1,0)</f>
        <v>0</v>
      </c>
      <c r="M123" s="3">
        <f>IF(AND(Table1[[#This Row],[STATES in numeric format]]=1,F122=-1),1,0)</f>
        <v>0</v>
      </c>
      <c r="N123" s="3">
        <f>IF(AND(Table1[[#This Row],[STATES in numeric format]]=1,F122=0),1,0)</f>
        <v>0</v>
      </c>
      <c r="O123" s="3">
        <f>IF(AND(Table1[[#This Row],[STATES in numeric format]]=1,F122=1),1,0)</f>
        <v>0</v>
      </c>
    </row>
    <row r="124" spans="1:15" x14ac:dyDescent="0.3">
      <c r="A124" s="1">
        <v>44012</v>
      </c>
      <c r="B124">
        <v>34915.800000000003</v>
      </c>
      <c r="C124">
        <f>Table1[[#This Row],[Close]]-0.001*Table1[[#This Row],[Close]]</f>
        <v>34880.8842</v>
      </c>
      <c r="D124">
        <f>Table1[[#This Row],[Close]]+0.001*Table1[[#This Row],[Close]]</f>
        <v>34950.715800000005</v>
      </c>
      <c r="E124" t="str">
        <f>IF(Table1[[#This Row],[Close]]&gt;D123,"UP",IF(Table1[[#This Row],[Close]]&lt;C123,"Down","Constant"))</f>
        <v>Down</v>
      </c>
      <c r="F124" s="3">
        <f>IF(Table1[[#This Row],[Column1]]="Up",1,IF(Table1[[#This Row],[Column1]]="Down",-1,0))</f>
        <v>-1</v>
      </c>
      <c r="G124" s="3">
        <f>IF(AND(Table1[[#This Row],[STATES in numeric format]]=-1,F123=-1),1,0)</f>
        <v>1</v>
      </c>
      <c r="H124" s="3">
        <f>IF(AND(Table1[[#This Row],[STATES in numeric format]]=-1,F123=0),1,0)</f>
        <v>0</v>
      </c>
      <c r="I124" s="3">
        <f>IF(AND(Table1[[#This Row],[STATES in numeric format]]=-1,F123=1),1,0)</f>
        <v>0</v>
      </c>
      <c r="J124" s="3">
        <f>IF(AND(Table1[[#This Row],[STATES in numeric format]]=0,F123=-1),1,0)</f>
        <v>0</v>
      </c>
      <c r="K124" s="3">
        <f>IF(AND(Table1[[#This Row],[STATES in numeric format]]=0,F123=0),1,0)</f>
        <v>0</v>
      </c>
      <c r="L124" s="3">
        <f>IF(AND(Table1[[#This Row],[STATES in numeric format]]=0,F123=1),1,0)</f>
        <v>0</v>
      </c>
      <c r="M124" s="3">
        <f>IF(AND(Table1[[#This Row],[STATES in numeric format]]=1,F123=-1),1,0)</f>
        <v>0</v>
      </c>
      <c r="N124" s="3">
        <f>IF(AND(Table1[[#This Row],[STATES in numeric format]]=1,F123=0),1,0)</f>
        <v>0</v>
      </c>
      <c r="O124" s="3">
        <f>IF(AND(Table1[[#This Row],[STATES in numeric format]]=1,F123=1),1,0)</f>
        <v>0</v>
      </c>
    </row>
    <row r="125" spans="1:15" x14ac:dyDescent="0.3">
      <c r="A125" s="1">
        <v>44013</v>
      </c>
      <c r="B125">
        <v>35414.449999999997</v>
      </c>
      <c r="C125">
        <f>Table1[[#This Row],[Close]]-0.001*Table1[[#This Row],[Close]]</f>
        <v>35379.035550000001</v>
      </c>
      <c r="D125">
        <f>Table1[[#This Row],[Close]]+0.001*Table1[[#This Row],[Close]]</f>
        <v>35449.864449999994</v>
      </c>
      <c r="E125" t="str">
        <f>IF(Table1[[#This Row],[Close]]&gt;D124,"UP",IF(Table1[[#This Row],[Close]]&lt;C124,"Down","Constant"))</f>
        <v>UP</v>
      </c>
      <c r="F125" s="3">
        <f>IF(Table1[[#This Row],[Column1]]="Up",1,IF(Table1[[#This Row],[Column1]]="Down",-1,0))</f>
        <v>1</v>
      </c>
      <c r="G125" s="3">
        <f>IF(AND(Table1[[#This Row],[STATES in numeric format]]=-1,F124=-1),1,0)</f>
        <v>0</v>
      </c>
      <c r="H125" s="3">
        <f>IF(AND(Table1[[#This Row],[STATES in numeric format]]=-1,F124=0),1,0)</f>
        <v>0</v>
      </c>
      <c r="I125" s="3">
        <f>IF(AND(Table1[[#This Row],[STATES in numeric format]]=-1,F124=1),1,0)</f>
        <v>0</v>
      </c>
      <c r="J125" s="3">
        <f>IF(AND(Table1[[#This Row],[STATES in numeric format]]=0,F124=-1),1,0)</f>
        <v>0</v>
      </c>
      <c r="K125" s="3">
        <f>IF(AND(Table1[[#This Row],[STATES in numeric format]]=0,F124=0),1,0)</f>
        <v>0</v>
      </c>
      <c r="L125" s="3">
        <f>IF(AND(Table1[[#This Row],[STATES in numeric format]]=0,F124=1),1,0)</f>
        <v>0</v>
      </c>
      <c r="M125" s="3">
        <f>IF(AND(Table1[[#This Row],[STATES in numeric format]]=1,F124=-1),1,0)</f>
        <v>1</v>
      </c>
      <c r="N125" s="3">
        <f>IF(AND(Table1[[#This Row],[STATES in numeric format]]=1,F124=0),1,0)</f>
        <v>0</v>
      </c>
      <c r="O125" s="3">
        <f>IF(AND(Table1[[#This Row],[STATES in numeric format]]=1,F124=1),1,0)</f>
        <v>0</v>
      </c>
    </row>
    <row r="126" spans="1:15" x14ac:dyDescent="0.3">
      <c r="A126" s="1">
        <v>44014</v>
      </c>
      <c r="B126">
        <v>35843.699999999997</v>
      </c>
      <c r="C126">
        <f>Table1[[#This Row],[Close]]-0.001*Table1[[#This Row],[Close]]</f>
        <v>35807.856299999999</v>
      </c>
      <c r="D126">
        <f>Table1[[#This Row],[Close]]+0.001*Table1[[#This Row],[Close]]</f>
        <v>35879.543699999995</v>
      </c>
      <c r="E126" t="str">
        <f>IF(Table1[[#This Row],[Close]]&gt;D125,"UP",IF(Table1[[#This Row],[Close]]&lt;C125,"Down","Constant"))</f>
        <v>UP</v>
      </c>
      <c r="F126" s="3">
        <f>IF(Table1[[#This Row],[Column1]]="Up",1,IF(Table1[[#This Row],[Column1]]="Down",-1,0))</f>
        <v>1</v>
      </c>
      <c r="G126" s="3">
        <f>IF(AND(Table1[[#This Row],[STATES in numeric format]]=-1,F125=-1),1,0)</f>
        <v>0</v>
      </c>
      <c r="H126" s="3">
        <f>IF(AND(Table1[[#This Row],[STATES in numeric format]]=-1,F125=0),1,0)</f>
        <v>0</v>
      </c>
      <c r="I126" s="3">
        <f>IF(AND(Table1[[#This Row],[STATES in numeric format]]=-1,F125=1),1,0)</f>
        <v>0</v>
      </c>
      <c r="J126" s="3">
        <f>IF(AND(Table1[[#This Row],[STATES in numeric format]]=0,F125=-1),1,0)</f>
        <v>0</v>
      </c>
      <c r="K126" s="3">
        <f>IF(AND(Table1[[#This Row],[STATES in numeric format]]=0,F125=0),1,0)</f>
        <v>0</v>
      </c>
      <c r="L126" s="3">
        <f>IF(AND(Table1[[#This Row],[STATES in numeric format]]=0,F125=1),1,0)</f>
        <v>0</v>
      </c>
      <c r="M126" s="3">
        <f>IF(AND(Table1[[#This Row],[STATES in numeric format]]=1,F125=-1),1,0)</f>
        <v>0</v>
      </c>
      <c r="N126" s="3">
        <f>IF(AND(Table1[[#This Row],[STATES in numeric format]]=1,F125=0),1,0)</f>
        <v>0</v>
      </c>
      <c r="O126" s="3">
        <f>IF(AND(Table1[[#This Row],[STATES in numeric format]]=1,F125=1),1,0)</f>
        <v>1</v>
      </c>
    </row>
    <row r="127" spans="1:15" x14ac:dyDescent="0.3">
      <c r="A127" s="1">
        <v>44015</v>
      </c>
      <c r="B127">
        <v>36021.42</v>
      </c>
      <c r="C127">
        <f>Table1[[#This Row],[Close]]-0.001*Table1[[#This Row],[Close]]</f>
        <v>35985.398580000001</v>
      </c>
      <c r="D127">
        <f>Table1[[#This Row],[Close]]+0.001*Table1[[#This Row],[Close]]</f>
        <v>36057.441419999996</v>
      </c>
      <c r="E127" t="str">
        <f>IF(Table1[[#This Row],[Close]]&gt;D126,"UP",IF(Table1[[#This Row],[Close]]&lt;C126,"Down","Constant"))</f>
        <v>UP</v>
      </c>
      <c r="F127" s="3">
        <f>IF(Table1[[#This Row],[Column1]]="Up",1,IF(Table1[[#This Row],[Column1]]="Down",-1,0))</f>
        <v>1</v>
      </c>
      <c r="G127" s="3">
        <f>IF(AND(Table1[[#This Row],[STATES in numeric format]]=-1,F126=-1),1,0)</f>
        <v>0</v>
      </c>
      <c r="H127" s="3">
        <f>IF(AND(Table1[[#This Row],[STATES in numeric format]]=-1,F126=0),1,0)</f>
        <v>0</v>
      </c>
      <c r="I127" s="3">
        <f>IF(AND(Table1[[#This Row],[STATES in numeric format]]=-1,F126=1),1,0)</f>
        <v>0</v>
      </c>
      <c r="J127" s="3">
        <f>IF(AND(Table1[[#This Row],[STATES in numeric format]]=0,F126=-1),1,0)</f>
        <v>0</v>
      </c>
      <c r="K127" s="3">
        <f>IF(AND(Table1[[#This Row],[STATES in numeric format]]=0,F126=0),1,0)</f>
        <v>0</v>
      </c>
      <c r="L127" s="3">
        <f>IF(AND(Table1[[#This Row],[STATES in numeric format]]=0,F126=1),1,0)</f>
        <v>0</v>
      </c>
      <c r="M127" s="3">
        <f>IF(AND(Table1[[#This Row],[STATES in numeric format]]=1,F126=-1),1,0)</f>
        <v>0</v>
      </c>
      <c r="N127" s="3">
        <f>IF(AND(Table1[[#This Row],[STATES in numeric format]]=1,F126=0),1,0)</f>
        <v>0</v>
      </c>
      <c r="O127" s="3">
        <f>IF(AND(Table1[[#This Row],[STATES in numeric format]]=1,F126=1),1,0)</f>
        <v>1</v>
      </c>
    </row>
    <row r="128" spans="1:15" x14ac:dyDescent="0.3">
      <c r="A128" s="1">
        <v>44018</v>
      </c>
      <c r="B128">
        <v>36487.279999999999</v>
      </c>
      <c r="C128">
        <f>Table1[[#This Row],[Close]]-0.001*Table1[[#This Row],[Close]]</f>
        <v>36450.792719999998</v>
      </c>
      <c r="D128">
        <f>Table1[[#This Row],[Close]]+0.001*Table1[[#This Row],[Close]]</f>
        <v>36523.76728</v>
      </c>
      <c r="E128" t="str">
        <f>IF(Table1[[#This Row],[Close]]&gt;D127,"UP",IF(Table1[[#This Row],[Close]]&lt;C127,"Down","Constant"))</f>
        <v>UP</v>
      </c>
      <c r="F128" s="3">
        <f>IF(Table1[[#This Row],[Column1]]="Up",1,IF(Table1[[#This Row],[Column1]]="Down",-1,0))</f>
        <v>1</v>
      </c>
      <c r="G128" s="3">
        <f>IF(AND(Table1[[#This Row],[STATES in numeric format]]=-1,F127=-1),1,0)</f>
        <v>0</v>
      </c>
      <c r="H128" s="3">
        <f>IF(AND(Table1[[#This Row],[STATES in numeric format]]=-1,F127=0),1,0)</f>
        <v>0</v>
      </c>
      <c r="I128" s="3">
        <f>IF(AND(Table1[[#This Row],[STATES in numeric format]]=-1,F127=1),1,0)</f>
        <v>0</v>
      </c>
      <c r="J128" s="3">
        <f>IF(AND(Table1[[#This Row],[STATES in numeric format]]=0,F127=-1),1,0)</f>
        <v>0</v>
      </c>
      <c r="K128" s="3">
        <f>IF(AND(Table1[[#This Row],[STATES in numeric format]]=0,F127=0),1,0)</f>
        <v>0</v>
      </c>
      <c r="L128" s="3">
        <f>IF(AND(Table1[[#This Row],[STATES in numeric format]]=0,F127=1),1,0)</f>
        <v>0</v>
      </c>
      <c r="M128" s="3">
        <f>IF(AND(Table1[[#This Row],[STATES in numeric format]]=1,F127=-1),1,0)</f>
        <v>0</v>
      </c>
      <c r="N128" s="3">
        <f>IF(AND(Table1[[#This Row],[STATES in numeric format]]=1,F127=0),1,0)</f>
        <v>0</v>
      </c>
      <c r="O128" s="3">
        <f>IF(AND(Table1[[#This Row],[STATES in numeric format]]=1,F127=1),1,0)</f>
        <v>1</v>
      </c>
    </row>
    <row r="129" spans="1:15" x14ac:dyDescent="0.3">
      <c r="A129" s="1">
        <v>44019</v>
      </c>
      <c r="B129">
        <v>36674.519999999997</v>
      </c>
      <c r="C129">
        <f>Table1[[#This Row],[Close]]-0.001*Table1[[#This Row],[Close]]</f>
        <v>36637.845479999996</v>
      </c>
      <c r="D129">
        <f>Table1[[#This Row],[Close]]+0.001*Table1[[#This Row],[Close]]</f>
        <v>36711.194519999997</v>
      </c>
      <c r="E129" t="str">
        <f>IF(Table1[[#This Row],[Close]]&gt;D128,"UP",IF(Table1[[#This Row],[Close]]&lt;C128,"Down","Constant"))</f>
        <v>UP</v>
      </c>
      <c r="F129" s="3">
        <f>IF(Table1[[#This Row],[Column1]]="Up",1,IF(Table1[[#This Row],[Column1]]="Down",-1,0))</f>
        <v>1</v>
      </c>
      <c r="G129" s="3">
        <f>IF(AND(Table1[[#This Row],[STATES in numeric format]]=-1,F128=-1),1,0)</f>
        <v>0</v>
      </c>
      <c r="H129" s="3">
        <f>IF(AND(Table1[[#This Row],[STATES in numeric format]]=-1,F128=0),1,0)</f>
        <v>0</v>
      </c>
      <c r="I129" s="3">
        <f>IF(AND(Table1[[#This Row],[STATES in numeric format]]=-1,F128=1),1,0)</f>
        <v>0</v>
      </c>
      <c r="J129" s="3">
        <f>IF(AND(Table1[[#This Row],[STATES in numeric format]]=0,F128=-1),1,0)</f>
        <v>0</v>
      </c>
      <c r="K129" s="3">
        <f>IF(AND(Table1[[#This Row],[STATES in numeric format]]=0,F128=0),1,0)</f>
        <v>0</v>
      </c>
      <c r="L129" s="3">
        <f>IF(AND(Table1[[#This Row],[STATES in numeric format]]=0,F128=1),1,0)</f>
        <v>0</v>
      </c>
      <c r="M129" s="3">
        <f>IF(AND(Table1[[#This Row],[STATES in numeric format]]=1,F128=-1),1,0)</f>
        <v>0</v>
      </c>
      <c r="N129" s="3">
        <f>IF(AND(Table1[[#This Row],[STATES in numeric format]]=1,F128=0),1,0)</f>
        <v>0</v>
      </c>
      <c r="O129" s="3">
        <f>IF(AND(Table1[[#This Row],[STATES in numeric format]]=1,F128=1),1,0)</f>
        <v>1</v>
      </c>
    </row>
    <row r="130" spans="1:15" x14ac:dyDescent="0.3">
      <c r="A130" s="1">
        <v>44020</v>
      </c>
      <c r="B130">
        <v>36329.01</v>
      </c>
      <c r="C130">
        <f>Table1[[#This Row],[Close]]-0.001*Table1[[#This Row],[Close]]</f>
        <v>36292.680990000001</v>
      </c>
      <c r="D130">
        <f>Table1[[#This Row],[Close]]+0.001*Table1[[#This Row],[Close]]</f>
        <v>36365.339010000003</v>
      </c>
      <c r="E130" t="str">
        <f>IF(Table1[[#This Row],[Close]]&gt;D129,"UP",IF(Table1[[#This Row],[Close]]&lt;C129,"Down","Constant"))</f>
        <v>Down</v>
      </c>
      <c r="F130" s="3">
        <f>IF(Table1[[#This Row],[Column1]]="Up",1,IF(Table1[[#This Row],[Column1]]="Down",-1,0))</f>
        <v>-1</v>
      </c>
      <c r="G130" s="3">
        <f>IF(AND(Table1[[#This Row],[STATES in numeric format]]=-1,F129=-1),1,0)</f>
        <v>0</v>
      </c>
      <c r="H130" s="3">
        <f>IF(AND(Table1[[#This Row],[STATES in numeric format]]=-1,F129=0),1,0)</f>
        <v>0</v>
      </c>
      <c r="I130" s="3">
        <f>IF(AND(Table1[[#This Row],[STATES in numeric format]]=-1,F129=1),1,0)</f>
        <v>1</v>
      </c>
      <c r="J130" s="3">
        <f>IF(AND(Table1[[#This Row],[STATES in numeric format]]=0,F129=-1),1,0)</f>
        <v>0</v>
      </c>
      <c r="K130" s="3">
        <f>IF(AND(Table1[[#This Row],[STATES in numeric format]]=0,F129=0),1,0)</f>
        <v>0</v>
      </c>
      <c r="L130" s="3">
        <f>IF(AND(Table1[[#This Row],[STATES in numeric format]]=0,F129=1),1,0)</f>
        <v>0</v>
      </c>
      <c r="M130" s="3">
        <f>IF(AND(Table1[[#This Row],[STATES in numeric format]]=1,F129=-1),1,0)</f>
        <v>0</v>
      </c>
      <c r="N130" s="3">
        <f>IF(AND(Table1[[#This Row],[STATES in numeric format]]=1,F129=0),1,0)</f>
        <v>0</v>
      </c>
      <c r="O130" s="3">
        <f>IF(AND(Table1[[#This Row],[STATES in numeric format]]=1,F129=1),1,0)</f>
        <v>0</v>
      </c>
    </row>
    <row r="131" spans="1:15" x14ac:dyDescent="0.3">
      <c r="A131" s="1">
        <v>44021</v>
      </c>
      <c r="B131">
        <v>36737.69</v>
      </c>
      <c r="C131">
        <f>Table1[[#This Row],[Close]]-0.001*Table1[[#This Row],[Close]]</f>
        <v>36700.952310000001</v>
      </c>
      <c r="D131">
        <f>Table1[[#This Row],[Close]]+0.001*Table1[[#This Row],[Close]]</f>
        <v>36774.427690000004</v>
      </c>
      <c r="E131" t="str">
        <f>IF(Table1[[#This Row],[Close]]&gt;D130,"UP",IF(Table1[[#This Row],[Close]]&lt;C130,"Down","Constant"))</f>
        <v>UP</v>
      </c>
      <c r="F131" s="3">
        <f>IF(Table1[[#This Row],[Column1]]="Up",1,IF(Table1[[#This Row],[Column1]]="Down",-1,0))</f>
        <v>1</v>
      </c>
      <c r="G131" s="3">
        <f>IF(AND(Table1[[#This Row],[STATES in numeric format]]=-1,F130=-1),1,0)</f>
        <v>0</v>
      </c>
      <c r="H131" s="3">
        <f>IF(AND(Table1[[#This Row],[STATES in numeric format]]=-1,F130=0),1,0)</f>
        <v>0</v>
      </c>
      <c r="I131" s="3">
        <f>IF(AND(Table1[[#This Row],[STATES in numeric format]]=-1,F130=1),1,0)</f>
        <v>0</v>
      </c>
      <c r="J131" s="3">
        <f>IF(AND(Table1[[#This Row],[STATES in numeric format]]=0,F130=-1),1,0)</f>
        <v>0</v>
      </c>
      <c r="K131" s="3">
        <f>IF(AND(Table1[[#This Row],[STATES in numeric format]]=0,F130=0),1,0)</f>
        <v>0</v>
      </c>
      <c r="L131" s="3">
        <f>IF(AND(Table1[[#This Row],[STATES in numeric format]]=0,F130=1),1,0)</f>
        <v>0</v>
      </c>
      <c r="M131" s="3">
        <f>IF(AND(Table1[[#This Row],[STATES in numeric format]]=1,F130=-1),1,0)</f>
        <v>1</v>
      </c>
      <c r="N131" s="3">
        <f>IF(AND(Table1[[#This Row],[STATES in numeric format]]=1,F130=0),1,0)</f>
        <v>0</v>
      </c>
      <c r="O131" s="3">
        <f>IF(AND(Table1[[#This Row],[STATES in numeric format]]=1,F130=1),1,0)</f>
        <v>0</v>
      </c>
    </row>
    <row r="132" spans="1:15" x14ac:dyDescent="0.3">
      <c r="A132" s="1">
        <v>44022</v>
      </c>
      <c r="B132">
        <v>36594.33</v>
      </c>
      <c r="C132">
        <f>Table1[[#This Row],[Close]]-0.001*Table1[[#This Row],[Close]]</f>
        <v>36557.735670000002</v>
      </c>
      <c r="D132">
        <f>Table1[[#This Row],[Close]]+0.001*Table1[[#This Row],[Close]]</f>
        <v>36630.924330000002</v>
      </c>
      <c r="E132" t="str">
        <f>IF(Table1[[#This Row],[Close]]&gt;D131,"UP",IF(Table1[[#This Row],[Close]]&lt;C131,"Down","Constant"))</f>
        <v>Down</v>
      </c>
      <c r="F132" s="3">
        <f>IF(Table1[[#This Row],[Column1]]="Up",1,IF(Table1[[#This Row],[Column1]]="Down",-1,0))</f>
        <v>-1</v>
      </c>
      <c r="G132" s="3">
        <f>IF(AND(Table1[[#This Row],[STATES in numeric format]]=-1,F131=-1),1,0)</f>
        <v>0</v>
      </c>
      <c r="H132" s="3">
        <f>IF(AND(Table1[[#This Row],[STATES in numeric format]]=-1,F131=0),1,0)</f>
        <v>0</v>
      </c>
      <c r="I132" s="3">
        <f>IF(AND(Table1[[#This Row],[STATES in numeric format]]=-1,F131=1),1,0)</f>
        <v>1</v>
      </c>
      <c r="J132" s="3">
        <f>IF(AND(Table1[[#This Row],[STATES in numeric format]]=0,F131=-1),1,0)</f>
        <v>0</v>
      </c>
      <c r="K132" s="3">
        <f>IF(AND(Table1[[#This Row],[STATES in numeric format]]=0,F131=0),1,0)</f>
        <v>0</v>
      </c>
      <c r="L132" s="3">
        <f>IF(AND(Table1[[#This Row],[STATES in numeric format]]=0,F131=1),1,0)</f>
        <v>0</v>
      </c>
      <c r="M132" s="3">
        <f>IF(AND(Table1[[#This Row],[STATES in numeric format]]=1,F131=-1),1,0)</f>
        <v>0</v>
      </c>
      <c r="N132" s="3">
        <f>IF(AND(Table1[[#This Row],[STATES in numeric format]]=1,F131=0),1,0)</f>
        <v>0</v>
      </c>
      <c r="O132" s="3">
        <f>IF(AND(Table1[[#This Row],[STATES in numeric format]]=1,F131=1),1,0)</f>
        <v>0</v>
      </c>
    </row>
    <row r="133" spans="1:15" x14ac:dyDescent="0.3">
      <c r="A133" s="1">
        <v>44025</v>
      </c>
      <c r="B133">
        <v>36693.69</v>
      </c>
      <c r="C133">
        <f>Table1[[#This Row],[Close]]-0.001*Table1[[#This Row],[Close]]</f>
        <v>36656.996310000002</v>
      </c>
      <c r="D133">
        <f>Table1[[#This Row],[Close]]+0.001*Table1[[#This Row],[Close]]</f>
        <v>36730.383690000002</v>
      </c>
      <c r="E133" t="str">
        <f>IF(Table1[[#This Row],[Close]]&gt;D132,"UP",IF(Table1[[#This Row],[Close]]&lt;C132,"Down","Constant"))</f>
        <v>UP</v>
      </c>
      <c r="F133" s="3">
        <f>IF(Table1[[#This Row],[Column1]]="Up",1,IF(Table1[[#This Row],[Column1]]="Down",-1,0))</f>
        <v>1</v>
      </c>
      <c r="G133" s="3">
        <f>IF(AND(Table1[[#This Row],[STATES in numeric format]]=-1,F132=-1),1,0)</f>
        <v>0</v>
      </c>
      <c r="H133" s="3">
        <f>IF(AND(Table1[[#This Row],[STATES in numeric format]]=-1,F132=0),1,0)</f>
        <v>0</v>
      </c>
      <c r="I133" s="3">
        <f>IF(AND(Table1[[#This Row],[STATES in numeric format]]=-1,F132=1),1,0)</f>
        <v>0</v>
      </c>
      <c r="J133" s="3">
        <f>IF(AND(Table1[[#This Row],[STATES in numeric format]]=0,F132=-1),1,0)</f>
        <v>0</v>
      </c>
      <c r="K133" s="3">
        <f>IF(AND(Table1[[#This Row],[STATES in numeric format]]=0,F132=0),1,0)</f>
        <v>0</v>
      </c>
      <c r="L133" s="3">
        <f>IF(AND(Table1[[#This Row],[STATES in numeric format]]=0,F132=1),1,0)</f>
        <v>0</v>
      </c>
      <c r="M133" s="3">
        <f>IF(AND(Table1[[#This Row],[STATES in numeric format]]=1,F132=-1),1,0)</f>
        <v>1</v>
      </c>
      <c r="N133" s="3">
        <f>IF(AND(Table1[[#This Row],[STATES in numeric format]]=1,F132=0),1,0)</f>
        <v>0</v>
      </c>
      <c r="O133" s="3">
        <f>IF(AND(Table1[[#This Row],[STATES in numeric format]]=1,F132=1),1,0)</f>
        <v>0</v>
      </c>
    </row>
    <row r="134" spans="1:15" x14ac:dyDescent="0.3">
      <c r="A134" s="1">
        <v>44026</v>
      </c>
      <c r="B134">
        <v>36033.06</v>
      </c>
      <c r="C134">
        <f>Table1[[#This Row],[Close]]-0.001*Table1[[#This Row],[Close]]</f>
        <v>35997.026939999996</v>
      </c>
      <c r="D134">
        <f>Table1[[#This Row],[Close]]+0.001*Table1[[#This Row],[Close]]</f>
        <v>36069.093059999999</v>
      </c>
      <c r="E134" t="str">
        <f>IF(Table1[[#This Row],[Close]]&gt;D133,"UP",IF(Table1[[#This Row],[Close]]&lt;C133,"Down","Constant"))</f>
        <v>Down</v>
      </c>
      <c r="F134" s="3">
        <f>IF(Table1[[#This Row],[Column1]]="Up",1,IF(Table1[[#This Row],[Column1]]="Down",-1,0))</f>
        <v>-1</v>
      </c>
      <c r="G134" s="3">
        <f>IF(AND(Table1[[#This Row],[STATES in numeric format]]=-1,F133=-1),1,0)</f>
        <v>0</v>
      </c>
      <c r="H134" s="3">
        <f>IF(AND(Table1[[#This Row],[STATES in numeric format]]=-1,F133=0),1,0)</f>
        <v>0</v>
      </c>
      <c r="I134" s="3">
        <f>IF(AND(Table1[[#This Row],[STATES in numeric format]]=-1,F133=1),1,0)</f>
        <v>1</v>
      </c>
      <c r="J134" s="3">
        <f>IF(AND(Table1[[#This Row],[STATES in numeric format]]=0,F133=-1),1,0)</f>
        <v>0</v>
      </c>
      <c r="K134" s="3">
        <f>IF(AND(Table1[[#This Row],[STATES in numeric format]]=0,F133=0),1,0)</f>
        <v>0</v>
      </c>
      <c r="L134" s="3">
        <f>IF(AND(Table1[[#This Row],[STATES in numeric format]]=0,F133=1),1,0)</f>
        <v>0</v>
      </c>
      <c r="M134" s="3">
        <f>IF(AND(Table1[[#This Row],[STATES in numeric format]]=1,F133=-1),1,0)</f>
        <v>0</v>
      </c>
      <c r="N134" s="3">
        <f>IF(AND(Table1[[#This Row],[STATES in numeric format]]=1,F133=0),1,0)</f>
        <v>0</v>
      </c>
      <c r="O134" s="3">
        <f>IF(AND(Table1[[#This Row],[STATES in numeric format]]=1,F133=1),1,0)</f>
        <v>0</v>
      </c>
    </row>
    <row r="135" spans="1:15" x14ac:dyDescent="0.3">
      <c r="A135" s="1">
        <v>44027</v>
      </c>
      <c r="B135">
        <v>36051.81</v>
      </c>
      <c r="C135">
        <f>Table1[[#This Row],[Close]]-0.001*Table1[[#This Row],[Close]]</f>
        <v>36015.75819</v>
      </c>
      <c r="D135">
        <f>Table1[[#This Row],[Close]]+0.001*Table1[[#This Row],[Close]]</f>
        <v>36087.861809999995</v>
      </c>
      <c r="E135" t="str">
        <f>IF(Table1[[#This Row],[Close]]&gt;D134,"UP",IF(Table1[[#This Row],[Close]]&lt;C134,"Down","Constant"))</f>
        <v>Constant</v>
      </c>
      <c r="F135" s="3">
        <f>IF(Table1[[#This Row],[Column1]]="Up",1,IF(Table1[[#This Row],[Column1]]="Down",-1,0))</f>
        <v>0</v>
      </c>
      <c r="G135" s="3">
        <f>IF(AND(Table1[[#This Row],[STATES in numeric format]]=-1,F134=-1),1,0)</f>
        <v>0</v>
      </c>
      <c r="H135" s="3">
        <f>IF(AND(Table1[[#This Row],[STATES in numeric format]]=-1,F134=0),1,0)</f>
        <v>0</v>
      </c>
      <c r="I135" s="3">
        <f>IF(AND(Table1[[#This Row],[STATES in numeric format]]=-1,F134=1),1,0)</f>
        <v>0</v>
      </c>
      <c r="J135" s="3">
        <f>IF(AND(Table1[[#This Row],[STATES in numeric format]]=0,F134=-1),1,0)</f>
        <v>1</v>
      </c>
      <c r="K135" s="3">
        <f>IF(AND(Table1[[#This Row],[STATES in numeric format]]=0,F134=0),1,0)</f>
        <v>0</v>
      </c>
      <c r="L135" s="3">
        <f>IF(AND(Table1[[#This Row],[STATES in numeric format]]=0,F134=1),1,0)</f>
        <v>0</v>
      </c>
      <c r="M135" s="3">
        <f>IF(AND(Table1[[#This Row],[STATES in numeric format]]=1,F134=-1),1,0)</f>
        <v>0</v>
      </c>
      <c r="N135" s="3">
        <f>IF(AND(Table1[[#This Row],[STATES in numeric format]]=1,F134=0),1,0)</f>
        <v>0</v>
      </c>
      <c r="O135" s="3">
        <f>IF(AND(Table1[[#This Row],[STATES in numeric format]]=1,F134=1),1,0)</f>
        <v>0</v>
      </c>
    </row>
    <row r="136" spans="1:15" x14ac:dyDescent="0.3">
      <c r="A136" s="1">
        <v>44028</v>
      </c>
      <c r="B136">
        <v>36471.68</v>
      </c>
      <c r="C136">
        <f>Table1[[#This Row],[Close]]-0.001*Table1[[#This Row],[Close]]</f>
        <v>36435.208319999998</v>
      </c>
      <c r="D136">
        <f>Table1[[#This Row],[Close]]+0.001*Table1[[#This Row],[Close]]</f>
        <v>36508.151680000003</v>
      </c>
      <c r="E136" t="str">
        <f>IF(Table1[[#This Row],[Close]]&gt;D135,"UP",IF(Table1[[#This Row],[Close]]&lt;C135,"Down","Constant"))</f>
        <v>UP</v>
      </c>
      <c r="F136" s="3">
        <f>IF(Table1[[#This Row],[Column1]]="Up",1,IF(Table1[[#This Row],[Column1]]="Down",-1,0))</f>
        <v>1</v>
      </c>
      <c r="G136" s="3">
        <f>IF(AND(Table1[[#This Row],[STATES in numeric format]]=-1,F135=-1),1,0)</f>
        <v>0</v>
      </c>
      <c r="H136" s="3">
        <f>IF(AND(Table1[[#This Row],[STATES in numeric format]]=-1,F135=0),1,0)</f>
        <v>0</v>
      </c>
      <c r="I136" s="3">
        <f>IF(AND(Table1[[#This Row],[STATES in numeric format]]=-1,F135=1),1,0)</f>
        <v>0</v>
      </c>
      <c r="J136" s="3">
        <f>IF(AND(Table1[[#This Row],[STATES in numeric format]]=0,F135=-1),1,0)</f>
        <v>0</v>
      </c>
      <c r="K136" s="3">
        <f>IF(AND(Table1[[#This Row],[STATES in numeric format]]=0,F135=0),1,0)</f>
        <v>0</v>
      </c>
      <c r="L136" s="3">
        <f>IF(AND(Table1[[#This Row],[STATES in numeric format]]=0,F135=1),1,0)</f>
        <v>0</v>
      </c>
      <c r="M136" s="3">
        <f>IF(AND(Table1[[#This Row],[STATES in numeric format]]=1,F135=-1),1,0)</f>
        <v>0</v>
      </c>
      <c r="N136" s="3">
        <f>IF(AND(Table1[[#This Row],[STATES in numeric format]]=1,F135=0),1,0)</f>
        <v>1</v>
      </c>
      <c r="O136" s="3">
        <f>IF(AND(Table1[[#This Row],[STATES in numeric format]]=1,F135=1),1,0)</f>
        <v>0</v>
      </c>
    </row>
    <row r="137" spans="1:15" x14ac:dyDescent="0.3">
      <c r="A137" s="1">
        <v>44029</v>
      </c>
      <c r="B137">
        <v>37020.14</v>
      </c>
      <c r="C137">
        <f>Table1[[#This Row],[Close]]-0.001*Table1[[#This Row],[Close]]</f>
        <v>36983.119859999999</v>
      </c>
      <c r="D137">
        <f>Table1[[#This Row],[Close]]+0.001*Table1[[#This Row],[Close]]</f>
        <v>37057.16014</v>
      </c>
      <c r="E137" t="str">
        <f>IF(Table1[[#This Row],[Close]]&gt;D136,"UP",IF(Table1[[#This Row],[Close]]&lt;C136,"Down","Constant"))</f>
        <v>UP</v>
      </c>
      <c r="F137" s="3">
        <f>IF(Table1[[#This Row],[Column1]]="Up",1,IF(Table1[[#This Row],[Column1]]="Down",-1,0))</f>
        <v>1</v>
      </c>
      <c r="G137" s="3">
        <f>IF(AND(Table1[[#This Row],[STATES in numeric format]]=-1,F136=-1),1,0)</f>
        <v>0</v>
      </c>
      <c r="H137" s="3">
        <f>IF(AND(Table1[[#This Row],[STATES in numeric format]]=-1,F136=0),1,0)</f>
        <v>0</v>
      </c>
      <c r="I137" s="3">
        <f>IF(AND(Table1[[#This Row],[STATES in numeric format]]=-1,F136=1),1,0)</f>
        <v>0</v>
      </c>
      <c r="J137" s="3">
        <f>IF(AND(Table1[[#This Row],[STATES in numeric format]]=0,F136=-1),1,0)</f>
        <v>0</v>
      </c>
      <c r="K137" s="3">
        <f>IF(AND(Table1[[#This Row],[STATES in numeric format]]=0,F136=0),1,0)</f>
        <v>0</v>
      </c>
      <c r="L137" s="3">
        <f>IF(AND(Table1[[#This Row],[STATES in numeric format]]=0,F136=1),1,0)</f>
        <v>0</v>
      </c>
      <c r="M137" s="3">
        <f>IF(AND(Table1[[#This Row],[STATES in numeric format]]=1,F136=-1),1,0)</f>
        <v>0</v>
      </c>
      <c r="N137" s="3">
        <f>IF(AND(Table1[[#This Row],[STATES in numeric format]]=1,F136=0),1,0)</f>
        <v>0</v>
      </c>
      <c r="O137" s="3">
        <f>IF(AND(Table1[[#This Row],[STATES in numeric format]]=1,F136=1),1,0)</f>
        <v>1</v>
      </c>
    </row>
    <row r="138" spans="1:15" x14ac:dyDescent="0.3">
      <c r="A138" s="1">
        <v>44032</v>
      </c>
      <c r="B138">
        <v>37418.99</v>
      </c>
      <c r="C138">
        <f>Table1[[#This Row],[Close]]-0.001*Table1[[#This Row],[Close]]</f>
        <v>37381.57101</v>
      </c>
      <c r="D138">
        <f>Table1[[#This Row],[Close]]+0.001*Table1[[#This Row],[Close]]</f>
        <v>37456.408989999996</v>
      </c>
      <c r="E138" t="str">
        <f>IF(Table1[[#This Row],[Close]]&gt;D137,"UP",IF(Table1[[#This Row],[Close]]&lt;C137,"Down","Constant"))</f>
        <v>UP</v>
      </c>
      <c r="F138" s="3">
        <f>IF(Table1[[#This Row],[Column1]]="Up",1,IF(Table1[[#This Row],[Column1]]="Down",-1,0))</f>
        <v>1</v>
      </c>
      <c r="G138" s="3">
        <f>IF(AND(Table1[[#This Row],[STATES in numeric format]]=-1,F137=-1),1,0)</f>
        <v>0</v>
      </c>
      <c r="H138" s="3">
        <f>IF(AND(Table1[[#This Row],[STATES in numeric format]]=-1,F137=0),1,0)</f>
        <v>0</v>
      </c>
      <c r="I138" s="3">
        <f>IF(AND(Table1[[#This Row],[STATES in numeric format]]=-1,F137=1),1,0)</f>
        <v>0</v>
      </c>
      <c r="J138" s="3">
        <f>IF(AND(Table1[[#This Row],[STATES in numeric format]]=0,F137=-1),1,0)</f>
        <v>0</v>
      </c>
      <c r="K138" s="3">
        <f>IF(AND(Table1[[#This Row],[STATES in numeric format]]=0,F137=0),1,0)</f>
        <v>0</v>
      </c>
      <c r="L138" s="3">
        <f>IF(AND(Table1[[#This Row],[STATES in numeric format]]=0,F137=1),1,0)</f>
        <v>0</v>
      </c>
      <c r="M138" s="3">
        <f>IF(AND(Table1[[#This Row],[STATES in numeric format]]=1,F137=-1),1,0)</f>
        <v>0</v>
      </c>
      <c r="N138" s="3">
        <f>IF(AND(Table1[[#This Row],[STATES in numeric format]]=1,F137=0),1,0)</f>
        <v>0</v>
      </c>
      <c r="O138" s="3">
        <f>IF(AND(Table1[[#This Row],[STATES in numeric format]]=1,F137=1),1,0)</f>
        <v>1</v>
      </c>
    </row>
    <row r="139" spans="1:15" x14ac:dyDescent="0.3">
      <c r="A139" s="1">
        <v>44033</v>
      </c>
      <c r="B139">
        <v>37930.33</v>
      </c>
      <c r="C139">
        <f>Table1[[#This Row],[Close]]-0.001*Table1[[#This Row],[Close]]</f>
        <v>37892.399669999999</v>
      </c>
      <c r="D139">
        <f>Table1[[#This Row],[Close]]+0.001*Table1[[#This Row],[Close]]</f>
        <v>37968.260330000005</v>
      </c>
      <c r="E139" t="str">
        <f>IF(Table1[[#This Row],[Close]]&gt;D138,"UP",IF(Table1[[#This Row],[Close]]&lt;C138,"Down","Constant"))</f>
        <v>UP</v>
      </c>
      <c r="F139" s="3">
        <f>IF(Table1[[#This Row],[Column1]]="Up",1,IF(Table1[[#This Row],[Column1]]="Down",-1,0))</f>
        <v>1</v>
      </c>
      <c r="G139" s="3">
        <f>IF(AND(Table1[[#This Row],[STATES in numeric format]]=-1,F138=-1),1,0)</f>
        <v>0</v>
      </c>
      <c r="H139" s="3">
        <f>IF(AND(Table1[[#This Row],[STATES in numeric format]]=-1,F138=0),1,0)</f>
        <v>0</v>
      </c>
      <c r="I139" s="3">
        <f>IF(AND(Table1[[#This Row],[STATES in numeric format]]=-1,F138=1),1,0)</f>
        <v>0</v>
      </c>
      <c r="J139" s="3">
        <f>IF(AND(Table1[[#This Row],[STATES in numeric format]]=0,F138=-1),1,0)</f>
        <v>0</v>
      </c>
      <c r="K139" s="3">
        <f>IF(AND(Table1[[#This Row],[STATES in numeric format]]=0,F138=0),1,0)</f>
        <v>0</v>
      </c>
      <c r="L139" s="3">
        <f>IF(AND(Table1[[#This Row],[STATES in numeric format]]=0,F138=1),1,0)</f>
        <v>0</v>
      </c>
      <c r="M139" s="3">
        <f>IF(AND(Table1[[#This Row],[STATES in numeric format]]=1,F138=-1),1,0)</f>
        <v>0</v>
      </c>
      <c r="N139" s="3">
        <f>IF(AND(Table1[[#This Row],[STATES in numeric format]]=1,F138=0),1,0)</f>
        <v>0</v>
      </c>
      <c r="O139" s="3">
        <f>IF(AND(Table1[[#This Row],[STATES in numeric format]]=1,F138=1),1,0)</f>
        <v>1</v>
      </c>
    </row>
    <row r="140" spans="1:15" x14ac:dyDescent="0.3">
      <c r="A140" s="1">
        <v>44034</v>
      </c>
      <c r="B140">
        <v>37871.519999999997</v>
      </c>
      <c r="C140">
        <f>Table1[[#This Row],[Close]]-0.001*Table1[[#This Row],[Close]]</f>
        <v>37833.648479999996</v>
      </c>
      <c r="D140">
        <f>Table1[[#This Row],[Close]]+0.001*Table1[[#This Row],[Close]]</f>
        <v>37909.391519999997</v>
      </c>
      <c r="E140" t="str">
        <f>IF(Table1[[#This Row],[Close]]&gt;D139,"UP",IF(Table1[[#This Row],[Close]]&lt;C139,"Down","Constant"))</f>
        <v>Down</v>
      </c>
      <c r="F140" s="3">
        <f>IF(Table1[[#This Row],[Column1]]="Up",1,IF(Table1[[#This Row],[Column1]]="Down",-1,0))</f>
        <v>-1</v>
      </c>
      <c r="G140" s="3">
        <f>IF(AND(Table1[[#This Row],[STATES in numeric format]]=-1,F139=-1),1,0)</f>
        <v>0</v>
      </c>
      <c r="H140" s="3">
        <f>IF(AND(Table1[[#This Row],[STATES in numeric format]]=-1,F139=0),1,0)</f>
        <v>0</v>
      </c>
      <c r="I140" s="3">
        <f>IF(AND(Table1[[#This Row],[STATES in numeric format]]=-1,F139=1),1,0)</f>
        <v>1</v>
      </c>
      <c r="J140" s="3">
        <f>IF(AND(Table1[[#This Row],[STATES in numeric format]]=0,F139=-1),1,0)</f>
        <v>0</v>
      </c>
      <c r="K140" s="3">
        <f>IF(AND(Table1[[#This Row],[STATES in numeric format]]=0,F139=0),1,0)</f>
        <v>0</v>
      </c>
      <c r="L140" s="3">
        <f>IF(AND(Table1[[#This Row],[STATES in numeric format]]=0,F139=1),1,0)</f>
        <v>0</v>
      </c>
      <c r="M140" s="3">
        <f>IF(AND(Table1[[#This Row],[STATES in numeric format]]=1,F139=-1),1,0)</f>
        <v>0</v>
      </c>
      <c r="N140" s="3">
        <f>IF(AND(Table1[[#This Row],[STATES in numeric format]]=1,F139=0),1,0)</f>
        <v>0</v>
      </c>
      <c r="O140" s="3">
        <f>IF(AND(Table1[[#This Row],[STATES in numeric format]]=1,F139=1),1,0)</f>
        <v>0</v>
      </c>
    </row>
    <row r="141" spans="1:15" x14ac:dyDescent="0.3">
      <c r="A141" s="1">
        <v>44035</v>
      </c>
      <c r="B141">
        <v>38140.47</v>
      </c>
      <c r="C141">
        <f>Table1[[#This Row],[Close]]-0.001*Table1[[#This Row],[Close]]</f>
        <v>38102.329530000003</v>
      </c>
      <c r="D141">
        <f>Table1[[#This Row],[Close]]+0.001*Table1[[#This Row],[Close]]</f>
        <v>38178.61047</v>
      </c>
      <c r="E141" t="str">
        <f>IF(Table1[[#This Row],[Close]]&gt;D140,"UP",IF(Table1[[#This Row],[Close]]&lt;C140,"Down","Constant"))</f>
        <v>UP</v>
      </c>
      <c r="F141" s="3">
        <f>IF(Table1[[#This Row],[Column1]]="Up",1,IF(Table1[[#This Row],[Column1]]="Down",-1,0))</f>
        <v>1</v>
      </c>
      <c r="G141" s="3">
        <f>IF(AND(Table1[[#This Row],[STATES in numeric format]]=-1,F140=-1),1,0)</f>
        <v>0</v>
      </c>
      <c r="H141" s="3">
        <f>IF(AND(Table1[[#This Row],[STATES in numeric format]]=-1,F140=0),1,0)</f>
        <v>0</v>
      </c>
      <c r="I141" s="3">
        <f>IF(AND(Table1[[#This Row],[STATES in numeric format]]=-1,F140=1),1,0)</f>
        <v>0</v>
      </c>
      <c r="J141" s="3">
        <f>IF(AND(Table1[[#This Row],[STATES in numeric format]]=0,F140=-1),1,0)</f>
        <v>0</v>
      </c>
      <c r="K141" s="3">
        <f>IF(AND(Table1[[#This Row],[STATES in numeric format]]=0,F140=0),1,0)</f>
        <v>0</v>
      </c>
      <c r="L141" s="3">
        <f>IF(AND(Table1[[#This Row],[STATES in numeric format]]=0,F140=1),1,0)</f>
        <v>0</v>
      </c>
      <c r="M141" s="3">
        <f>IF(AND(Table1[[#This Row],[STATES in numeric format]]=1,F140=-1),1,0)</f>
        <v>1</v>
      </c>
      <c r="N141" s="3">
        <f>IF(AND(Table1[[#This Row],[STATES in numeric format]]=1,F140=0),1,0)</f>
        <v>0</v>
      </c>
      <c r="O141" s="3">
        <f>IF(AND(Table1[[#This Row],[STATES in numeric format]]=1,F140=1),1,0)</f>
        <v>0</v>
      </c>
    </row>
    <row r="142" spans="1:15" x14ac:dyDescent="0.3">
      <c r="A142" s="1">
        <v>44036</v>
      </c>
      <c r="B142">
        <v>38128.9</v>
      </c>
      <c r="C142">
        <f>Table1[[#This Row],[Close]]-0.001*Table1[[#This Row],[Close]]</f>
        <v>38090.771099999998</v>
      </c>
      <c r="D142">
        <f>Table1[[#This Row],[Close]]+0.001*Table1[[#This Row],[Close]]</f>
        <v>38167.028900000005</v>
      </c>
      <c r="E142" t="str">
        <f>IF(Table1[[#This Row],[Close]]&gt;D141,"UP",IF(Table1[[#This Row],[Close]]&lt;C141,"Down","Constant"))</f>
        <v>Constant</v>
      </c>
      <c r="F142" s="3">
        <f>IF(Table1[[#This Row],[Column1]]="Up",1,IF(Table1[[#This Row],[Column1]]="Down",-1,0))</f>
        <v>0</v>
      </c>
      <c r="G142" s="3">
        <f>IF(AND(Table1[[#This Row],[STATES in numeric format]]=-1,F141=-1),1,0)</f>
        <v>0</v>
      </c>
      <c r="H142" s="3">
        <f>IF(AND(Table1[[#This Row],[STATES in numeric format]]=-1,F141=0),1,0)</f>
        <v>0</v>
      </c>
      <c r="I142" s="3">
        <f>IF(AND(Table1[[#This Row],[STATES in numeric format]]=-1,F141=1),1,0)</f>
        <v>0</v>
      </c>
      <c r="J142" s="3">
        <f>IF(AND(Table1[[#This Row],[STATES in numeric format]]=0,F141=-1),1,0)</f>
        <v>0</v>
      </c>
      <c r="K142" s="3">
        <f>IF(AND(Table1[[#This Row],[STATES in numeric format]]=0,F141=0),1,0)</f>
        <v>0</v>
      </c>
      <c r="L142" s="3">
        <f>IF(AND(Table1[[#This Row],[STATES in numeric format]]=0,F141=1),1,0)</f>
        <v>1</v>
      </c>
      <c r="M142" s="3">
        <f>IF(AND(Table1[[#This Row],[STATES in numeric format]]=1,F141=-1),1,0)</f>
        <v>0</v>
      </c>
      <c r="N142" s="3">
        <f>IF(AND(Table1[[#This Row],[STATES in numeric format]]=1,F141=0),1,0)</f>
        <v>0</v>
      </c>
      <c r="O142" s="3">
        <f>IF(AND(Table1[[#This Row],[STATES in numeric format]]=1,F141=1),1,0)</f>
        <v>0</v>
      </c>
    </row>
    <row r="143" spans="1:15" x14ac:dyDescent="0.3">
      <c r="A143" s="1">
        <v>44039</v>
      </c>
      <c r="B143">
        <v>37934.730000000003</v>
      </c>
      <c r="C143">
        <f>Table1[[#This Row],[Close]]-0.001*Table1[[#This Row],[Close]]</f>
        <v>37896.795270000002</v>
      </c>
      <c r="D143">
        <f>Table1[[#This Row],[Close]]+0.001*Table1[[#This Row],[Close]]</f>
        <v>37972.664730000004</v>
      </c>
      <c r="E143" t="str">
        <f>IF(Table1[[#This Row],[Close]]&gt;D142,"UP",IF(Table1[[#This Row],[Close]]&lt;C142,"Down","Constant"))</f>
        <v>Down</v>
      </c>
      <c r="F143" s="3">
        <f>IF(Table1[[#This Row],[Column1]]="Up",1,IF(Table1[[#This Row],[Column1]]="Down",-1,0))</f>
        <v>-1</v>
      </c>
      <c r="G143" s="3">
        <f>IF(AND(Table1[[#This Row],[STATES in numeric format]]=-1,F142=-1),1,0)</f>
        <v>0</v>
      </c>
      <c r="H143" s="3">
        <f>IF(AND(Table1[[#This Row],[STATES in numeric format]]=-1,F142=0),1,0)</f>
        <v>1</v>
      </c>
      <c r="I143" s="3">
        <f>IF(AND(Table1[[#This Row],[STATES in numeric format]]=-1,F142=1),1,0)</f>
        <v>0</v>
      </c>
      <c r="J143" s="3">
        <f>IF(AND(Table1[[#This Row],[STATES in numeric format]]=0,F142=-1),1,0)</f>
        <v>0</v>
      </c>
      <c r="K143" s="3">
        <f>IF(AND(Table1[[#This Row],[STATES in numeric format]]=0,F142=0),1,0)</f>
        <v>0</v>
      </c>
      <c r="L143" s="3">
        <f>IF(AND(Table1[[#This Row],[STATES in numeric format]]=0,F142=1),1,0)</f>
        <v>0</v>
      </c>
      <c r="M143" s="3">
        <f>IF(AND(Table1[[#This Row],[STATES in numeric format]]=1,F142=-1),1,0)</f>
        <v>0</v>
      </c>
      <c r="N143" s="3">
        <f>IF(AND(Table1[[#This Row],[STATES in numeric format]]=1,F142=0),1,0)</f>
        <v>0</v>
      </c>
      <c r="O143" s="3">
        <f>IF(AND(Table1[[#This Row],[STATES in numeric format]]=1,F142=1),1,0)</f>
        <v>0</v>
      </c>
    </row>
    <row r="144" spans="1:15" x14ac:dyDescent="0.3">
      <c r="A144" s="1">
        <v>44040</v>
      </c>
      <c r="B144">
        <v>38492.949999999997</v>
      </c>
      <c r="C144">
        <f>Table1[[#This Row],[Close]]-0.001*Table1[[#This Row],[Close]]</f>
        <v>38454.457049999997</v>
      </c>
      <c r="D144">
        <f>Table1[[#This Row],[Close]]+0.001*Table1[[#This Row],[Close]]</f>
        <v>38531.442949999997</v>
      </c>
      <c r="E144" t="str">
        <f>IF(Table1[[#This Row],[Close]]&gt;D143,"UP",IF(Table1[[#This Row],[Close]]&lt;C143,"Down","Constant"))</f>
        <v>UP</v>
      </c>
      <c r="F144" s="3">
        <f>IF(Table1[[#This Row],[Column1]]="Up",1,IF(Table1[[#This Row],[Column1]]="Down",-1,0))</f>
        <v>1</v>
      </c>
      <c r="G144" s="3">
        <f>IF(AND(Table1[[#This Row],[STATES in numeric format]]=-1,F143=-1),1,0)</f>
        <v>0</v>
      </c>
      <c r="H144" s="3">
        <f>IF(AND(Table1[[#This Row],[STATES in numeric format]]=-1,F143=0),1,0)</f>
        <v>0</v>
      </c>
      <c r="I144" s="3">
        <f>IF(AND(Table1[[#This Row],[STATES in numeric format]]=-1,F143=1),1,0)</f>
        <v>0</v>
      </c>
      <c r="J144" s="3">
        <f>IF(AND(Table1[[#This Row],[STATES in numeric format]]=0,F143=-1),1,0)</f>
        <v>0</v>
      </c>
      <c r="K144" s="3">
        <f>IF(AND(Table1[[#This Row],[STATES in numeric format]]=0,F143=0),1,0)</f>
        <v>0</v>
      </c>
      <c r="L144" s="3">
        <f>IF(AND(Table1[[#This Row],[STATES in numeric format]]=0,F143=1),1,0)</f>
        <v>0</v>
      </c>
      <c r="M144" s="3">
        <f>IF(AND(Table1[[#This Row],[STATES in numeric format]]=1,F143=-1),1,0)</f>
        <v>1</v>
      </c>
      <c r="N144" s="3">
        <f>IF(AND(Table1[[#This Row],[STATES in numeric format]]=1,F143=0),1,0)</f>
        <v>0</v>
      </c>
      <c r="O144" s="3">
        <f>IF(AND(Table1[[#This Row],[STATES in numeric format]]=1,F143=1),1,0)</f>
        <v>0</v>
      </c>
    </row>
    <row r="145" spans="1:15" x14ac:dyDescent="0.3">
      <c r="A145" s="1">
        <v>44041</v>
      </c>
      <c r="B145">
        <v>38071.129999999997</v>
      </c>
      <c r="C145">
        <f>Table1[[#This Row],[Close]]-0.001*Table1[[#This Row],[Close]]</f>
        <v>38033.058870000001</v>
      </c>
      <c r="D145">
        <f>Table1[[#This Row],[Close]]+0.001*Table1[[#This Row],[Close]]</f>
        <v>38109.201129999994</v>
      </c>
      <c r="E145" t="str">
        <f>IF(Table1[[#This Row],[Close]]&gt;D144,"UP",IF(Table1[[#This Row],[Close]]&lt;C144,"Down","Constant"))</f>
        <v>Down</v>
      </c>
      <c r="F145" s="3">
        <f>IF(Table1[[#This Row],[Column1]]="Up",1,IF(Table1[[#This Row],[Column1]]="Down",-1,0))</f>
        <v>-1</v>
      </c>
      <c r="G145" s="3">
        <f>IF(AND(Table1[[#This Row],[STATES in numeric format]]=-1,F144=-1),1,0)</f>
        <v>0</v>
      </c>
      <c r="H145" s="3">
        <f>IF(AND(Table1[[#This Row],[STATES in numeric format]]=-1,F144=0),1,0)</f>
        <v>0</v>
      </c>
      <c r="I145" s="3">
        <f>IF(AND(Table1[[#This Row],[STATES in numeric format]]=-1,F144=1),1,0)</f>
        <v>1</v>
      </c>
      <c r="J145" s="3">
        <f>IF(AND(Table1[[#This Row],[STATES in numeric format]]=0,F144=-1),1,0)</f>
        <v>0</v>
      </c>
      <c r="K145" s="3">
        <f>IF(AND(Table1[[#This Row],[STATES in numeric format]]=0,F144=0),1,0)</f>
        <v>0</v>
      </c>
      <c r="L145" s="3">
        <f>IF(AND(Table1[[#This Row],[STATES in numeric format]]=0,F144=1),1,0)</f>
        <v>0</v>
      </c>
      <c r="M145" s="3">
        <f>IF(AND(Table1[[#This Row],[STATES in numeric format]]=1,F144=-1),1,0)</f>
        <v>0</v>
      </c>
      <c r="N145" s="3">
        <f>IF(AND(Table1[[#This Row],[STATES in numeric format]]=1,F144=0),1,0)</f>
        <v>0</v>
      </c>
      <c r="O145" s="3">
        <f>IF(AND(Table1[[#This Row],[STATES in numeric format]]=1,F144=1),1,0)</f>
        <v>0</v>
      </c>
    </row>
    <row r="146" spans="1:15" x14ac:dyDescent="0.3">
      <c r="A146" s="1">
        <v>44042</v>
      </c>
      <c r="B146">
        <v>37736.07</v>
      </c>
      <c r="C146">
        <f>Table1[[#This Row],[Close]]-0.001*Table1[[#This Row],[Close]]</f>
        <v>37698.333930000001</v>
      </c>
      <c r="D146">
        <f>Table1[[#This Row],[Close]]+0.001*Table1[[#This Row],[Close]]</f>
        <v>37773.806069999999</v>
      </c>
      <c r="E146" t="str">
        <f>IF(Table1[[#This Row],[Close]]&gt;D145,"UP",IF(Table1[[#This Row],[Close]]&lt;C145,"Down","Constant"))</f>
        <v>Down</v>
      </c>
      <c r="F146" s="3">
        <f>IF(Table1[[#This Row],[Column1]]="Up",1,IF(Table1[[#This Row],[Column1]]="Down",-1,0))</f>
        <v>-1</v>
      </c>
      <c r="G146" s="3">
        <f>IF(AND(Table1[[#This Row],[STATES in numeric format]]=-1,F145=-1),1,0)</f>
        <v>1</v>
      </c>
      <c r="H146" s="3">
        <f>IF(AND(Table1[[#This Row],[STATES in numeric format]]=-1,F145=0),1,0)</f>
        <v>0</v>
      </c>
      <c r="I146" s="3">
        <f>IF(AND(Table1[[#This Row],[STATES in numeric format]]=-1,F145=1),1,0)</f>
        <v>0</v>
      </c>
      <c r="J146" s="3">
        <f>IF(AND(Table1[[#This Row],[STATES in numeric format]]=0,F145=-1),1,0)</f>
        <v>0</v>
      </c>
      <c r="K146" s="3">
        <f>IF(AND(Table1[[#This Row],[STATES in numeric format]]=0,F145=0),1,0)</f>
        <v>0</v>
      </c>
      <c r="L146" s="3">
        <f>IF(AND(Table1[[#This Row],[STATES in numeric format]]=0,F145=1),1,0)</f>
        <v>0</v>
      </c>
      <c r="M146" s="3">
        <f>IF(AND(Table1[[#This Row],[STATES in numeric format]]=1,F145=-1),1,0)</f>
        <v>0</v>
      </c>
      <c r="N146" s="3">
        <f>IF(AND(Table1[[#This Row],[STATES in numeric format]]=1,F145=0),1,0)</f>
        <v>0</v>
      </c>
      <c r="O146" s="3">
        <f>IF(AND(Table1[[#This Row],[STATES in numeric format]]=1,F145=1),1,0)</f>
        <v>0</v>
      </c>
    </row>
    <row r="147" spans="1:15" x14ac:dyDescent="0.3">
      <c r="A147" s="1">
        <v>44043</v>
      </c>
      <c r="B147">
        <v>37606.89</v>
      </c>
      <c r="C147">
        <f>Table1[[#This Row],[Close]]-0.001*Table1[[#This Row],[Close]]</f>
        <v>37569.283109999997</v>
      </c>
      <c r="D147">
        <f>Table1[[#This Row],[Close]]+0.001*Table1[[#This Row],[Close]]</f>
        <v>37644.496890000002</v>
      </c>
      <c r="E147" t="str">
        <f>IF(Table1[[#This Row],[Close]]&gt;D146,"UP",IF(Table1[[#This Row],[Close]]&lt;C146,"Down","Constant"))</f>
        <v>Down</v>
      </c>
      <c r="F147" s="3">
        <f>IF(Table1[[#This Row],[Column1]]="Up",1,IF(Table1[[#This Row],[Column1]]="Down",-1,0))</f>
        <v>-1</v>
      </c>
      <c r="G147" s="3">
        <f>IF(AND(Table1[[#This Row],[STATES in numeric format]]=-1,F146=-1),1,0)</f>
        <v>1</v>
      </c>
      <c r="H147" s="3">
        <f>IF(AND(Table1[[#This Row],[STATES in numeric format]]=-1,F146=0),1,0)</f>
        <v>0</v>
      </c>
      <c r="I147" s="3">
        <f>IF(AND(Table1[[#This Row],[STATES in numeric format]]=-1,F146=1),1,0)</f>
        <v>0</v>
      </c>
      <c r="J147" s="3">
        <f>IF(AND(Table1[[#This Row],[STATES in numeric format]]=0,F146=-1),1,0)</f>
        <v>0</v>
      </c>
      <c r="K147" s="3">
        <f>IF(AND(Table1[[#This Row],[STATES in numeric format]]=0,F146=0),1,0)</f>
        <v>0</v>
      </c>
      <c r="L147" s="3">
        <f>IF(AND(Table1[[#This Row],[STATES in numeric format]]=0,F146=1),1,0)</f>
        <v>0</v>
      </c>
      <c r="M147" s="3">
        <f>IF(AND(Table1[[#This Row],[STATES in numeric format]]=1,F146=-1),1,0)</f>
        <v>0</v>
      </c>
      <c r="N147" s="3">
        <f>IF(AND(Table1[[#This Row],[STATES in numeric format]]=1,F146=0),1,0)</f>
        <v>0</v>
      </c>
      <c r="O147" s="3">
        <f>IF(AND(Table1[[#This Row],[STATES in numeric format]]=1,F146=1),1,0)</f>
        <v>0</v>
      </c>
    </row>
    <row r="148" spans="1:15" x14ac:dyDescent="0.3">
      <c r="A148" s="1">
        <v>44046</v>
      </c>
      <c r="B148">
        <v>36939.599999999999</v>
      </c>
      <c r="C148">
        <f>Table1[[#This Row],[Close]]-0.001*Table1[[#This Row],[Close]]</f>
        <v>36902.660400000001</v>
      </c>
      <c r="D148">
        <f>Table1[[#This Row],[Close]]+0.001*Table1[[#This Row],[Close]]</f>
        <v>36976.539599999996</v>
      </c>
      <c r="E148" t="str">
        <f>IF(Table1[[#This Row],[Close]]&gt;D147,"UP",IF(Table1[[#This Row],[Close]]&lt;C147,"Down","Constant"))</f>
        <v>Down</v>
      </c>
      <c r="F148" s="3">
        <f>IF(Table1[[#This Row],[Column1]]="Up",1,IF(Table1[[#This Row],[Column1]]="Down",-1,0))</f>
        <v>-1</v>
      </c>
      <c r="G148" s="3">
        <f>IF(AND(Table1[[#This Row],[STATES in numeric format]]=-1,F147=-1),1,0)</f>
        <v>1</v>
      </c>
      <c r="H148" s="3">
        <f>IF(AND(Table1[[#This Row],[STATES in numeric format]]=-1,F147=0),1,0)</f>
        <v>0</v>
      </c>
      <c r="I148" s="3">
        <f>IF(AND(Table1[[#This Row],[STATES in numeric format]]=-1,F147=1),1,0)</f>
        <v>0</v>
      </c>
      <c r="J148" s="3">
        <f>IF(AND(Table1[[#This Row],[STATES in numeric format]]=0,F147=-1),1,0)</f>
        <v>0</v>
      </c>
      <c r="K148" s="3">
        <f>IF(AND(Table1[[#This Row],[STATES in numeric format]]=0,F147=0),1,0)</f>
        <v>0</v>
      </c>
      <c r="L148" s="3">
        <f>IF(AND(Table1[[#This Row],[STATES in numeric format]]=0,F147=1),1,0)</f>
        <v>0</v>
      </c>
      <c r="M148" s="3">
        <f>IF(AND(Table1[[#This Row],[STATES in numeric format]]=1,F147=-1),1,0)</f>
        <v>0</v>
      </c>
      <c r="N148" s="3">
        <f>IF(AND(Table1[[#This Row],[STATES in numeric format]]=1,F147=0),1,0)</f>
        <v>0</v>
      </c>
      <c r="O148" s="3">
        <f>IF(AND(Table1[[#This Row],[STATES in numeric format]]=1,F147=1),1,0)</f>
        <v>0</v>
      </c>
    </row>
    <row r="149" spans="1:15" x14ac:dyDescent="0.3">
      <c r="A149" s="1">
        <v>44047</v>
      </c>
      <c r="B149">
        <v>37687.910000000003</v>
      </c>
      <c r="C149">
        <f>Table1[[#This Row],[Close]]-0.001*Table1[[#This Row],[Close]]</f>
        <v>37650.222090000003</v>
      </c>
      <c r="D149">
        <f>Table1[[#This Row],[Close]]+0.001*Table1[[#This Row],[Close]]</f>
        <v>37725.597910000004</v>
      </c>
      <c r="E149" t="str">
        <f>IF(Table1[[#This Row],[Close]]&gt;D148,"UP",IF(Table1[[#This Row],[Close]]&lt;C148,"Down","Constant"))</f>
        <v>UP</v>
      </c>
      <c r="F149" s="3">
        <f>IF(Table1[[#This Row],[Column1]]="Up",1,IF(Table1[[#This Row],[Column1]]="Down",-1,0))</f>
        <v>1</v>
      </c>
      <c r="G149" s="3">
        <f>IF(AND(Table1[[#This Row],[STATES in numeric format]]=-1,F148=-1),1,0)</f>
        <v>0</v>
      </c>
      <c r="H149" s="3">
        <f>IF(AND(Table1[[#This Row],[STATES in numeric format]]=-1,F148=0),1,0)</f>
        <v>0</v>
      </c>
      <c r="I149" s="3">
        <f>IF(AND(Table1[[#This Row],[STATES in numeric format]]=-1,F148=1),1,0)</f>
        <v>0</v>
      </c>
      <c r="J149" s="3">
        <f>IF(AND(Table1[[#This Row],[STATES in numeric format]]=0,F148=-1),1,0)</f>
        <v>0</v>
      </c>
      <c r="K149" s="3">
        <f>IF(AND(Table1[[#This Row],[STATES in numeric format]]=0,F148=0),1,0)</f>
        <v>0</v>
      </c>
      <c r="L149" s="3">
        <f>IF(AND(Table1[[#This Row],[STATES in numeric format]]=0,F148=1),1,0)</f>
        <v>0</v>
      </c>
      <c r="M149" s="3">
        <f>IF(AND(Table1[[#This Row],[STATES in numeric format]]=1,F148=-1),1,0)</f>
        <v>1</v>
      </c>
      <c r="N149" s="3">
        <f>IF(AND(Table1[[#This Row],[STATES in numeric format]]=1,F148=0),1,0)</f>
        <v>0</v>
      </c>
      <c r="O149" s="3">
        <f>IF(AND(Table1[[#This Row],[STATES in numeric format]]=1,F148=1),1,0)</f>
        <v>0</v>
      </c>
    </row>
    <row r="150" spans="1:15" x14ac:dyDescent="0.3">
      <c r="A150" s="1">
        <v>44048</v>
      </c>
      <c r="B150">
        <v>37663.33</v>
      </c>
      <c r="C150">
        <f>Table1[[#This Row],[Close]]-0.001*Table1[[#This Row],[Close]]</f>
        <v>37625.666669999999</v>
      </c>
      <c r="D150">
        <f>Table1[[#This Row],[Close]]+0.001*Table1[[#This Row],[Close]]</f>
        <v>37700.993330000005</v>
      </c>
      <c r="E150" t="str">
        <f>IF(Table1[[#This Row],[Close]]&gt;D149,"UP",IF(Table1[[#This Row],[Close]]&lt;C149,"Down","Constant"))</f>
        <v>Constant</v>
      </c>
      <c r="F150" s="3">
        <f>IF(Table1[[#This Row],[Column1]]="Up",1,IF(Table1[[#This Row],[Column1]]="Down",-1,0))</f>
        <v>0</v>
      </c>
      <c r="G150" s="3">
        <f>IF(AND(Table1[[#This Row],[STATES in numeric format]]=-1,F149=-1),1,0)</f>
        <v>0</v>
      </c>
      <c r="H150" s="3">
        <f>IF(AND(Table1[[#This Row],[STATES in numeric format]]=-1,F149=0),1,0)</f>
        <v>0</v>
      </c>
      <c r="I150" s="3">
        <f>IF(AND(Table1[[#This Row],[STATES in numeric format]]=-1,F149=1),1,0)</f>
        <v>0</v>
      </c>
      <c r="J150" s="3">
        <f>IF(AND(Table1[[#This Row],[STATES in numeric format]]=0,F149=-1),1,0)</f>
        <v>0</v>
      </c>
      <c r="K150" s="3">
        <f>IF(AND(Table1[[#This Row],[STATES in numeric format]]=0,F149=0),1,0)</f>
        <v>0</v>
      </c>
      <c r="L150" s="3">
        <f>IF(AND(Table1[[#This Row],[STATES in numeric format]]=0,F149=1),1,0)</f>
        <v>1</v>
      </c>
      <c r="M150" s="3">
        <f>IF(AND(Table1[[#This Row],[STATES in numeric format]]=1,F149=-1),1,0)</f>
        <v>0</v>
      </c>
      <c r="N150" s="3">
        <f>IF(AND(Table1[[#This Row],[STATES in numeric format]]=1,F149=0),1,0)</f>
        <v>0</v>
      </c>
      <c r="O150" s="3">
        <f>IF(AND(Table1[[#This Row],[STATES in numeric format]]=1,F149=1),1,0)</f>
        <v>0</v>
      </c>
    </row>
    <row r="151" spans="1:15" x14ac:dyDescent="0.3">
      <c r="A151" s="1">
        <v>44049</v>
      </c>
      <c r="B151">
        <v>38025.449999999997</v>
      </c>
      <c r="C151">
        <f>Table1[[#This Row],[Close]]-0.001*Table1[[#This Row],[Close]]</f>
        <v>37987.424549999996</v>
      </c>
      <c r="D151">
        <f>Table1[[#This Row],[Close]]+0.001*Table1[[#This Row],[Close]]</f>
        <v>38063.475449999998</v>
      </c>
      <c r="E151" t="str">
        <f>IF(Table1[[#This Row],[Close]]&gt;D150,"UP",IF(Table1[[#This Row],[Close]]&lt;C150,"Down","Constant"))</f>
        <v>UP</v>
      </c>
      <c r="F151" s="3">
        <f>IF(Table1[[#This Row],[Column1]]="Up",1,IF(Table1[[#This Row],[Column1]]="Down",-1,0))</f>
        <v>1</v>
      </c>
      <c r="G151" s="3">
        <f>IF(AND(Table1[[#This Row],[STATES in numeric format]]=-1,F150=-1),1,0)</f>
        <v>0</v>
      </c>
      <c r="H151" s="3">
        <f>IF(AND(Table1[[#This Row],[STATES in numeric format]]=-1,F150=0),1,0)</f>
        <v>0</v>
      </c>
      <c r="I151" s="3">
        <f>IF(AND(Table1[[#This Row],[STATES in numeric format]]=-1,F150=1),1,0)</f>
        <v>0</v>
      </c>
      <c r="J151" s="3">
        <f>IF(AND(Table1[[#This Row],[STATES in numeric format]]=0,F150=-1),1,0)</f>
        <v>0</v>
      </c>
      <c r="K151" s="3">
        <f>IF(AND(Table1[[#This Row],[STATES in numeric format]]=0,F150=0),1,0)</f>
        <v>0</v>
      </c>
      <c r="L151" s="3">
        <f>IF(AND(Table1[[#This Row],[STATES in numeric format]]=0,F150=1),1,0)</f>
        <v>0</v>
      </c>
      <c r="M151" s="3">
        <f>IF(AND(Table1[[#This Row],[STATES in numeric format]]=1,F150=-1),1,0)</f>
        <v>0</v>
      </c>
      <c r="N151" s="3">
        <f>IF(AND(Table1[[#This Row],[STATES in numeric format]]=1,F150=0),1,0)</f>
        <v>1</v>
      </c>
      <c r="O151" s="3">
        <f>IF(AND(Table1[[#This Row],[STATES in numeric format]]=1,F150=1),1,0)</f>
        <v>0</v>
      </c>
    </row>
    <row r="152" spans="1:15" x14ac:dyDescent="0.3">
      <c r="A152" s="1">
        <v>44050</v>
      </c>
      <c r="B152">
        <v>38040.57</v>
      </c>
      <c r="C152">
        <f>Table1[[#This Row],[Close]]-0.001*Table1[[#This Row],[Close]]</f>
        <v>38002.529430000002</v>
      </c>
      <c r="D152">
        <f>Table1[[#This Row],[Close]]+0.001*Table1[[#This Row],[Close]]</f>
        <v>38078.610569999997</v>
      </c>
      <c r="E152" t="str">
        <f>IF(Table1[[#This Row],[Close]]&gt;D151,"UP",IF(Table1[[#This Row],[Close]]&lt;C151,"Down","Constant"))</f>
        <v>Constant</v>
      </c>
      <c r="F152" s="3">
        <f>IF(Table1[[#This Row],[Column1]]="Up",1,IF(Table1[[#This Row],[Column1]]="Down",-1,0))</f>
        <v>0</v>
      </c>
      <c r="G152" s="3">
        <f>IF(AND(Table1[[#This Row],[STATES in numeric format]]=-1,F151=-1),1,0)</f>
        <v>0</v>
      </c>
      <c r="H152" s="3">
        <f>IF(AND(Table1[[#This Row],[STATES in numeric format]]=-1,F151=0),1,0)</f>
        <v>0</v>
      </c>
      <c r="I152" s="3">
        <f>IF(AND(Table1[[#This Row],[STATES in numeric format]]=-1,F151=1),1,0)</f>
        <v>0</v>
      </c>
      <c r="J152" s="3">
        <f>IF(AND(Table1[[#This Row],[STATES in numeric format]]=0,F151=-1),1,0)</f>
        <v>0</v>
      </c>
      <c r="K152" s="3">
        <f>IF(AND(Table1[[#This Row],[STATES in numeric format]]=0,F151=0),1,0)</f>
        <v>0</v>
      </c>
      <c r="L152" s="3">
        <f>IF(AND(Table1[[#This Row],[STATES in numeric format]]=0,F151=1),1,0)</f>
        <v>1</v>
      </c>
      <c r="M152" s="3">
        <f>IF(AND(Table1[[#This Row],[STATES in numeric format]]=1,F151=-1),1,0)</f>
        <v>0</v>
      </c>
      <c r="N152" s="3">
        <f>IF(AND(Table1[[#This Row],[STATES in numeric format]]=1,F151=0),1,0)</f>
        <v>0</v>
      </c>
      <c r="O152" s="3">
        <f>IF(AND(Table1[[#This Row],[STATES in numeric format]]=1,F151=1),1,0)</f>
        <v>0</v>
      </c>
    </row>
    <row r="153" spans="1:15" x14ac:dyDescent="0.3">
      <c r="A153" s="1">
        <v>44053</v>
      </c>
      <c r="B153">
        <v>38182.080000000002</v>
      </c>
      <c r="C153">
        <f>Table1[[#This Row],[Close]]-0.001*Table1[[#This Row],[Close]]</f>
        <v>38143.897920000003</v>
      </c>
      <c r="D153">
        <f>Table1[[#This Row],[Close]]+0.001*Table1[[#This Row],[Close]]</f>
        <v>38220.26208</v>
      </c>
      <c r="E153" t="str">
        <f>IF(Table1[[#This Row],[Close]]&gt;D152,"UP",IF(Table1[[#This Row],[Close]]&lt;C152,"Down","Constant"))</f>
        <v>UP</v>
      </c>
      <c r="F153" s="3">
        <f>IF(Table1[[#This Row],[Column1]]="Up",1,IF(Table1[[#This Row],[Column1]]="Down",-1,0))</f>
        <v>1</v>
      </c>
      <c r="G153" s="3">
        <f>IF(AND(Table1[[#This Row],[STATES in numeric format]]=-1,F152=-1),1,0)</f>
        <v>0</v>
      </c>
      <c r="H153" s="3">
        <f>IF(AND(Table1[[#This Row],[STATES in numeric format]]=-1,F152=0),1,0)</f>
        <v>0</v>
      </c>
      <c r="I153" s="3">
        <f>IF(AND(Table1[[#This Row],[STATES in numeric format]]=-1,F152=1),1,0)</f>
        <v>0</v>
      </c>
      <c r="J153" s="3">
        <f>IF(AND(Table1[[#This Row],[STATES in numeric format]]=0,F152=-1),1,0)</f>
        <v>0</v>
      </c>
      <c r="K153" s="3">
        <f>IF(AND(Table1[[#This Row],[STATES in numeric format]]=0,F152=0),1,0)</f>
        <v>0</v>
      </c>
      <c r="L153" s="3">
        <f>IF(AND(Table1[[#This Row],[STATES in numeric format]]=0,F152=1),1,0)</f>
        <v>0</v>
      </c>
      <c r="M153" s="3">
        <f>IF(AND(Table1[[#This Row],[STATES in numeric format]]=1,F152=-1),1,0)</f>
        <v>0</v>
      </c>
      <c r="N153" s="3">
        <f>IF(AND(Table1[[#This Row],[STATES in numeric format]]=1,F152=0),1,0)</f>
        <v>1</v>
      </c>
      <c r="O153" s="3">
        <f>IF(AND(Table1[[#This Row],[STATES in numeric format]]=1,F152=1),1,0)</f>
        <v>0</v>
      </c>
    </row>
    <row r="154" spans="1:15" x14ac:dyDescent="0.3">
      <c r="A154" s="1">
        <v>44054</v>
      </c>
      <c r="B154">
        <v>38407.01</v>
      </c>
      <c r="C154">
        <f>Table1[[#This Row],[Close]]-0.001*Table1[[#This Row],[Close]]</f>
        <v>38368.602989999999</v>
      </c>
      <c r="D154">
        <f>Table1[[#This Row],[Close]]+0.001*Table1[[#This Row],[Close]]</f>
        <v>38445.417010000005</v>
      </c>
      <c r="E154" t="str">
        <f>IF(Table1[[#This Row],[Close]]&gt;D153,"UP",IF(Table1[[#This Row],[Close]]&lt;C153,"Down","Constant"))</f>
        <v>UP</v>
      </c>
      <c r="F154" s="3">
        <f>IF(Table1[[#This Row],[Column1]]="Up",1,IF(Table1[[#This Row],[Column1]]="Down",-1,0))</f>
        <v>1</v>
      </c>
      <c r="G154" s="3">
        <f>IF(AND(Table1[[#This Row],[STATES in numeric format]]=-1,F153=-1),1,0)</f>
        <v>0</v>
      </c>
      <c r="H154" s="3">
        <f>IF(AND(Table1[[#This Row],[STATES in numeric format]]=-1,F153=0),1,0)</f>
        <v>0</v>
      </c>
      <c r="I154" s="3">
        <f>IF(AND(Table1[[#This Row],[STATES in numeric format]]=-1,F153=1),1,0)</f>
        <v>0</v>
      </c>
      <c r="J154" s="3">
        <f>IF(AND(Table1[[#This Row],[STATES in numeric format]]=0,F153=-1),1,0)</f>
        <v>0</v>
      </c>
      <c r="K154" s="3">
        <f>IF(AND(Table1[[#This Row],[STATES in numeric format]]=0,F153=0),1,0)</f>
        <v>0</v>
      </c>
      <c r="L154" s="3">
        <f>IF(AND(Table1[[#This Row],[STATES in numeric format]]=0,F153=1),1,0)</f>
        <v>0</v>
      </c>
      <c r="M154" s="3">
        <f>IF(AND(Table1[[#This Row],[STATES in numeric format]]=1,F153=-1),1,0)</f>
        <v>0</v>
      </c>
      <c r="N154" s="3">
        <f>IF(AND(Table1[[#This Row],[STATES in numeric format]]=1,F153=0),1,0)</f>
        <v>0</v>
      </c>
      <c r="O154" s="3">
        <f>IF(AND(Table1[[#This Row],[STATES in numeric format]]=1,F153=1),1,0)</f>
        <v>1</v>
      </c>
    </row>
    <row r="155" spans="1:15" x14ac:dyDescent="0.3">
      <c r="A155" s="1">
        <v>44055</v>
      </c>
      <c r="B155">
        <v>38369.629999999997</v>
      </c>
      <c r="C155">
        <f>Table1[[#This Row],[Close]]-0.001*Table1[[#This Row],[Close]]</f>
        <v>38331.260369999996</v>
      </c>
      <c r="D155">
        <f>Table1[[#This Row],[Close]]+0.001*Table1[[#This Row],[Close]]</f>
        <v>38407.999629999998</v>
      </c>
      <c r="E155" t="str">
        <f>IF(Table1[[#This Row],[Close]]&gt;D154,"UP",IF(Table1[[#This Row],[Close]]&lt;C154,"Down","Constant"))</f>
        <v>Constant</v>
      </c>
      <c r="F155" s="3">
        <f>IF(Table1[[#This Row],[Column1]]="Up",1,IF(Table1[[#This Row],[Column1]]="Down",-1,0))</f>
        <v>0</v>
      </c>
      <c r="G155" s="3">
        <f>IF(AND(Table1[[#This Row],[STATES in numeric format]]=-1,F154=-1),1,0)</f>
        <v>0</v>
      </c>
      <c r="H155" s="3">
        <f>IF(AND(Table1[[#This Row],[STATES in numeric format]]=-1,F154=0),1,0)</f>
        <v>0</v>
      </c>
      <c r="I155" s="3">
        <f>IF(AND(Table1[[#This Row],[STATES in numeric format]]=-1,F154=1),1,0)</f>
        <v>0</v>
      </c>
      <c r="J155" s="3">
        <f>IF(AND(Table1[[#This Row],[STATES in numeric format]]=0,F154=-1),1,0)</f>
        <v>0</v>
      </c>
      <c r="K155" s="3">
        <f>IF(AND(Table1[[#This Row],[STATES in numeric format]]=0,F154=0),1,0)</f>
        <v>0</v>
      </c>
      <c r="L155" s="3">
        <f>IF(AND(Table1[[#This Row],[STATES in numeric format]]=0,F154=1),1,0)</f>
        <v>1</v>
      </c>
      <c r="M155" s="3">
        <f>IF(AND(Table1[[#This Row],[STATES in numeric format]]=1,F154=-1),1,0)</f>
        <v>0</v>
      </c>
      <c r="N155" s="3">
        <f>IF(AND(Table1[[#This Row],[STATES in numeric format]]=1,F154=0),1,0)</f>
        <v>0</v>
      </c>
      <c r="O155" s="3">
        <f>IF(AND(Table1[[#This Row],[STATES in numeric format]]=1,F154=1),1,0)</f>
        <v>0</v>
      </c>
    </row>
    <row r="156" spans="1:15" x14ac:dyDescent="0.3">
      <c r="A156" s="1">
        <v>44056</v>
      </c>
      <c r="B156">
        <v>38310.49</v>
      </c>
      <c r="C156">
        <f>Table1[[#This Row],[Close]]-0.001*Table1[[#This Row],[Close]]</f>
        <v>38272.179509999994</v>
      </c>
      <c r="D156">
        <f>Table1[[#This Row],[Close]]+0.001*Table1[[#This Row],[Close]]</f>
        <v>38348.800490000001</v>
      </c>
      <c r="E156" t="str">
        <f>IF(Table1[[#This Row],[Close]]&gt;D155,"UP",IF(Table1[[#This Row],[Close]]&lt;C155,"Down","Constant"))</f>
        <v>Down</v>
      </c>
      <c r="F156" s="3">
        <f>IF(Table1[[#This Row],[Column1]]="Up",1,IF(Table1[[#This Row],[Column1]]="Down",-1,0))</f>
        <v>-1</v>
      </c>
      <c r="G156" s="3">
        <f>IF(AND(Table1[[#This Row],[STATES in numeric format]]=-1,F155=-1),1,0)</f>
        <v>0</v>
      </c>
      <c r="H156" s="3">
        <f>IF(AND(Table1[[#This Row],[STATES in numeric format]]=-1,F155=0),1,0)</f>
        <v>1</v>
      </c>
      <c r="I156" s="3">
        <f>IF(AND(Table1[[#This Row],[STATES in numeric format]]=-1,F155=1),1,0)</f>
        <v>0</v>
      </c>
      <c r="J156" s="3">
        <f>IF(AND(Table1[[#This Row],[STATES in numeric format]]=0,F155=-1),1,0)</f>
        <v>0</v>
      </c>
      <c r="K156" s="3">
        <f>IF(AND(Table1[[#This Row],[STATES in numeric format]]=0,F155=0),1,0)</f>
        <v>0</v>
      </c>
      <c r="L156" s="3">
        <f>IF(AND(Table1[[#This Row],[STATES in numeric format]]=0,F155=1),1,0)</f>
        <v>0</v>
      </c>
      <c r="M156" s="3">
        <f>IF(AND(Table1[[#This Row],[STATES in numeric format]]=1,F155=-1),1,0)</f>
        <v>0</v>
      </c>
      <c r="N156" s="3">
        <f>IF(AND(Table1[[#This Row],[STATES in numeric format]]=1,F155=0),1,0)</f>
        <v>0</v>
      </c>
      <c r="O156" s="3">
        <f>IF(AND(Table1[[#This Row],[STATES in numeric format]]=1,F155=1),1,0)</f>
        <v>0</v>
      </c>
    </row>
    <row r="157" spans="1:15" x14ac:dyDescent="0.3">
      <c r="A157" s="1">
        <v>44057</v>
      </c>
      <c r="B157">
        <v>37877.339999999997</v>
      </c>
      <c r="C157">
        <f>Table1[[#This Row],[Close]]-0.001*Table1[[#This Row],[Close]]</f>
        <v>37839.462659999997</v>
      </c>
      <c r="D157">
        <f>Table1[[#This Row],[Close]]+0.001*Table1[[#This Row],[Close]]</f>
        <v>37915.217339999996</v>
      </c>
      <c r="E157" t="str">
        <f>IF(Table1[[#This Row],[Close]]&gt;D156,"UP",IF(Table1[[#This Row],[Close]]&lt;C156,"Down","Constant"))</f>
        <v>Down</v>
      </c>
      <c r="F157" s="3">
        <f>IF(Table1[[#This Row],[Column1]]="Up",1,IF(Table1[[#This Row],[Column1]]="Down",-1,0))</f>
        <v>-1</v>
      </c>
      <c r="G157" s="3">
        <f>IF(AND(Table1[[#This Row],[STATES in numeric format]]=-1,F156=-1),1,0)</f>
        <v>1</v>
      </c>
      <c r="H157" s="3">
        <f>IF(AND(Table1[[#This Row],[STATES in numeric format]]=-1,F156=0),1,0)</f>
        <v>0</v>
      </c>
      <c r="I157" s="3">
        <f>IF(AND(Table1[[#This Row],[STATES in numeric format]]=-1,F156=1),1,0)</f>
        <v>0</v>
      </c>
      <c r="J157" s="3">
        <f>IF(AND(Table1[[#This Row],[STATES in numeric format]]=0,F156=-1),1,0)</f>
        <v>0</v>
      </c>
      <c r="K157" s="3">
        <f>IF(AND(Table1[[#This Row],[STATES in numeric format]]=0,F156=0),1,0)</f>
        <v>0</v>
      </c>
      <c r="L157" s="3">
        <f>IF(AND(Table1[[#This Row],[STATES in numeric format]]=0,F156=1),1,0)</f>
        <v>0</v>
      </c>
      <c r="M157" s="3">
        <f>IF(AND(Table1[[#This Row],[STATES in numeric format]]=1,F156=-1),1,0)</f>
        <v>0</v>
      </c>
      <c r="N157" s="3">
        <f>IF(AND(Table1[[#This Row],[STATES in numeric format]]=1,F156=0),1,0)</f>
        <v>0</v>
      </c>
      <c r="O157" s="3">
        <f>IF(AND(Table1[[#This Row],[STATES in numeric format]]=1,F156=1),1,0)</f>
        <v>0</v>
      </c>
    </row>
    <row r="158" spans="1:15" x14ac:dyDescent="0.3">
      <c r="A158" s="1">
        <v>44060</v>
      </c>
      <c r="B158">
        <v>38050.78</v>
      </c>
      <c r="C158">
        <f>Table1[[#This Row],[Close]]-0.001*Table1[[#This Row],[Close]]</f>
        <v>38012.729220000001</v>
      </c>
      <c r="D158">
        <f>Table1[[#This Row],[Close]]+0.001*Table1[[#This Row],[Close]]</f>
        <v>38088.830779999997</v>
      </c>
      <c r="E158" t="str">
        <f>IF(Table1[[#This Row],[Close]]&gt;D157,"UP",IF(Table1[[#This Row],[Close]]&lt;C157,"Down","Constant"))</f>
        <v>UP</v>
      </c>
      <c r="F158" s="3">
        <f>IF(Table1[[#This Row],[Column1]]="Up",1,IF(Table1[[#This Row],[Column1]]="Down",-1,0))</f>
        <v>1</v>
      </c>
      <c r="G158" s="3">
        <f>IF(AND(Table1[[#This Row],[STATES in numeric format]]=-1,F157=-1),1,0)</f>
        <v>0</v>
      </c>
      <c r="H158" s="3">
        <f>IF(AND(Table1[[#This Row],[STATES in numeric format]]=-1,F157=0),1,0)</f>
        <v>0</v>
      </c>
      <c r="I158" s="3">
        <f>IF(AND(Table1[[#This Row],[STATES in numeric format]]=-1,F157=1),1,0)</f>
        <v>0</v>
      </c>
      <c r="J158" s="3">
        <f>IF(AND(Table1[[#This Row],[STATES in numeric format]]=0,F157=-1),1,0)</f>
        <v>0</v>
      </c>
      <c r="K158" s="3">
        <f>IF(AND(Table1[[#This Row],[STATES in numeric format]]=0,F157=0),1,0)</f>
        <v>0</v>
      </c>
      <c r="L158" s="3">
        <f>IF(AND(Table1[[#This Row],[STATES in numeric format]]=0,F157=1),1,0)</f>
        <v>0</v>
      </c>
      <c r="M158" s="3">
        <f>IF(AND(Table1[[#This Row],[STATES in numeric format]]=1,F157=-1),1,0)</f>
        <v>1</v>
      </c>
      <c r="N158" s="3">
        <f>IF(AND(Table1[[#This Row],[STATES in numeric format]]=1,F157=0),1,0)</f>
        <v>0</v>
      </c>
      <c r="O158" s="3">
        <f>IF(AND(Table1[[#This Row],[STATES in numeric format]]=1,F157=1),1,0)</f>
        <v>0</v>
      </c>
    </row>
    <row r="159" spans="1:15" x14ac:dyDescent="0.3">
      <c r="A159" s="1">
        <v>44061</v>
      </c>
      <c r="B159">
        <v>38528.32</v>
      </c>
      <c r="C159">
        <f>Table1[[#This Row],[Close]]-0.001*Table1[[#This Row],[Close]]</f>
        <v>38489.791680000002</v>
      </c>
      <c r="D159">
        <f>Table1[[#This Row],[Close]]+0.001*Table1[[#This Row],[Close]]</f>
        <v>38566.848319999997</v>
      </c>
      <c r="E159" t="str">
        <f>IF(Table1[[#This Row],[Close]]&gt;D158,"UP",IF(Table1[[#This Row],[Close]]&lt;C158,"Down","Constant"))</f>
        <v>UP</v>
      </c>
      <c r="F159" s="3">
        <f>IF(Table1[[#This Row],[Column1]]="Up",1,IF(Table1[[#This Row],[Column1]]="Down",-1,0))</f>
        <v>1</v>
      </c>
      <c r="G159" s="3">
        <f>IF(AND(Table1[[#This Row],[STATES in numeric format]]=-1,F158=-1),1,0)</f>
        <v>0</v>
      </c>
      <c r="H159" s="3">
        <f>IF(AND(Table1[[#This Row],[STATES in numeric format]]=-1,F158=0),1,0)</f>
        <v>0</v>
      </c>
      <c r="I159" s="3">
        <f>IF(AND(Table1[[#This Row],[STATES in numeric format]]=-1,F158=1),1,0)</f>
        <v>0</v>
      </c>
      <c r="J159" s="3">
        <f>IF(AND(Table1[[#This Row],[STATES in numeric format]]=0,F158=-1),1,0)</f>
        <v>0</v>
      </c>
      <c r="K159" s="3">
        <f>IF(AND(Table1[[#This Row],[STATES in numeric format]]=0,F158=0),1,0)</f>
        <v>0</v>
      </c>
      <c r="L159" s="3">
        <f>IF(AND(Table1[[#This Row],[STATES in numeric format]]=0,F158=1),1,0)</f>
        <v>0</v>
      </c>
      <c r="M159" s="3">
        <f>IF(AND(Table1[[#This Row],[STATES in numeric format]]=1,F158=-1),1,0)</f>
        <v>0</v>
      </c>
      <c r="N159" s="3">
        <f>IF(AND(Table1[[#This Row],[STATES in numeric format]]=1,F158=0),1,0)</f>
        <v>0</v>
      </c>
      <c r="O159" s="3">
        <f>IF(AND(Table1[[#This Row],[STATES in numeric format]]=1,F158=1),1,0)</f>
        <v>1</v>
      </c>
    </row>
    <row r="160" spans="1:15" x14ac:dyDescent="0.3">
      <c r="A160" s="1">
        <v>44062</v>
      </c>
      <c r="B160">
        <v>38614.79</v>
      </c>
      <c r="C160">
        <f>Table1[[#This Row],[Close]]-0.001*Table1[[#This Row],[Close]]</f>
        <v>38576.175210000001</v>
      </c>
      <c r="D160">
        <f>Table1[[#This Row],[Close]]+0.001*Table1[[#This Row],[Close]]</f>
        <v>38653.404790000001</v>
      </c>
      <c r="E160" t="str">
        <f>IF(Table1[[#This Row],[Close]]&gt;D159,"UP",IF(Table1[[#This Row],[Close]]&lt;C159,"Down","Constant"))</f>
        <v>UP</v>
      </c>
      <c r="F160" s="3">
        <f>IF(Table1[[#This Row],[Column1]]="Up",1,IF(Table1[[#This Row],[Column1]]="Down",-1,0))</f>
        <v>1</v>
      </c>
      <c r="G160" s="3">
        <f>IF(AND(Table1[[#This Row],[STATES in numeric format]]=-1,F159=-1),1,0)</f>
        <v>0</v>
      </c>
      <c r="H160" s="3">
        <f>IF(AND(Table1[[#This Row],[STATES in numeric format]]=-1,F159=0),1,0)</f>
        <v>0</v>
      </c>
      <c r="I160" s="3">
        <f>IF(AND(Table1[[#This Row],[STATES in numeric format]]=-1,F159=1),1,0)</f>
        <v>0</v>
      </c>
      <c r="J160" s="3">
        <f>IF(AND(Table1[[#This Row],[STATES in numeric format]]=0,F159=-1),1,0)</f>
        <v>0</v>
      </c>
      <c r="K160" s="3">
        <f>IF(AND(Table1[[#This Row],[STATES in numeric format]]=0,F159=0),1,0)</f>
        <v>0</v>
      </c>
      <c r="L160" s="3">
        <f>IF(AND(Table1[[#This Row],[STATES in numeric format]]=0,F159=1),1,0)</f>
        <v>0</v>
      </c>
      <c r="M160" s="3">
        <f>IF(AND(Table1[[#This Row],[STATES in numeric format]]=1,F159=-1),1,0)</f>
        <v>0</v>
      </c>
      <c r="N160" s="3">
        <f>IF(AND(Table1[[#This Row],[STATES in numeric format]]=1,F159=0),1,0)</f>
        <v>0</v>
      </c>
      <c r="O160" s="3">
        <f>IF(AND(Table1[[#This Row],[STATES in numeric format]]=1,F159=1),1,0)</f>
        <v>1</v>
      </c>
    </row>
    <row r="161" spans="1:15" x14ac:dyDescent="0.3">
      <c r="A161" s="1">
        <v>44063</v>
      </c>
      <c r="B161">
        <v>38220.39</v>
      </c>
      <c r="C161">
        <f>Table1[[#This Row],[Close]]-0.001*Table1[[#This Row],[Close]]</f>
        <v>38182.169609999997</v>
      </c>
      <c r="D161">
        <f>Table1[[#This Row],[Close]]+0.001*Table1[[#This Row],[Close]]</f>
        <v>38258.610390000002</v>
      </c>
      <c r="E161" t="str">
        <f>IF(Table1[[#This Row],[Close]]&gt;D160,"UP",IF(Table1[[#This Row],[Close]]&lt;C160,"Down","Constant"))</f>
        <v>Down</v>
      </c>
      <c r="F161" s="3">
        <f>IF(Table1[[#This Row],[Column1]]="Up",1,IF(Table1[[#This Row],[Column1]]="Down",-1,0))</f>
        <v>-1</v>
      </c>
      <c r="G161" s="3">
        <f>IF(AND(Table1[[#This Row],[STATES in numeric format]]=-1,F160=-1),1,0)</f>
        <v>0</v>
      </c>
      <c r="H161" s="3">
        <f>IF(AND(Table1[[#This Row],[STATES in numeric format]]=-1,F160=0),1,0)</f>
        <v>0</v>
      </c>
      <c r="I161" s="3">
        <f>IF(AND(Table1[[#This Row],[STATES in numeric format]]=-1,F160=1),1,0)</f>
        <v>1</v>
      </c>
      <c r="J161" s="3">
        <f>IF(AND(Table1[[#This Row],[STATES in numeric format]]=0,F160=-1),1,0)</f>
        <v>0</v>
      </c>
      <c r="K161" s="3">
        <f>IF(AND(Table1[[#This Row],[STATES in numeric format]]=0,F160=0),1,0)</f>
        <v>0</v>
      </c>
      <c r="L161" s="3">
        <f>IF(AND(Table1[[#This Row],[STATES in numeric format]]=0,F160=1),1,0)</f>
        <v>0</v>
      </c>
      <c r="M161" s="3">
        <f>IF(AND(Table1[[#This Row],[STATES in numeric format]]=1,F160=-1),1,0)</f>
        <v>0</v>
      </c>
      <c r="N161" s="3">
        <f>IF(AND(Table1[[#This Row],[STATES in numeric format]]=1,F160=0),1,0)</f>
        <v>0</v>
      </c>
      <c r="O161" s="3">
        <f>IF(AND(Table1[[#This Row],[STATES in numeric format]]=1,F160=1),1,0)</f>
        <v>0</v>
      </c>
    </row>
    <row r="162" spans="1:15" x14ac:dyDescent="0.3">
      <c r="A162" s="1">
        <v>44064</v>
      </c>
      <c r="B162">
        <v>38434.720000000001</v>
      </c>
      <c r="C162">
        <f>Table1[[#This Row],[Close]]-0.001*Table1[[#This Row],[Close]]</f>
        <v>38396.285280000004</v>
      </c>
      <c r="D162">
        <f>Table1[[#This Row],[Close]]+0.001*Table1[[#This Row],[Close]]</f>
        <v>38473.154719999999</v>
      </c>
      <c r="E162" t="str">
        <f>IF(Table1[[#This Row],[Close]]&gt;D161,"UP",IF(Table1[[#This Row],[Close]]&lt;C161,"Down","Constant"))</f>
        <v>UP</v>
      </c>
      <c r="F162" s="3">
        <f>IF(Table1[[#This Row],[Column1]]="Up",1,IF(Table1[[#This Row],[Column1]]="Down",-1,0))</f>
        <v>1</v>
      </c>
      <c r="G162" s="3">
        <f>IF(AND(Table1[[#This Row],[STATES in numeric format]]=-1,F161=-1),1,0)</f>
        <v>0</v>
      </c>
      <c r="H162" s="3">
        <f>IF(AND(Table1[[#This Row],[STATES in numeric format]]=-1,F161=0),1,0)</f>
        <v>0</v>
      </c>
      <c r="I162" s="3">
        <f>IF(AND(Table1[[#This Row],[STATES in numeric format]]=-1,F161=1),1,0)</f>
        <v>0</v>
      </c>
      <c r="J162" s="3">
        <f>IF(AND(Table1[[#This Row],[STATES in numeric format]]=0,F161=-1),1,0)</f>
        <v>0</v>
      </c>
      <c r="K162" s="3">
        <f>IF(AND(Table1[[#This Row],[STATES in numeric format]]=0,F161=0),1,0)</f>
        <v>0</v>
      </c>
      <c r="L162" s="3">
        <f>IF(AND(Table1[[#This Row],[STATES in numeric format]]=0,F161=1),1,0)</f>
        <v>0</v>
      </c>
      <c r="M162" s="3">
        <f>IF(AND(Table1[[#This Row],[STATES in numeric format]]=1,F161=-1),1,0)</f>
        <v>1</v>
      </c>
      <c r="N162" s="3">
        <f>IF(AND(Table1[[#This Row],[STATES in numeric format]]=1,F161=0),1,0)</f>
        <v>0</v>
      </c>
      <c r="O162" s="3">
        <f>IF(AND(Table1[[#This Row],[STATES in numeric format]]=1,F161=1),1,0)</f>
        <v>0</v>
      </c>
    </row>
    <row r="163" spans="1:15" x14ac:dyDescent="0.3">
      <c r="A163" s="1">
        <v>44067</v>
      </c>
      <c r="B163">
        <v>38799.08</v>
      </c>
      <c r="C163">
        <f>Table1[[#This Row],[Close]]-0.001*Table1[[#This Row],[Close]]</f>
        <v>38760.280920000005</v>
      </c>
      <c r="D163">
        <f>Table1[[#This Row],[Close]]+0.001*Table1[[#This Row],[Close]]</f>
        <v>38837.879079999999</v>
      </c>
      <c r="E163" t="str">
        <f>IF(Table1[[#This Row],[Close]]&gt;D162,"UP",IF(Table1[[#This Row],[Close]]&lt;C162,"Down","Constant"))</f>
        <v>UP</v>
      </c>
      <c r="F163" s="3">
        <f>IF(Table1[[#This Row],[Column1]]="Up",1,IF(Table1[[#This Row],[Column1]]="Down",-1,0))</f>
        <v>1</v>
      </c>
      <c r="G163" s="3">
        <f>IF(AND(Table1[[#This Row],[STATES in numeric format]]=-1,F162=-1),1,0)</f>
        <v>0</v>
      </c>
      <c r="H163" s="3">
        <f>IF(AND(Table1[[#This Row],[STATES in numeric format]]=-1,F162=0),1,0)</f>
        <v>0</v>
      </c>
      <c r="I163" s="3">
        <f>IF(AND(Table1[[#This Row],[STATES in numeric format]]=-1,F162=1),1,0)</f>
        <v>0</v>
      </c>
      <c r="J163" s="3">
        <f>IF(AND(Table1[[#This Row],[STATES in numeric format]]=0,F162=-1),1,0)</f>
        <v>0</v>
      </c>
      <c r="K163" s="3">
        <f>IF(AND(Table1[[#This Row],[STATES in numeric format]]=0,F162=0),1,0)</f>
        <v>0</v>
      </c>
      <c r="L163" s="3">
        <f>IF(AND(Table1[[#This Row],[STATES in numeric format]]=0,F162=1),1,0)</f>
        <v>0</v>
      </c>
      <c r="M163" s="3">
        <f>IF(AND(Table1[[#This Row],[STATES in numeric format]]=1,F162=-1),1,0)</f>
        <v>0</v>
      </c>
      <c r="N163" s="3">
        <f>IF(AND(Table1[[#This Row],[STATES in numeric format]]=1,F162=0),1,0)</f>
        <v>0</v>
      </c>
      <c r="O163" s="3">
        <f>IF(AND(Table1[[#This Row],[STATES in numeric format]]=1,F162=1),1,0)</f>
        <v>1</v>
      </c>
    </row>
    <row r="164" spans="1:15" x14ac:dyDescent="0.3">
      <c r="A164" s="1">
        <v>44068</v>
      </c>
      <c r="B164">
        <v>38843.879999999997</v>
      </c>
      <c r="C164">
        <f>Table1[[#This Row],[Close]]-0.001*Table1[[#This Row],[Close]]</f>
        <v>38805.036119999997</v>
      </c>
      <c r="D164">
        <f>Table1[[#This Row],[Close]]+0.001*Table1[[#This Row],[Close]]</f>
        <v>38882.723879999998</v>
      </c>
      <c r="E164" t="str">
        <f>IF(Table1[[#This Row],[Close]]&gt;D163,"UP",IF(Table1[[#This Row],[Close]]&lt;C163,"Down","Constant"))</f>
        <v>UP</v>
      </c>
      <c r="F164" s="3">
        <f>IF(Table1[[#This Row],[Column1]]="Up",1,IF(Table1[[#This Row],[Column1]]="Down",-1,0))</f>
        <v>1</v>
      </c>
      <c r="G164" s="3">
        <f>IF(AND(Table1[[#This Row],[STATES in numeric format]]=-1,F163=-1),1,0)</f>
        <v>0</v>
      </c>
      <c r="H164" s="3">
        <f>IF(AND(Table1[[#This Row],[STATES in numeric format]]=-1,F163=0),1,0)</f>
        <v>0</v>
      </c>
      <c r="I164" s="3">
        <f>IF(AND(Table1[[#This Row],[STATES in numeric format]]=-1,F163=1),1,0)</f>
        <v>0</v>
      </c>
      <c r="J164" s="3">
        <f>IF(AND(Table1[[#This Row],[STATES in numeric format]]=0,F163=-1),1,0)</f>
        <v>0</v>
      </c>
      <c r="K164" s="3">
        <f>IF(AND(Table1[[#This Row],[STATES in numeric format]]=0,F163=0),1,0)</f>
        <v>0</v>
      </c>
      <c r="L164" s="3">
        <f>IF(AND(Table1[[#This Row],[STATES in numeric format]]=0,F163=1),1,0)</f>
        <v>0</v>
      </c>
      <c r="M164" s="3">
        <f>IF(AND(Table1[[#This Row],[STATES in numeric format]]=1,F163=-1),1,0)</f>
        <v>0</v>
      </c>
      <c r="N164" s="3">
        <f>IF(AND(Table1[[#This Row],[STATES in numeric format]]=1,F163=0),1,0)</f>
        <v>0</v>
      </c>
      <c r="O164" s="3">
        <f>IF(AND(Table1[[#This Row],[STATES in numeric format]]=1,F163=1),1,0)</f>
        <v>1</v>
      </c>
    </row>
    <row r="165" spans="1:15" x14ac:dyDescent="0.3">
      <c r="A165" s="1">
        <v>44069</v>
      </c>
      <c r="B165">
        <v>39073.919999999998</v>
      </c>
      <c r="C165">
        <f>Table1[[#This Row],[Close]]-0.001*Table1[[#This Row],[Close]]</f>
        <v>39034.846079999996</v>
      </c>
      <c r="D165">
        <f>Table1[[#This Row],[Close]]+0.001*Table1[[#This Row],[Close]]</f>
        <v>39112.993920000001</v>
      </c>
      <c r="E165" t="str">
        <f>IF(Table1[[#This Row],[Close]]&gt;D164,"UP",IF(Table1[[#This Row],[Close]]&lt;C164,"Down","Constant"))</f>
        <v>UP</v>
      </c>
      <c r="F165" s="3">
        <f>IF(Table1[[#This Row],[Column1]]="Up",1,IF(Table1[[#This Row],[Column1]]="Down",-1,0))</f>
        <v>1</v>
      </c>
      <c r="G165" s="3">
        <f>IF(AND(Table1[[#This Row],[STATES in numeric format]]=-1,F164=-1),1,0)</f>
        <v>0</v>
      </c>
      <c r="H165" s="3">
        <f>IF(AND(Table1[[#This Row],[STATES in numeric format]]=-1,F164=0),1,0)</f>
        <v>0</v>
      </c>
      <c r="I165" s="3">
        <f>IF(AND(Table1[[#This Row],[STATES in numeric format]]=-1,F164=1),1,0)</f>
        <v>0</v>
      </c>
      <c r="J165" s="3">
        <f>IF(AND(Table1[[#This Row],[STATES in numeric format]]=0,F164=-1),1,0)</f>
        <v>0</v>
      </c>
      <c r="K165" s="3">
        <f>IF(AND(Table1[[#This Row],[STATES in numeric format]]=0,F164=0),1,0)</f>
        <v>0</v>
      </c>
      <c r="L165" s="3">
        <f>IF(AND(Table1[[#This Row],[STATES in numeric format]]=0,F164=1),1,0)</f>
        <v>0</v>
      </c>
      <c r="M165" s="3">
        <f>IF(AND(Table1[[#This Row],[STATES in numeric format]]=1,F164=-1),1,0)</f>
        <v>0</v>
      </c>
      <c r="N165" s="3">
        <f>IF(AND(Table1[[#This Row],[STATES in numeric format]]=1,F164=0),1,0)</f>
        <v>0</v>
      </c>
      <c r="O165" s="3">
        <f>IF(AND(Table1[[#This Row],[STATES in numeric format]]=1,F164=1),1,0)</f>
        <v>1</v>
      </c>
    </row>
    <row r="166" spans="1:15" x14ac:dyDescent="0.3">
      <c r="A166" s="1">
        <v>44070</v>
      </c>
      <c r="B166">
        <v>39113.47</v>
      </c>
      <c r="C166">
        <f>Table1[[#This Row],[Close]]-0.001*Table1[[#This Row],[Close]]</f>
        <v>39074.356530000005</v>
      </c>
      <c r="D166">
        <f>Table1[[#This Row],[Close]]+0.001*Table1[[#This Row],[Close]]</f>
        <v>39152.583469999998</v>
      </c>
      <c r="E166" t="str">
        <f>IF(Table1[[#This Row],[Close]]&gt;D165,"UP",IF(Table1[[#This Row],[Close]]&lt;C165,"Down","Constant"))</f>
        <v>UP</v>
      </c>
      <c r="F166" s="3">
        <f>IF(Table1[[#This Row],[Column1]]="Up",1,IF(Table1[[#This Row],[Column1]]="Down",-1,0))</f>
        <v>1</v>
      </c>
      <c r="G166" s="3">
        <f>IF(AND(Table1[[#This Row],[STATES in numeric format]]=-1,F165=-1),1,0)</f>
        <v>0</v>
      </c>
      <c r="H166" s="3">
        <f>IF(AND(Table1[[#This Row],[STATES in numeric format]]=-1,F165=0),1,0)</f>
        <v>0</v>
      </c>
      <c r="I166" s="3">
        <f>IF(AND(Table1[[#This Row],[STATES in numeric format]]=-1,F165=1),1,0)</f>
        <v>0</v>
      </c>
      <c r="J166" s="3">
        <f>IF(AND(Table1[[#This Row],[STATES in numeric format]]=0,F165=-1),1,0)</f>
        <v>0</v>
      </c>
      <c r="K166" s="3">
        <f>IF(AND(Table1[[#This Row],[STATES in numeric format]]=0,F165=0),1,0)</f>
        <v>0</v>
      </c>
      <c r="L166" s="3">
        <f>IF(AND(Table1[[#This Row],[STATES in numeric format]]=0,F165=1),1,0)</f>
        <v>0</v>
      </c>
      <c r="M166" s="3">
        <f>IF(AND(Table1[[#This Row],[STATES in numeric format]]=1,F165=-1),1,0)</f>
        <v>0</v>
      </c>
      <c r="N166" s="3">
        <f>IF(AND(Table1[[#This Row],[STATES in numeric format]]=1,F165=0),1,0)</f>
        <v>0</v>
      </c>
      <c r="O166" s="3">
        <f>IF(AND(Table1[[#This Row],[STATES in numeric format]]=1,F165=1),1,0)</f>
        <v>1</v>
      </c>
    </row>
    <row r="167" spans="1:15" x14ac:dyDescent="0.3">
      <c r="A167" s="1">
        <v>44071</v>
      </c>
      <c r="B167">
        <v>39467.31</v>
      </c>
      <c r="C167">
        <f>Table1[[#This Row],[Close]]-0.001*Table1[[#This Row],[Close]]</f>
        <v>39427.842689999998</v>
      </c>
      <c r="D167">
        <f>Table1[[#This Row],[Close]]+0.001*Table1[[#This Row],[Close]]</f>
        <v>39506.777309999998</v>
      </c>
      <c r="E167" t="str">
        <f>IF(Table1[[#This Row],[Close]]&gt;D166,"UP",IF(Table1[[#This Row],[Close]]&lt;C166,"Down","Constant"))</f>
        <v>UP</v>
      </c>
      <c r="F167" s="3">
        <f>IF(Table1[[#This Row],[Column1]]="Up",1,IF(Table1[[#This Row],[Column1]]="Down",-1,0))</f>
        <v>1</v>
      </c>
      <c r="G167" s="3">
        <f>IF(AND(Table1[[#This Row],[STATES in numeric format]]=-1,F166=-1),1,0)</f>
        <v>0</v>
      </c>
      <c r="H167" s="3">
        <f>IF(AND(Table1[[#This Row],[STATES in numeric format]]=-1,F166=0),1,0)</f>
        <v>0</v>
      </c>
      <c r="I167" s="3">
        <f>IF(AND(Table1[[#This Row],[STATES in numeric format]]=-1,F166=1),1,0)</f>
        <v>0</v>
      </c>
      <c r="J167" s="3">
        <f>IF(AND(Table1[[#This Row],[STATES in numeric format]]=0,F166=-1),1,0)</f>
        <v>0</v>
      </c>
      <c r="K167" s="3">
        <f>IF(AND(Table1[[#This Row],[STATES in numeric format]]=0,F166=0),1,0)</f>
        <v>0</v>
      </c>
      <c r="L167" s="3">
        <f>IF(AND(Table1[[#This Row],[STATES in numeric format]]=0,F166=1),1,0)</f>
        <v>0</v>
      </c>
      <c r="M167" s="3">
        <f>IF(AND(Table1[[#This Row],[STATES in numeric format]]=1,F166=-1),1,0)</f>
        <v>0</v>
      </c>
      <c r="N167" s="3">
        <f>IF(AND(Table1[[#This Row],[STATES in numeric format]]=1,F166=0),1,0)</f>
        <v>0</v>
      </c>
      <c r="O167" s="3">
        <f>IF(AND(Table1[[#This Row],[STATES in numeric format]]=1,F166=1),1,0)</f>
        <v>1</v>
      </c>
    </row>
    <row r="168" spans="1:15" x14ac:dyDescent="0.3">
      <c r="A168" s="1">
        <v>44074</v>
      </c>
      <c r="B168">
        <v>38628.29</v>
      </c>
      <c r="C168">
        <f>Table1[[#This Row],[Close]]-0.001*Table1[[#This Row],[Close]]</f>
        <v>38589.66171</v>
      </c>
      <c r="D168">
        <f>Table1[[#This Row],[Close]]+0.001*Table1[[#This Row],[Close]]</f>
        <v>38666.918290000001</v>
      </c>
      <c r="E168" t="str">
        <f>IF(Table1[[#This Row],[Close]]&gt;D167,"UP",IF(Table1[[#This Row],[Close]]&lt;C167,"Down","Constant"))</f>
        <v>Down</v>
      </c>
      <c r="F168" s="3">
        <f>IF(Table1[[#This Row],[Column1]]="Up",1,IF(Table1[[#This Row],[Column1]]="Down",-1,0))</f>
        <v>-1</v>
      </c>
      <c r="G168" s="3">
        <f>IF(AND(Table1[[#This Row],[STATES in numeric format]]=-1,F167=-1),1,0)</f>
        <v>0</v>
      </c>
      <c r="H168" s="3">
        <f>IF(AND(Table1[[#This Row],[STATES in numeric format]]=-1,F167=0),1,0)</f>
        <v>0</v>
      </c>
      <c r="I168" s="3">
        <f>IF(AND(Table1[[#This Row],[STATES in numeric format]]=-1,F167=1),1,0)</f>
        <v>1</v>
      </c>
      <c r="J168" s="3">
        <f>IF(AND(Table1[[#This Row],[STATES in numeric format]]=0,F167=-1),1,0)</f>
        <v>0</v>
      </c>
      <c r="K168" s="3">
        <f>IF(AND(Table1[[#This Row],[STATES in numeric format]]=0,F167=0),1,0)</f>
        <v>0</v>
      </c>
      <c r="L168" s="3">
        <f>IF(AND(Table1[[#This Row],[STATES in numeric format]]=0,F167=1),1,0)</f>
        <v>0</v>
      </c>
      <c r="M168" s="3">
        <f>IF(AND(Table1[[#This Row],[STATES in numeric format]]=1,F167=-1),1,0)</f>
        <v>0</v>
      </c>
      <c r="N168" s="3">
        <f>IF(AND(Table1[[#This Row],[STATES in numeric format]]=1,F167=0),1,0)</f>
        <v>0</v>
      </c>
      <c r="O168" s="3">
        <f>IF(AND(Table1[[#This Row],[STATES in numeric format]]=1,F167=1),1,0)</f>
        <v>0</v>
      </c>
    </row>
    <row r="169" spans="1:15" x14ac:dyDescent="0.3">
      <c r="A169" s="1">
        <v>44075</v>
      </c>
      <c r="B169">
        <v>38900.800000000003</v>
      </c>
      <c r="C169">
        <f>Table1[[#This Row],[Close]]-0.001*Table1[[#This Row],[Close]]</f>
        <v>38861.8992</v>
      </c>
      <c r="D169">
        <f>Table1[[#This Row],[Close]]+0.001*Table1[[#This Row],[Close]]</f>
        <v>38939.700800000006</v>
      </c>
      <c r="E169" t="str">
        <f>IF(Table1[[#This Row],[Close]]&gt;D168,"UP",IF(Table1[[#This Row],[Close]]&lt;C168,"Down","Constant"))</f>
        <v>UP</v>
      </c>
      <c r="F169" s="3">
        <f>IF(Table1[[#This Row],[Column1]]="Up",1,IF(Table1[[#This Row],[Column1]]="Down",-1,0))</f>
        <v>1</v>
      </c>
      <c r="G169" s="3">
        <f>IF(AND(Table1[[#This Row],[STATES in numeric format]]=-1,F168=-1),1,0)</f>
        <v>0</v>
      </c>
      <c r="H169" s="3">
        <f>IF(AND(Table1[[#This Row],[STATES in numeric format]]=-1,F168=0),1,0)</f>
        <v>0</v>
      </c>
      <c r="I169" s="3">
        <f>IF(AND(Table1[[#This Row],[STATES in numeric format]]=-1,F168=1),1,0)</f>
        <v>0</v>
      </c>
      <c r="J169" s="3">
        <f>IF(AND(Table1[[#This Row],[STATES in numeric format]]=0,F168=-1),1,0)</f>
        <v>0</v>
      </c>
      <c r="K169" s="3">
        <f>IF(AND(Table1[[#This Row],[STATES in numeric format]]=0,F168=0),1,0)</f>
        <v>0</v>
      </c>
      <c r="L169" s="3">
        <f>IF(AND(Table1[[#This Row],[STATES in numeric format]]=0,F168=1),1,0)</f>
        <v>0</v>
      </c>
      <c r="M169" s="3">
        <f>IF(AND(Table1[[#This Row],[STATES in numeric format]]=1,F168=-1),1,0)</f>
        <v>1</v>
      </c>
      <c r="N169" s="3">
        <f>IF(AND(Table1[[#This Row],[STATES in numeric format]]=1,F168=0),1,0)</f>
        <v>0</v>
      </c>
      <c r="O169" s="3">
        <f>IF(AND(Table1[[#This Row],[STATES in numeric format]]=1,F168=1),1,0)</f>
        <v>0</v>
      </c>
    </row>
    <row r="170" spans="1:15" x14ac:dyDescent="0.3">
      <c r="A170" s="1">
        <v>44076</v>
      </c>
      <c r="B170">
        <v>39086.03</v>
      </c>
      <c r="C170">
        <f>Table1[[#This Row],[Close]]-0.001*Table1[[#This Row],[Close]]</f>
        <v>39046.94397</v>
      </c>
      <c r="D170">
        <f>Table1[[#This Row],[Close]]+0.001*Table1[[#This Row],[Close]]</f>
        <v>39125.116029999997</v>
      </c>
      <c r="E170" t="str">
        <f>IF(Table1[[#This Row],[Close]]&gt;D169,"UP",IF(Table1[[#This Row],[Close]]&lt;C169,"Down","Constant"))</f>
        <v>UP</v>
      </c>
      <c r="F170" s="3">
        <f>IF(Table1[[#This Row],[Column1]]="Up",1,IF(Table1[[#This Row],[Column1]]="Down",-1,0))</f>
        <v>1</v>
      </c>
      <c r="G170" s="3">
        <f>IF(AND(Table1[[#This Row],[STATES in numeric format]]=-1,F169=-1),1,0)</f>
        <v>0</v>
      </c>
      <c r="H170" s="3">
        <f>IF(AND(Table1[[#This Row],[STATES in numeric format]]=-1,F169=0),1,0)</f>
        <v>0</v>
      </c>
      <c r="I170" s="3">
        <f>IF(AND(Table1[[#This Row],[STATES in numeric format]]=-1,F169=1),1,0)</f>
        <v>0</v>
      </c>
      <c r="J170" s="3">
        <f>IF(AND(Table1[[#This Row],[STATES in numeric format]]=0,F169=-1),1,0)</f>
        <v>0</v>
      </c>
      <c r="K170" s="3">
        <f>IF(AND(Table1[[#This Row],[STATES in numeric format]]=0,F169=0),1,0)</f>
        <v>0</v>
      </c>
      <c r="L170" s="3">
        <f>IF(AND(Table1[[#This Row],[STATES in numeric format]]=0,F169=1),1,0)</f>
        <v>0</v>
      </c>
      <c r="M170" s="3">
        <f>IF(AND(Table1[[#This Row],[STATES in numeric format]]=1,F169=-1),1,0)</f>
        <v>0</v>
      </c>
      <c r="N170" s="3">
        <f>IF(AND(Table1[[#This Row],[STATES in numeric format]]=1,F169=0),1,0)</f>
        <v>0</v>
      </c>
      <c r="O170" s="3">
        <f>IF(AND(Table1[[#This Row],[STATES in numeric format]]=1,F169=1),1,0)</f>
        <v>1</v>
      </c>
    </row>
    <row r="171" spans="1:15" x14ac:dyDescent="0.3">
      <c r="A171" s="1">
        <v>44077</v>
      </c>
      <c r="B171">
        <v>38990.94</v>
      </c>
      <c r="C171">
        <f>Table1[[#This Row],[Close]]-0.001*Table1[[#This Row],[Close]]</f>
        <v>38951.949059999999</v>
      </c>
      <c r="D171">
        <f>Table1[[#This Row],[Close]]+0.001*Table1[[#This Row],[Close]]</f>
        <v>39029.930940000006</v>
      </c>
      <c r="E171" t="str">
        <f>IF(Table1[[#This Row],[Close]]&gt;D170,"UP",IF(Table1[[#This Row],[Close]]&lt;C170,"Down","Constant"))</f>
        <v>Down</v>
      </c>
      <c r="F171" s="3">
        <f>IF(Table1[[#This Row],[Column1]]="Up",1,IF(Table1[[#This Row],[Column1]]="Down",-1,0))</f>
        <v>-1</v>
      </c>
      <c r="G171" s="3">
        <f>IF(AND(Table1[[#This Row],[STATES in numeric format]]=-1,F170=-1),1,0)</f>
        <v>0</v>
      </c>
      <c r="H171" s="3">
        <f>IF(AND(Table1[[#This Row],[STATES in numeric format]]=-1,F170=0),1,0)</f>
        <v>0</v>
      </c>
      <c r="I171" s="3">
        <f>IF(AND(Table1[[#This Row],[STATES in numeric format]]=-1,F170=1),1,0)</f>
        <v>1</v>
      </c>
      <c r="J171" s="3">
        <f>IF(AND(Table1[[#This Row],[STATES in numeric format]]=0,F170=-1),1,0)</f>
        <v>0</v>
      </c>
      <c r="K171" s="3">
        <f>IF(AND(Table1[[#This Row],[STATES in numeric format]]=0,F170=0),1,0)</f>
        <v>0</v>
      </c>
      <c r="L171" s="3">
        <f>IF(AND(Table1[[#This Row],[STATES in numeric format]]=0,F170=1),1,0)</f>
        <v>0</v>
      </c>
      <c r="M171" s="3">
        <f>IF(AND(Table1[[#This Row],[STATES in numeric format]]=1,F170=-1),1,0)</f>
        <v>0</v>
      </c>
      <c r="N171" s="3">
        <f>IF(AND(Table1[[#This Row],[STATES in numeric format]]=1,F170=0),1,0)</f>
        <v>0</v>
      </c>
      <c r="O171" s="3">
        <f>IF(AND(Table1[[#This Row],[STATES in numeric format]]=1,F170=1),1,0)</f>
        <v>0</v>
      </c>
    </row>
    <row r="172" spans="1:15" x14ac:dyDescent="0.3">
      <c r="A172" s="1">
        <v>44078</v>
      </c>
      <c r="B172">
        <v>38357.18</v>
      </c>
      <c r="C172">
        <f>Table1[[#This Row],[Close]]-0.001*Table1[[#This Row],[Close]]</f>
        <v>38318.822820000001</v>
      </c>
      <c r="D172">
        <f>Table1[[#This Row],[Close]]+0.001*Table1[[#This Row],[Close]]</f>
        <v>38395.537179999999</v>
      </c>
      <c r="E172" t="str">
        <f>IF(Table1[[#This Row],[Close]]&gt;D171,"UP",IF(Table1[[#This Row],[Close]]&lt;C171,"Down","Constant"))</f>
        <v>Down</v>
      </c>
      <c r="F172" s="3">
        <f>IF(Table1[[#This Row],[Column1]]="Up",1,IF(Table1[[#This Row],[Column1]]="Down",-1,0))</f>
        <v>-1</v>
      </c>
      <c r="G172" s="3">
        <f>IF(AND(Table1[[#This Row],[STATES in numeric format]]=-1,F171=-1),1,0)</f>
        <v>1</v>
      </c>
      <c r="H172" s="3">
        <f>IF(AND(Table1[[#This Row],[STATES in numeric format]]=-1,F171=0),1,0)</f>
        <v>0</v>
      </c>
      <c r="I172" s="3">
        <f>IF(AND(Table1[[#This Row],[STATES in numeric format]]=-1,F171=1),1,0)</f>
        <v>0</v>
      </c>
      <c r="J172" s="3">
        <f>IF(AND(Table1[[#This Row],[STATES in numeric format]]=0,F171=-1),1,0)</f>
        <v>0</v>
      </c>
      <c r="K172" s="3">
        <f>IF(AND(Table1[[#This Row],[STATES in numeric format]]=0,F171=0),1,0)</f>
        <v>0</v>
      </c>
      <c r="L172" s="3">
        <f>IF(AND(Table1[[#This Row],[STATES in numeric format]]=0,F171=1),1,0)</f>
        <v>0</v>
      </c>
      <c r="M172" s="3">
        <f>IF(AND(Table1[[#This Row],[STATES in numeric format]]=1,F171=-1),1,0)</f>
        <v>0</v>
      </c>
      <c r="N172" s="3">
        <f>IF(AND(Table1[[#This Row],[STATES in numeric format]]=1,F171=0),1,0)</f>
        <v>0</v>
      </c>
      <c r="O172" s="3">
        <f>IF(AND(Table1[[#This Row],[STATES in numeric format]]=1,F171=1),1,0)</f>
        <v>0</v>
      </c>
    </row>
    <row r="173" spans="1:15" x14ac:dyDescent="0.3">
      <c r="A173" s="1">
        <v>44081</v>
      </c>
      <c r="B173">
        <v>38417.230000000003</v>
      </c>
      <c r="C173">
        <f>Table1[[#This Row],[Close]]-0.001*Table1[[#This Row],[Close]]</f>
        <v>38378.812770000004</v>
      </c>
      <c r="D173">
        <f>Table1[[#This Row],[Close]]+0.001*Table1[[#This Row],[Close]]</f>
        <v>38455.647230000002</v>
      </c>
      <c r="E173" t="str">
        <f>IF(Table1[[#This Row],[Close]]&gt;D172,"UP",IF(Table1[[#This Row],[Close]]&lt;C172,"Down","Constant"))</f>
        <v>UP</v>
      </c>
      <c r="F173" s="3">
        <f>IF(Table1[[#This Row],[Column1]]="Up",1,IF(Table1[[#This Row],[Column1]]="Down",-1,0))</f>
        <v>1</v>
      </c>
      <c r="G173" s="3">
        <f>IF(AND(Table1[[#This Row],[STATES in numeric format]]=-1,F172=-1),1,0)</f>
        <v>0</v>
      </c>
      <c r="H173" s="3">
        <f>IF(AND(Table1[[#This Row],[STATES in numeric format]]=-1,F172=0),1,0)</f>
        <v>0</v>
      </c>
      <c r="I173" s="3">
        <f>IF(AND(Table1[[#This Row],[STATES in numeric format]]=-1,F172=1),1,0)</f>
        <v>0</v>
      </c>
      <c r="J173" s="3">
        <f>IF(AND(Table1[[#This Row],[STATES in numeric format]]=0,F172=-1),1,0)</f>
        <v>0</v>
      </c>
      <c r="K173" s="3">
        <f>IF(AND(Table1[[#This Row],[STATES in numeric format]]=0,F172=0),1,0)</f>
        <v>0</v>
      </c>
      <c r="L173" s="3">
        <f>IF(AND(Table1[[#This Row],[STATES in numeric format]]=0,F172=1),1,0)</f>
        <v>0</v>
      </c>
      <c r="M173" s="3">
        <f>IF(AND(Table1[[#This Row],[STATES in numeric format]]=1,F172=-1),1,0)</f>
        <v>1</v>
      </c>
      <c r="N173" s="3">
        <f>IF(AND(Table1[[#This Row],[STATES in numeric format]]=1,F172=0),1,0)</f>
        <v>0</v>
      </c>
      <c r="O173" s="3">
        <f>IF(AND(Table1[[#This Row],[STATES in numeric format]]=1,F172=1),1,0)</f>
        <v>0</v>
      </c>
    </row>
    <row r="174" spans="1:15" x14ac:dyDescent="0.3">
      <c r="A174" s="1">
        <v>44082</v>
      </c>
      <c r="B174">
        <v>38365.35</v>
      </c>
      <c r="C174">
        <f>Table1[[#This Row],[Close]]-0.001*Table1[[#This Row],[Close]]</f>
        <v>38326.984649999999</v>
      </c>
      <c r="D174">
        <f>Table1[[#This Row],[Close]]+0.001*Table1[[#This Row],[Close]]</f>
        <v>38403.715349999999</v>
      </c>
      <c r="E174" t="str">
        <f>IF(Table1[[#This Row],[Close]]&gt;D173,"UP",IF(Table1[[#This Row],[Close]]&lt;C173,"Down","Constant"))</f>
        <v>Down</v>
      </c>
      <c r="F174" s="3">
        <f>IF(Table1[[#This Row],[Column1]]="Up",1,IF(Table1[[#This Row],[Column1]]="Down",-1,0))</f>
        <v>-1</v>
      </c>
      <c r="G174" s="3">
        <f>IF(AND(Table1[[#This Row],[STATES in numeric format]]=-1,F173=-1),1,0)</f>
        <v>0</v>
      </c>
      <c r="H174" s="3">
        <f>IF(AND(Table1[[#This Row],[STATES in numeric format]]=-1,F173=0),1,0)</f>
        <v>0</v>
      </c>
      <c r="I174" s="3">
        <f>IF(AND(Table1[[#This Row],[STATES in numeric format]]=-1,F173=1),1,0)</f>
        <v>1</v>
      </c>
      <c r="J174" s="3">
        <f>IF(AND(Table1[[#This Row],[STATES in numeric format]]=0,F173=-1),1,0)</f>
        <v>0</v>
      </c>
      <c r="K174" s="3">
        <f>IF(AND(Table1[[#This Row],[STATES in numeric format]]=0,F173=0),1,0)</f>
        <v>0</v>
      </c>
      <c r="L174" s="3">
        <f>IF(AND(Table1[[#This Row],[STATES in numeric format]]=0,F173=1),1,0)</f>
        <v>0</v>
      </c>
      <c r="M174" s="3">
        <f>IF(AND(Table1[[#This Row],[STATES in numeric format]]=1,F173=-1),1,0)</f>
        <v>0</v>
      </c>
      <c r="N174" s="3">
        <f>IF(AND(Table1[[#This Row],[STATES in numeric format]]=1,F173=0),1,0)</f>
        <v>0</v>
      </c>
      <c r="O174" s="3">
        <f>IF(AND(Table1[[#This Row],[STATES in numeric format]]=1,F173=1),1,0)</f>
        <v>0</v>
      </c>
    </row>
    <row r="175" spans="1:15" x14ac:dyDescent="0.3">
      <c r="A175" s="1">
        <v>44083</v>
      </c>
      <c r="B175">
        <v>38193.919999999998</v>
      </c>
      <c r="C175">
        <f>Table1[[#This Row],[Close]]-0.001*Table1[[#This Row],[Close]]</f>
        <v>38155.72608</v>
      </c>
      <c r="D175">
        <f>Table1[[#This Row],[Close]]+0.001*Table1[[#This Row],[Close]]</f>
        <v>38232.113919999996</v>
      </c>
      <c r="E175" t="str">
        <f>IF(Table1[[#This Row],[Close]]&gt;D174,"UP",IF(Table1[[#This Row],[Close]]&lt;C174,"Down","Constant"))</f>
        <v>Down</v>
      </c>
      <c r="F175" s="3">
        <f>IF(Table1[[#This Row],[Column1]]="Up",1,IF(Table1[[#This Row],[Column1]]="Down",-1,0))</f>
        <v>-1</v>
      </c>
      <c r="G175" s="3">
        <f>IF(AND(Table1[[#This Row],[STATES in numeric format]]=-1,F174=-1),1,0)</f>
        <v>1</v>
      </c>
      <c r="H175" s="3">
        <f>IF(AND(Table1[[#This Row],[STATES in numeric format]]=-1,F174=0),1,0)</f>
        <v>0</v>
      </c>
      <c r="I175" s="3">
        <f>IF(AND(Table1[[#This Row],[STATES in numeric format]]=-1,F174=1),1,0)</f>
        <v>0</v>
      </c>
      <c r="J175" s="3">
        <f>IF(AND(Table1[[#This Row],[STATES in numeric format]]=0,F174=-1),1,0)</f>
        <v>0</v>
      </c>
      <c r="K175" s="3">
        <f>IF(AND(Table1[[#This Row],[STATES in numeric format]]=0,F174=0),1,0)</f>
        <v>0</v>
      </c>
      <c r="L175" s="3">
        <f>IF(AND(Table1[[#This Row],[STATES in numeric format]]=0,F174=1),1,0)</f>
        <v>0</v>
      </c>
      <c r="M175" s="3">
        <f>IF(AND(Table1[[#This Row],[STATES in numeric format]]=1,F174=-1),1,0)</f>
        <v>0</v>
      </c>
      <c r="N175" s="3">
        <f>IF(AND(Table1[[#This Row],[STATES in numeric format]]=1,F174=0),1,0)</f>
        <v>0</v>
      </c>
      <c r="O175" s="3">
        <f>IF(AND(Table1[[#This Row],[STATES in numeric format]]=1,F174=1),1,0)</f>
        <v>0</v>
      </c>
    </row>
    <row r="176" spans="1:15" x14ac:dyDescent="0.3">
      <c r="A176" s="1">
        <v>44084</v>
      </c>
      <c r="B176">
        <v>38840.32</v>
      </c>
      <c r="C176">
        <f>Table1[[#This Row],[Close]]-0.001*Table1[[#This Row],[Close]]</f>
        <v>38801.479679999997</v>
      </c>
      <c r="D176">
        <f>Table1[[#This Row],[Close]]+0.001*Table1[[#This Row],[Close]]</f>
        <v>38879.160320000003</v>
      </c>
      <c r="E176" t="str">
        <f>IF(Table1[[#This Row],[Close]]&gt;D175,"UP",IF(Table1[[#This Row],[Close]]&lt;C175,"Down","Constant"))</f>
        <v>UP</v>
      </c>
      <c r="F176" s="3">
        <f>IF(Table1[[#This Row],[Column1]]="Up",1,IF(Table1[[#This Row],[Column1]]="Down",-1,0))</f>
        <v>1</v>
      </c>
      <c r="G176" s="3">
        <f>IF(AND(Table1[[#This Row],[STATES in numeric format]]=-1,F175=-1),1,0)</f>
        <v>0</v>
      </c>
      <c r="H176" s="3">
        <f>IF(AND(Table1[[#This Row],[STATES in numeric format]]=-1,F175=0),1,0)</f>
        <v>0</v>
      </c>
      <c r="I176" s="3">
        <f>IF(AND(Table1[[#This Row],[STATES in numeric format]]=-1,F175=1),1,0)</f>
        <v>0</v>
      </c>
      <c r="J176" s="3">
        <f>IF(AND(Table1[[#This Row],[STATES in numeric format]]=0,F175=-1),1,0)</f>
        <v>0</v>
      </c>
      <c r="K176" s="3">
        <f>IF(AND(Table1[[#This Row],[STATES in numeric format]]=0,F175=0),1,0)</f>
        <v>0</v>
      </c>
      <c r="L176" s="3">
        <f>IF(AND(Table1[[#This Row],[STATES in numeric format]]=0,F175=1),1,0)</f>
        <v>0</v>
      </c>
      <c r="M176" s="3">
        <f>IF(AND(Table1[[#This Row],[STATES in numeric format]]=1,F175=-1),1,0)</f>
        <v>1</v>
      </c>
      <c r="N176" s="3">
        <f>IF(AND(Table1[[#This Row],[STATES in numeric format]]=1,F175=0),1,0)</f>
        <v>0</v>
      </c>
      <c r="O176" s="3">
        <f>IF(AND(Table1[[#This Row],[STATES in numeric format]]=1,F175=1),1,0)</f>
        <v>0</v>
      </c>
    </row>
    <row r="177" spans="1:15" x14ac:dyDescent="0.3">
      <c r="A177" s="1">
        <v>44085</v>
      </c>
      <c r="B177">
        <v>38854.550000000003</v>
      </c>
      <c r="C177">
        <f>Table1[[#This Row],[Close]]-0.001*Table1[[#This Row],[Close]]</f>
        <v>38815.695450000007</v>
      </c>
      <c r="D177">
        <f>Table1[[#This Row],[Close]]+0.001*Table1[[#This Row],[Close]]</f>
        <v>38893.404549999999</v>
      </c>
      <c r="E177" t="str">
        <f>IF(Table1[[#This Row],[Close]]&gt;D176,"UP",IF(Table1[[#This Row],[Close]]&lt;C176,"Down","Constant"))</f>
        <v>Constant</v>
      </c>
      <c r="F177" s="3">
        <f>IF(Table1[[#This Row],[Column1]]="Up",1,IF(Table1[[#This Row],[Column1]]="Down",-1,0))</f>
        <v>0</v>
      </c>
      <c r="G177" s="3">
        <f>IF(AND(Table1[[#This Row],[STATES in numeric format]]=-1,F176=-1),1,0)</f>
        <v>0</v>
      </c>
      <c r="H177" s="3">
        <f>IF(AND(Table1[[#This Row],[STATES in numeric format]]=-1,F176=0),1,0)</f>
        <v>0</v>
      </c>
      <c r="I177" s="3">
        <f>IF(AND(Table1[[#This Row],[STATES in numeric format]]=-1,F176=1),1,0)</f>
        <v>0</v>
      </c>
      <c r="J177" s="3">
        <f>IF(AND(Table1[[#This Row],[STATES in numeric format]]=0,F176=-1),1,0)</f>
        <v>0</v>
      </c>
      <c r="K177" s="3">
        <f>IF(AND(Table1[[#This Row],[STATES in numeric format]]=0,F176=0),1,0)</f>
        <v>0</v>
      </c>
      <c r="L177" s="3">
        <f>IF(AND(Table1[[#This Row],[STATES in numeric format]]=0,F176=1),1,0)</f>
        <v>1</v>
      </c>
      <c r="M177" s="3">
        <f>IF(AND(Table1[[#This Row],[STATES in numeric format]]=1,F176=-1),1,0)</f>
        <v>0</v>
      </c>
      <c r="N177" s="3">
        <f>IF(AND(Table1[[#This Row],[STATES in numeric format]]=1,F176=0),1,0)</f>
        <v>0</v>
      </c>
      <c r="O177" s="3">
        <f>IF(AND(Table1[[#This Row],[STATES in numeric format]]=1,F176=1),1,0)</f>
        <v>0</v>
      </c>
    </row>
    <row r="178" spans="1:15" x14ac:dyDescent="0.3">
      <c r="A178" s="1">
        <v>44088</v>
      </c>
      <c r="B178">
        <v>38756.629999999997</v>
      </c>
      <c r="C178">
        <f>Table1[[#This Row],[Close]]-0.001*Table1[[#This Row],[Close]]</f>
        <v>38717.873369999994</v>
      </c>
      <c r="D178">
        <f>Table1[[#This Row],[Close]]+0.001*Table1[[#This Row],[Close]]</f>
        <v>38795.386630000001</v>
      </c>
      <c r="E178" t="str">
        <f>IF(Table1[[#This Row],[Close]]&gt;D177,"UP",IF(Table1[[#This Row],[Close]]&lt;C177,"Down","Constant"))</f>
        <v>Down</v>
      </c>
      <c r="F178" s="3">
        <f>IF(Table1[[#This Row],[Column1]]="Up",1,IF(Table1[[#This Row],[Column1]]="Down",-1,0))</f>
        <v>-1</v>
      </c>
      <c r="G178" s="3">
        <f>IF(AND(Table1[[#This Row],[STATES in numeric format]]=-1,F177=-1),1,0)</f>
        <v>0</v>
      </c>
      <c r="H178" s="3">
        <f>IF(AND(Table1[[#This Row],[STATES in numeric format]]=-1,F177=0),1,0)</f>
        <v>1</v>
      </c>
      <c r="I178" s="3">
        <f>IF(AND(Table1[[#This Row],[STATES in numeric format]]=-1,F177=1),1,0)</f>
        <v>0</v>
      </c>
      <c r="J178" s="3">
        <f>IF(AND(Table1[[#This Row],[STATES in numeric format]]=0,F177=-1),1,0)</f>
        <v>0</v>
      </c>
      <c r="K178" s="3">
        <f>IF(AND(Table1[[#This Row],[STATES in numeric format]]=0,F177=0),1,0)</f>
        <v>0</v>
      </c>
      <c r="L178" s="3">
        <f>IF(AND(Table1[[#This Row],[STATES in numeric format]]=0,F177=1),1,0)</f>
        <v>0</v>
      </c>
      <c r="M178" s="3">
        <f>IF(AND(Table1[[#This Row],[STATES in numeric format]]=1,F177=-1),1,0)</f>
        <v>0</v>
      </c>
      <c r="N178" s="3">
        <f>IF(AND(Table1[[#This Row],[STATES in numeric format]]=1,F177=0),1,0)</f>
        <v>0</v>
      </c>
      <c r="O178" s="3">
        <f>IF(AND(Table1[[#This Row],[STATES in numeric format]]=1,F177=1),1,0)</f>
        <v>0</v>
      </c>
    </row>
    <row r="179" spans="1:15" x14ac:dyDescent="0.3">
      <c r="A179" s="1">
        <v>44089</v>
      </c>
      <c r="B179">
        <v>39044.35</v>
      </c>
      <c r="C179">
        <f>Table1[[#This Row],[Close]]-0.001*Table1[[#This Row],[Close]]</f>
        <v>39005.305650000002</v>
      </c>
      <c r="D179">
        <f>Table1[[#This Row],[Close]]+0.001*Table1[[#This Row],[Close]]</f>
        <v>39083.394349999995</v>
      </c>
      <c r="E179" t="str">
        <f>IF(Table1[[#This Row],[Close]]&gt;D178,"UP",IF(Table1[[#This Row],[Close]]&lt;C178,"Down","Constant"))</f>
        <v>UP</v>
      </c>
      <c r="F179" s="3">
        <f>IF(Table1[[#This Row],[Column1]]="Up",1,IF(Table1[[#This Row],[Column1]]="Down",-1,0))</f>
        <v>1</v>
      </c>
      <c r="G179" s="3">
        <f>IF(AND(Table1[[#This Row],[STATES in numeric format]]=-1,F178=-1),1,0)</f>
        <v>0</v>
      </c>
      <c r="H179" s="3">
        <f>IF(AND(Table1[[#This Row],[STATES in numeric format]]=-1,F178=0),1,0)</f>
        <v>0</v>
      </c>
      <c r="I179" s="3">
        <f>IF(AND(Table1[[#This Row],[STATES in numeric format]]=-1,F178=1),1,0)</f>
        <v>0</v>
      </c>
      <c r="J179" s="3">
        <f>IF(AND(Table1[[#This Row],[STATES in numeric format]]=0,F178=-1),1,0)</f>
        <v>0</v>
      </c>
      <c r="K179" s="3">
        <f>IF(AND(Table1[[#This Row],[STATES in numeric format]]=0,F178=0),1,0)</f>
        <v>0</v>
      </c>
      <c r="L179" s="3">
        <f>IF(AND(Table1[[#This Row],[STATES in numeric format]]=0,F178=1),1,0)</f>
        <v>0</v>
      </c>
      <c r="M179" s="3">
        <f>IF(AND(Table1[[#This Row],[STATES in numeric format]]=1,F178=-1),1,0)</f>
        <v>1</v>
      </c>
      <c r="N179" s="3">
        <f>IF(AND(Table1[[#This Row],[STATES in numeric format]]=1,F178=0),1,0)</f>
        <v>0</v>
      </c>
      <c r="O179" s="3">
        <f>IF(AND(Table1[[#This Row],[STATES in numeric format]]=1,F178=1),1,0)</f>
        <v>0</v>
      </c>
    </row>
    <row r="180" spans="1:15" x14ac:dyDescent="0.3">
      <c r="A180" s="1">
        <v>44090</v>
      </c>
      <c r="B180">
        <v>39302.85</v>
      </c>
      <c r="C180">
        <f>Table1[[#This Row],[Close]]-0.001*Table1[[#This Row],[Close]]</f>
        <v>39263.547149999999</v>
      </c>
      <c r="D180">
        <f>Table1[[#This Row],[Close]]+0.001*Table1[[#This Row],[Close]]</f>
        <v>39342.152849999999</v>
      </c>
      <c r="E180" t="str">
        <f>IF(Table1[[#This Row],[Close]]&gt;D179,"UP",IF(Table1[[#This Row],[Close]]&lt;C179,"Down","Constant"))</f>
        <v>UP</v>
      </c>
      <c r="F180" s="3">
        <f>IF(Table1[[#This Row],[Column1]]="Up",1,IF(Table1[[#This Row],[Column1]]="Down",-1,0))</f>
        <v>1</v>
      </c>
      <c r="G180" s="3">
        <f>IF(AND(Table1[[#This Row],[STATES in numeric format]]=-1,F179=-1),1,0)</f>
        <v>0</v>
      </c>
      <c r="H180" s="3">
        <f>IF(AND(Table1[[#This Row],[STATES in numeric format]]=-1,F179=0),1,0)</f>
        <v>0</v>
      </c>
      <c r="I180" s="3">
        <f>IF(AND(Table1[[#This Row],[STATES in numeric format]]=-1,F179=1),1,0)</f>
        <v>0</v>
      </c>
      <c r="J180" s="3">
        <f>IF(AND(Table1[[#This Row],[STATES in numeric format]]=0,F179=-1),1,0)</f>
        <v>0</v>
      </c>
      <c r="K180" s="3">
        <f>IF(AND(Table1[[#This Row],[STATES in numeric format]]=0,F179=0),1,0)</f>
        <v>0</v>
      </c>
      <c r="L180" s="3">
        <f>IF(AND(Table1[[#This Row],[STATES in numeric format]]=0,F179=1),1,0)</f>
        <v>0</v>
      </c>
      <c r="M180" s="3">
        <f>IF(AND(Table1[[#This Row],[STATES in numeric format]]=1,F179=-1),1,0)</f>
        <v>0</v>
      </c>
      <c r="N180" s="3">
        <f>IF(AND(Table1[[#This Row],[STATES in numeric format]]=1,F179=0),1,0)</f>
        <v>0</v>
      </c>
      <c r="O180" s="3">
        <f>IF(AND(Table1[[#This Row],[STATES in numeric format]]=1,F179=1),1,0)</f>
        <v>1</v>
      </c>
    </row>
    <row r="181" spans="1:15" x14ac:dyDescent="0.3">
      <c r="A181" s="1">
        <v>44091</v>
      </c>
      <c r="B181">
        <v>38979.85</v>
      </c>
      <c r="C181">
        <f>Table1[[#This Row],[Close]]-0.001*Table1[[#This Row],[Close]]</f>
        <v>38940.870149999995</v>
      </c>
      <c r="D181">
        <f>Table1[[#This Row],[Close]]+0.001*Table1[[#This Row],[Close]]</f>
        <v>39018.829850000002</v>
      </c>
      <c r="E181" t="str">
        <f>IF(Table1[[#This Row],[Close]]&gt;D180,"UP",IF(Table1[[#This Row],[Close]]&lt;C180,"Down","Constant"))</f>
        <v>Down</v>
      </c>
      <c r="F181" s="3">
        <f>IF(Table1[[#This Row],[Column1]]="Up",1,IF(Table1[[#This Row],[Column1]]="Down",-1,0))</f>
        <v>-1</v>
      </c>
      <c r="G181" s="3">
        <f>IF(AND(Table1[[#This Row],[STATES in numeric format]]=-1,F180=-1),1,0)</f>
        <v>0</v>
      </c>
      <c r="H181" s="3">
        <f>IF(AND(Table1[[#This Row],[STATES in numeric format]]=-1,F180=0),1,0)</f>
        <v>0</v>
      </c>
      <c r="I181" s="3">
        <f>IF(AND(Table1[[#This Row],[STATES in numeric format]]=-1,F180=1),1,0)</f>
        <v>1</v>
      </c>
      <c r="J181" s="3">
        <f>IF(AND(Table1[[#This Row],[STATES in numeric format]]=0,F180=-1),1,0)</f>
        <v>0</v>
      </c>
      <c r="K181" s="3">
        <f>IF(AND(Table1[[#This Row],[STATES in numeric format]]=0,F180=0),1,0)</f>
        <v>0</v>
      </c>
      <c r="L181" s="3">
        <f>IF(AND(Table1[[#This Row],[STATES in numeric format]]=0,F180=1),1,0)</f>
        <v>0</v>
      </c>
      <c r="M181" s="3">
        <f>IF(AND(Table1[[#This Row],[STATES in numeric format]]=1,F180=-1),1,0)</f>
        <v>0</v>
      </c>
      <c r="N181" s="3">
        <f>IF(AND(Table1[[#This Row],[STATES in numeric format]]=1,F180=0),1,0)</f>
        <v>0</v>
      </c>
      <c r="O181" s="3">
        <f>IF(AND(Table1[[#This Row],[STATES in numeric format]]=1,F180=1),1,0)</f>
        <v>0</v>
      </c>
    </row>
    <row r="182" spans="1:15" x14ac:dyDescent="0.3">
      <c r="A182" s="1">
        <v>44092</v>
      </c>
      <c r="B182">
        <v>38845.82</v>
      </c>
      <c r="C182">
        <f>Table1[[#This Row],[Close]]-0.001*Table1[[#This Row],[Close]]</f>
        <v>38806.974179999997</v>
      </c>
      <c r="D182">
        <f>Table1[[#This Row],[Close]]+0.001*Table1[[#This Row],[Close]]</f>
        <v>38884.665820000002</v>
      </c>
      <c r="E182" t="str">
        <f>IF(Table1[[#This Row],[Close]]&gt;D181,"UP",IF(Table1[[#This Row],[Close]]&lt;C181,"Down","Constant"))</f>
        <v>Down</v>
      </c>
      <c r="F182" s="3">
        <f>IF(Table1[[#This Row],[Column1]]="Up",1,IF(Table1[[#This Row],[Column1]]="Down",-1,0))</f>
        <v>-1</v>
      </c>
      <c r="G182" s="3">
        <f>IF(AND(Table1[[#This Row],[STATES in numeric format]]=-1,F181=-1),1,0)</f>
        <v>1</v>
      </c>
      <c r="H182" s="3">
        <f>IF(AND(Table1[[#This Row],[STATES in numeric format]]=-1,F181=0),1,0)</f>
        <v>0</v>
      </c>
      <c r="I182" s="3">
        <f>IF(AND(Table1[[#This Row],[STATES in numeric format]]=-1,F181=1),1,0)</f>
        <v>0</v>
      </c>
      <c r="J182" s="3">
        <f>IF(AND(Table1[[#This Row],[STATES in numeric format]]=0,F181=-1),1,0)</f>
        <v>0</v>
      </c>
      <c r="K182" s="3">
        <f>IF(AND(Table1[[#This Row],[STATES in numeric format]]=0,F181=0),1,0)</f>
        <v>0</v>
      </c>
      <c r="L182" s="3">
        <f>IF(AND(Table1[[#This Row],[STATES in numeric format]]=0,F181=1),1,0)</f>
        <v>0</v>
      </c>
      <c r="M182" s="3">
        <f>IF(AND(Table1[[#This Row],[STATES in numeric format]]=1,F181=-1),1,0)</f>
        <v>0</v>
      </c>
      <c r="N182" s="3">
        <f>IF(AND(Table1[[#This Row],[STATES in numeric format]]=1,F181=0),1,0)</f>
        <v>0</v>
      </c>
      <c r="O182" s="3">
        <f>IF(AND(Table1[[#This Row],[STATES in numeric format]]=1,F181=1),1,0)</f>
        <v>0</v>
      </c>
    </row>
    <row r="183" spans="1:15" x14ac:dyDescent="0.3">
      <c r="A183" s="1">
        <v>44095</v>
      </c>
      <c r="B183">
        <v>38034.14</v>
      </c>
      <c r="C183">
        <f>Table1[[#This Row],[Close]]-0.001*Table1[[#This Row],[Close]]</f>
        <v>37996.105859999996</v>
      </c>
      <c r="D183">
        <f>Table1[[#This Row],[Close]]+0.001*Table1[[#This Row],[Close]]</f>
        <v>38072.174140000003</v>
      </c>
      <c r="E183" t="str">
        <f>IF(Table1[[#This Row],[Close]]&gt;D182,"UP",IF(Table1[[#This Row],[Close]]&lt;C182,"Down","Constant"))</f>
        <v>Down</v>
      </c>
      <c r="F183" s="3">
        <f>IF(Table1[[#This Row],[Column1]]="Up",1,IF(Table1[[#This Row],[Column1]]="Down",-1,0))</f>
        <v>-1</v>
      </c>
      <c r="G183" s="3">
        <f>IF(AND(Table1[[#This Row],[STATES in numeric format]]=-1,F182=-1),1,0)</f>
        <v>1</v>
      </c>
      <c r="H183" s="3">
        <f>IF(AND(Table1[[#This Row],[STATES in numeric format]]=-1,F182=0),1,0)</f>
        <v>0</v>
      </c>
      <c r="I183" s="3">
        <f>IF(AND(Table1[[#This Row],[STATES in numeric format]]=-1,F182=1),1,0)</f>
        <v>0</v>
      </c>
      <c r="J183" s="3">
        <f>IF(AND(Table1[[#This Row],[STATES in numeric format]]=0,F182=-1),1,0)</f>
        <v>0</v>
      </c>
      <c r="K183" s="3">
        <f>IF(AND(Table1[[#This Row],[STATES in numeric format]]=0,F182=0),1,0)</f>
        <v>0</v>
      </c>
      <c r="L183" s="3">
        <f>IF(AND(Table1[[#This Row],[STATES in numeric format]]=0,F182=1),1,0)</f>
        <v>0</v>
      </c>
      <c r="M183" s="3">
        <f>IF(AND(Table1[[#This Row],[STATES in numeric format]]=1,F182=-1),1,0)</f>
        <v>0</v>
      </c>
      <c r="N183" s="3">
        <f>IF(AND(Table1[[#This Row],[STATES in numeric format]]=1,F182=0),1,0)</f>
        <v>0</v>
      </c>
      <c r="O183" s="3">
        <f>IF(AND(Table1[[#This Row],[STATES in numeric format]]=1,F182=1),1,0)</f>
        <v>0</v>
      </c>
    </row>
    <row r="184" spans="1:15" x14ac:dyDescent="0.3">
      <c r="A184" s="1">
        <v>44096</v>
      </c>
      <c r="B184">
        <v>37734.080000000002</v>
      </c>
      <c r="C184">
        <f>Table1[[#This Row],[Close]]-0.001*Table1[[#This Row],[Close]]</f>
        <v>37696.34592</v>
      </c>
      <c r="D184">
        <f>Table1[[#This Row],[Close]]+0.001*Table1[[#This Row],[Close]]</f>
        <v>37771.814080000004</v>
      </c>
      <c r="E184" t="str">
        <f>IF(Table1[[#This Row],[Close]]&gt;D183,"UP",IF(Table1[[#This Row],[Close]]&lt;C183,"Down","Constant"))</f>
        <v>Down</v>
      </c>
      <c r="F184" s="3">
        <f>IF(Table1[[#This Row],[Column1]]="Up",1,IF(Table1[[#This Row],[Column1]]="Down",-1,0))</f>
        <v>-1</v>
      </c>
      <c r="G184" s="3">
        <f>IF(AND(Table1[[#This Row],[STATES in numeric format]]=-1,F183=-1),1,0)</f>
        <v>1</v>
      </c>
      <c r="H184" s="3">
        <f>IF(AND(Table1[[#This Row],[STATES in numeric format]]=-1,F183=0),1,0)</f>
        <v>0</v>
      </c>
      <c r="I184" s="3">
        <f>IF(AND(Table1[[#This Row],[STATES in numeric format]]=-1,F183=1),1,0)</f>
        <v>0</v>
      </c>
      <c r="J184" s="3">
        <f>IF(AND(Table1[[#This Row],[STATES in numeric format]]=0,F183=-1),1,0)</f>
        <v>0</v>
      </c>
      <c r="K184" s="3">
        <f>IF(AND(Table1[[#This Row],[STATES in numeric format]]=0,F183=0),1,0)</f>
        <v>0</v>
      </c>
      <c r="L184" s="3">
        <f>IF(AND(Table1[[#This Row],[STATES in numeric format]]=0,F183=1),1,0)</f>
        <v>0</v>
      </c>
      <c r="M184" s="3">
        <f>IF(AND(Table1[[#This Row],[STATES in numeric format]]=1,F183=-1),1,0)</f>
        <v>0</v>
      </c>
      <c r="N184" s="3">
        <f>IF(AND(Table1[[#This Row],[STATES in numeric format]]=1,F183=0),1,0)</f>
        <v>0</v>
      </c>
      <c r="O184" s="3">
        <f>IF(AND(Table1[[#This Row],[STATES in numeric format]]=1,F183=1),1,0)</f>
        <v>0</v>
      </c>
    </row>
    <row r="185" spans="1:15" x14ac:dyDescent="0.3">
      <c r="A185" s="1">
        <v>44097</v>
      </c>
      <c r="B185">
        <v>37668.42</v>
      </c>
      <c r="C185">
        <f>Table1[[#This Row],[Close]]-0.001*Table1[[#This Row],[Close]]</f>
        <v>37630.751579999996</v>
      </c>
      <c r="D185">
        <f>Table1[[#This Row],[Close]]+0.001*Table1[[#This Row],[Close]]</f>
        <v>37706.08842</v>
      </c>
      <c r="E185" t="str">
        <f>IF(Table1[[#This Row],[Close]]&gt;D184,"UP",IF(Table1[[#This Row],[Close]]&lt;C184,"Down","Constant"))</f>
        <v>Down</v>
      </c>
      <c r="F185" s="3">
        <f>IF(Table1[[#This Row],[Column1]]="Up",1,IF(Table1[[#This Row],[Column1]]="Down",-1,0))</f>
        <v>-1</v>
      </c>
      <c r="G185" s="3">
        <f>IF(AND(Table1[[#This Row],[STATES in numeric format]]=-1,F184=-1),1,0)</f>
        <v>1</v>
      </c>
      <c r="H185" s="3">
        <f>IF(AND(Table1[[#This Row],[STATES in numeric format]]=-1,F184=0),1,0)</f>
        <v>0</v>
      </c>
      <c r="I185" s="3">
        <f>IF(AND(Table1[[#This Row],[STATES in numeric format]]=-1,F184=1),1,0)</f>
        <v>0</v>
      </c>
      <c r="J185" s="3">
        <f>IF(AND(Table1[[#This Row],[STATES in numeric format]]=0,F184=-1),1,0)</f>
        <v>0</v>
      </c>
      <c r="K185" s="3">
        <f>IF(AND(Table1[[#This Row],[STATES in numeric format]]=0,F184=0),1,0)</f>
        <v>0</v>
      </c>
      <c r="L185" s="3">
        <f>IF(AND(Table1[[#This Row],[STATES in numeric format]]=0,F184=1),1,0)</f>
        <v>0</v>
      </c>
      <c r="M185" s="3">
        <f>IF(AND(Table1[[#This Row],[STATES in numeric format]]=1,F184=-1),1,0)</f>
        <v>0</v>
      </c>
      <c r="N185" s="3">
        <f>IF(AND(Table1[[#This Row],[STATES in numeric format]]=1,F184=0),1,0)</f>
        <v>0</v>
      </c>
      <c r="O185" s="3">
        <f>IF(AND(Table1[[#This Row],[STATES in numeric format]]=1,F184=1),1,0)</f>
        <v>0</v>
      </c>
    </row>
    <row r="186" spans="1:15" x14ac:dyDescent="0.3">
      <c r="A186" s="1">
        <v>44098</v>
      </c>
      <c r="B186">
        <v>36553.599999999999</v>
      </c>
      <c r="C186">
        <f>Table1[[#This Row],[Close]]-0.001*Table1[[#This Row],[Close]]</f>
        <v>36517.046399999999</v>
      </c>
      <c r="D186">
        <f>Table1[[#This Row],[Close]]+0.001*Table1[[#This Row],[Close]]</f>
        <v>36590.153599999998</v>
      </c>
      <c r="E186" t="str">
        <f>IF(Table1[[#This Row],[Close]]&gt;D185,"UP",IF(Table1[[#This Row],[Close]]&lt;C185,"Down","Constant"))</f>
        <v>Down</v>
      </c>
      <c r="F186" s="3">
        <f>IF(Table1[[#This Row],[Column1]]="Up",1,IF(Table1[[#This Row],[Column1]]="Down",-1,0))</f>
        <v>-1</v>
      </c>
      <c r="G186" s="3">
        <f>IF(AND(Table1[[#This Row],[STATES in numeric format]]=-1,F185=-1),1,0)</f>
        <v>1</v>
      </c>
      <c r="H186" s="3">
        <f>IF(AND(Table1[[#This Row],[STATES in numeric format]]=-1,F185=0),1,0)</f>
        <v>0</v>
      </c>
      <c r="I186" s="3">
        <f>IF(AND(Table1[[#This Row],[STATES in numeric format]]=-1,F185=1),1,0)</f>
        <v>0</v>
      </c>
      <c r="J186" s="3">
        <f>IF(AND(Table1[[#This Row],[STATES in numeric format]]=0,F185=-1),1,0)</f>
        <v>0</v>
      </c>
      <c r="K186" s="3">
        <f>IF(AND(Table1[[#This Row],[STATES in numeric format]]=0,F185=0),1,0)</f>
        <v>0</v>
      </c>
      <c r="L186" s="3">
        <f>IF(AND(Table1[[#This Row],[STATES in numeric format]]=0,F185=1),1,0)</f>
        <v>0</v>
      </c>
      <c r="M186" s="3">
        <f>IF(AND(Table1[[#This Row],[STATES in numeric format]]=1,F185=-1),1,0)</f>
        <v>0</v>
      </c>
      <c r="N186" s="3">
        <f>IF(AND(Table1[[#This Row],[STATES in numeric format]]=1,F185=0),1,0)</f>
        <v>0</v>
      </c>
      <c r="O186" s="3">
        <f>IF(AND(Table1[[#This Row],[STATES in numeric format]]=1,F185=1),1,0)</f>
        <v>0</v>
      </c>
    </row>
    <row r="187" spans="1:15" x14ac:dyDescent="0.3">
      <c r="A187" s="1">
        <v>44099</v>
      </c>
      <c r="B187">
        <v>37388.660000000003</v>
      </c>
      <c r="C187">
        <f>Table1[[#This Row],[Close]]-0.001*Table1[[#This Row],[Close]]</f>
        <v>37351.271340000007</v>
      </c>
      <c r="D187">
        <f>Table1[[#This Row],[Close]]+0.001*Table1[[#This Row],[Close]]</f>
        <v>37426.04866</v>
      </c>
      <c r="E187" t="str">
        <f>IF(Table1[[#This Row],[Close]]&gt;D186,"UP",IF(Table1[[#This Row],[Close]]&lt;C186,"Down","Constant"))</f>
        <v>UP</v>
      </c>
      <c r="F187" s="3">
        <f>IF(Table1[[#This Row],[Column1]]="Up",1,IF(Table1[[#This Row],[Column1]]="Down",-1,0))</f>
        <v>1</v>
      </c>
      <c r="G187" s="3">
        <f>IF(AND(Table1[[#This Row],[STATES in numeric format]]=-1,F186=-1),1,0)</f>
        <v>0</v>
      </c>
      <c r="H187" s="3">
        <f>IF(AND(Table1[[#This Row],[STATES in numeric format]]=-1,F186=0),1,0)</f>
        <v>0</v>
      </c>
      <c r="I187" s="3">
        <f>IF(AND(Table1[[#This Row],[STATES in numeric format]]=-1,F186=1),1,0)</f>
        <v>0</v>
      </c>
      <c r="J187" s="3">
        <f>IF(AND(Table1[[#This Row],[STATES in numeric format]]=0,F186=-1),1,0)</f>
        <v>0</v>
      </c>
      <c r="K187" s="3">
        <f>IF(AND(Table1[[#This Row],[STATES in numeric format]]=0,F186=0),1,0)</f>
        <v>0</v>
      </c>
      <c r="L187" s="3">
        <f>IF(AND(Table1[[#This Row],[STATES in numeric format]]=0,F186=1),1,0)</f>
        <v>0</v>
      </c>
      <c r="M187" s="3">
        <f>IF(AND(Table1[[#This Row],[STATES in numeric format]]=1,F186=-1),1,0)</f>
        <v>1</v>
      </c>
      <c r="N187" s="3">
        <f>IF(AND(Table1[[#This Row],[STATES in numeric format]]=1,F186=0),1,0)</f>
        <v>0</v>
      </c>
      <c r="O187" s="3">
        <f>IF(AND(Table1[[#This Row],[STATES in numeric format]]=1,F186=1),1,0)</f>
        <v>0</v>
      </c>
    </row>
    <row r="188" spans="1:15" x14ac:dyDescent="0.3">
      <c r="A188" s="1">
        <v>44102</v>
      </c>
      <c r="B188">
        <v>37981.629999999997</v>
      </c>
      <c r="C188">
        <f>Table1[[#This Row],[Close]]-0.001*Table1[[#This Row],[Close]]</f>
        <v>37943.648369999995</v>
      </c>
      <c r="D188">
        <f>Table1[[#This Row],[Close]]+0.001*Table1[[#This Row],[Close]]</f>
        <v>38019.611629999999</v>
      </c>
      <c r="E188" t="str">
        <f>IF(Table1[[#This Row],[Close]]&gt;D187,"UP",IF(Table1[[#This Row],[Close]]&lt;C187,"Down","Constant"))</f>
        <v>UP</v>
      </c>
      <c r="F188" s="3">
        <f>IF(Table1[[#This Row],[Column1]]="Up",1,IF(Table1[[#This Row],[Column1]]="Down",-1,0))</f>
        <v>1</v>
      </c>
      <c r="G188" s="3">
        <f>IF(AND(Table1[[#This Row],[STATES in numeric format]]=-1,F187=-1),1,0)</f>
        <v>0</v>
      </c>
      <c r="H188" s="3">
        <f>IF(AND(Table1[[#This Row],[STATES in numeric format]]=-1,F187=0),1,0)</f>
        <v>0</v>
      </c>
      <c r="I188" s="3">
        <f>IF(AND(Table1[[#This Row],[STATES in numeric format]]=-1,F187=1),1,0)</f>
        <v>0</v>
      </c>
      <c r="J188" s="3">
        <f>IF(AND(Table1[[#This Row],[STATES in numeric format]]=0,F187=-1),1,0)</f>
        <v>0</v>
      </c>
      <c r="K188" s="3">
        <f>IF(AND(Table1[[#This Row],[STATES in numeric format]]=0,F187=0),1,0)</f>
        <v>0</v>
      </c>
      <c r="L188" s="3">
        <f>IF(AND(Table1[[#This Row],[STATES in numeric format]]=0,F187=1),1,0)</f>
        <v>0</v>
      </c>
      <c r="M188" s="3">
        <f>IF(AND(Table1[[#This Row],[STATES in numeric format]]=1,F187=-1),1,0)</f>
        <v>0</v>
      </c>
      <c r="N188" s="3">
        <f>IF(AND(Table1[[#This Row],[STATES in numeric format]]=1,F187=0),1,0)</f>
        <v>0</v>
      </c>
      <c r="O188" s="3">
        <f>IF(AND(Table1[[#This Row],[STATES in numeric format]]=1,F187=1),1,0)</f>
        <v>1</v>
      </c>
    </row>
    <row r="189" spans="1:15" x14ac:dyDescent="0.3">
      <c r="A189" s="1">
        <v>44103</v>
      </c>
      <c r="B189">
        <v>37973.22</v>
      </c>
      <c r="C189">
        <f>Table1[[#This Row],[Close]]-0.001*Table1[[#This Row],[Close]]</f>
        <v>37935.246780000001</v>
      </c>
      <c r="D189">
        <f>Table1[[#This Row],[Close]]+0.001*Table1[[#This Row],[Close]]</f>
        <v>38011.193220000001</v>
      </c>
      <c r="E189" t="str">
        <f>IF(Table1[[#This Row],[Close]]&gt;D188,"UP",IF(Table1[[#This Row],[Close]]&lt;C188,"Down","Constant"))</f>
        <v>Constant</v>
      </c>
      <c r="F189" s="3">
        <f>IF(Table1[[#This Row],[Column1]]="Up",1,IF(Table1[[#This Row],[Column1]]="Down",-1,0))</f>
        <v>0</v>
      </c>
      <c r="G189" s="3">
        <f>IF(AND(Table1[[#This Row],[STATES in numeric format]]=-1,F188=-1),1,0)</f>
        <v>0</v>
      </c>
      <c r="H189" s="3">
        <f>IF(AND(Table1[[#This Row],[STATES in numeric format]]=-1,F188=0),1,0)</f>
        <v>0</v>
      </c>
      <c r="I189" s="3">
        <f>IF(AND(Table1[[#This Row],[STATES in numeric format]]=-1,F188=1),1,0)</f>
        <v>0</v>
      </c>
      <c r="J189" s="3">
        <f>IF(AND(Table1[[#This Row],[STATES in numeric format]]=0,F188=-1),1,0)</f>
        <v>0</v>
      </c>
      <c r="K189" s="3">
        <f>IF(AND(Table1[[#This Row],[STATES in numeric format]]=0,F188=0),1,0)</f>
        <v>0</v>
      </c>
      <c r="L189" s="3">
        <f>IF(AND(Table1[[#This Row],[STATES in numeric format]]=0,F188=1),1,0)</f>
        <v>1</v>
      </c>
      <c r="M189" s="3">
        <f>IF(AND(Table1[[#This Row],[STATES in numeric format]]=1,F188=-1),1,0)</f>
        <v>0</v>
      </c>
      <c r="N189" s="3">
        <f>IF(AND(Table1[[#This Row],[STATES in numeric format]]=1,F188=0),1,0)</f>
        <v>0</v>
      </c>
      <c r="O189" s="3">
        <f>IF(AND(Table1[[#This Row],[STATES in numeric format]]=1,F188=1),1,0)</f>
        <v>0</v>
      </c>
    </row>
    <row r="190" spans="1:15" x14ac:dyDescent="0.3">
      <c r="A190" s="1">
        <v>44104</v>
      </c>
      <c r="B190">
        <v>38067.93</v>
      </c>
      <c r="C190">
        <f>Table1[[#This Row],[Close]]-0.001*Table1[[#This Row],[Close]]</f>
        <v>38029.862070000003</v>
      </c>
      <c r="D190">
        <f>Table1[[#This Row],[Close]]+0.001*Table1[[#This Row],[Close]]</f>
        <v>38105.997929999998</v>
      </c>
      <c r="E190" t="str">
        <f>IF(Table1[[#This Row],[Close]]&gt;D189,"UP",IF(Table1[[#This Row],[Close]]&lt;C189,"Down","Constant"))</f>
        <v>UP</v>
      </c>
      <c r="F190" s="3">
        <f>IF(Table1[[#This Row],[Column1]]="Up",1,IF(Table1[[#This Row],[Column1]]="Down",-1,0))</f>
        <v>1</v>
      </c>
      <c r="G190" s="3">
        <f>IF(AND(Table1[[#This Row],[STATES in numeric format]]=-1,F189=-1),1,0)</f>
        <v>0</v>
      </c>
      <c r="H190" s="3">
        <f>IF(AND(Table1[[#This Row],[STATES in numeric format]]=-1,F189=0),1,0)</f>
        <v>0</v>
      </c>
      <c r="I190" s="3">
        <f>IF(AND(Table1[[#This Row],[STATES in numeric format]]=-1,F189=1),1,0)</f>
        <v>0</v>
      </c>
      <c r="J190" s="3">
        <f>IF(AND(Table1[[#This Row],[STATES in numeric format]]=0,F189=-1),1,0)</f>
        <v>0</v>
      </c>
      <c r="K190" s="3">
        <f>IF(AND(Table1[[#This Row],[STATES in numeric format]]=0,F189=0),1,0)</f>
        <v>0</v>
      </c>
      <c r="L190" s="3">
        <f>IF(AND(Table1[[#This Row],[STATES in numeric format]]=0,F189=1),1,0)</f>
        <v>0</v>
      </c>
      <c r="M190" s="3">
        <f>IF(AND(Table1[[#This Row],[STATES in numeric format]]=1,F189=-1),1,0)</f>
        <v>0</v>
      </c>
      <c r="N190" s="3">
        <f>IF(AND(Table1[[#This Row],[STATES in numeric format]]=1,F189=0),1,0)</f>
        <v>1</v>
      </c>
      <c r="O190" s="3">
        <f>IF(AND(Table1[[#This Row],[STATES in numeric format]]=1,F189=1),1,0)</f>
        <v>0</v>
      </c>
    </row>
    <row r="191" spans="1:15" x14ac:dyDescent="0.3">
      <c r="A191" s="1">
        <v>44105</v>
      </c>
      <c r="B191">
        <v>38697.050000000003</v>
      </c>
      <c r="C191">
        <f>Table1[[#This Row],[Close]]-0.001*Table1[[#This Row],[Close]]</f>
        <v>38658.35295</v>
      </c>
      <c r="D191">
        <f>Table1[[#This Row],[Close]]+0.001*Table1[[#This Row],[Close]]</f>
        <v>38735.747050000005</v>
      </c>
      <c r="E191" t="str">
        <f>IF(Table1[[#This Row],[Close]]&gt;D190,"UP",IF(Table1[[#This Row],[Close]]&lt;C190,"Down","Constant"))</f>
        <v>UP</v>
      </c>
      <c r="F191" s="3">
        <f>IF(Table1[[#This Row],[Column1]]="Up",1,IF(Table1[[#This Row],[Column1]]="Down",-1,0))</f>
        <v>1</v>
      </c>
      <c r="G191" s="3">
        <f>IF(AND(Table1[[#This Row],[STATES in numeric format]]=-1,F190=-1),1,0)</f>
        <v>0</v>
      </c>
      <c r="H191" s="3">
        <f>IF(AND(Table1[[#This Row],[STATES in numeric format]]=-1,F190=0),1,0)</f>
        <v>0</v>
      </c>
      <c r="I191" s="3">
        <f>IF(AND(Table1[[#This Row],[STATES in numeric format]]=-1,F190=1),1,0)</f>
        <v>0</v>
      </c>
      <c r="J191" s="3">
        <f>IF(AND(Table1[[#This Row],[STATES in numeric format]]=0,F190=-1),1,0)</f>
        <v>0</v>
      </c>
      <c r="K191" s="3">
        <f>IF(AND(Table1[[#This Row],[STATES in numeric format]]=0,F190=0),1,0)</f>
        <v>0</v>
      </c>
      <c r="L191" s="3">
        <f>IF(AND(Table1[[#This Row],[STATES in numeric format]]=0,F190=1),1,0)</f>
        <v>0</v>
      </c>
      <c r="M191" s="3">
        <f>IF(AND(Table1[[#This Row],[STATES in numeric format]]=1,F190=-1),1,0)</f>
        <v>0</v>
      </c>
      <c r="N191" s="3">
        <f>IF(AND(Table1[[#This Row],[STATES in numeric format]]=1,F190=0),1,0)</f>
        <v>0</v>
      </c>
      <c r="O191" s="3">
        <f>IF(AND(Table1[[#This Row],[STATES in numeric format]]=1,F190=1),1,0)</f>
        <v>1</v>
      </c>
    </row>
    <row r="192" spans="1:15" x14ac:dyDescent="0.3">
      <c r="A192" s="1">
        <v>44109</v>
      </c>
      <c r="B192">
        <v>38973.699999999997</v>
      </c>
      <c r="C192">
        <f>Table1[[#This Row],[Close]]-0.001*Table1[[#This Row],[Close]]</f>
        <v>38934.726299999995</v>
      </c>
      <c r="D192">
        <f>Table1[[#This Row],[Close]]+0.001*Table1[[#This Row],[Close]]</f>
        <v>39012.673699999999</v>
      </c>
      <c r="E192" t="str">
        <f>IF(Table1[[#This Row],[Close]]&gt;D191,"UP",IF(Table1[[#This Row],[Close]]&lt;C191,"Down","Constant"))</f>
        <v>UP</v>
      </c>
      <c r="F192" s="3">
        <f>IF(Table1[[#This Row],[Column1]]="Up",1,IF(Table1[[#This Row],[Column1]]="Down",-1,0))</f>
        <v>1</v>
      </c>
      <c r="G192" s="3">
        <f>IF(AND(Table1[[#This Row],[STATES in numeric format]]=-1,F191=-1),1,0)</f>
        <v>0</v>
      </c>
      <c r="H192" s="3">
        <f>IF(AND(Table1[[#This Row],[STATES in numeric format]]=-1,F191=0),1,0)</f>
        <v>0</v>
      </c>
      <c r="I192" s="3">
        <f>IF(AND(Table1[[#This Row],[STATES in numeric format]]=-1,F191=1),1,0)</f>
        <v>0</v>
      </c>
      <c r="J192" s="3">
        <f>IF(AND(Table1[[#This Row],[STATES in numeric format]]=0,F191=-1),1,0)</f>
        <v>0</v>
      </c>
      <c r="K192" s="3">
        <f>IF(AND(Table1[[#This Row],[STATES in numeric format]]=0,F191=0),1,0)</f>
        <v>0</v>
      </c>
      <c r="L192" s="3">
        <f>IF(AND(Table1[[#This Row],[STATES in numeric format]]=0,F191=1),1,0)</f>
        <v>0</v>
      </c>
      <c r="M192" s="3">
        <f>IF(AND(Table1[[#This Row],[STATES in numeric format]]=1,F191=-1),1,0)</f>
        <v>0</v>
      </c>
      <c r="N192" s="3">
        <f>IF(AND(Table1[[#This Row],[STATES in numeric format]]=1,F191=0),1,0)</f>
        <v>0</v>
      </c>
      <c r="O192" s="3">
        <f>IF(AND(Table1[[#This Row],[STATES in numeric format]]=1,F191=1),1,0)</f>
        <v>1</v>
      </c>
    </row>
    <row r="193" spans="1:15" x14ac:dyDescent="0.3">
      <c r="A193" s="1">
        <v>44110</v>
      </c>
      <c r="B193">
        <v>39574.57</v>
      </c>
      <c r="C193">
        <f>Table1[[#This Row],[Close]]-0.001*Table1[[#This Row],[Close]]</f>
        <v>39534.995430000003</v>
      </c>
      <c r="D193">
        <f>Table1[[#This Row],[Close]]+0.001*Table1[[#This Row],[Close]]</f>
        <v>39614.144569999997</v>
      </c>
      <c r="E193" t="str">
        <f>IF(Table1[[#This Row],[Close]]&gt;D192,"UP",IF(Table1[[#This Row],[Close]]&lt;C192,"Down","Constant"))</f>
        <v>UP</v>
      </c>
      <c r="F193" s="3">
        <f>IF(Table1[[#This Row],[Column1]]="Up",1,IF(Table1[[#This Row],[Column1]]="Down",-1,0))</f>
        <v>1</v>
      </c>
      <c r="G193" s="3">
        <f>IF(AND(Table1[[#This Row],[STATES in numeric format]]=-1,F192=-1),1,0)</f>
        <v>0</v>
      </c>
      <c r="H193" s="3">
        <f>IF(AND(Table1[[#This Row],[STATES in numeric format]]=-1,F192=0),1,0)</f>
        <v>0</v>
      </c>
      <c r="I193" s="3">
        <f>IF(AND(Table1[[#This Row],[STATES in numeric format]]=-1,F192=1),1,0)</f>
        <v>0</v>
      </c>
      <c r="J193" s="3">
        <f>IF(AND(Table1[[#This Row],[STATES in numeric format]]=0,F192=-1),1,0)</f>
        <v>0</v>
      </c>
      <c r="K193" s="3">
        <f>IF(AND(Table1[[#This Row],[STATES in numeric format]]=0,F192=0),1,0)</f>
        <v>0</v>
      </c>
      <c r="L193" s="3">
        <f>IF(AND(Table1[[#This Row],[STATES in numeric format]]=0,F192=1),1,0)</f>
        <v>0</v>
      </c>
      <c r="M193" s="3">
        <f>IF(AND(Table1[[#This Row],[STATES in numeric format]]=1,F192=-1),1,0)</f>
        <v>0</v>
      </c>
      <c r="N193" s="3">
        <f>IF(AND(Table1[[#This Row],[STATES in numeric format]]=1,F192=0),1,0)</f>
        <v>0</v>
      </c>
      <c r="O193" s="3">
        <f>IF(AND(Table1[[#This Row],[STATES in numeric format]]=1,F192=1),1,0)</f>
        <v>1</v>
      </c>
    </row>
    <row r="194" spans="1:15" x14ac:dyDescent="0.3">
      <c r="A194" s="1">
        <v>44111</v>
      </c>
      <c r="B194">
        <v>39878.949999999997</v>
      </c>
      <c r="C194">
        <f>Table1[[#This Row],[Close]]-0.001*Table1[[#This Row],[Close]]</f>
        <v>39839.071049999999</v>
      </c>
      <c r="D194">
        <f>Table1[[#This Row],[Close]]+0.001*Table1[[#This Row],[Close]]</f>
        <v>39918.828949999996</v>
      </c>
      <c r="E194" t="str">
        <f>IF(Table1[[#This Row],[Close]]&gt;D193,"UP",IF(Table1[[#This Row],[Close]]&lt;C193,"Down","Constant"))</f>
        <v>UP</v>
      </c>
      <c r="F194" s="3">
        <f>IF(Table1[[#This Row],[Column1]]="Up",1,IF(Table1[[#This Row],[Column1]]="Down",-1,0))</f>
        <v>1</v>
      </c>
      <c r="G194" s="3">
        <f>IF(AND(Table1[[#This Row],[STATES in numeric format]]=-1,F193=-1),1,0)</f>
        <v>0</v>
      </c>
      <c r="H194" s="3">
        <f>IF(AND(Table1[[#This Row],[STATES in numeric format]]=-1,F193=0),1,0)</f>
        <v>0</v>
      </c>
      <c r="I194" s="3">
        <f>IF(AND(Table1[[#This Row],[STATES in numeric format]]=-1,F193=1),1,0)</f>
        <v>0</v>
      </c>
      <c r="J194" s="3">
        <f>IF(AND(Table1[[#This Row],[STATES in numeric format]]=0,F193=-1),1,0)</f>
        <v>0</v>
      </c>
      <c r="K194" s="3">
        <f>IF(AND(Table1[[#This Row],[STATES in numeric format]]=0,F193=0),1,0)</f>
        <v>0</v>
      </c>
      <c r="L194" s="3">
        <f>IF(AND(Table1[[#This Row],[STATES in numeric format]]=0,F193=1),1,0)</f>
        <v>0</v>
      </c>
      <c r="M194" s="3">
        <f>IF(AND(Table1[[#This Row],[STATES in numeric format]]=1,F193=-1),1,0)</f>
        <v>0</v>
      </c>
      <c r="N194" s="3">
        <f>IF(AND(Table1[[#This Row],[STATES in numeric format]]=1,F193=0),1,0)</f>
        <v>0</v>
      </c>
      <c r="O194" s="3">
        <f>IF(AND(Table1[[#This Row],[STATES in numeric format]]=1,F193=1),1,0)</f>
        <v>1</v>
      </c>
    </row>
    <row r="195" spans="1:15" x14ac:dyDescent="0.3">
      <c r="A195" s="1">
        <v>44112</v>
      </c>
      <c r="B195">
        <v>40182.67</v>
      </c>
      <c r="C195">
        <f>Table1[[#This Row],[Close]]-0.001*Table1[[#This Row],[Close]]</f>
        <v>40142.487329999996</v>
      </c>
      <c r="D195">
        <f>Table1[[#This Row],[Close]]+0.001*Table1[[#This Row],[Close]]</f>
        <v>40222.85267</v>
      </c>
      <c r="E195" t="str">
        <f>IF(Table1[[#This Row],[Close]]&gt;D194,"UP",IF(Table1[[#This Row],[Close]]&lt;C194,"Down","Constant"))</f>
        <v>UP</v>
      </c>
      <c r="F195" s="3">
        <f>IF(Table1[[#This Row],[Column1]]="Up",1,IF(Table1[[#This Row],[Column1]]="Down",-1,0))</f>
        <v>1</v>
      </c>
      <c r="G195" s="3">
        <f>IF(AND(Table1[[#This Row],[STATES in numeric format]]=-1,F194=-1),1,0)</f>
        <v>0</v>
      </c>
      <c r="H195" s="3">
        <f>IF(AND(Table1[[#This Row],[STATES in numeric format]]=-1,F194=0),1,0)</f>
        <v>0</v>
      </c>
      <c r="I195" s="3">
        <f>IF(AND(Table1[[#This Row],[STATES in numeric format]]=-1,F194=1),1,0)</f>
        <v>0</v>
      </c>
      <c r="J195" s="3">
        <f>IF(AND(Table1[[#This Row],[STATES in numeric format]]=0,F194=-1),1,0)</f>
        <v>0</v>
      </c>
      <c r="K195" s="3">
        <f>IF(AND(Table1[[#This Row],[STATES in numeric format]]=0,F194=0),1,0)</f>
        <v>0</v>
      </c>
      <c r="L195" s="3">
        <f>IF(AND(Table1[[#This Row],[STATES in numeric format]]=0,F194=1),1,0)</f>
        <v>0</v>
      </c>
      <c r="M195" s="3">
        <f>IF(AND(Table1[[#This Row],[STATES in numeric format]]=1,F194=-1),1,0)</f>
        <v>0</v>
      </c>
      <c r="N195" s="3">
        <f>IF(AND(Table1[[#This Row],[STATES in numeric format]]=1,F194=0),1,0)</f>
        <v>0</v>
      </c>
      <c r="O195" s="3">
        <f>IF(AND(Table1[[#This Row],[STATES in numeric format]]=1,F194=1),1,0)</f>
        <v>1</v>
      </c>
    </row>
    <row r="196" spans="1:15" x14ac:dyDescent="0.3">
      <c r="A196" s="1">
        <v>44113</v>
      </c>
      <c r="B196">
        <v>40509.49</v>
      </c>
      <c r="C196">
        <f>Table1[[#This Row],[Close]]-0.001*Table1[[#This Row],[Close]]</f>
        <v>40468.980510000001</v>
      </c>
      <c r="D196">
        <f>Table1[[#This Row],[Close]]+0.001*Table1[[#This Row],[Close]]</f>
        <v>40549.999489999995</v>
      </c>
      <c r="E196" t="str">
        <f>IF(Table1[[#This Row],[Close]]&gt;D195,"UP",IF(Table1[[#This Row],[Close]]&lt;C195,"Down","Constant"))</f>
        <v>UP</v>
      </c>
      <c r="F196" s="3">
        <f>IF(Table1[[#This Row],[Column1]]="Up",1,IF(Table1[[#This Row],[Column1]]="Down",-1,0))</f>
        <v>1</v>
      </c>
      <c r="G196" s="3">
        <f>IF(AND(Table1[[#This Row],[STATES in numeric format]]=-1,F195=-1),1,0)</f>
        <v>0</v>
      </c>
      <c r="H196" s="3">
        <f>IF(AND(Table1[[#This Row],[STATES in numeric format]]=-1,F195=0),1,0)</f>
        <v>0</v>
      </c>
      <c r="I196" s="3">
        <f>IF(AND(Table1[[#This Row],[STATES in numeric format]]=-1,F195=1),1,0)</f>
        <v>0</v>
      </c>
      <c r="J196" s="3">
        <f>IF(AND(Table1[[#This Row],[STATES in numeric format]]=0,F195=-1),1,0)</f>
        <v>0</v>
      </c>
      <c r="K196" s="3">
        <f>IF(AND(Table1[[#This Row],[STATES in numeric format]]=0,F195=0),1,0)</f>
        <v>0</v>
      </c>
      <c r="L196" s="3">
        <f>IF(AND(Table1[[#This Row],[STATES in numeric format]]=0,F195=1),1,0)</f>
        <v>0</v>
      </c>
      <c r="M196" s="3">
        <f>IF(AND(Table1[[#This Row],[STATES in numeric format]]=1,F195=-1),1,0)</f>
        <v>0</v>
      </c>
      <c r="N196" s="3">
        <f>IF(AND(Table1[[#This Row],[STATES in numeric format]]=1,F195=0),1,0)</f>
        <v>0</v>
      </c>
      <c r="O196" s="3">
        <f>IF(AND(Table1[[#This Row],[STATES in numeric format]]=1,F195=1),1,0)</f>
        <v>1</v>
      </c>
    </row>
    <row r="197" spans="1:15" x14ac:dyDescent="0.3">
      <c r="A197" s="1">
        <v>44116</v>
      </c>
      <c r="B197">
        <v>40593.800000000003</v>
      </c>
      <c r="C197">
        <f>Table1[[#This Row],[Close]]-0.001*Table1[[#This Row],[Close]]</f>
        <v>40553.206200000001</v>
      </c>
      <c r="D197">
        <f>Table1[[#This Row],[Close]]+0.001*Table1[[#This Row],[Close]]</f>
        <v>40634.393800000005</v>
      </c>
      <c r="E197" t="str">
        <f>IF(Table1[[#This Row],[Close]]&gt;D196,"UP",IF(Table1[[#This Row],[Close]]&lt;C196,"Down","Constant"))</f>
        <v>UP</v>
      </c>
      <c r="F197" s="3">
        <f>IF(Table1[[#This Row],[Column1]]="Up",1,IF(Table1[[#This Row],[Column1]]="Down",-1,0))</f>
        <v>1</v>
      </c>
      <c r="G197" s="3">
        <f>IF(AND(Table1[[#This Row],[STATES in numeric format]]=-1,F196=-1),1,0)</f>
        <v>0</v>
      </c>
      <c r="H197" s="3">
        <f>IF(AND(Table1[[#This Row],[STATES in numeric format]]=-1,F196=0),1,0)</f>
        <v>0</v>
      </c>
      <c r="I197" s="3">
        <f>IF(AND(Table1[[#This Row],[STATES in numeric format]]=-1,F196=1),1,0)</f>
        <v>0</v>
      </c>
      <c r="J197" s="3">
        <f>IF(AND(Table1[[#This Row],[STATES in numeric format]]=0,F196=-1),1,0)</f>
        <v>0</v>
      </c>
      <c r="K197" s="3">
        <f>IF(AND(Table1[[#This Row],[STATES in numeric format]]=0,F196=0),1,0)</f>
        <v>0</v>
      </c>
      <c r="L197" s="3">
        <f>IF(AND(Table1[[#This Row],[STATES in numeric format]]=0,F196=1),1,0)</f>
        <v>0</v>
      </c>
      <c r="M197" s="3">
        <f>IF(AND(Table1[[#This Row],[STATES in numeric format]]=1,F196=-1),1,0)</f>
        <v>0</v>
      </c>
      <c r="N197" s="3">
        <f>IF(AND(Table1[[#This Row],[STATES in numeric format]]=1,F196=0),1,0)</f>
        <v>0</v>
      </c>
      <c r="O197" s="3">
        <f>IF(AND(Table1[[#This Row],[STATES in numeric format]]=1,F196=1),1,0)</f>
        <v>1</v>
      </c>
    </row>
    <row r="198" spans="1:15" x14ac:dyDescent="0.3">
      <c r="A198" s="1">
        <v>44117</v>
      </c>
      <c r="B198">
        <v>40625.51</v>
      </c>
      <c r="C198">
        <f>Table1[[#This Row],[Close]]-0.001*Table1[[#This Row],[Close]]</f>
        <v>40584.884490000004</v>
      </c>
      <c r="D198">
        <f>Table1[[#This Row],[Close]]+0.001*Table1[[#This Row],[Close]]</f>
        <v>40666.13551</v>
      </c>
      <c r="E198" t="str">
        <f>IF(Table1[[#This Row],[Close]]&gt;D197,"UP",IF(Table1[[#This Row],[Close]]&lt;C197,"Down","Constant"))</f>
        <v>Constant</v>
      </c>
      <c r="F198" s="3">
        <f>IF(Table1[[#This Row],[Column1]]="Up",1,IF(Table1[[#This Row],[Column1]]="Down",-1,0))</f>
        <v>0</v>
      </c>
      <c r="G198" s="3">
        <f>IF(AND(Table1[[#This Row],[STATES in numeric format]]=-1,F197=-1),1,0)</f>
        <v>0</v>
      </c>
      <c r="H198" s="3">
        <f>IF(AND(Table1[[#This Row],[STATES in numeric format]]=-1,F197=0),1,0)</f>
        <v>0</v>
      </c>
      <c r="I198" s="3">
        <f>IF(AND(Table1[[#This Row],[STATES in numeric format]]=-1,F197=1),1,0)</f>
        <v>0</v>
      </c>
      <c r="J198" s="3">
        <f>IF(AND(Table1[[#This Row],[STATES in numeric format]]=0,F197=-1),1,0)</f>
        <v>0</v>
      </c>
      <c r="K198" s="3">
        <f>IF(AND(Table1[[#This Row],[STATES in numeric format]]=0,F197=0),1,0)</f>
        <v>0</v>
      </c>
      <c r="L198" s="3">
        <f>IF(AND(Table1[[#This Row],[STATES in numeric format]]=0,F197=1),1,0)</f>
        <v>1</v>
      </c>
      <c r="M198" s="3">
        <f>IF(AND(Table1[[#This Row],[STATES in numeric format]]=1,F197=-1),1,0)</f>
        <v>0</v>
      </c>
      <c r="N198" s="3">
        <f>IF(AND(Table1[[#This Row],[STATES in numeric format]]=1,F197=0),1,0)</f>
        <v>0</v>
      </c>
      <c r="O198" s="3">
        <f>IF(AND(Table1[[#This Row],[STATES in numeric format]]=1,F197=1),1,0)</f>
        <v>0</v>
      </c>
    </row>
    <row r="199" spans="1:15" x14ac:dyDescent="0.3">
      <c r="A199" s="1">
        <v>44118</v>
      </c>
      <c r="B199">
        <v>40794.74</v>
      </c>
      <c r="C199">
        <f>Table1[[#This Row],[Close]]-0.001*Table1[[#This Row],[Close]]</f>
        <v>40753.94526</v>
      </c>
      <c r="D199">
        <f>Table1[[#This Row],[Close]]+0.001*Table1[[#This Row],[Close]]</f>
        <v>40835.534739999996</v>
      </c>
      <c r="E199" t="str">
        <f>IF(Table1[[#This Row],[Close]]&gt;D198,"UP",IF(Table1[[#This Row],[Close]]&lt;C198,"Down","Constant"))</f>
        <v>UP</v>
      </c>
      <c r="F199" s="3">
        <f>IF(Table1[[#This Row],[Column1]]="Up",1,IF(Table1[[#This Row],[Column1]]="Down",-1,0))</f>
        <v>1</v>
      </c>
      <c r="G199" s="3">
        <f>IF(AND(Table1[[#This Row],[STATES in numeric format]]=-1,F198=-1),1,0)</f>
        <v>0</v>
      </c>
      <c r="H199" s="3">
        <f>IF(AND(Table1[[#This Row],[STATES in numeric format]]=-1,F198=0),1,0)</f>
        <v>0</v>
      </c>
      <c r="I199" s="3">
        <f>IF(AND(Table1[[#This Row],[STATES in numeric format]]=-1,F198=1),1,0)</f>
        <v>0</v>
      </c>
      <c r="J199" s="3">
        <f>IF(AND(Table1[[#This Row],[STATES in numeric format]]=0,F198=-1),1,0)</f>
        <v>0</v>
      </c>
      <c r="K199" s="3">
        <f>IF(AND(Table1[[#This Row],[STATES in numeric format]]=0,F198=0),1,0)</f>
        <v>0</v>
      </c>
      <c r="L199" s="3">
        <f>IF(AND(Table1[[#This Row],[STATES in numeric format]]=0,F198=1),1,0)</f>
        <v>0</v>
      </c>
      <c r="M199" s="3">
        <f>IF(AND(Table1[[#This Row],[STATES in numeric format]]=1,F198=-1),1,0)</f>
        <v>0</v>
      </c>
      <c r="N199" s="3">
        <f>IF(AND(Table1[[#This Row],[STATES in numeric format]]=1,F198=0),1,0)</f>
        <v>1</v>
      </c>
      <c r="O199" s="3">
        <f>IF(AND(Table1[[#This Row],[STATES in numeric format]]=1,F198=1),1,0)</f>
        <v>0</v>
      </c>
    </row>
    <row r="200" spans="1:15" x14ac:dyDescent="0.3">
      <c r="A200" s="1">
        <v>44119</v>
      </c>
      <c r="B200">
        <v>39728.410000000003</v>
      </c>
      <c r="C200">
        <f>Table1[[#This Row],[Close]]-0.001*Table1[[#This Row],[Close]]</f>
        <v>39688.68159</v>
      </c>
      <c r="D200">
        <f>Table1[[#This Row],[Close]]+0.001*Table1[[#This Row],[Close]]</f>
        <v>39768.138410000007</v>
      </c>
      <c r="E200" t="str">
        <f>IF(Table1[[#This Row],[Close]]&gt;D199,"UP",IF(Table1[[#This Row],[Close]]&lt;C199,"Down","Constant"))</f>
        <v>Down</v>
      </c>
      <c r="F200" s="3">
        <f>IF(Table1[[#This Row],[Column1]]="Up",1,IF(Table1[[#This Row],[Column1]]="Down",-1,0))</f>
        <v>-1</v>
      </c>
      <c r="G200" s="3">
        <f>IF(AND(Table1[[#This Row],[STATES in numeric format]]=-1,F199=-1),1,0)</f>
        <v>0</v>
      </c>
      <c r="H200" s="3">
        <f>IF(AND(Table1[[#This Row],[STATES in numeric format]]=-1,F199=0),1,0)</f>
        <v>0</v>
      </c>
      <c r="I200" s="3">
        <f>IF(AND(Table1[[#This Row],[STATES in numeric format]]=-1,F199=1),1,0)</f>
        <v>1</v>
      </c>
      <c r="J200" s="3">
        <f>IF(AND(Table1[[#This Row],[STATES in numeric format]]=0,F199=-1),1,0)</f>
        <v>0</v>
      </c>
      <c r="K200" s="3">
        <f>IF(AND(Table1[[#This Row],[STATES in numeric format]]=0,F199=0),1,0)</f>
        <v>0</v>
      </c>
      <c r="L200" s="3">
        <f>IF(AND(Table1[[#This Row],[STATES in numeric format]]=0,F199=1),1,0)</f>
        <v>0</v>
      </c>
      <c r="M200" s="3">
        <f>IF(AND(Table1[[#This Row],[STATES in numeric format]]=1,F199=-1),1,0)</f>
        <v>0</v>
      </c>
      <c r="N200" s="3">
        <f>IF(AND(Table1[[#This Row],[STATES in numeric format]]=1,F199=0),1,0)</f>
        <v>0</v>
      </c>
      <c r="O200" s="3">
        <f>IF(AND(Table1[[#This Row],[STATES in numeric format]]=1,F199=1),1,0)</f>
        <v>0</v>
      </c>
    </row>
    <row r="201" spans="1:15" x14ac:dyDescent="0.3">
      <c r="A201" s="1">
        <v>44120</v>
      </c>
      <c r="B201">
        <v>39982.980000000003</v>
      </c>
      <c r="C201">
        <f>Table1[[#This Row],[Close]]-0.001*Table1[[#This Row],[Close]]</f>
        <v>39942.997020000003</v>
      </c>
      <c r="D201">
        <f>Table1[[#This Row],[Close]]+0.001*Table1[[#This Row],[Close]]</f>
        <v>40022.962980000004</v>
      </c>
      <c r="E201" t="str">
        <f>IF(Table1[[#This Row],[Close]]&gt;D200,"UP",IF(Table1[[#This Row],[Close]]&lt;C200,"Down","Constant"))</f>
        <v>UP</v>
      </c>
      <c r="F201" s="3">
        <f>IF(Table1[[#This Row],[Column1]]="Up",1,IF(Table1[[#This Row],[Column1]]="Down",-1,0))</f>
        <v>1</v>
      </c>
      <c r="G201" s="3">
        <f>IF(AND(Table1[[#This Row],[STATES in numeric format]]=-1,F200=-1),1,0)</f>
        <v>0</v>
      </c>
      <c r="H201" s="3">
        <f>IF(AND(Table1[[#This Row],[STATES in numeric format]]=-1,F200=0),1,0)</f>
        <v>0</v>
      </c>
      <c r="I201" s="3">
        <f>IF(AND(Table1[[#This Row],[STATES in numeric format]]=-1,F200=1),1,0)</f>
        <v>0</v>
      </c>
      <c r="J201" s="3">
        <f>IF(AND(Table1[[#This Row],[STATES in numeric format]]=0,F200=-1),1,0)</f>
        <v>0</v>
      </c>
      <c r="K201" s="3">
        <f>IF(AND(Table1[[#This Row],[STATES in numeric format]]=0,F200=0),1,0)</f>
        <v>0</v>
      </c>
      <c r="L201" s="3">
        <f>IF(AND(Table1[[#This Row],[STATES in numeric format]]=0,F200=1),1,0)</f>
        <v>0</v>
      </c>
      <c r="M201" s="3">
        <f>IF(AND(Table1[[#This Row],[STATES in numeric format]]=1,F200=-1),1,0)</f>
        <v>1</v>
      </c>
      <c r="N201" s="3">
        <f>IF(AND(Table1[[#This Row],[STATES in numeric format]]=1,F200=0),1,0)</f>
        <v>0</v>
      </c>
      <c r="O201" s="3">
        <f>IF(AND(Table1[[#This Row],[STATES in numeric format]]=1,F200=1),1,0)</f>
        <v>0</v>
      </c>
    </row>
    <row r="202" spans="1:15" x14ac:dyDescent="0.3">
      <c r="A202" s="1">
        <v>44123</v>
      </c>
      <c r="B202">
        <v>40431.599999999999</v>
      </c>
      <c r="C202">
        <f>Table1[[#This Row],[Close]]-0.001*Table1[[#This Row],[Close]]</f>
        <v>40391.168399999995</v>
      </c>
      <c r="D202">
        <f>Table1[[#This Row],[Close]]+0.001*Table1[[#This Row],[Close]]</f>
        <v>40472.031600000002</v>
      </c>
      <c r="E202" t="str">
        <f>IF(Table1[[#This Row],[Close]]&gt;D201,"UP",IF(Table1[[#This Row],[Close]]&lt;C201,"Down","Constant"))</f>
        <v>UP</v>
      </c>
      <c r="F202" s="3">
        <f>IF(Table1[[#This Row],[Column1]]="Up",1,IF(Table1[[#This Row],[Column1]]="Down",-1,0))</f>
        <v>1</v>
      </c>
      <c r="G202" s="3">
        <f>IF(AND(Table1[[#This Row],[STATES in numeric format]]=-1,F201=-1),1,0)</f>
        <v>0</v>
      </c>
      <c r="H202" s="3">
        <f>IF(AND(Table1[[#This Row],[STATES in numeric format]]=-1,F201=0),1,0)</f>
        <v>0</v>
      </c>
      <c r="I202" s="3">
        <f>IF(AND(Table1[[#This Row],[STATES in numeric format]]=-1,F201=1),1,0)</f>
        <v>0</v>
      </c>
      <c r="J202" s="3">
        <f>IF(AND(Table1[[#This Row],[STATES in numeric format]]=0,F201=-1),1,0)</f>
        <v>0</v>
      </c>
      <c r="K202" s="3">
        <f>IF(AND(Table1[[#This Row],[STATES in numeric format]]=0,F201=0),1,0)</f>
        <v>0</v>
      </c>
      <c r="L202" s="3">
        <f>IF(AND(Table1[[#This Row],[STATES in numeric format]]=0,F201=1),1,0)</f>
        <v>0</v>
      </c>
      <c r="M202" s="3">
        <f>IF(AND(Table1[[#This Row],[STATES in numeric format]]=1,F201=-1),1,0)</f>
        <v>0</v>
      </c>
      <c r="N202" s="3">
        <f>IF(AND(Table1[[#This Row],[STATES in numeric format]]=1,F201=0),1,0)</f>
        <v>0</v>
      </c>
      <c r="O202" s="3">
        <f>IF(AND(Table1[[#This Row],[STATES in numeric format]]=1,F201=1),1,0)</f>
        <v>1</v>
      </c>
    </row>
    <row r="203" spans="1:15" x14ac:dyDescent="0.3">
      <c r="A203" s="1">
        <v>44124</v>
      </c>
      <c r="B203">
        <v>40544.370000000003</v>
      </c>
      <c r="C203">
        <f>Table1[[#This Row],[Close]]-0.001*Table1[[#This Row],[Close]]</f>
        <v>40503.825629999999</v>
      </c>
      <c r="D203">
        <f>Table1[[#This Row],[Close]]+0.001*Table1[[#This Row],[Close]]</f>
        <v>40584.914370000006</v>
      </c>
      <c r="E203" t="str">
        <f>IF(Table1[[#This Row],[Close]]&gt;D202,"UP",IF(Table1[[#This Row],[Close]]&lt;C202,"Down","Constant"))</f>
        <v>UP</v>
      </c>
      <c r="F203" s="3">
        <f>IF(Table1[[#This Row],[Column1]]="Up",1,IF(Table1[[#This Row],[Column1]]="Down",-1,0))</f>
        <v>1</v>
      </c>
      <c r="G203" s="3">
        <f>IF(AND(Table1[[#This Row],[STATES in numeric format]]=-1,F202=-1),1,0)</f>
        <v>0</v>
      </c>
      <c r="H203" s="3">
        <f>IF(AND(Table1[[#This Row],[STATES in numeric format]]=-1,F202=0),1,0)</f>
        <v>0</v>
      </c>
      <c r="I203" s="3">
        <f>IF(AND(Table1[[#This Row],[STATES in numeric format]]=-1,F202=1),1,0)</f>
        <v>0</v>
      </c>
      <c r="J203" s="3">
        <f>IF(AND(Table1[[#This Row],[STATES in numeric format]]=0,F202=-1),1,0)</f>
        <v>0</v>
      </c>
      <c r="K203" s="3">
        <f>IF(AND(Table1[[#This Row],[STATES in numeric format]]=0,F202=0),1,0)</f>
        <v>0</v>
      </c>
      <c r="L203" s="3">
        <f>IF(AND(Table1[[#This Row],[STATES in numeric format]]=0,F202=1),1,0)</f>
        <v>0</v>
      </c>
      <c r="M203" s="3">
        <f>IF(AND(Table1[[#This Row],[STATES in numeric format]]=1,F202=-1),1,0)</f>
        <v>0</v>
      </c>
      <c r="N203" s="3">
        <f>IF(AND(Table1[[#This Row],[STATES in numeric format]]=1,F202=0),1,0)</f>
        <v>0</v>
      </c>
      <c r="O203" s="3">
        <f>IF(AND(Table1[[#This Row],[STATES in numeric format]]=1,F202=1),1,0)</f>
        <v>1</v>
      </c>
    </row>
    <row r="204" spans="1:15" x14ac:dyDescent="0.3">
      <c r="A204" s="1">
        <v>44125</v>
      </c>
      <c r="B204">
        <v>40707.31</v>
      </c>
      <c r="C204">
        <f>Table1[[#This Row],[Close]]-0.001*Table1[[#This Row],[Close]]</f>
        <v>40666.60269</v>
      </c>
      <c r="D204">
        <f>Table1[[#This Row],[Close]]+0.001*Table1[[#This Row],[Close]]</f>
        <v>40748.017309999996</v>
      </c>
      <c r="E204" t="str">
        <f>IF(Table1[[#This Row],[Close]]&gt;D203,"UP",IF(Table1[[#This Row],[Close]]&lt;C203,"Down","Constant"))</f>
        <v>UP</v>
      </c>
      <c r="F204" s="3">
        <f>IF(Table1[[#This Row],[Column1]]="Up",1,IF(Table1[[#This Row],[Column1]]="Down",-1,0))</f>
        <v>1</v>
      </c>
      <c r="G204" s="3">
        <f>IF(AND(Table1[[#This Row],[STATES in numeric format]]=-1,F203=-1),1,0)</f>
        <v>0</v>
      </c>
      <c r="H204" s="3">
        <f>IF(AND(Table1[[#This Row],[STATES in numeric format]]=-1,F203=0),1,0)</f>
        <v>0</v>
      </c>
      <c r="I204" s="3">
        <f>IF(AND(Table1[[#This Row],[STATES in numeric format]]=-1,F203=1),1,0)</f>
        <v>0</v>
      </c>
      <c r="J204" s="3">
        <f>IF(AND(Table1[[#This Row],[STATES in numeric format]]=0,F203=-1),1,0)</f>
        <v>0</v>
      </c>
      <c r="K204" s="3">
        <f>IF(AND(Table1[[#This Row],[STATES in numeric format]]=0,F203=0),1,0)</f>
        <v>0</v>
      </c>
      <c r="L204" s="3">
        <f>IF(AND(Table1[[#This Row],[STATES in numeric format]]=0,F203=1),1,0)</f>
        <v>0</v>
      </c>
      <c r="M204" s="3">
        <f>IF(AND(Table1[[#This Row],[STATES in numeric format]]=1,F203=-1),1,0)</f>
        <v>0</v>
      </c>
      <c r="N204" s="3">
        <f>IF(AND(Table1[[#This Row],[STATES in numeric format]]=1,F203=0),1,0)</f>
        <v>0</v>
      </c>
      <c r="O204" s="3">
        <f>IF(AND(Table1[[#This Row],[STATES in numeric format]]=1,F203=1),1,0)</f>
        <v>1</v>
      </c>
    </row>
    <row r="205" spans="1:15" x14ac:dyDescent="0.3">
      <c r="A205" s="1">
        <v>44126</v>
      </c>
      <c r="B205">
        <v>40558.49</v>
      </c>
      <c r="C205">
        <f>Table1[[#This Row],[Close]]-0.001*Table1[[#This Row],[Close]]</f>
        <v>40517.931509999995</v>
      </c>
      <c r="D205">
        <f>Table1[[#This Row],[Close]]+0.001*Table1[[#This Row],[Close]]</f>
        <v>40599.048490000001</v>
      </c>
      <c r="E205" t="str">
        <f>IF(Table1[[#This Row],[Close]]&gt;D204,"UP",IF(Table1[[#This Row],[Close]]&lt;C204,"Down","Constant"))</f>
        <v>Down</v>
      </c>
      <c r="F205" s="3">
        <f>IF(Table1[[#This Row],[Column1]]="Up",1,IF(Table1[[#This Row],[Column1]]="Down",-1,0))</f>
        <v>-1</v>
      </c>
      <c r="G205" s="3">
        <f>IF(AND(Table1[[#This Row],[STATES in numeric format]]=-1,F204=-1),1,0)</f>
        <v>0</v>
      </c>
      <c r="H205" s="3">
        <f>IF(AND(Table1[[#This Row],[STATES in numeric format]]=-1,F204=0),1,0)</f>
        <v>0</v>
      </c>
      <c r="I205" s="3">
        <f>IF(AND(Table1[[#This Row],[STATES in numeric format]]=-1,F204=1),1,0)</f>
        <v>1</v>
      </c>
      <c r="J205" s="3">
        <f>IF(AND(Table1[[#This Row],[STATES in numeric format]]=0,F204=-1),1,0)</f>
        <v>0</v>
      </c>
      <c r="K205" s="3">
        <f>IF(AND(Table1[[#This Row],[STATES in numeric format]]=0,F204=0),1,0)</f>
        <v>0</v>
      </c>
      <c r="L205" s="3">
        <f>IF(AND(Table1[[#This Row],[STATES in numeric format]]=0,F204=1),1,0)</f>
        <v>0</v>
      </c>
      <c r="M205" s="3">
        <f>IF(AND(Table1[[#This Row],[STATES in numeric format]]=1,F204=-1),1,0)</f>
        <v>0</v>
      </c>
      <c r="N205" s="3">
        <f>IF(AND(Table1[[#This Row],[STATES in numeric format]]=1,F204=0),1,0)</f>
        <v>0</v>
      </c>
      <c r="O205" s="3">
        <f>IF(AND(Table1[[#This Row],[STATES in numeric format]]=1,F204=1),1,0)</f>
        <v>0</v>
      </c>
    </row>
    <row r="206" spans="1:15" x14ac:dyDescent="0.3">
      <c r="A206" s="1">
        <v>44127</v>
      </c>
      <c r="B206">
        <v>40685.5</v>
      </c>
      <c r="C206">
        <f>Table1[[#This Row],[Close]]-0.001*Table1[[#This Row],[Close]]</f>
        <v>40644.8145</v>
      </c>
      <c r="D206">
        <f>Table1[[#This Row],[Close]]+0.001*Table1[[#This Row],[Close]]</f>
        <v>40726.1855</v>
      </c>
      <c r="E206" t="str">
        <f>IF(Table1[[#This Row],[Close]]&gt;D205,"UP",IF(Table1[[#This Row],[Close]]&lt;C205,"Down","Constant"))</f>
        <v>UP</v>
      </c>
      <c r="F206" s="3">
        <f>IF(Table1[[#This Row],[Column1]]="Up",1,IF(Table1[[#This Row],[Column1]]="Down",-1,0))</f>
        <v>1</v>
      </c>
      <c r="G206" s="3">
        <f>IF(AND(Table1[[#This Row],[STATES in numeric format]]=-1,F205=-1),1,0)</f>
        <v>0</v>
      </c>
      <c r="H206" s="3">
        <f>IF(AND(Table1[[#This Row],[STATES in numeric format]]=-1,F205=0),1,0)</f>
        <v>0</v>
      </c>
      <c r="I206" s="3">
        <f>IF(AND(Table1[[#This Row],[STATES in numeric format]]=-1,F205=1),1,0)</f>
        <v>0</v>
      </c>
      <c r="J206" s="3">
        <f>IF(AND(Table1[[#This Row],[STATES in numeric format]]=0,F205=-1),1,0)</f>
        <v>0</v>
      </c>
      <c r="K206" s="3">
        <f>IF(AND(Table1[[#This Row],[STATES in numeric format]]=0,F205=0),1,0)</f>
        <v>0</v>
      </c>
      <c r="L206" s="3">
        <f>IF(AND(Table1[[#This Row],[STATES in numeric format]]=0,F205=1),1,0)</f>
        <v>0</v>
      </c>
      <c r="M206" s="3">
        <f>IF(AND(Table1[[#This Row],[STATES in numeric format]]=1,F205=-1),1,0)</f>
        <v>1</v>
      </c>
      <c r="N206" s="3">
        <f>IF(AND(Table1[[#This Row],[STATES in numeric format]]=1,F205=0),1,0)</f>
        <v>0</v>
      </c>
      <c r="O206" s="3">
        <f>IF(AND(Table1[[#This Row],[STATES in numeric format]]=1,F205=1),1,0)</f>
        <v>0</v>
      </c>
    </row>
    <row r="207" spans="1:15" x14ac:dyDescent="0.3">
      <c r="A207" s="1">
        <v>44130</v>
      </c>
      <c r="B207">
        <v>40145.5</v>
      </c>
      <c r="C207">
        <f>Table1[[#This Row],[Close]]-0.001*Table1[[#This Row],[Close]]</f>
        <v>40105.354500000001</v>
      </c>
      <c r="D207">
        <f>Table1[[#This Row],[Close]]+0.001*Table1[[#This Row],[Close]]</f>
        <v>40185.645499999999</v>
      </c>
      <c r="E207" t="str">
        <f>IF(Table1[[#This Row],[Close]]&gt;D206,"UP",IF(Table1[[#This Row],[Close]]&lt;C206,"Down","Constant"))</f>
        <v>Down</v>
      </c>
      <c r="F207" s="3">
        <f>IF(Table1[[#This Row],[Column1]]="Up",1,IF(Table1[[#This Row],[Column1]]="Down",-1,0))</f>
        <v>-1</v>
      </c>
      <c r="G207" s="3">
        <f>IF(AND(Table1[[#This Row],[STATES in numeric format]]=-1,F206=-1),1,0)</f>
        <v>0</v>
      </c>
      <c r="H207" s="3">
        <f>IF(AND(Table1[[#This Row],[STATES in numeric format]]=-1,F206=0),1,0)</f>
        <v>0</v>
      </c>
      <c r="I207" s="3">
        <f>IF(AND(Table1[[#This Row],[STATES in numeric format]]=-1,F206=1),1,0)</f>
        <v>1</v>
      </c>
      <c r="J207" s="3">
        <f>IF(AND(Table1[[#This Row],[STATES in numeric format]]=0,F206=-1),1,0)</f>
        <v>0</v>
      </c>
      <c r="K207" s="3">
        <f>IF(AND(Table1[[#This Row],[STATES in numeric format]]=0,F206=0),1,0)</f>
        <v>0</v>
      </c>
      <c r="L207" s="3">
        <f>IF(AND(Table1[[#This Row],[STATES in numeric format]]=0,F206=1),1,0)</f>
        <v>0</v>
      </c>
      <c r="M207" s="3">
        <f>IF(AND(Table1[[#This Row],[STATES in numeric format]]=1,F206=-1),1,0)</f>
        <v>0</v>
      </c>
      <c r="N207" s="3">
        <f>IF(AND(Table1[[#This Row],[STATES in numeric format]]=1,F206=0),1,0)</f>
        <v>0</v>
      </c>
      <c r="O207" s="3">
        <f>IF(AND(Table1[[#This Row],[STATES in numeric format]]=1,F206=1),1,0)</f>
        <v>0</v>
      </c>
    </row>
    <row r="208" spans="1:15" x14ac:dyDescent="0.3">
      <c r="A208" s="1">
        <v>44131</v>
      </c>
      <c r="B208">
        <v>40522.1</v>
      </c>
      <c r="C208">
        <f>Table1[[#This Row],[Close]]-0.001*Table1[[#This Row],[Close]]</f>
        <v>40481.577899999997</v>
      </c>
      <c r="D208">
        <f>Table1[[#This Row],[Close]]+0.001*Table1[[#This Row],[Close]]</f>
        <v>40562.622100000001</v>
      </c>
      <c r="E208" t="str">
        <f>IF(Table1[[#This Row],[Close]]&gt;D207,"UP",IF(Table1[[#This Row],[Close]]&lt;C207,"Down","Constant"))</f>
        <v>UP</v>
      </c>
      <c r="F208" s="3">
        <f>IF(Table1[[#This Row],[Column1]]="Up",1,IF(Table1[[#This Row],[Column1]]="Down",-1,0))</f>
        <v>1</v>
      </c>
      <c r="G208" s="3">
        <f>IF(AND(Table1[[#This Row],[STATES in numeric format]]=-1,F207=-1),1,0)</f>
        <v>0</v>
      </c>
      <c r="H208" s="3">
        <f>IF(AND(Table1[[#This Row],[STATES in numeric format]]=-1,F207=0),1,0)</f>
        <v>0</v>
      </c>
      <c r="I208" s="3">
        <f>IF(AND(Table1[[#This Row],[STATES in numeric format]]=-1,F207=1),1,0)</f>
        <v>0</v>
      </c>
      <c r="J208" s="3">
        <f>IF(AND(Table1[[#This Row],[STATES in numeric format]]=0,F207=-1),1,0)</f>
        <v>0</v>
      </c>
      <c r="K208" s="3">
        <f>IF(AND(Table1[[#This Row],[STATES in numeric format]]=0,F207=0),1,0)</f>
        <v>0</v>
      </c>
      <c r="L208" s="3">
        <f>IF(AND(Table1[[#This Row],[STATES in numeric format]]=0,F207=1),1,0)</f>
        <v>0</v>
      </c>
      <c r="M208" s="3">
        <f>IF(AND(Table1[[#This Row],[STATES in numeric format]]=1,F207=-1),1,0)</f>
        <v>1</v>
      </c>
      <c r="N208" s="3">
        <f>IF(AND(Table1[[#This Row],[STATES in numeric format]]=1,F207=0),1,0)</f>
        <v>0</v>
      </c>
      <c r="O208" s="3">
        <f>IF(AND(Table1[[#This Row],[STATES in numeric format]]=1,F207=1),1,0)</f>
        <v>0</v>
      </c>
    </row>
    <row r="209" spans="1:15" x14ac:dyDescent="0.3">
      <c r="A209" s="1">
        <v>44132</v>
      </c>
      <c r="B209">
        <v>39922.46</v>
      </c>
      <c r="C209">
        <f>Table1[[#This Row],[Close]]-0.001*Table1[[#This Row],[Close]]</f>
        <v>39882.537539999998</v>
      </c>
      <c r="D209">
        <f>Table1[[#This Row],[Close]]+0.001*Table1[[#This Row],[Close]]</f>
        <v>39962.382460000001</v>
      </c>
      <c r="E209" t="str">
        <f>IF(Table1[[#This Row],[Close]]&gt;D208,"UP",IF(Table1[[#This Row],[Close]]&lt;C208,"Down","Constant"))</f>
        <v>Down</v>
      </c>
      <c r="F209" s="3">
        <f>IF(Table1[[#This Row],[Column1]]="Up",1,IF(Table1[[#This Row],[Column1]]="Down",-1,0))</f>
        <v>-1</v>
      </c>
      <c r="G209" s="3">
        <f>IF(AND(Table1[[#This Row],[STATES in numeric format]]=-1,F208=-1),1,0)</f>
        <v>0</v>
      </c>
      <c r="H209" s="3">
        <f>IF(AND(Table1[[#This Row],[STATES in numeric format]]=-1,F208=0),1,0)</f>
        <v>0</v>
      </c>
      <c r="I209" s="3">
        <f>IF(AND(Table1[[#This Row],[STATES in numeric format]]=-1,F208=1),1,0)</f>
        <v>1</v>
      </c>
      <c r="J209" s="3">
        <f>IF(AND(Table1[[#This Row],[STATES in numeric format]]=0,F208=-1),1,0)</f>
        <v>0</v>
      </c>
      <c r="K209" s="3">
        <f>IF(AND(Table1[[#This Row],[STATES in numeric format]]=0,F208=0),1,0)</f>
        <v>0</v>
      </c>
      <c r="L209" s="3">
        <f>IF(AND(Table1[[#This Row],[STATES in numeric format]]=0,F208=1),1,0)</f>
        <v>0</v>
      </c>
      <c r="M209" s="3">
        <f>IF(AND(Table1[[#This Row],[STATES in numeric format]]=1,F208=-1),1,0)</f>
        <v>0</v>
      </c>
      <c r="N209" s="3">
        <f>IF(AND(Table1[[#This Row],[STATES in numeric format]]=1,F208=0),1,0)</f>
        <v>0</v>
      </c>
      <c r="O209" s="3">
        <f>IF(AND(Table1[[#This Row],[STATES in numeric format]]=1,F208=1),1,0)</f>
        <v>0</v>
      </c>
    </row>
    <row r="210" spans="1:15" x14ac:dyDescent="0.3">
      <c r="A210" s="1">
        <v>44133</v>
      </c>
      <c r="B210">
        <v>39749.85</v>
      </c>
      <c r="C210">
        <f>Table1[[#This Row],[Close]]-0.001*Table1[[#This Row],[Close]]</f>
        <v>39710.100149999998</v>
      </c>
      <c r="D210">
        <f>Table1[[#This Row],[Close]]+0.001*Table1[[#This Row],[Close]]</f>
        <v>39789.599849999999</v>
      </c>
      <c r="E210" t="str">
        <f>IF(Table1[[#This Row],[Close]]&gt;D209,"UP",IF(Table1[[#This Row],[Close]]&lt;C209,"Down","Constant"))</f>
        <v>Down</v>
      </c>
      <c r="F210" s="3">
        <f>IF(Table1[[#This Row],[Column1]]="Up",1,IF(Table1[[#This Row],[Column1]]="Down",-1,0))</f>
        <v>-1</v>
      </c>
      <c r="G210" s="3">
        <f>IF(AND(Table1[[#This Row],[STATES in numeric format]]=-1,F209=-1),1,0)</f>
        <v>1</v>
      </c>
      <c r="H210" s="3">
        <f>IF(AND(Table1[[#This Row],[STATES in numeric format]]=-1,F209=0),1,0)</f>
        <v>0</v>
      </c>
      <c r="I210" s="3">
        <f>IF(AND(Table1[[#This Row],[STATES in numeric format]]=-1,F209=1),1,0)</f>
        <v>0</v>
      </c>
      <c r="J210" s="3">
        <f>IF(AND(Table1[[#This Row],[STATES in numeric format]]=0,F209=-1),1,0)</f>
        <v>0</v>
      </c>
      <c r="K210" s="3">
        <f>IF(AND(Table1[[#This Row],[STATES in numeric format]]=0,F209=0),1,0)</f>
        <v>0</v>
      </c>
      <c r="L210" s="3">
        <f>IF(AND(Table1[[#This Row],[STATES in numeric format]]=0,F209=1),1,0)</f>
        <v>0</v>
      </c>
      <c r="M210" s="3">
        <f>IF(AND(Table1[[#This Row],[STATES in numeric format]]=1,F209=-1),1,0)</f>
        <v>0</v>
      </c>
      <c r="N210" s="3">
        <f>IF(AND(Table1[[#This Row],[STATES in numeric format]]=1,F209=0),1,0)</f>
        <v>0</v>
      </c>
      <c r="O210" s="3">
        <f>IF(AND(Table1[[#This Row],[STATES in numeric format]]=1,F209=1),1,0)</f>
        <v>0</v>
      </c>
    </row>
    <row r="211" spans="1:15" x14ac:dyDescent="0.3">
      <c r="A211" s="1">
        <v>44134</v>
      </c>
      <c r="B211">
        <v>39614.07</v>
      </c>
      <c r="C211">
        <f>Table1[[#This Row],[Close]]-0.001*Table1[[#This Row],[Close]]</f>
        <v>39574.455929999996</v>
      </c>
      <c r="D211">
        <f>Table1[[#This Row],[Close]]+0.001*Table1[[#This Row],[Close]]</f>
        <v>39653.684070000003</v>
      </c>
      <c r="E211" t="str">
        <f>IF(Table1[[#This Row],[Close]]&gt;D210,"UP",IF(Table1[[#This Row],[Close]]&lt;C210,"Down","Constant"))</f>
        <v>Down</v>
      </c>
      <c r="F211" s="3">
        <f>IF(Table1[[#This Row],[Column1]]="Up",1,IF(Table1[[#This Row],[Column1]]="Down",-1,0))</f>
        <v>-1</v>
      </c>
      <c r="G211" s="3">
        <f>IF(AND(Table1[[#This Row],[STATES in numeric format]]=-1,F210=-1),1,0)</f>
        <v>1</v>
      </c>
      <c r="H211" s="3">
        <f>IF(AND(Table1[[#This Row],[STATES in numeric format]]=-1,F210=0),1,0)</f>
        <v>0</v>
      </c>
      <c r="I211" s="3">
        <f>IF(AND(Table1[[#This Row],[STATES in numeric format]]=-1,F210=1),1,0)</f>
        <v>0</v>
      </c>
      <c r="J211" s="3">
        <f>IF(AND(Table1[[#This Row],[STATES in numeric format]]=0,F210=-1),1,0)</f>
        <v>0</v>
      </c>
      <c r="K211" s="3">
        <f>IF(AND(Table1[[#This Row],[STATES in numeric format]]=0,F210=0),1,0)</f>
        <v>0</v>
      </c>
      <c r="L211" s="3">
        <f>IF(AND(Table1[[#This Row],[STATES in numeric format]]=0,F210=1),1,0)</f>
        <v>0</v>
      </c>
      <c r="M211" s="3">
        <f>IF(AND(Table1[[#This Row],[STATES in numeric format]]=1,F210=-1),1,0)</f>
        <v>0</v>
      </c>
      <c r="N211" s="3">
        <f>IF(AND(Table1[[#This Row],[STATES in numeric format]]=1,F210=0),1,0)</f>
        <v>0</v>
      </c>
      <c r="O211" s="3">
        <f>IF(AND(Table1[[#This Row],[STATES in numeric format]]=1,F210=1),1,0)</f>
        <v>0</v>
      </c>
    </row>
    <row r="212" spans="1:15" x14ac:dyDescent="0.3">
      <c r="A212" s="1">
        <v>44137</v>
      </c>
      <c r="B212">
        <v>39757.58</v>
      </c>
      <c r="C212">
        <f>Table1[[#This Row],[Close]]-0.001*Table1[[#This Row],[Close]]</f>
        <v>39717.822420000004</v>
      </c>
      <c r="D212">
        <f>Table1[[#This Row],[Close]]+0.001*Table1[[#This Row],[Close]]</f>
        <v>39797.337579999999</v>
      </c>
      <c r="E212" t="str">
        <f>IF(Table1[[#This Row],[Close]]&gt;D211,"UP",IF(Table1[[#This Row],[Close]]&lt;C211,"Down","Constant"))</f>
        <v>UP</v>
      </c>
      <c r="F212" s="3">
        <f>IF(Table1[[#This Row],[Column1]]="Up",1,IF(Table1[[#This Row],[Column1]]="Down",-1,0))</f>
        <v>1</v>
      </c>
      <c r="G212" s="3">
        <f>IF(AND(Table1[[#This Row],[STATES in numeric format]]=-1,F211=-1),1,0)</f>
        <v>0</v>
      </c>
      <c r="H212" s="3">
        <f>IF(AND(Table1[[#This Row],[STATES in numeric format]]=-1,F211=0),1,0)</f>
        <v>0</v>
      </c>
      <c r="I212" s="3">
        <f>IF(AND(Table1[[#This Row],[STATES in numeric format]]=-1,F211=1),1,0)</f>
        <v>0</v>
      </c>
      <c r="J212" s="3">
        <f>IF(AND(Table1[[#This Row],[STATES in numeric format]]=0,F211=-1),1,0)</f>
        <v>0</v>
      </c>
      <c r="K212" s="3">
        <f>IF(AND(Table1[[#This Row],[STATES in numeric format]]=0,F211=0),1,0)</f>
        <v>0</v>
      </c>
      <c r="L212" s="3">
        <f>IF(AND(Table1[[#This Row],[STATES in numeric format]]=0,F211=1),1,0)</f>
        <v>0</v>
      </c>
      <c r="M212" s="3">
        <f>IF(AND(Table1[[#This Row],[STATES in numeric format]]=1,F211=-1),1,0)</f>
        <v>1</v>
      </c>
      <c r="N212" s="3">
        <f>IF(AND(Table1[[#This Row],[STATES in numeric format]]=1,F211=0),1,0)</f>
        <v>0</v>
      </c>
      <c r="O212" s="3">
        <f>IF(AND(Table1[[#This Row],[STATES in numeric format]]=1,F211=1),1,0)</f>
        <v>0</v>
      </c>
    </row>
    <row r="213" spans="1:15" x14ac:dyDescent="0.3">
      <c r="A213" s="1">
        <v>44138</v>
      </c>
      <c r="B213">
        <v>40261.129999999997</v>
      </c>
      <c r="C213">
        <f>Table1[[#This Row],[Close]]-0.001*Table1[[#This Row],[Close]]</f>
        <v>40220.868869999998</v>
      </c>
      <c r="D213">
        <f>Table1[[#This Row],[Close]]+0.001*Table1[[#This Row],[Close]]</f>
        <v>40301.391129999996</v>
      </c>
      <c r="E213" t="str">
        <f>IF(Table1[[#This Row],[Close]]&gt;D212,"UP",IF(Table1[[#This Row],[Close]]&lt;C212,"Down","Constant"))</f>
        <v>UP</v>
      </c>
      <c r="F213" s="3">
        <f>IF(Table1[[#This Row],[Column1]]="Up",1,IF(Table1[[#This Row],[Column1]]="Down",-1,0))</f>
        <v>1</v>
      </c>
      <c r="G213" s="3">
        <f>IF(AND(Table1[[#This Row],[STATES in numeric format]]=-1,F212=-1),1,0)</f>
        <v>0</v>
      </c>
      <c r="H213" s="3">
        <f>IF(AND(Table1[[#This Row],[STATES in numeric format]]=-1,F212=0),1,0)</f>
        <v>0</v>
      </c>
      <c r="I213" s="3">
        <f>IF(AND(Table1[[#This Row],[STATES in numeric format]]=-1,F212=1),1,0)</f>
        <v>0</v>
      </c>
      <c r="J213" s="3">
        <f>IF(AND(Table1[[#This Row],[STATES in numeric format]]=0,F212=-1),1,0)</f>
        <v>0</v>
      </c>
      <c r="K213" s="3">
        <f>IF(AND(Table1[[#This Row],[STATES in numeric format]]=0,F212=0),1,0)</f>
        <v>0</v>
      </c>
      <c r="L213" s="3">
        <f>IF(AND(Table1[[#This Row],[STATES in numeric format]]=0,F212=1),1,0)</f>
        <v>0</v>
      </c>
      <c r="M213" s="3">
        <f>IF(AND(Table1[[#This Row],[STATES in numeric format]]=1,F212=-1),1,0)</f>
        <v>0</v>
      </c>
      <c r="N213" s="3">
        <f>IF(AND(Table1[[#This Row],[STATES in numeric format]]=1,F212=0),1,0)</f>
        <v>0</v>
      </c>
      <c r="O213" s="3">
        <f>IF(AND(Table1[[#This Row],[STATES in numeric format]]=1,F212=1),1,0)</f>
        <v>1</v>
      </c>
    </row>
    <row r="214" spans="1:15" x14ac:dyDescent="0.3">
      <c r="A214" s="1">
        <v>44139</v>
      </c>
      <c r="B214">
        <v>40616.14</v>
      </c>
      <c r="C214">
        <f>Table1[[#This Row],[Close]]-0.001*Table1[[#This Row],[Close]]</f>
        <v>40575.523860000001</v>
      </c>
      <c r="D214">
        <f>Table1[[#This Row],[Close]]+0.001*Table1[[#This Row],[Close]]</f>
        <v>40656.756139999998</v>
      </c>
      <c r="E214" t="str">
        <f>IF(Table1[[#This Row],[Close]]&gt;D213,"UP",IF(Table1[[#This Row],[Close]]&lt;C213,"Down","Constant"))</f>
        <v>UP</v>
      </c>
      <c r="F214" s="3">
        <f>IF(Table1[[#This Row],[Column1]]="Up",1,IF(Table1[[#This Row],[Column1]]="Down",-1,0))</f>
        <v>1</v>
      </c>
      <c r="G214" s="3">
        <f>IF(AND(Table1[[#This Row],[STATES in numeric format]]=-1,F213=-1),1,0)</f>
        <v>0</v>
      </c>
      <c r="H214" s="3">
        <f>IF(AND(Table1[[#This Row],[STATES in numeric format]]=-1,F213=0),1,0)</f>
        <v>0</v>
      </c>
      <c r="I214" s="3">
        <f>IF(AND(Table1[[#This Row],[STATES in numeric format]]=-1,F213=1),1,0)</f>
        <v>0</v>
      </c>
      <c r="J214" s="3">
        <f>IF(AND(Table1[[#This Row],[STATES in numeric format]]=0,F213=-1),1,0)</f>
        <v>0</v>
      </c>
      <c r="K214" s="3">
        <f>IF(AND(Table1[[#This Row],[STATES in numeric format]]=0,F213=0),1,0)</f>
        <v>0</v>
      </c>
      <c r="L214" s="3">
        <f>IF(AND(Table1[[#This Row],[STATES in numeric format]]=0,F213=1),1,0)</f>
        <v>0</v>
      </c>
      <c r="M214" s="3">
        <f>IF(AND(Table1[[#This Row],[STATES in numeric format]]=1,F213=-1),1,0)</f>
        <v>0</v>
      </c>
      <c r="N214" s="3">
        <f>IF(AND(Table1[[#This Row],[STATES in numeric format]]=1,F213=0),1,0)</f>
        <v>0</v>
      </c>
      <c r="O214" s="3">
        <f>IF(AND(Table1[[#This Row],[STATES in numeric format]]=1,F213=1),1,0)</f>
        <v>1</v>
      </c>
    </row>
    <row r="215" spans="1:15" x14ac:dyDescent="0.3">
      <c r="A215" s="1">
        <v>44140</v>
      </c>
      <c r="B215">
        <v>41340.160000000003</v>
      </c>
      <c r="C215">
        <f>Table1[[#This Row],[Close]]-0.001*Table1[[#This Row],[Close]]</f>
        <v>41298.819840000004</v>
      </c>
      <c r="D215">
        <f>Table1[[#This Row],[Close]]+0.001*Table1[[#This Row],[Close]]</f>
        <v>41381.500160000003</v>
      </c>
      <c r="E215" t="str">
        <f>IF(Table1[[#This Row],[Close]]&gt;D214,"UP",IF(Table1[[#This Row],[Close]]&lt;C214,"Down","Constant"))</f>
        <v>UP</v>
      </c>
      <c r="F215" s="3">
        <f>IF(Table1[[#This Row],[Column1]]="Up",1,IF(Table1[[#This Row],[Column1]]="Down",-1,0))</f>
        <v>1</v>
      </c>
      <c r="G215" s="3">
        <f>IF(AND(Table1[[#This Row],[STATES in numeric format]]=-1,F214=-1),1,0)</f>
        <v>0</v>
      </c>
      <c r="H215" s="3">
        <f>IF(AND(Table1[[#This Row],[STATES in numeric format]]=-1,F214=0),1,0)</f>
        <v>0</v>
      </c>
      <c r="I215" s="3">
        <f>IF(AND(Table1[[#This Row],[STATES in numeric format]]=-1,F214=1),1,0)</f>
        <v>0</v>
      </c>
      <c r="J215" s="3">
        <f>IF(AND(Table1[[#This Row],[STATES in numeric format]]=0,F214=-1),1,0)</f>
        <v>0</v>
      </c>
      <c r="K215" s="3">
        <f>IF(AND(Table1[[#This Row],[STATES in numeric format]]=0,F214=0),1,0)</f>
        <v>0</v>
      </c>
      <c r="L215" s="3">
        <f>IF(AND(Table1[[#This Row],[STATES in numeric format]]=0,F214=1),1,0)</f>
        <v>0</v>
      </c>
      <c r="M215" s="3">
        <f>IF(AND(Table1[[#This Row],[STATES in numeric format]]=1,F214=-1),1,0)</f>
        <v>0</v>
      </c>
      <c r="N215" s="3">
        <f>IF(AND(Table1[[#This Row],[STATES in numeric format]]=1,F214=0),1,0)</f>
        <v>0</v>
      </c>
      <c r="O215" s="3">
        <f>IF(AND(Table1[[#This Row],[STATES in numeric format]]=1,F214=1),1,0)</f>
        <v>1</v>
      </c>
    </row>
    <row r="216" spans="1:15" x14ac:dyDescent="0.3">
      <c r="A216" s="1">
        <v>44141</v>
      </c>
      <c r="B216">
        <v>41893.06</v>
      </c>
      <c r="C216">
        <f>Table1[[#This Row],[Close]]-0.001*Table1[[#This Row],[Close]]</f>
        <v>41851.166939999996</v>
      </c>
      <c r="D216">
        <f>Table1[[#This Row],[Close]]+0.001*Table1[[#This Row],[Close]]</f>
        <v>41934.95306</v>
      </c>
      <c r="E216" t="str">
        <f>IF(Table1[[#This Row],[Close]]&gt;D215,"UP",IF(Table1[[#This Row],[Close]]&lt;C215,"Down","Constant"))</f>
        <v>UP</v>
      </c>
      <c r="F216" s="3">
        <f>IF(Table1[[#This Row],[Column1]]="Up",1,IF(Table1[[#This Row],[Column1]]="Down",-1,0))</f>
        <v>1</v>
      </c>
      <c r="G216" s="3">
        <f>IF(AND(Table1[[#This Row],[STATES in numeric format]]=-1,F215=-1),1,0)</f>
        <v>0</v>
      </c>
      <c r="H216" s="3">
        <f>IF(AND(Table1[[#This Row],[STATES in numeric format]]=-1,F215=0),1,0)</f>
        <v>0</v>
      </c>
      <c r="I216" s="3">
        <f>IF(AND(Table1[[#This Row],[STATES in numeric format]]=-1,F215=1),1,0)</f>
        <v>0</v>
      </c>
      <c r="J216" s="3">
        <f>IF(AND(Table1[[#This Row],[STATES in numeric format]]=0,F215=-1),1,0)</f>
        <v>0</v>
      </c>
      <c r="K216" s="3">
        <f>IF(AND(Table1[[#This Row],[STATES in numeric format]]=0,F215=0),1,0)</f>
        <v>0</v>
      </c>
      <c r="L216" s="3">
        <f>IF(AND(Table1[[#This Row],[STATES in numeric format]]=0,F215=1),1,0)</f>
        <v>0</v>
      </c>
      <c r="M216" s="3">
        <f>IF(AND(Table1[[#This Row],[STATES in numeric format]]=1,F215=-1),1,0)</f>
        <v>0</v>
      </c>
      <c r="N216" s="3">
        <f>IF(AND(Table1[[#This Row],[STATES in numeric format]]=1,F215=0),1,0)</f>
        <v>0</v>
      </c>
      <c r="O216" s="3">
        <f>IF(AND(Table1[[#This Row],[STATES in numeric format]]=1,F215=1),1,0)</f>
        <v>1</v>
      </c>
    </row>
    <row r="217" spans="1:15" x14ac:dyDescent="0.3">
      <c r="A217" s="1">
        <v>44144</v>
      </c>
      <c r="B217">
        <v>42597.43</v>
      </c>
      <c r="C217">
        <f>Table1[[#This Row],[Close]]-0.001*Table1[[#This Row],[Close]]</f>
        <v>42554.832569999999</v>
      </c>
      <c r="D217">
        <f>Table1[[#This Row],[Close]]+0.001*Table1[[#This Row],[Close]]</f>
        <v>42640.027430000002</v>
      </c>
      <c r="E217" t="str">
        <f>IF(Table1[[#This Row],[Close]]&gt;D216,"UP",IF(Table1[[#This Row],[Close]]&lt;C216,"Down","Constant"))</f>
        <v>UP</v>
      </c>
      <c r="F217" s="3">
        <f>IF(Table1[[#This Row],[Column1]]="Up",1,IF(Table1[[#This Row],[Column1]]="Down",-1,0))</f>
        <v>1</v>
      </c>
      <c r="G217" s="3">
        <f>IF(AND(Table1[[#This Row],[STATES in numeric format]]=-1,F216=-1),1,0)</f>
        <v>0</v>
      </c>
      <c r="H217" s="3">
        <f>IF(AND(Table1[[#This Row],[STATES in numeric format]]=-1,F216=0),1,0)</f>
        <v>0</v>
      </c>
      <c r="I217" s="3">
        <f>IF(AND(Table1[[#This Row],[STATES in numeric format]]=-1,F216=1),1,0)</f>
        <v>0</v>
      </c>
      <c r="J217" s="3">
        <f>IF(AND(Table1[[#This Row],[STATES in numeric format]]=0,F216=-1),1,0)</f>
        <v>0</v>
      </c>
      <c r="K217" s="3">
        <f>IF(AND(Table1[[#This Row],[STATES in numeric format]]=0,F216=0),1,0)</f>
        <v>0</v>
      </c>
      <c r="L217" s="3">
        <f>IF(AND(Table1[[#This Row],[STATES in numeric format]]=0,F216=1),1,0)</f>
        <v>0</v>
      </c>
      <c r="M217" s="3">
        <f>IF(AND(Table1[[#This Row],[STATES in numeric format]]=1,F216=-1),1,0)</f>
        <v>0</v>
      </c>
      <c r="N217" s="3">
        <f>IF(AND(Table1[[#This Row],[STATES in numeric format]]=1,F216=0),1,0)</f>
        <v>0</v>
      </c>
      <c r="O217" s="3">
        <f>IF(AND(Table1[[#This Row],[STATES in numeric format]]=1,F216=1),1,0)</f>
        <v>1</v>
      </c>
    </row>
    <row r="218" spans="1:15" x14ac:dyDescent="0.3">
      <c r="A218" s="1">
        <v>44145</v>
      </c>
      <c r="B218">
        <v>43277.65</v>
      </c>
      <c r="C218">
        <f>Table1[[#This Row],[Close]]-0.001*Table1[[#This Row],[Close]]</f>
        <v>43234.372349999998</v>
      </c>
      <c r="D218">
        <f>Table1[[#This Row],[Close]]+0.001*Table1[[#This Row],[Close]]</f>
        <v>43320.927650000005</v>
      </c>
      <c r="E218" t="str">
        <f>IF(Table1[[#This Row],[Close]]&gt;D217,"UP",IF(Table1[[#This Row],[Close]]&lt;C217,"Down","Constant"))</f>
        <v>UP</v>
      </c>
      <c r="F218" s="3">
        <f>IF(Table1[[#This Row],[Column1]]="Up",1,IF(Table1[[#This Row],[Column1]]="Down",-1,0))</f>
        <v>1</v>
      </c>
      <c r="G218" s="3">
        <f>IF(AND(Table1[[#This Row],[STATES in numeric format]]=-1,F217=-1),1,0)</f>
        <v>0</v>
      </c>
      <c r="H218" s="3">
        <f>IF(AND(Table1[[#This Row],[STATES in numeric format]]=-1,F217=0),1,0)</f>
        <v>0</v>
      </c>
      <c r="I218" s="3">
        <f>IF(AND(Table1[[#This Row],[STATES in numeric format]]=-1,F217=1),1,0)</f>
        <v>0</v>
      </c>
      <c r="J218" s="3">
        <f>IF(AND(Table1[[#This Row],[STATES in numeric format]]=0,F217=-1),1,0)</f>
        <v>0</v>
      </c>
      <c r="K218" s="3">
        <f>IF(AND(Table1[[#This Row],[STATES in numeric format]]=0,F217=0),1,0)</f>
        <v>0</v>
      </c>
      <c r="L218" s="3">
        <f>IF(AND(Table1[[#This Row],[STATES in numeric format]]=0,F217=1),1,0)</f>
        <v>0</v>
      </c>
      <c r="M218" s="3">
        <f>IF(AND(Table1[[#This Row],[STATES in numeric format]]=1,F217=-1),1,0)</f>
        <v>0</v>
      </c>
      <c r="N218" s="3">
        <f>IF(AND(Table1[[#This Row],[STATES in numeric format]]=1,F217=0),1,0)</f>
        <v>0</v>
      </c>
      <c r="O218" s="3">
        <f>IF(AND(Table1[[#This Row],[STATES in numeric format]]=1,F217=1),1,0)</f>
        <v>1</v>
      </c>
    </row>
    <row r="219" spans="1:15" x14ac:dyDescent="0.3">
      <c r="A219" s="1">
        <v>44146</v>
      </c>
      <c r="B219">
        <v>43593.67</v>
      </c>
      <c r="C219">
        <f>Table1[[#This Row],[Close]]-0.001*Table1[[#This Row],[Close]]</f>
        <v>43550.076329999996</v>
      </c>
      <c r="D219">
        <f>Table1[[#This Row],[Close]]+0.001*Table1[[#This Row],[Close]]</f>
        <v>43637.26367</v>
      </c>
      <c r="E219" t="str">
        <f>IF(Table1[[#This Row],[Close]]&gt;D218,"UP",IF(Table1[[#This Row],[Close]]&lt;C218,"Down","Constant"))</f>
        <v>UP</v>
      </c>
      <c r="F219" s="3">
        <f>IF(Table1[[#This Row],[Column1]]="Up",1,IF(Table1[[#This Row],[Column1]]="Down",-1,0))</f>
        <v>1</v>
      </c>
      <c r="G219" s="3">
        <f>IF(AND(Table1[[#This Row],[STATES in numeric format]]=-1,F218=-1),1,0)</f>
        <v>0</v>
      </c>
      <c r="H219" s="3">
        <f>IF(AND(Table1[[#This Row],[STATES in numeric format]]=-1,F218=0),1,0)</f>
        <v>0</v>
      </c>
      <c r="I219" s="3">
        <f>IF(AND(Table1[[#This Row],[STATES in numeric format]]=-1,F218=1),1,0)</f>
        <v>0</v>
      </c>
      <c r="J219" s="3">
        <f>IF(AND(Table1[[#This Row],[STATES in numeric format]]=0,F218=-1),1,0)</f>
        <v>0</v>
      </c>
      <c r="K219" s="3">
        <f>IF(AND(Table1[[#This Row],[STATES in numeric format]]=0,F218=0),1,0)</f>
        <v>0</v>
      </c>
      <c r="L219" s="3">
        <f>IF(AND(Table1[[#This Row],[STATES in numeric format]]=0,F218=1),1,0)</f>
        <v>0</v>
      </c>
      <c r="M219" s="3">
        <f>IF(AND(Table1[[#This Row],[STATES in numeric format]]=1,F218=-1),1,0)</f>
        <v>0</v>
      </c>
      <c r="N219" s="3">
        <f>IF(AND(Table1[[#This Row],[STATES in numeric format]]=1,F218=0),1,0)</f>
        <v>0</v>
      </c>
      <c r="O219" s="3">
        <f>IF(AND(Table1[[#This Row],[STATES in numeric format]]=1,F218=1),1,0)</f>
        <v>1</v>
      </c>
    </row>
    <row r="220" spans="1:15" x14ac:dyDescent="0.3">
      <c r="A220" s="1">
        <v>44147</v>
      </c>
      <c r="B220">
        <v>43357.19</v>
      </c>
      <c r="C220">
        <f>Table1[[#This Row],[Close]]-0.001*Table1[[#This Row],[Close]]</f>
        <v>43313.83281</v>
      </c>
      <c r="D220">
        <f>Table1[[#This Row],[Close]]+0.001*Table1[[#This Row],[Close]]</f>
        <v>43400.547190000005</v>
      </c>
      <c r="E220" t="str">
        <f>IF(Table1[[#This Row],[Close]]&gt;D219,"UP",IF(Table1[[#This Row],[Close]]&lt;C219,"Down","Constant"))</f>
        <v>Down</v>
      </c>
      <c r="F220" s="3">
        <f>IF(Table1[[#This Row],[Column1]]="Up",1,IF(Table1[[#This Row],[Column1]]="Down",-1,0))</f>
        <v>-1</v>
      </c>
      <c r="G220" s="3">
        <f>IF(AND(Table1[[#This Row],[STATES in numeric format]]=-1,F219=-1),1,0)</f>
        <v>0</v>
      </c>
      <c r="H220" s="3">
        <f>IF(AND(Table1[[#This Row],[STATES in numeric format]]=-1,F219=0),1,0)</f>
        <v>0</v>
      </c>
      <c r="I220" s="3">
        <f>IF(AND(Table1[[#This Row],[STATES in numeric format]]=-1,F219=1),1,0)</f>
        <v>1</v>
      </c>
      <c r="J220" s="3">
        <f>IF(AND(Table1[[#This Row],[STATES in numeric format]]=0,F219=-1),1,0)</f>
        <v>0</v>
      </c>
      <c r="K220" s="3">
        <f>IF(AND(Table1[[#This Row],[STATES in numeric format]]=0,F219=0),1,0)</f>
        <v>0</v>
      </c>
      <c r="L220" s="3">
        <f>IF(AND(Table1[[#This Row],[STATES in numeric format]]=0,F219=1),1,0)</f>
        <v>0</v>
      </c>
      <c r="M220" s="3">
        <f>IF(AND(Table1[[#This Row],[STATES in numeric format]]=1,F219=-1),1,0)</f>
        <v>0</v>
      </c>
      <c r="N220" s="3">
        <f>IF(AND(Table1[[#This Row],[STATES in numeric format]]=1,F219=0),1,0)</f>
        <v>0</v>
      </c>
      <c r="O220" s="3">
        <f>IF(AND(Table1[[#This Row],[STATES in numeric format]]=1,F219=1),1,0)</f>
        <v>0</v>
      </c>
    </row>
    <row r="221" spans="1:15" x14ac:dyDescent="0.3">
      <c r="A221" s="1">
        <v>44148</v>
      </c>
      <c r="B221">
        <v>43443</v>
      </c>
      <c r="C221">
        <f>Table1[[#This Row],[Close]]-0.001*Table1[[#This Row],[Close]]</f>
        <v>43399.557000000001</v>
      </c>
      <c r="D221">
        <f>Table1[[#This Row],[Close]]+0.001*Table1[[#This Row],[Close]]</f>
        <v>43486.442999999999</v>
      </c>
      <c r="E221" t="str">
        <f>IF(Table1[[#This Row],[Close]]&gt;D220,"UP",IF(Table1[[#This Row],[Close]]&lt;C220,"Down","Constant"))</f>
        <v>UP</v>
      </c>
      <c r="F221" s="3">
        <f>IF(Table1[[#This Row],[Column1]]="Up",1,IF(Table1[[#This Row],[Column1]]="Down",-1,0))</f>
        <v>1</v>
      </c>
      <c r="G221" s="3">
        <f>IF(AND(Table1[[#This Row],[STATES in numeric format]]=-1,F220=-1),1,0)</f>
        <v>0</v>
      </c>
      <c r="H221" s="3">
        <f>IF(AND(Table1[[#This Row],[STATES in numeric format]]=-1,F220=0),1,0)</f>
        <v>0</v>
      </c>
      <c r="I221" s="3">
        <f>IF(AND(Table1[[#This Row],[STATES in numeric format]]=-1,F220=1),1,0)</f>
        <v>0</v>
      </c>
      <c r="J221" s="3">
        <f>IF(AND(Table1[[#This Row],[STATES in numeric format]]=0,F220=-1),1,0)</f>
        <v>0</v>
      </c>
      <c r="K221" s="3">
        <f>IF(AND(Table1[[#This Row],[STATES in numeric format]]=0,F220=0),1,0)</f>
        <v>0</v>
      </c>
      <c r="L221" s="3">
        <f>IF(AND(Table1[[#This Row],[STATES in numeric format]]=0,F220=1),1,0)</f>
        <v>0</v>
      </c>
      <c r="M221" s="3">
        <f>IF(AND(Table1[[#This Row],[STATES in numeric format]]=1,F220=-1),1,0)</f>
        <v>1</v>
      </c>
      <c r="N221" s="3">
        <f>IF(AND(Table1[[#This Row],[STATES in numeric format]]=1,F220=0),1,0)</f>
        <v>0</v>
      </c>
      <c r="O221" s="3">
        <f>IF(AND(Table1[[#This Row],[STATES in numeric format]]=1,F220=1),1,0)</f>
        <v>0</v>
      </c>
    </row>
    <row r="222" spans="1:15" x14ac:dyDescent="0.3">
      <c r="A222" s="1">
        <v>44149</v>
      </c>
      <c r="B222">
        <v>43637.98</v>
      </c>
      <c r="C222">
        <f>Table1[[#This Row],[Close]]-0.001*Table1[[#This Row],[Close]]</f>
        <v>43594.342020000004</v>
      </c>
      <c r="D222">
        <f>Table1[[#This Row],[Close]]+0.001*Table1[[#This Row],[Close]]</f>
        <v>43681.617980000003</v>
      </c>
      <c r="E222" t="str">
        <f>IF(Table1[[#This Row],[Close]]&gt;D221,"UP",IF(Table1[[#This Row],[Close]]&lt;C221,"Down","Constant"))</f>
        <v>UP</v>
      </c>
      <c r="F222" s="3">
        <f>IF(Table1[[#This Row],[Column1]]="Up",1,IF(Table1[[#This Row],[Column1]]="Down",-1,0))</f>
        <v>1</v>
      </c>
      <c r="G222" s="3">
        <f>IF(AND(Table1[[#This Row],[STATES in numeric format]]=-1,F221=-1),1,0)</f>
        <v>0</v>
      </c>
      <c r="H222" s="3">
        <f>IF(AND(Table1[[#This Row],[STATES in numeric format]]=-1,F221=0),1,0)</f>
        <v>0</v>
      </c>
      <c r="I222" s="3">
        <f>IF(AND(Table1[[#This Row],[STATES in numeric format]]=-1,F221=1),1,0)</f>
        <v>0</v>
      </c>
      <c r="J222" s="3">
        <f>IF(AND(Table1[[#This Row],[STATES in numeric format]]=0,F221=-1),1,0)</f>
        <v>0</v>
      </c>
      <c r="K222" s="3">
        <f>IF(AND(Table1[[#This Row],[STATES in numeric format]]=0,F221=0),1,0)</f>
        <v>0</v>
      </c>
      <c r="L222" s="3">
        <f>IF(AND(Table1[[#This Row],[STATES in numeric format]]=0,F221=1),1,0)</f>
        <v>0</v>
      </c>
      <c r="M222" s="3">
        <f>IF(AND(Table1[[#This Row],[STATES in numeric format]]=1,F221=-1),1,0)</f>
        <v>0</v>
      </c>
      <c r="N222" s="3">
        <f>IF(AND(Table1[[#This Row],[STATES in numeric format]]=1,F221=0),1,0)</f>
        <v>0</v>
      </c>
      <c r="O222" s="3">
        <f>IF(AND(Table1[[#This Row],[STATES in numeric format]]=1,F221=1),1,0)</f>
        <v>1</v>
      </c>
    </row>
    <row r="223" spans="1:15" x14ac:dyDescent="0.3">
      <c r="A223" s="1">
        <v>44152</v>
      </c>
      <c r="B223">
        <v>43952.71</v>
      </c>
      <c r="C223">
        <f>Table1[[#This Row],[Close]]-0.001*Table1[[#This Row],[Close]]</f>
        <v>43908.757290000001</v>
      </c>
      <c r="D223">
        <f>Table1[[#This Row],[Close]]+0.001*Table1[[#This Row],[Close]]</f>
        <v>43996.662709999997</v>
      </c>
      <c r="E223" t="str">
        <f>IF(Table1[[#This Row],[Close]]&gt;D222,"UP",IF(Table1[[#This Row],[Close]]&lt;C222,"Down","Constant"))</f>
        <v>UP</v>
      </c>
      <c r="F223" s="3">
        <f>IF(Table1[[#This Row],[Column1]]="Up",1,IF(Table1[[#This Row],[Column1]]="Down",-1,0))</f>
        <v>1</v>
      </c>
      <c r="G223" s="3">
        <f>IF(AND(Table1[[#This Row],[STATES in numeric format]]=-1,F222=-1),1,0)</f>
        <v>0</v>
      </c>
      <c r="H223" s="3">
        <f>IF(AND(Table1[[#This Row],[STATES in numeric format]]=-1,F222=0),1,0)</f>
        <v>0</v>
      </c>
      <c r="I223" s="3">
        <f>IF(AND(Table1[[#This Row],[STATES in numeric format]]=-1,F222=1),1,0)</f>
        <v>0</v>
      </c>
      <c r="J223" s="3">
        <f>IF(AND(Table1[[#This Row],[STATES in numeric format]]=0,F222=-1),1,0)</f>
        <v>0</v>
      </c>
      <c r="K223" s="3">
        <f>IF(AND(Table1[[#This Row],[STATES in numeric format]]=0,F222=0),1,0)</f>
        <v>0</v>
      </c>
      <c r="L223" s="3">
        <f>IF(AND(Table1[[#This Row],[STATES in numeric format]]=0,F222=1),1,0)</f>
        <v>0</v>
      </c>
      <c r="M223" s="3">
        <f>IF(AND(Table1[[#This Row],[STATES in numeric format]]=1,F222=-1),1,0)</f>
        <v>0</v>
      </c>
      <c r="N223" s="3">
        <f>IF(AND(Table1[[#This Row],[STATES in numeric format]]=1,F222=0),1,0)</f>
        <v>0</v>
      </c>
      <c r="O223" s="3">
        <f>IF(AND(Table1[[#This Row],[STATES in numeric format]]=1,F222=1),1,0)</f>
        <v>1</v>
      </c>
    </row>
    <row r="224" spans="1:15" x14ac:dyDescent="0.3">
      <c r="A224" s="1">
        <v>44153</v>
      </c>
      <c r="B224">
        <v>44180.05</v>
      </c>
      <c r="C224">
        <f>Table1[[#This Row],[Close]]-0.001*Table1[[#This Row],[Close]]</f>
        <v>44135.86995</v>
      </c>
      <c r="D224">
        <f>Table1[[#This Row],[Close]]+0.001*Table1[[#This Row],[Close]]</f>
        <v>44224.230050000006</v>
      </c>
      <c r="E224" t="str">
        <f>IF(Table1[[#This Row],[Close]]&gt;D223,"UP",IF(Table1[[#This Row],[Close]]&lt;C223,"Down","Constant"))</f>
        <v>UP</v>
      </c>
      <c r="F224" s="3">
        <f>IF(Table1[[#This Row],[Column1]]="Up",1,IF(Table1[[#This Row],[Column1]]="Down",-1,0))</f>
        <v>1</v>
      </c>
      <c r="G224" s="3">
        <f>IF(AND(Table1[[#This Row],[STATES in numeric format]]=-1,F223=-1),1,0)</f>
        <v>0</v>
      </c>
      <c r="H224" s="3">
        <f>IF(AND(Table1[[#This Row],[STATES in numeric format]]=-1,F223=0),1,0)</f>
        <v>0</v>
      </c>
      <c r="I224" s="3">
        <f>IF(AND(Table1[[#This Row],[STATES in numeric format]]=-1,F223=1),1,0)</f>
        <v>0</v>
      </c>
      <c r="J224" s="3">
        <f>IF(AND(Table1[[#This Row],[STATES in numeric format]]=0,F223=-1),1,0)</f>
        <v>0</v>
      </c>
      <c r="K224" s="3">
        <f>IF(AND(Table1[[#This Row],[STATES in numeric format]]=0,F223=0),1,0)</f>
        <v>0</v>
      </c>
      <c r="L224" s="3">
        <f>IF(AND(Table1[[#This Row],[STATES in numeric format]]=0,F223=1),1,0)</f>
        <v>0</v>
      </c>
      <c r="M224" s="3">
        <f>IF(AND(Table1[[#This Row],[STATES in numeric format]]=1,F223=-1),1,0)</f>
        <v>0</v>
      </c>
      <c r="N224" s="3">
        <f>IF(AND(Table1[[#This Row],[STATES in numeric format]]=1,F223=0),1,0)</f>
        <v>0</v>
      </c>
      <c r="O224" s="3">
        <f>IF(AND(Table1[[#This Row],[STATES in numeric format]]=1,F223=1),1,0)</f>
        <v>1</v>
      </c>
    </row>
    <row r="225" spans="1:15" x14ac:dyDescent="0.3">
      <c r="A225" s="1">
        <v>44154</v>
      </c>
      <c r="B225">
        <v>43599.96</v>
      </c>
      <c r="C225">
        <f>Table1[[#This Row],[Close]]-0.001*Table1[[#This Row],[Close]]</f>
        <v>43556.36004</v>
      </c>
      <c r="D225">
        <f>Table1[[#This Row],[Close]]+0.001*Table1[[#This Row],[Close]]</f>
        <v>43643.559959999999</v>
      </c>
      <c r="E225" t="str">
        <f>IF(Table1[[#This Row],[Close]]&gt;D224,"UP",IF(Table1[[#This Row],[Close]]&lt;C224,"Down","Constant"))</f>
        <v>Down</v>
      </c>
      <c r="F225" s="3">
        <f>IF(Table1[[#This Row],[Column1]]="Up",1,IF(Table1[[#This Row],[Column1]]="Down",-1,0))</f>
        <v>-1</v>
      </c>
      <c r="G225" s="3">
        <f>IF(AND(Table1[[#This Row],[STATES in numeric format]]=-1,F224=-1),1,0)</f>
        <v>0</v>
      </c>
      <c r="H225" s="3">
        <f>IF(AND(Table1[[#This Row],[STATES in numeric format]]=-1,F224=0),1,0)</f>
        <v>0</v>
      </c>
      <c r="I225" s="3">
        <f>IF(AND(Table1[[#This Row],[STATES in numeric format]]=-1,F224=1),1,0)</f>
        <v>1</v>
      </c>
      <c r="J225" s="3">
        <f>IF(AND(Table1[[#This Row],[STATES in numeric format]]=0,F224=-1),1,0)</f>
        <v>0</v>
      </c>
      <c r="K225" s="3">
        <f>IF(AND(Table1[[#This Row],[STATES in numeric format]]=0,F224=0),1,0)</f>
        <v>0</v>
      </c>
      <c r="L225" s="3">
        <f>IF(AND(Table1[[#This Row],[STATES in numeric format]]=0,F224=1),1,0)</f>
        <v>0</v>
      </c>
      <c r="M225" s="3">
        <f>IF(AND(Table1[[#This Row],[STATES in numeric format]]=1,F224=-1),1,0)</f>
        <v>0</v>
      </c>
      <c r="N225" s="3">
        <f>IF(AND(Table1[[#This Row],[STATES in numeric format]]=1,F224=0),1,0)</f>
        <v>0</v>
      </c>
      <c r="O225" s="3">
        <f>IF(AND(Table1[[#This Row],[STATES in numeric format]]=1,F224=1),1,0)</f>
        <v>0</v>
      </c>
    </row>
    <row r="226" spans="1:15" x14ac:dyDescent="0.3">
      <c r="A226" s="1">
        <v>44155</v>
      </c>
      <c r="B226">
        <v>43882.25</v>
      </c>
      <c r="C226">
        <f>Table1[[#This Row],[Close]]-0.001*Table1[[#This Row],[Close]]</f>
        <v>43838.367749999998</v>
      </c>
      <c r="D226">
        <f>Table1[[#This Row],[Close]]+0.001*Table1[[#This Row],[Close]]</f>
        <v>43926.132250000002</v>
      </c>
      <c r="E226" t="str">
        <f>IF(Table1[[#This Row],[Close]]&gt;D225,"UP",IF(Table1[[#This Row],[Close]]&lt;C225,"Down","Constant"))</f>
        <v>UP</v>
      </c>
      <c r="F226" s="3">
        <f>IF(Table1[[#This Row],[Column1]]="Up",1,IF(Table1[[#This Row],[Column1]]="Down",-1,0))</f>
        <v>1</v>
      </c>
      <c r="G226" s="3">
        <f>IF(AND(Table1[[#This Row],[STATES in numeric format]]=-1,F225=-1),1,0)</f>
        <v>0</v>
      </c>
      <c r="H226" s="3">
        <f>IF(AND(Table1[[#This Row],[STATES in numeric format]]=-1,F225=0),1,0)</f>
        <v>0</v>
      </c>
      <c r="I226" s="3">
        <f>IF(AND(Table1[[#This Row],[STATES in numeric format]]=-1,F225=1),1,0)</f>
        <v>0</v>
      </c>
      <c r="J226" s="3">
        <f>IF(AND(Table1[[#This Row],[STATES in numeric format]]=0,F225=-1),1,0)</f>
        <v>0</v>
      </c>
      <c r="K226" s="3">
        <f>IF(AND(Table1[[#This Row],[STATES in numeric format]]=0,F225=0),1,0)</f>
        <v>0</v>
      </c>
      <c r="L226" s="3">
        <f>IF(AND(Table1[[#This Row],[STATES in numeric format]]=0,F225=1),1,0)</f>
        <v>0</v>
      </c>
      <c r="M226" s="3">
        <f>IF(AND(Table1[[#This Row],[STATES in numeric format]]=1,F225=-1),1,0)</f>
        <v>1</v>
      </c>
      <c r="N226" s="3">
        <f>IF(AND(Table1[[#This Row],[STATES in numeric format]]=1,F225=0),1,0)</f>
        <v>0</v>
      </c>
      <c r="O226" s="3">
        <f>IF(AND(Table1[[#This Row],[STATES in numeric format]]=1,F225=1),1,0)</f>
        <v>0</v>
      </c>
    </row>
    <row r="227" spans="1:15" x14ac:dyDescent="0.3">
      <c r="A227" s="1">
        <v>44158</v>
      </c>
      <c r="B227">
        <v>44077.15</v>
      </c>
      <c r="C227">
        <f>Table1[[#This Row],[Close]]-0.001*Table1[[#This Row],[Close]]</f>
        <v>44033.072850000004</v>
      </c>
      <c r="D227">
        <f>Table1[[#This Row],[Close]]+0.001*Table1[[#This Row],[Close]]</f>
        <v>44121.227149999999</v>
      </c>
      <c r="E227" t="str">
        <f>IF(Table1[[#This Row],[Close]]&gt;D226,"UP",IF(Table1[[#This Row],[Close]]&lt;C226,"Down","Constant"))</f>
        <v>UP</v>
      </c>
      <c r="F227" s="3">
        <f>IF(Table1[[#This Row],[Column1]]="Up",1,IF(Table1[[#This Row],[Column1]]="Down",-1,0))</f>
        <v>1</v>
      </c>
      <c r="G227" s="3">
        <f>IF(AND(Table1[[#This Row],[STATES in numeric format]]=-1,F226=-1),1,0)</f>
        <v>0</v>
      </c>
      <c r="H227" s="3">
        <f>IF(AND(Table1[[#This Row],[STATES in numeric format]]=-1,F226=0),1,0)</f>
        <v>0</v>
      </c>
      <c r="I227" s="3">
        <f>IF(AND(Table1[[#This Row],[STATES in numeric format]]=-1,F226=1),1,0)</f>
        <v>0</v>
      </c>
      <c r="J227" s="3">
        <f>IF(AND(Table1[[#This Row],[STATES in numeric format]]=0,F226=-1),1,0)</f>
        <v>0</v>
      </c>
      <c r="K227" s="3">
        <f>IF(AND(Table1[[#This Row],[STATES in numeric format]]=0,F226=0),1,0)</f>
        <v>0</v>
      </c>
      <c r="L227" s="3">
        <f>IF(AND(Table1[[#This Row],[STATES in numeric format]]=0,F226=1),1,0)</f>
        <v>0</v>
      </c>
      <c r="M227" s="3">
        <f>IF(AND(Table1[[#This Row],[STATES in numeric format]]=1,F226=-1),1,0)</f>
        <v>0</v>
      </c>
      <c r="N227" s="3">
        <f>IF(AND(Table1[[#This Row],[STATES in numeric format]]=1,F226=0),1,0)</f>
        <v>0</v>
      </c>
      <c r="O227" s="3">
        <f>IF(AND(Table1[[#This Row],[STATES in numeric format]]=1,F226=1),1,0)</f>
        <v>1</v>
      </c>
    </row>
    <row r="228" spans="1:15" x14ac:dyDescent="0.3">
      <c r="A228" s="1">
        <v>44159</v>
      </c>
      <c r="B228">
        <v>44523.02</v>
      </c>
      <c r="C228">
        <f>Table1[[#This Row],[Close]]-0.001*Table1[[#This Row],[Close]]</f>
        <v>44478.496979999996</v>
      </c>
      <c r="D228">
        <f>Table1[[#This Row],[Close]]+0.001*Table1[[#This Row],[Close]]</f>
        <v>44567.543019999997</v>
      </c>
      <c r="E228" t="str">
        <f>IF(Table1[[#This Row],[Close]]&gt;D227,"UP",IF(Table1[[#This Row],[Close]]&lt;C227,"Down","Constant"))</f>
        <v>UP</v>
      </c>
      <c r="F228" s="3">
        <f>IF(Table1[[#This Row],[Column1]]="Up",1,IF(Table1[[#This Row],[Column1]]="Down",-1,0))</f>
        <v>1</v>
      </c>
      <c r="G228" s="3">
        <f>IF(AND(Table1[[#This Row],[STATES in numeric format]]=-1,F227=-1),1,0)</f>
        <v>0</v>
      </c>
      <c r="H228" s="3">
        <f>IF(AND(Table1[[#This Row],[STATES in numeric format]]=-1,F227=0),1,0)</f>
        <v>0</v>
      </c>
      <c r="I228" s="3">
        <f>IF(AND(Table1[[#This Row],[STATES in numeric format]]=-1,F227=1),1,0)</f>
        <v>0</v>
      </c>
      <c r="J228" s="3">
        <f>IF(AND(Table1[[#This Row],[STATES in numeric format]]=0,F227=-1),1,0)</f>
        <v>0</v>
      </c>
      <c r="K228" s="3">
        <f>IF(AND(Table1[[#This Row],[STATES in numeric format]]=0,F227=0),1,0)</f>
        <v>0</v>
      </c>
      <c r="L228" s="3">
        <f>IF(AND(Table1[[#This Row],[STATES in numeric format]]=0,F227=1),1,0)</f>
        <v>0</v>
      </c>
      <c r="M228" s="3">
        <f>IF(AND(Table1[[#This Row],[STATES in numeric format]]=1,F227=-1),1,0)</f>
        <v>0</v>
      </c>
      <c r="N228" s="3">
        <f>IF(AND(Table1[[#This Row],[STATES in numeric format]]=1,F227=0),1,0)</f>
        <v>0</v>
      </c>
      <c r="O228" s="3">
        <f>IF(AND(Table1[[#This Row],[STATES in numeric format]]=1,F227=1),1,0)</f>
        <v>1</v>
      </c>
    </row>
    <row r="229" spans="1:15" x14ac:dyDescent="0.3">
      <c r="A229" s="1">
        <v>44160</v>
      </c>
      <c r="B229">
        <v>43828.1</v>
      </c>
      <c r="C229">
        <f>Table1[[#This Row],[Close]]-0.001*Table1[[#This Row],[Close]]</f>
        <v>43784.2719</v>
      </c>
      <c r="D229">
        <f>Table1[[#This Row],[Close]]+0.001*Table1[[#This Row],[Close]]</f>
        <v>43871.928099999997</v>
      </c>
      <c r="E229" t="str">
        <f>IF(Table1[[#This Row],[Close]]&gt;D228,"UP",IF(Table1[[#This Row],[Close]]&lt;C228,"Down","Constant"))</f>
        <v>Down</v>
      </c>
      <c r="F229" s="3">
        <f>IF(Table1[[#This Row],[Column1]]="Up",1,IF(Table1[[#This Row],[Column1]]="Down",-1,0))</f>
        <v>-1</v>
      </c>
      <c r="G229" s="3">
        <f>IF(AND(Table1[[#This Row],[STATES in numeric format]]=-1,F228=-1),1,0)</f>
        <v>0</v>
      </c>
      <c r="H229" s="3">
        <f>IF(AND(Table1[[#This Row],[STATES in numeric format]]=-1,F228=0),1,0)</f>
        <v>0</v>
      </c>
      <c r="I229" s="3">
        <f>IF(AND(Table1[[#This Row],[STATES in numeric format]]=-1,F228=1),1,0)</f>
        <v>1</v>
      </c>
      <c r="J229" s="3">
        <f>IF(AND(Table1[[#This Row],[STATES in numeric format]]=0,F228=-1),1,0)</f>
        <v>0</v>
      </c>
      <c r="K229" s="3">
        <f>IF(AND(Table1[[#This Row],[STATES in numeric format]]=0,F228=0),1,0)</f>
        <v>0</v>
      </c>
      <c r="L229" s="3">
        <f>IF(AND(Table1[[#This Row],[STATES in numeric format]]=0,F228=1),1,0)</f>
        <v>0</v>
      </c>
      <c r="M229" s="3">
        <f>IF(AND(Table1[[#This Row],[STATES in numeric format]]=1,F228=-1),1,0)</f>
        <v>0</v>
      </c>
      <c r="N229" s="3">
        <f>IF(AND(Table1[[#This Row],[STATES in numeric format]]=1,F228=0),1,0)</f>
        <v>0</v>
      </c>
      <c r="O229" s="3">
        <f>IF(AND(Table1[[#This Row],[STATES in numeric format]]=1,F228=1),1,0)</f>
        <v>0</v>
      </c>
    </row>
    <row r="230" spans="1:15" x14ac:dyDescent="0.3">
      <c r="A230" s="1">
        <v>44161</v>
      </c>
      <c r="B230">
        <v>44259.74</v>
      </c>
      <c r="C230">
        <f>Table1[[#This Row],[Close]]-0.001*Table1[[#This Row],[Close]]</f>
        <v>44215.480259999997</v>
      </c>
      <c r="D230">
        <f>Table1[[#This Row],[Close]]+0.001*Table1[[#This Row],[Close]]</f>
        <v>44303.999739999999</v>
      </c>
      <c r="E230" t="str">
        <f>IF(Table1[[#This Row],[Close]]&gt;D229,"UP",IF(Table1[[#This Row],[Close]]&lt;C229,"Down","Constant"))</f>
        <v>UP</v>
      </c>
      <c r="F230" s="3">
        <f>IF(Table1[[#This Row],[Column1]]="Up",1,IF(Table1[[#This Row],[Column1]]="Down",-1,0))</f>
        <v>1</v>
      </c>
      <c r="G230" s="3">
        <f>IF(AND(Table1[[#This Row],[STATES in numeric format]]=-1,F229=-1),1,0)</f>
        <v>0</v>
      </c>
      <c r="H230" s="3">
        <f>IF(AND(Table1[[#This Row],[STATES in numeric format]]=-1,F229=0),1,0)</f>
        <v>0</v>
      </c>
      <c r="I230" s="3">
        <f>IF(AND(Table1[[#This Row],[STATES in numeric format]]=-1,F229=1),1,0)</f>
        <v>0</v>
      </c>
      <c r="J230" s="3">
        <f>IF(AND(Table1[[#This Row],[STATES in numeric format]]=0,F229=-1),1,0)</f>
        <v>0</v>
      </c>
      <c r="K230" s="3">
        <f>IF(AND(Table1[[#This Row],[STATES in numeric format]]=0,F229=0),1,0)</f>
        <v>0</v>
      </c>
      <c r="L230" s="3">
        <f>IF(AND(Table1[[#This Row],[STATES in numeric format]]=0,F229=1),1,0)</f>
        <v>0</v>
      </c>
      <c r="M230" s="3">
        <f>IF(AND(Table1[[#This Row],[STATES in numeric format]]=1,F229=-1),1,0)</f>
        <v>1</v>
      </c>
      <c r="N230" s="3">
        <f>IF(AND(Table1[[#This Row],[STATES in numeric format]]=1,F229=0),1,0)</f>
        <v>0</v>
      </c>
      <c r="O230" s="3">
        <f>IF(AND(Table1[[#This Row],[STATES in numeric format]]=1,F229=1),1,0)</f>
        <v>0</v>
      </c>
    </row>
    <row r="231" spans="1:15" x14ac:dyDescent="0.3">
      <c r="A231" s="1">
        <v>44162</v>
      </c>
      <c r="B231">
        <v>44149.72</v>
      </c>
      <c r="C231">
        <f>Table1[[#This Row],[Close]]-0.001*Table1[[#This Row],[Close]]</f>
        <v>44105.57028</v>
      </c>
      <c r="D231">
        <f>Table1[[#This Row],[Close]]+0.001*Table1[[#This Row],[Close]]</f>
        <v>44193.869720000002</v>
      </c>
      <c r="E231" t="str">
        <f>IF(Table1[[#This Row],[Close]]&gt;D230,"UP",IF(Table1[[#This Row],[Close]]&lt;C230,"Down","Constant"))</f>
        <v>Down</v>
      </c>
      <c r="F231" s="3">
        <f>IF(Table1[[#This Row],[Column1]]="Up",1,IF(Table1[[#This Row],[Column1]]="Down",-1,0))</f>
        <v>-1</v>
      </c>
      <c r="G231" s="3">
        <f>IF(AND(Table1[[#This Row],[STATES in numeric format]]=-1,F230=-1),1,0)</f>
        <v>0</v>
      </c>
      <c r="H231" s="3">
        <f>IF(AND(Table1[[#This Row],[STATES in numeric format]]=-1,F230=0),1,0)</f>
        <v>0</v>
      </c>
      <c r="I231" s="3">
        <f>IF(AND(Table1[[#This Row],[STATES in numeric format]]=-1,F230=1),1,0)</f>
        <v>1</v>
      </c>
      <c r="J231" s="3">
        <f>IF(AND(Table1[[#This Row],[STATES in numeric format]]=0,F230=-1),1,0)</f>
        <v>0</v>
      </c>
      <c r="K231" s="3">
        <f>IF(AND(Table1[[#This Row],[STATES in numeric format]]=0,F230=0),1,0)</f>
        <v>0</v>
      </c>
      <c r="L231" s="3">
        <f>IF(AND(Table1[[#This Row],[STATES in numeric format]]=0,F230=1),1,0)</f>
        <v>0</v>
      </c>
      <c r="M231" s="3">
        <f>IF(AND(Table1[[#This Row],[STATES in numeric format]]=1,F230=-1),1,0)</f>
        <v>0</v>
      </c>
      <c r="N231" s="3">
        <f>IF(AND(Table1[[#This Row],[STATES in numeric format]]=1,F230=0),1,0)</f>
        <v>0</v>
      </c>
      <c r="O231" s="3">
        <f>IF(AND(Table1[[#This Row],[STATES in numeric format]]=1,F230=1),1,0)</f>
        <v>0</v>
      </c>
    </row>
    <row r="232" spans="1:15" x14ac:dyDescent="0.3">
      <c r="A232" s="1">
        <v>44166</v>
      </c>
      <c r="B232">
        <v>44655.44</v>
      </c>
      <c r="C232">
        <f>Table1[[#This Row],[Close]]-0.001*Table1[[#This Row],[Close]]</f>
        <v>44610.78456</v>
      </c>
      <c r="D232">
        <f>Table1[[#This Row],[Close]]+0.001*Table1[[#This Row],[Close]]</f>
        <v>44700.095440000005</v>
      </c>
      <c r="E232" t="str">
        <f>IF(Table1[[#This Row],[Close]]&gt;D231,"UP",IF(Table1[[#This Row],[Close]]&lt;C231,"Down","Constant"))</f>
        <v>UP</v>
      </c>
      <c r="F232" s="3">
        <f>IF(Table1[[#This Row],[Column1]]="Up",1,IF(Table1[[#This Row],[Column1]]="Down",-1,0))</f>
        <v>1</v>
      </c>
      <c r="G232" s="3">
        <f>IF(AND(Table1[[#This Row],[STATES in numeric format]]=-1,F231=-1),1,0)</f>
        <v>0</v>
      </c>
      <c r="H232" s="3">
        <f>IF(AND(Table1[[#This Row],[STATES in numeric format]]=-1,F231=0),1,0)</f>
        <v>0</v>
      </c>
      <c r="I232" s="3">
        <f>IF(AND(Table1[[#This Row],[STATES in numeric format]]=-1,F231=1),1,0)</f>
        <v>0</v>
      </c>
      <c r="J232" s="3">
        <f>IF(AND(Table1[[#This Row],[STATES in numeric format]]=0,F231=-1),1,0)</f>
        <v>0</v>
      </c>
      <c r="K232" s="3">
        <f>IF(AND(Table1[[#This Row],[STATES in numeric format]]=0,F231=0),1,0)</f>
        <v>0</v>
      </c>
      <c r="L232" s="3">
        <f>IF(AND(Table1[[#This Row],[STATES in numeric format]]=0,F231=1),1,0)</f>
        <v>0</v>
      </c>
      <c r="M232" s="3">
        <f>IF(AND(Table1[[#This Row],[STATES in numeric format]]=1,F231=-1),1,0)</f>
        <v>1</v>
      </c>
      <c r="N232" s="3">
        <f>IF(AND(Table1[[#This Row],[STATES in numeric format]]=1,F231=0),1,0)</f>
        <v>0</v>
      </c>
      <c r="O232" s="3">
        <f>IF(AND(Table1[[#This Row],[STATES in numeric format]]=1,F231=1),1,0)</f>
        <v>0</v>
      </c>
    </row>
    <row r="233" spans="1:15" x14ac:dyDescent="0.3">
      <c r="A233" s="1">
        <v>44167</v>
      </c>
      <c r="B233">
        <v>44618.04</v>
      </c>
      <c r="C233">
        <f>Table1[[#This Row],[Close]]-0.001*Table1[[#This Row],[Close]]</f>
        <v>44573.42196</v>
      </c>
      <c r="D233">
        <f>Table1[[#This Row],[Close]]+0.001*Table1[[#This Row],[Close]]</f>
        <v>44662.658040000002</v>
      </c>
      <c r="E233" t="str">
        <f>IF(Table1[[#This Row],[Close]]&gt;D232,"UP",IF(Table1[[#This Row],[Close]]&lt;C232,"Down","Constant"))</f>
        <v>Constant</v>
      </c>
      <c r="F233" s="3">
        <f>IF(Table1[[#This Row],[Column1]]="Up",1,IF(Table1[[#This Row],[Column1]]="Down",-1,0))</f>
        <v>0</v>
      </c>
      <c r="G233" s="3">
        <f>IF(AND(Table1[[#This Row],[STATES in numeric format]]=-1,F232=-1),1,0)</f>
        <v>0</v>
      </c>
      <c r="H233" s="3">
        <f>IF(AND(Table1[[#This Row],[STATES in numeric format]]=-1,F232=0),1,0)</f>
        <v>0</v>
      </c>
      <c r="I233" s="3">
        <f>IF(AND(Table1[[#This Row],[STATES in numeric format]]=-1,F232=1),1,0)</f>
        <v>0</v>
      </c>
      <c r="J233" s="3">
        <f>IF(AND(Table1[[#This Row],[STATES in numeric format]]=0,F232=-1),1,0)</f>
        <v>0</v>
      </c>
      <c r="K233" s="3">
        <f>IF(AND(Table1[[#This Row],[STATES in numeric format]]=0,F232=0),1,0)</f>
        <v>0</v>
      </c>
      <c r="L233" s="3">
        <f>IF(AND(Table1[[#This Row],[STATES in numeric format]]=0,F232=1),1,0)</f>
        <v>1</v>
      </c>
      <c r="M233" s="3">
        <f>IF(AND(Table1[[#This Row],[STATES in numeric format]]=1,F232=-1),1,0)</f>
        <v>0</v>
      </c>
      <c r="N233" s="3">
        <f>IF(AND(Table1[[#This Row],[STATES in numeric format]]=1,F232=0),1,0)</f>
        <v>0</v>
      </c>
      <c r="O233" s="3">
        <f>IF(AND(Table1[[#This Row],[STATES in numeric format]]=1,F232=1),1,0)</f>
        <v>0</v>
      </c>
    </row>
    <row r="234" spans="1:15" x14ac:dyDescent="0.3">
      <c r="A234" s="1">
        <v>44168</v>
      </c>
      <c r="B234">
        <v>44632.65</v>
      </c>
      <c r="C234">
        <f>Table1[[#This Row],[Close]]-0.001*Table1[[#This Row],[Close]]</f>
        <v>44588.017350000002</v>
      </c>
      <c r="D234">
        <f>Table1[[#This Row],[Close]]+0.001*Table1[[#This Row],[Close]]</f>
        <v>44677.282650000001</v>
      </c>
      <c r="E234" t="str">
        <f>IF(Table1[[#This Row],[Close]]&gt;D233,"UP",IF(Table1[[#This Row],[Close]]&lt;C233,"Down","Constant"))</f>
        <v>Constant</v>
      </c>
      <c r="F234" s="3">
        <f>IF(Table1[[#This Row],[Column1]]="Up",1,IF(Table1[[#This Row],[Column1]]="Down",-1,0))</f>
        <v>0</v>
      </c>
      <c r="G234" s="3">
        <f>IF(AND(Table1[[#This Row],[STATES in numeric format]]=-1,F233=-1),1,0)</f>
        <v>0</v>
      </c>
      <c r="H234" s="3">
        <f>IF(AND(Table1[[#This Row],[STATES in numeric format]]=-1,F233=0),1,0)</f>
        <v>0</v>
      </c>
      <c r="I234" s="3">
        <f>IF(AND(Table1[[#This Row],[STATES in numeric format]]=-1,F233=1),1,0)</f>
        <v>0</v>
      </c>
      <c r="J234" s="3">
        <f>IF(AND(Table1[[#This Row],[STATES in numeric format]]=0,F233=-1),1,0)</f>
        <v>0</v>
      </c>
      <c r="K234" s="3">
        <f>IF(AND(Table1[[#This Row],[STATES in numeric format]]=0,F233=0),1,0)</f>
        <v>1</v>
      </c>
      <c r="L234" s="3">
        <f>IF(AND(Table1[[#This Row],[STATES in numeric format]]=0,F233=1),1,0)</f>
        <v>0</v>
      </c>
      <c r="M234" s="3">
        <f>IF(AND(Table1[[#This Row],[STATES in numeric format]]=1,F233=-1),1,0)</f>
        <v>0</v>
      </c>
      <c r="N234" s="3">
        <f>IF(AND(Table1[[#This Row],[STATES in numeric format]]=1,F233=0),1,0)</f>
        <v>0</v>
      </c>
      <c r="O234" s="3">
        <f>IF(AND(Table1[[#This Row],[STATES in numeric format]]=1,F233=1),1,0)</f>
        <v>0</v>
      </c>
    </row>
    <row r="235" spans="1:15" x14ac:dyDescent="0.3">
      <c r="A235" s="1">
        <v>44169</v>
      </c>
      <c r="B235">
        <v>45079.55</v>
      </c>
      <c r="C235">
        <f>Table1[[#This Row],[Close]]-0.001*Table1[[#This Row],[Close]]</f>
        <v>45034.470450000001</v>
      </c>
      <c r="D235">
        <f>Table1[[#This Row],[Close]]+0.001*Table1[[#This Row],[Close]]</f>
        <v>45124.629550000005</v>
      </c>
      <c r="E235" t="str">
        <f>IF(Table1[[#This Row],[Close]]&gt;D234,"UP",IF(Table1[[#This Row],[Close]]&lt;C234,"Down","Constant"))</f>
        <v>UP</v>
      </c>
      <c r="F235" s="3">
        <f>IF(Table1[[#This Row],[Column1]]="Up",1,IF(Table1[[#This Row],[Column1]]="Down",-1,0))</f>
        <v>1</v>
      </c>
      <c r="G235" s="3">
        <f>IF(AND(Table1[[#This Row],[STATES in numeric format]]=-1,F234=-1),1,0)</f>
        <v>0</v>
      </c>
      <c r="H235" s="3">
        <f>IF(AND(Table1[[#This Row],[STATES in numeric format]]=-1,F234=0),1,0)</f>
        <v>0</v>
      </c>
      <c r="I235" s="3">
        <f>IF(AND(Table1[[#This Row],[STATES in numeric format]]=-1,F234=1),1,0)</f>
        <v>0</v>
      </c>
      <c r="J235" s="3">
        <f>IF(AND(Table1[[#This Row],[STATES in numeric format]]=0,F234=-1),1,0)</f>
        <v>0</v>
      </c>
      <c r="K235" s="3">
        <f>IF(AND(Table1[[#This Row],[STATES in numeric format]]=0,F234=0),1,0)</f>
        <v>0</v>
      </c>
      <c r="L235" s="3">
        <f>IF(AND(Table1[[#This Row],[STATES in numeric format]]=0,F234=1),1,0)</f>
        <v>0</v>
      </c>
      <c r="M235" s="3">
        <f>IF(AND(Table1[[#This Row],[STATES in numeric format]]=1,F234=-1),1,0)</f>
        <v>0</v>
      </c>
      <c r="N235" s="3">
        <f>IF(AND(Table1[[#This Row],[STATES in numeric format]]=1,F234=0),1,0)</f>
        <v>1</v>
      </c>
      <c r="O235" s="3">
        <f>IF(AND(Table1[[#This Row],[STATES in numeric format]]=1,F234=1),1,0)</f>
        <v>0</v>
      </c>
    </row>
    <row r="236" spans="1:15" x14ac:dyDescent="0.3">
      <c r="A236" s="1">
        <v>44172</v>
      </c>
      <c r="B236">
        <v>45426.97</v>
      </c>
      <c r="C236">
        <f>Table1[[#This Row],[Close]]-0.001*Table1[[#This Row],[Close]]</f>
        <v>45381.543030000001</v>
      </c>
      <c r="D236">
        <f>Table1[[#This Row],[Close]]+0.001*Table1[[#This Row],[Close]]</f>
        <v>45472.396970000002</v>
      </c>
      <c r="E236" t="str">
        <f>IF(Table1[[#This Row],[Close]]&gt;D235,"UP",IF(Table1[[#This Row],[Close]]&lt;C235,"Down","Constant"))</f>
        <v>UP</v>
      </c>
      <c r="F236" s="3">
        <f>IF(Table1[[#This Row],[Column1]]="Up",1,IF(Table1[[#This Row],[Column1]]="Down",-1,0))</f>
        <v>1</v>
      </c>
      <c r="G236" s="3">
        <f>IF(AND(Table1[[#This Row],[STATES in numeric format]]=-1,F235=-1),1,0)</f>
        <v>0</v>
      </c>
      <c r="H236" s="3">
        <f>IF(AND(Table1[[#This Row],[STATES in numeric format]]=-1,F235=0),1,0)</f>
        <v>0</v>
      </c>
      <c r="I236" s="3">
        <f>IF(AND(Table1[[#This Row],[STATES in numeric format]]=-1,F235=1),1,0)</f>
        <v>0</v>
      </c>
      <c r="J236" s="3">
        <f>IF(AND(Table1[[#This Row],[STATES in numeric format]]=0,F235=-1),1,0)</f>
        <v>0</v>
      </c>
      <c r="K236" s="3">
        <f>IF(AND(Table1[[#This Row],[STATES in numeric format]]=0,F235=0),1,0)</f>
        <v>0</v>
      </c>
      <c r="L236" s="3">
        <f>IF(AND(Table1[[#This Row],[STATES in numeric format]]=0,F235=1),1,0)</f>
        <v>0</v>
      </c>
      <c r="M236" s="3">
        <f>IF(AND(Table1[[#This Row],[STATES in numeric format]]=1,F235=-1),1,0)</f>
        <v>0</v>
      </c>
      <c r="N236" s="3">
        <f>IF(AND(Table1[[#This Row],[STATES in numeric format]]=1,F235=0),1,0)</f>
        <v>0</v>
      </c>
      <c r="O236" s="3">
        <f>IF(AND(Table1[[#This Row],[STATES in numeric format]]=1,F235=1),1,0)</f>
        <v>1</v>
      </c>
    </row>
    <row r="237" spans="1:15" x14ac:dyDescent="0.3">
      <c r="A237" s="1">
        <v>44173</v>
      </c>
      <c r="B237">
        <v>45608.51</v>
      </c>
      <c r="C237">
        <f>Table1[[#This Row],[Close]]-0.001*Table1[[#This Row],[Close]]</f>
        <v>45562.901490000004</v>
      </c>
      <c r="D237">
        <f>Table1[[#This Row],[Close]]+0.001*Table1[[#This Row],[Close]]</f>
        <v>45654.11851</v>
      </c>
      <c r="E237" t="str">
        <f>IF(Table1[[#This Row],[Close]]&gt;D236,"UP",IF(Table1[[#This Row],[Close]]&lt;C236,"Down","Constant"))</f>
        <v>UP</v>
      </c>
      <c r="F237" s="3">
        <f>IF(Table1[[#This Row],[Column1]]="Up",1,IF(Table1[[#This Row],[Column1]]="Down",-1,0))</f>
        <v>1</v>
      </c>
      <c r="G237" s="3">
        <f>IF(AND(Table1[[#This Row],[STATES in numeric format]]=-1,F236=-1),1,0)</f>
        <v>0</v>
      </c>
      <c r="H237" s="3">
        <f>IF(AND(Table1[[#This Row],[STATES in numeric format]]=-1,F236=0),1,0)</f>
        <v>0</v>
      </c>
      <c r="I237" s="3">
        <f>IF(AND(Table1[[#This Row],[STATES in numeric format]]=-1,F236=1),1,0)</f>
        <v>0</v>
      </c>
      <c r="J237" s="3">
        <f>IF(AND(Table1[[#This Row],[STATES in numeric format]]=0,F236=-1),1,0)</f>
        <v>0</v>
      </c>
      <c r="K237" s="3">
        <f>IF(AND(Table1[[#This Row],[STATES in numeric format]]=0,F236=0),1,0)</f>
        <v>0</v>
      </c>
      <c r="L237" s="3">
        <f>IF(AND(Table1[[#This Row],[STATES in numeric format]]=0,F236=1),1,0)</f>
        <v>0</v>
      </c>
      <c r="M237" s="3">
        <f>IF(AND(Table1[[#This Row],[STATES in numeric format]]=1,F236=-1),1,0)</f>
        <v>0</v>
      </c>
      <c r="N237" s="3">
        <f>IF(AND(Table1[[#This Row],[STATES in numeric format]]=1,F236=0),1,0)</f>
        <v>0</v>
      </c>
      <c r="O237" s="3">
        <f>IF(AND(Table1[[#This Row],[STATES in numeric format]]=1,F236=1),1,0)</f>
        <v>1</v>
      </c>
    </row>
    <row r="238" spans="1:15" x14ac:dyDescent="0.3">
      <c r="A238" s="1">
        <v>44174</v>
      </c>
      <c r="B238">
        <v>46103.5</v>
      </c>
      <c r="C238">
        <f>Table1[[#This Row],[Close]]-0.001*Table1[[#This Row],[Close]]</f>
        <v>46057.396500000003</v>
      </c>
      <c r="D238">
        <f>Table1[[#This Row],[Close]]+0.001*Table1[[#This Row],[Close]]</f>
        <v>46149.603499999997</v>
      </c>
      <c r="E238" t="str">
        <f>IF(Table1[[#This Row],[Close]]&gt;D237,"UP",IF(Table1[[#This Row],[Close]]&lt;C237,"Down","Constant"))</f>
        <v>UP</v>
      </c>
      <c r="F238" s="3">
        <f>IF(Table1[[#This Row],[Column1]]="Up",1,IF(Table1[[#This Row],[Column1]]="Down",-1,0))</f>
        <v>1</v>
      </c>
      <c r="G238" s="3">
        <f>IF(AND(Table1[[#This Row],[STATES in numeric format]]=-1,F237=-1),1,0)</f>
        <v>0</v>
      </c>
      <c r="H238" s="3">
        <f>IF(AND(Table1[[#This Row],[STATES in numeric format]]=-1,F237=0),1,0)</f>
        <v>0</v>
      </c>
      <c r="I238" s="3">
        <f>IF(AND(Table1[[#This Row],[STATES in numeric format]]=-1,F237=1),1,0)</f>
        <v>0</v>
      </c>
      <c r="J238" s="3">
        <f>IF(AND(Table1[[#This Row],[STATES in numeric format]]=0,F237=-1),1,0)</f>
        <v>0</v>
      </c>
      <c r="K238" s="3">
        <f>IF(AND(Table1[[#This Row],[STATES in numeric format]]=0,F237=0),1,0)</f>
        <v>0</v>
      </c>
      <c r="L238" s="3">
        <f>IF(AND(Table1[[#This Row],[STATES in numeric format]]=0,F237=1),1,0)</f>
        <v>0</v>
      </c>
      <c r="M238" s="3">
        <f>IF(AND(Table1[[#This Row],[STATES in numeric format]]=1,F237=-1),1,0)</f>
        <v>0</v>
      </c>
      <c r="N238" s="3">
        <f>IF(AND(Table1[[#This Row],[STATES in numeric format]]=1,F237=0),1,0)</f>
        <v>0</v>
      </c>
      <c r="O238" s="3">
        <f>IF(AND(Table1[[#This Row],[STATES in numeric format]]=1,F237=1),1,0)</f>
        <v>1</v>
      </c>
    </row>
    <row r="239" spans="1:15" x14ac:dyDescent="0.3">
      <c r="A239" s="1">
        <v>44175</v>
      </c>
      <c r="B239">
        <v>45959.88</v>
      </c>
      <c r="C239">
        <f>Table1[[#This Row],[Close]]-0.001*Table1[[#This Row],[Close]]</f>
        <v>45913.920119999995</v>
      </c>
      <c r="D239">
        <f>Table1[[#This Row],[Close]]+0.001*Table1[[#This Row],[Close]]</f>
        <v>46005.83988</v>
      </c>
      <c r="E239" t="str">
        <f>IF(Table1[[#This Row],[Close]]&gt;D238,"UP",IF(Table1[[#This Row],[Close]]&lt;C238,"Down","Constant"))</f>
        <v>Down</v>
      </c>
      <c r="F239" s="3">
        <f>IF(Table1[[#This Row],[Column1]]="Up",1,IF(Table1[[#This Row],[Column1]]="Down",-1,0))</f>
        <v>-1</v>
      </c>
      <c r="G239" s="3">
        <f>IF(AND(Table1[[#This Row],[STATES in numeric format]]=-1,F238=-1),1,0)</f>
        <v>0</v>
      </c>
      <c r="H239" s="3">
        <f>IF(AND(Table1[[#This Row],[STATES in numeric format]]=-1,F238=0),1,0)</f>
        <v>0</v>
      </c>
      <c r="I239" s="3">
        <f>IF(AND(Table1[[#This Row],[STATES in numeric format]]=-1,F238=1),1,0)</f>
        <v>1</v>
      </c>
      <c r="J239" s="3">
        <f>IF(AND(Table1[[#This Row],[STATES in numeric format]]=0,F238=-1),1,0)</f>
        <v>0</v>
      </c>
      <c r="K239" s="3">
        <f>IF(AND(Table1[[#This Row],[STATES in numeric format]]=0,F238=0),1,0)</f>
        <v>0</v>
      </c>
      <c r="L239" s="3">
        <f>IF(AND(Table1[[#This Row],[STATES in numeric format]]=0,F238=1),1,0)</f>
        <v>0</v>
      </c>
      <c r="M239" s="3">
        <f>IF(AND(Table1[[#This Row],[STATES in numeric format]]=1,F238=-1),1,0)</f>
        <v>0</v>
      </c>
      <c r="N239" s="3">
        <f>IF(AND(Table1[[#This Row],[STATES in numeric format]]=1,F238=0),1,0)</f>
        <v>0</v>
      </c>
      <c r="O239" s="3">
        <f>IF(AND(Table1[[#This Row],[STATES in numeric format]]=1,F238=1),1,0)</f>
        <v>0</v>
      </c>
    </row>
    <row r="240" spans="1:15" x14ac:dyDescent="0.3">
      <c r="A240" s="1">
        <v>44176</v>
      </c>
      <c r="B240">
        <v>46099.01</v>
      </c>
      <c r="C240">
        <f>Table1[[#This Row],[Close]]-0.001*Table1[[#This Row],[Close]]</f>
        <v>46052.910990000004</v>
      </c>
      <c r="D240">
        <f>Table1[[#This Row],[Close]]+0.001*Table1[[#This Row],[Close]]</f>
        <v>46145.10901</v>
      </c>
      <c r="E240" t="str">
        <f>IF(Table1[[#This Row],[Close]]&gt;D239,"UP",IF(Table1[[#This Row],[Close]]&lt;C239,"Down","Constant"))</f>
        <v>UP</v>
      </c>
      <c r="F240" s="3">
        <f>IF(Table1[[#This Row],[Column1]]="Up",1,IF(Table1[[#This Row],[Column1]]="Down",-1,0))</f>
        <v>1</v>
      </c>
      <c r="G240" s="3">
        <f>IF(AND(Table1[[#This Row],[STATES in numeric format]]=-1,F239=-1),1,0)</f>
        <v>0</v>
      </c>
      <c r="H240" s="3">
        <f>IF(AND(Table1[[#This Row],[STATES in numeric format]]=-1,F239=0),1,0)</f>
        <v>0</v>
      </c>
      <c r="I240" s="3">
        <f>IF(AND(Table1[[#This Row],[STATES in numeric format]]=-1,F239=1),1,0)</f>
        <v>0</v>
      </c>
      <c r="J240" s="3">
        <f>IF(AND(Table1[[#This Row],[STATES in numeric format]]=0,F239=-1),1,0)</f>
        <v>0</v>
      </c>
      <c r="K240" s="3">
        <f>IF(AND(Table1[[#This Row],[STATES in numeric format]]=0,F239=0),1,0)</f>
        <v>0</v>
      </c>
      <c r="L240" s="3">
        <f>IF(AND(Table1[[#This Row],[STATES in numeric format]]=0,F239=1),1,0)</f>
        <v>0</v>
      </c>
      <c r="M240" s="3">
        <f>IF(AND(Table1[[#This Row],[STATES in numeric format]]=1,F239=-1),1,0)</f>
        <v>1</v>
      </c>
      <c r="N240" s="3">
        <f>IF(AND(Table1[[#This Row],[STATES in numeric format]]=1,F239=0),1,0)</f>
        <v>0</v>
      </c>
      <c r="O240" s="3">
        <f>IF(AND(Table1[[#This Row],[STATES in numeric format]]=1,F239=1),1,0)</f>
        <v>0</v>
      </c>
    </row>
    <row r="241" spans="1:15" x14ac:dyDescent="0.3">
      <c r="A241" s="1">
        <v>44179</v>
      </c>
      <c r="B241">
        <v>46253.46</v>
      </c>
      <c r="C241">
        <f>Table1[[#This Row],[Close]]-0.001*Table1[[#This Row],[Close]]</f>
        <v>46207.206539999999</v>
      </c>
      <c r="D241">
        <f>Table1[[#This Row],[Close]]+0.001*Table1[[#This Row],[Close]]</f>
        <v>46299.713459999999</v>
      </c>
      <c r="E241" t="str">
        <f>IF(Table1[[#This Row],[Close]]&gt;D240,"UP",IF(Table1[[#This Row],[Close]]&lt;C240,"Down","Constant"))</f>
        <v>UP</v>
      </c>
      <c r="F241" s="3">
        <f>IF(Table1[[#This Row],[Column1]]="Up",1,IF(Table1[[#This Row],[Column1]]="Down",-1,0))</f>
        <v>1</v>
      </c>
      <c r="G241" s="3">
        <f>IF(AND(Table1[[#This Row],[STATES in numeric format]]=-1,F240=-1),1,0)</f>
        <v>0</v>
      </c>
      <c r="H241" s="3">
        <f>IF(AND(Table1[[#This Row],[STATES in numeric format]]=-1,F240=0),1,0)</f>
        <v>0</v>
      </c>
      <c r="I241" s="3">
        <f>IF(AND(Table1[[#This Row],[STATES in numeric format]]=-1,F240=1),1,0)</f>
        <v>0</v>
      </c>
      <c r="J241" s="3">
        <f>IF(AND(Table1[[#This Row],[STATES in numeric format]]=0,F240=-1),1,0)</f>
        <v>0</v>
      </c>
      <c r="K241" s="3">
        <f>IF(AND(Table1[[#This Row],[STATES in numeric format]]=0,F240=0),1,0)</f>
        <v>0</v>
      </c>
      <c r="L241" s="3">
        <f>IF(AND(Table1[[#This Row],[STATES in numeric format]]=0,F240=1),1,0)</f>
        <v>0</v>
      </c>
      <c r="M241" s="3">
        <f>IF(AND(Table1[[#This Row],[STATES in numeric format]]=1,F240=-1),1,0)</f>
        <v>0</v>
      </c>
      <c r="N241" s="3">
        <f>IF(AND(Table1[[#This Row],[STATES in numeric format]]=1,F240=0),1,0)</f>
        <v>0</v>
      </c>
      <c r="O241" s="3">
        <f>IF(AND(Table1[[#This Row],[STATES in numeric format]]=1,F240=1),1,0)</f>
        <v>1</v>
      </c>
    </row>
    <row r="242" spans="1:15" x14ac:dyDescent="0.3">
      <c r="A242" s="1">
        <v>44180</v>
      </c>
      <c r="B242">
        <v>46263.17</v>
      </c>
      <c r="C242">
        <f>Table1[[#This Row],[Close]]-0.001*Table1[[#This Row],[Close]]</f>
        <v>46216.90683</v>
      </c>
      <c r="D242">
        <f>Table1[[#This Row],[Close]]+0.001*Table1[[#This Row],[Close]]</f>
        <v>46309.433169999997</v>
      </c>
      <c r="E242" t="str">
        <f>IF(Table1[[#This Row],[Close]]&gt;D241,"UP",IF(Table1[[#This Row],[Close]]&lt;C241,"Down","Constant"))</f>
        <v>Constant</v>
      </c>
      <c r="F242" s="3">
        <f>IF(Table1[[#This Row],[Column1]]="Up",1,IF(Table1[[#This Row],[Column1]]="Down",-1,0))</f>
        <v>0</v>
      </c>
      <c r="G242" s="3">
        <f>IF(AND(Table1[[#This Row],[STATES in numeric format]]=-1,F241=-1),1,0)</f>
        <v>0</v>
      </c>
      <c r="H242" s="3">
        <f>IF(AND(Table1[[#This Row],[STATES in numeric format]]=-1,F241=0),1,0)</f>
        <v>0</v>
      </c>
      <c r="I242" s="3">
        <f>IF(AND(Table1[[#This Row],[STATES in numeric format]]=-1,F241=1),1,0)</f>
        <v>0</v>
      </c>
      <c r="J242" s="3">
        <f>IF(AND(Table1[[#This Row],[STATES in numeric format]]=0,F241=-1),1,0)</f>
        <v>0</v>
      </c>
      <c r="K242" s="3">
        <f>IF(AND(Table1[[#This Row],[STATES in numeric format]]=0,F241=0),1,0)</f>
        <v>0</v>
      </c>
      <c r="L242" s="3">
        <f>IF(AND(Table1[[#This Row],[STATES in numeric format]]=0,F241=1),1,0)</f>
        <v>1</v>
      </c>
      <c r="M242" s="3">
        <f>IF(AND(Table1[[#This Row],[STATES in numeric format]]=1,F241=-1),1,0)</f>
        <v>0</v>
      </c>
      <c r="N242" s="3">
        <f>IF(AND(Table1[[#This Row],[STATES in numeric format]]=1,F241=0),1,0)</f>
        <v>0</v>
      </c>
      <c r="O242" s="3">
        <f>IF(AND(Table1[[#This Row],[STATES in numeric format]]=1,F241=1),1,0)</f>
        <v>0</v>
      </c>
    </row>
    <row r="243" spans="1:15" x14ac:dyDescent="0.3">
      <c r="A243" s="1">
        <v>44181</v>
      </c>
      <c r="B243">
        <v>46666.46</v>
      </c>
      <c r="C243">
        <f>Table1[[#This Row],[Close]]-0.001*Table1[[#This Row],[Close]]</f>
        <v>46619.793539999999</v>
      </c>
      <c r="D243">
        <f>Table1[[#This Row],[Close]]+0.001*Table1[[#This Row],[Close]]</f>
        <v>46713.126459999999</v>
      </c>
      <c r="E243" t="str">
        <f>IF(Table1[[#This Row],[Close]]&gt;D242,"UP",IF(Table1[[#This Row],[Close]]&lt;C242,"Down","Constant"))</f>
        <v>UP</v>
      </c>
      <c r="F243" s="3">
        <f>IF(Table1[[#This Row],[Column1]]="Up",1,IF(Table1[[#This Row],[Column1]]="Down",-1,0))</f>
        <v>1</v>
      </c>
      <c r="G243" s="3">
        <f>IF(AND(Table1[[#This Row],[STATES in numeric format]]=-1,F242=-1),1,0)</f>
        <v>0</v>
      </c>
      <c r="H243" s="3">
        <f>IF(AND(Table1[[#This Row],[STATES in numeric format]]=-1,F242=0),1,0)</f>
        <v>0</v>
      </c>
      <c r="I243" s="3">
        <f>IF(AND(Table1[[#This Row],[STATES in numeric format]]=-1,F242=1),1,0)</f>
        <v>0</v>
      </c>
      <c r="J243" s="3">
        <f>IF(AND(Table1[[#This Row],[STATES in numeric format]]=0,F242=-1),1,0)</f>
        <v>0</v>
      </c>
      <c r="K243" s="3">
        <f>IF(AND(Table1[[#This Row],[STATES in numeric format]]=0,F242=0),1,0)</f>
        <v>0</v>
      </c>
      <c r="L243" s="3">
        <f>IF(AND(Table1[[#This Row],[STATES in numeric format]]=0,F242=1),1,0)</f>
        <v>0</v>
      </c>
      <c r="M243" s="3">
        <f>IF(AND(Table1[[#This Row],[STATES in numeric format]]=1,F242=-1),1,0)</f>
        <v>0</v>
      </c>
      <c r="N243" s="3">
        <f>IF(AND(Table1[[#This Row],[STATES in numeric format]]=1,F242=0),1,0)</f>
        <v>1</v>
      </c>
      <c r="O243" s="3">
        <f>IF(AND(Table1[[#This Row],[STATES in numeric format]]=1,F242=1),1,0)</f>
        <v>0</v>
      </c>
    </row>
    <row r="244" spans="1:15" x14ac:dyDescent="0.3">
      <c r="A244" s="1">
        <v>44182</v>
      </c>
      <c r="B244">
        <v>46890.34</v>
      </c>
      <c r="C244">
        <f>Table1[[#This Row],[Close]]-0.001*Table1[[#This Row],[Close]]</f>
        <v>46843.449659999998</v>
      </c>
      <c r="D244">
        <f>Table1[[#This Row],[Close]]+0.001*Table1[[#This Row],[Close]]</f>
        <v>46937.230339999995</v>
      </c>
      <c r="E244" t="str">
        <f>IF(Table1[[#This Row],[Close]]&gt;D243,"UP",IF(Table1[[#This Row],[Close]]&lt;C243,"Down","Constant"))</f>
        <v>UP</v>
      </c>
      <c r="F244" s="3">
        <f>IF(Table1[[#This Row],[Column1]]="Up",1,IF(Table1[[#This Row],[Column1]]="Down",-1,0))</f>
        <v>1</v>
      </c>
      <c r="G244" s="3">
        <f>IF(AND(Table1[[#This Row],[STATES in numeric format]]=-1,F243=-1),1,0)</f>
        <v>0</v>
      </c>
      <c r="H244" s="3">
        <f>IF(AND(Table1[[#This Row],[STATES in numeric format]]=-1,F243=0),1,0)</f>
        <v>0</v>
      </c>
      <c r="I244" s="3">
        <f>IF(AND(Table1[[#This Row],[STATES in numeric format]]=-1,F243=1),1,0)</f>
        <v>0</v>
      </c>
      <c r="J244" s="3">
        <f>IF(AND(Table1[[#This Row],[STATES in numeric format]]=0,F243=-1),1,0)</f>
        <v>0</v>
      </c>
      <c r="K244" s="3">
        <f>IF(AND(Table1[[#This Row],[STATES in numeric format]]=0,F243=0),1,0)</f>
        <v>0</v>
      </c>
      <c r="L244" s="3">
        <f>IF(AND(Table1[[#This Row],[STATES in numeric format]]=0,F243=1),1,0)</f>
        <v>0</v>
      </c>
      <c r="M244" s="3">
        <f>IF(AND(Table1[[#This Row],[STATES in numeric format]]=1,F243=-1),1,0)</f>
        <v>0</v>
      </c>
      <c r="N244" s="3">
        <f>IF(AND(Table1[[#This Row],[STATES in numeric format]]=1,F243=0),1,0)</f>
        <v>0</v>
      </c>
      <c r="O244" s="3">
        <f>IF(AND(Table1[[#This Row],[STATES in numeric format]]=1,F243=1),1,0)</f>
        <v>1</v>
      </c>
    </row>
    <row r="245" spans="1:15" x14ac:dyDescent="0.3">
      <c r="A245" s="1">
        <v>44183</v>
      </c>
      <c r="B245">
        <v>46960.69</v>
      </c>
      <c r="C245">
        <f>Table1[[#This Row],[Close]]-0.001*Table1[[#This Row],[Close]]</f>
        <v>46913.729310000002</v>
      </c>
      <c r="D245">
        <f>Table1[[#This Row],[Close]]+0.001*Table1[[#This Row],[Close]]</f>
        <v>47007.650690000002</v>
      </c>
      <c r="E245" t="str">
        <f>IF(Table1[[#This Row],[Close]]&gt;D244,"UP",IF(Table1[[#This Row],[Close]]&lt;C244,"Down","Constant"))</f>
        <v>UP</v>
      </c>
      <c r="F245" s="3">
        <f>IF(Table1[[#This Row],[Column1]]="Up",1,IF(Table1[[#This Row],[Column1]]="Down",-1,0))</f>
        <v>1</v>
      </c>
      <c r="G245" s="3">
        <f>IF(AND(Table1[[#This Row],[STATES in numeric format]]=-1,F244=-1),1,0)</f>
        <v>0</v>
      </c>
      <c r="H245" s="3">
        <f>IF(AND(Table1[[#This Row],[STATES in numeric format]]=-1,F244=0),1,0)</f>
        <v>0</v>
      </c>
      <c r="I245" s="3">
        <f>IF(AND(Table1[[#This Row],[STATES in numeric format]]=-1,F244=1),1,0)</f>
        <v>0</v>
      </c>
      <c r="J245" s="3">
        <f>IF(AND(Table1[[#This Row],[STATES in numeric format]]=0,F244=-1),1,0)</f>
        <v>0</v>
      </c>
      <c r="K245" s="3">
        <f>IF(AND(Table1[[#This Row],[STATES in numeric format]]=0,F244=0),1,0)</f>
        <v>0</v>
      </c>
      <c r="L245" s="3">
        <f>IF(AND(Table1[[#This Row],[STATES in numeric format]]=0,F244=1),1,0)</f>
        <v>0</v>
      </c>
      <c r="M245" s="3">
        <f>IF(AND(Table1[[#This Row],[STATES in numeric format]]=1,F244=-1),1,0)</f>
        <v>0</v>
      </c>
      <c r="N245" s="3">
        <f>IF(AND(Table1[[#This Row],[STATES in numeric format]]=1,F244=0),1,0)</f>
        <v>0</v>
      </c>
      <c r="O245" s="3">
        <f>IF(AND(Table1[[#This Row],[STATES in numeric format]]=1,F244=1),1,0)</f>
        <v>1</v>
      </c>
    </row>
    <row r="246" spans="1:15" x14ac:dyDescent="0.3">
      <c r="A246" s="1">
        <v>44186</v>
      </c>
      <c r="B246">
        <v>45553.96</v>
      </c>
      <c r="C246">
        <f>Table1[[#This Row],[Close]]-0.001*Table1[[#This Row],[Close]]</f>
        <v>45508.406040000002</v>
      </c>
      <c r="D246">
        <f>Table1[[#This Row],[Close]]+0.001*Table1[[#This Row],[Close]]</f>
        <v>45599.513959999997</v>
      </c>
      <c r="E246" t="str">
        <f>IF(Table1[[#This Row],[Close]]&gt;D245,"UP",IF(Table1[[#This Row],[Close]]&lt;C245,"Down","Constant"))</f>
        <v>Down</v>
      </c>
      <c r="F246" s="3">
        <f>IF(Table1[[#This Row],[Column1]]="Up",1,IF(Table1[[#This Row],[Column1]]="Down",-1,0))</f>
        <v>-1</v>
      </c>
      <c r="G246" s="3">
        <f>IF(AND(Table1[[#This Row],[STATES in numeric format]]=-1,F245=-1),1,0)</f>
        <v>0</v>
      </c>
      <c r="H246" s="3">
        <f>IF(AND(Table1[[#This Row],[STATES in numeric format]]=-1,F245=0),1,0)</f>
        <v>0</v>
      </c>
      <c r="I246" s="3">
        <f>IF(AND(Table1[[#This Row],[STATES in numeric format]]=-1,F245=1),1,0)</f>
        <v>1</v>
      </c>
      <c r="J246" s="3">
        <f>IF(AND(Table1[[#This Row],[STATES in numeric format]]=0,F245=-1),1,0)</f>
        <v>0</v>
      </c>
      <c r="K246" s="3">
        <f>IF(AND(Table1[[#This Row],[STATES in numeric format]]=0,F245=0),1,0)</f>
        <v>0</v>
      </c>
      <c r="L246" s="3">
        <f>IF(AND(Table1[[#This Row],[STATES in numeric format]]=0,F245=1),1,0)</f>
        <v>0</v>
      </c>
      <c r="M246" s="3">
        <f>IF(AND(Table1[[#This Row],[STATES in numeric format]]=1,F245=-1),1,0)</f>
        <v>0</v>
      </c>
      <c r="N246" s="3">
        <f>IF(AND(Table1[[#This Row],[STATES in numeric format]]=1,F245=0),1,0)</f>
        <v>0</v>
      </c>
      <c r="O246" s="3">
        <f>IF(AND(Table1[[#This Row],[STATES in numeric format]]=1,F245=1),1,0)</f>
        <v>0</v>
      </c>
    </row>
    <row r="247" spans="1:15" x14ac:dyDescent="0.3">
      <c r="A247" s="1">
        <v>44187</v>
      </c>
      <c r="B247">
        <v>46006.69</v>
      </c>
      <c r="C247">
        <f>Table1[[#This Row],[Close]]-0.001*Table1[[#This Row],[Close]]</f>
        <v>45960.68331</v>
      </c>
      <c r="D247">
        <f>Table1[[#This Row],[Close]]+0.001*Table1[[#This Row],[Close]]</f>
        <v>46052.696690000004</v>
      </c>
      <c r="E247" t="str">
        <f>IF(Table1[[#This Row],[Close]]&gt;D246,"UP",IF(Table1[[#This Row],[Close]]&lt;C246,"Down","Constant"))</f>
        <v>UP</v>
      </c>
      <c r="F247" s="3">
        <f>IF(Table1[[#This Row],[Column1]]="Up",1,IF(Table1[[#This Row],[Column1]]="Down",-1,0))</f>
        <v>1</v>
      </c>
      <c r="G247" s="3">
        <f>IF(AND(Table1[[#This Row],[STATES in numeric format]]=-1,F246=-1),1,0)</f>
        <v>0</v>
      </c>
      <c r="H247" s="3">
        <f>IF(AND(Table1[[#This Row],[STATES in numeric format]]=-1,F246=0),1,0)</f>
        <v>0</v>
      </c>
      <c r="I247" s="3">
        <f>IF(AND(Table1[[#This Row],[STATES in numeric format]]=-1,F246=1),1,0)</f>
        <v>0</v>
      </c>
      <c r="J247" s="3">
        <f>IF(AND(Table1[[#This Row],[STATES in numeric format]]=0,F246=-1),1,0)</f>
        <v>0</v>
      </c>
      <c r="K247" s="3">
        <f>IF(AND(Table1[[#This Row],[STATES in numeric format]]=0,F246=0),1,0)</f>
        <v>0</v>
      </c>
      <c r="L247" s="3">
        <f>IF(AND(Table1[[#This Row],[STATES in numeric format]]=0,F246=1),1,0)</f>
        <v>0</v>
      </c>
      <c r="M247" s="3">
        <f>IF(AND(Table1[[#This Row],[STATES in numeric format]]=1,F246=-1),1,0)</f>
        <v>1</v>
      </c>
      <c r="N247" s="3">
        <f>IF(AND(Table1[[#This Row],[STATES in numeric format]]=1,F246=0),1,0)</f>
        <v>0</v>
      </c>
      <c r="O247" s="3">
        <f>IF(AND(Table1[[#This Row],[STATES in numeric format]]=1,F246=1),1,0)</f>
        <v>0</v>
      </c>
    </row>
    <row r="248" spans="1:15" x14ac:dyDescent="0.3">
      <c r="A248" s="1">
        <v>44188</v>
      </c>
      <c r="B248">
        <v>46444.18</v>
      </c>
      <c r="C248">
        <f>Table1[[#This Row],[Close]]-0.001*Table1[[#This Row],[Close]]</f>
        <v>46397.735820000002</v>
      </c>
      <c r="D248">
        <f>Table1[[#This Row],[Close]]+0.001*Table1[[#This Row],[Close]]</f>
        <v>46490.624179999999</v>
      </c>
      <c r="E248" t="str">
        <f>IF(Table1[[#This Row],[Close]]&gt;D247,"UP",IF(Table1[[#This Row],[Close]]&lt;C247,"Down","Constant"))</f>
        <v>UP</v>
      </c>
      <c r="F248" s="3">
        <f>IF(Table1[[#This Row],[Column1]]="Up",1,IF(Table1[[#This Row],[Column1]]="Down",-1,0))</f>
        <v>1</v>
      </c>
      <c r="G248" s="3">
        <f>IF(AND(Table1[[#This Row],[STATES in numeric format]]=-1,F247=-1),1,0)</f>
        <v>0</v>
      </c>
      <c r="H248" s="3">
        <f>IF(AND(Table1[[#This Row],[STATES in numeric format]]=-1,F247=0),1,0)</f>
        <v>0</v>
      </c>
      <c r="I248" s="3">
        <f>IF(AND(Table1[[#This Row],[STATES in numeric format]]=-1,F247=1),1,0)</f>
        <v>0</v>
      </c>
      <c r="J248" s="3">
        <f>IF(AND(Table1[[#This Row],[STATES in numeric format]]=0,F247=-1),1,0)</f>
        <v>0</v>
      </c>
      <c r="K248" s="3">
        <f>IF(AND(Table1[[#This Row],[STATES in numeric format]]=0,F247=0),1,0)</f>
        <v>0</v>
      </c>
      <c r="L248" s="3">
        <f>IF(AND(Table1[[#This Row],[STATES in numeric format]]=0,F247=1),1,0)</f>
        <v>0</v>
      </c>
      <c r="M248" s="3">
        <f>IF(AND(Table1[[#This Row],[STATES in numeric format]]=1,F247=-1),1,0)</f>
        <v>0</v>
      </c>
      <c r="N248" s="3">
        <f>IF(AND(Table1[[#This Row],[STATES in numeric format]]=1,F247=0),1,0)</f>
        <v>0</v>
      </c>
      <c r="O248" s="3">
        <f>IF(AND(Table1[[#This Row],[STATES in numeric format]]=1,F247=1),1,0)</f>
        <v>1</v>
      </c>
    </row>
    <row r="249" spans="1:15" x14ac:dyDescent="0.3">
      <c r="A249" s="1">
        <v>44189</v>
      </c>
      <c r="B249">
        <v>46973.54</v>
      </c>
      <c r="C249">
        <f>Table1[[#This Row],[Close]]-0.001*Table1[[#This Row],[Close]]</f>
        <v>46926.566460000002</v>
      </c>
      <c r="D249">
        <f>Table1[[#This Row],[Close]]+0.001*Table1[[#This Row],[Close]]</f>
        <v>47020.51354</v>
      </c>
      <c r="E249" t="str">
        <f>IF(Table1[[#This Row],[Close]]&gt;D248,"UP",IF(Table1[[#This Row],[Close]]&lt;C248,"Down","Constant"))</f>
        <v>UP</v>
      </c>
      <c r="F249" s="3">
        <f>IF(Table1[[#This Row],[Column1]]="Up",1,IF(Table1[[#This Row],[Column1]]="Down",-1,0))</f>
        <v>1</v>
      </c>
      <c r="G249" s="3">
        <f>IF(AND(Table1[[#This Row],[STATES in numeric format]]=-1,F248=-1),1,0)</f>
        <v>0</v>
      </c>
      <c r="H249" s="3">
        <f>IF(AND(Table1[[#This Row],[STATES in numeric format]]=-1,F248=0),1,0)</f>
        <v>0</v>
      </c>
      <c r="I249" s="3">
        <f>IF(AND(Table1[[#This Row],[STATES in numeric format]]=-1,F248=1),1,0)</f>
        <v>0</v>
      </c>
      <c r="J249" s="3">
        <f>IF(AND(Table1[[#This Row],[STATES in numeric format]]=0,F248=-1),1,0)</f>
        <v>0</v>
      </c>
      <c r="K249" s="3">
        <f>IF(AND(Table1[[#This Row],[STATES in numeric format]]=0,F248=0),1,0)</f>
        <v>0</v>
      </c>
      <c r="L249" s="3">
        <f>IF(AND(Table1[[#This Row],[STATES in numeric format]]=0,F248=1),1,0)</f>
        <v>0</v>
      </c>
      <c r="M249" s="3">
        <f>IF(AND(Table1[[#This Row],[STATES in numeric format]]=1,F248=-1),1,0)</f>
        <v>0</v>
      </c>
      <c r="N249" s="3">
        <f>IF(AND(Table1[[#This Row],[STATES in numeric format]]=1,F248=0),1,0)</f>
        <v>0</v>
      </c>
      <c r="O249" s="3">
        <f>IF(AND(Table1[[#This Row],[STATES in numeric format]]=1,F248=1),1,0)</f>
        <v>1</v>
      </c>
    </row>
    <row r="250" spans="1:15" x14ac:dyDescent="0.3">
      <c r="A250" s="1">
        <v>44193</v>
      </c>
      <c r="B250">
        <v>47353.75</v>
      </c>
      <c r="C250">
        <f>Table1[[#This Row],[Close]]-0.001*Table1[[#This Row],[Close]]</f>
        <v>47306.396249999998</v>
      </c>
      <c r="D250">
        <f>Table1[[#This Row],[Close]]+0.001*Table1[[#This Row],[Close]]</f>
        <v>47401.103750000002</v>
      </c>
      <c r="E250" t="str">
        <f>IF(Table1[[#This Row],[Close]]&gt;D249,"UP",IF(Table1[[#This Row],[Close]]&lt;C249,"Down","Constant"))</f>
        <v>UP</v>
      </c>
      <c r="F250" s="3">
        <f>IF(Table1[[#This Row],[Column1]]="Up",1,IF(Table1[[#This Row],[Column1]]="Down",-1,0))</f>
        <v>1</v>
      </c>
      <c r="G250" s="3">
        <f>IF(AND(Table1[[#This Row],[STATES in numeric format]]=-1,F249=-1),1,0)</f>
        <v>0</v>
      </c>
      <c r="H250" s="3">
        <f>IF(AND(Table1[[#This Row],[STATES in numeric format]]=-1,F249=0),1,0)</f>
        <v>0</v>
      </c>
      <c r="I250" s="3">
        <f>IF(AND(Table1[[#This Row],[STATES in numeric format]]=-1,F249=1),1,0)</f>
        <v>0</v>
      </c>
      <c r="J250" s="3">
        <f>IF(AND(Table1[[#This Row],[STATES in numeric format]]=0,F249=-1),1,0)</f>
        <v>0</v>
      </c>
      <c r="K250" s="3">
        <f>IF(AND(Table1[[#This Row],[STATES in numeric format]]=0,F249=0),1,0)</f>
        <v>0</v>
      </c>
      <c r="L250" s="3">
        <f>IF(AND(Table1[[#This Row],[STATES in numeric format]]=0,F249=1),1,0)</f>
        <v>0</v>
      </c>
      <c r="M250" s="3">
        <f>IF(AND(Table1[[#This Row],[STATES in numeric format]]=1,F249=-1),1,0)</f>
        <v>0</v>
      </c>
      <c r="N250" s="3">
        <f>IF(AND(Table1[[#This Row],[STATES in numeric format]]=1,F249=0),1,0)</f>
        <v>0</v>
      </c>
      <c r="O250" s="3">
        <f>IF(AND(Table1[[#This Row],[STATES in numeric format]]=1,F249=1),1,0)</f>
        <v>1</v>
      </c>
    </row>
    <row r="251" spans="1:15" x14ac:dyDescent="0.3">
      <c r="A251" s="1">
        <v>44194</v>
      </c>
      <c r="B251">
        <v>47613.08</v>
      </c>
      <c r="C251">
        <f>Table1[[#This Row],[Close]]-0.001*Table1[[#This Row],[Close]]</f>
        <v>47565.466919999999</v>
      </c>
      <c r="D251">
        <f>Table1[[#This Row],[Close]]+0.001*Table1[[#This Row],[Close]]</f>
        <v>47660.693080000005</v>
      </c>
      <c r="E251" t="str">
        <f>IF(Table1[[#This Row],[Close]]&gt;D250,"UP",IF(Table1[[#This Row],[Close]]&lt;C250,"Down","Constant"))</f>
        <v>UP</v>
      </c>
      <c r="F251" s="3">
        <f>IF(Table1[[#This Row],[Column1]]="Up",1,IF(Table1[[#This Row],[Column1]]="Down",-1,0))</f>
        <v>1</v>
      </c>
      <c r="G251" s="3">
        <f>IF(AND(Table1[[#This Row],[STATES in numeric format]]=-1,F250=-1),1,0)</f>
        <v>0</v>
      </c>
      <c r="H251" s="3">
        <f>IF(AND(Table1[[#This Row],[STATES in numeric format]]=-1,F250=0),1,0)</f>
        <v>0</v>
      </c>
      <c r="I251" s="3">
        <f>IF(AND(Table1[[#This Row],[STATES in numeric format]]=-1,F250=1),1,0)</f>
        <v>0</v>
      </c>
      <c r="J251" s="3">
        <f>IF(AND(Table1[[#This Row],[STATES in numeric format]]=0,F250=-1),1,0)</f>
        <v>0</v>
      </c>
      <c r="K251" s="3">
        <f>IF(AND(Table1[[#This Row],[STATES in numeric format]]=0,F250=0),1,0)</f>
        <v>0</v>
      </c>
      <c r="L251" s="3">
        <f>IF(AND(Table1[[#This Row],[STATES in numeric format]]=0,F250=1),1,0)</f>
        <v>0</v>
      </c>
      <c r="M251" s="3">
        <f>IF(AND(Table1[[#This Row],[STATES in numeric format]]=1,F250=-1),1,0)</f>
        <v>0</v>
      </c>
      <c r="N251" s="3">
        <f>IF(AND(Table1[[#This Row],[STATES in numeric format]]=1,F250=0),1,0)</f>
        <v>0</v>
      </c>
      <c r="O251" s="3">
        <f>IF(AND(Table1[[#This Row],[STATES in numeric format]]=1,F250=1),1,0)</f>
        <v>1</v>
      </c>
    </row>
    <row r="252" spans="1:15" x14ac:dyDescent="0.3">
      <c r="A252" s="1">
        <v>44195</v>
      </c>
      <c r="B252">
        <v>47746.22</v>
      </c>
      <c r="C252">
        <f>Table1[[#This Row],[Close]]-0.001*Table1[[#This Row],[Close]]</f>
        <v>47698.47378</v>
      </c>
      <c r="D252">
        <f>Table1[[#This Row],[Close]]+0.001*Table1[[#This Row],[Close]]</f>
        <v>47793.966220000002</v>
      </c>
      <c r="E252" t="str">
        <f>IF(Table1[[#This Row],[Close]]&gt;D251,"UP",IF(Table1[[#This Row],[Close]]&lt;C251,"Down","Constant"))</f>
        <v>UP</v>
      </c>
      <c r="F252" s="3">
        <f>IF(Table1[[#This Row],[Column1]]="Up",1,IF(Table1[[#This Row],[Column1]]="Down",-1,0))</f>
        <v>1</v>
      </c>
      <c r="G252" s="3">
        <f>IF(AND(Table1[[#This Row],[STATES in numeric format]]=-1,F251=-1),1,0)</f>
        <v>0</v>
      </c>
      <c r="H252" s="3">
        <f>IF(AND(Table1[[#This Row],[STATES in numeric format]]=-1,F251=0),1,0)</f>
        <v>0</v>
      </c>
      <c r="I252" s="3">
        <f>IF(AND(Table1[[#This Row],[STATES in numeric format]]=-1,F251=1),1,0)</f>
        <v>0</v>
      </c>
      <c r="J252" s="3">
        <f>IF(AND(Table1[[#This Row],[STATES in numeric format]]=0,F251=-1),1,0)</f>
        <v>0</v>
      </c>
      <c r="K252" s="3">
        <f>IF(AND(Table1[[#This Row],[STATES in numeric format]]=0,F251=0),1,0)</f>
        <v>0</v>
      </c>
      <c r="L252" s="3">
        <f>IF(AND(Table1[[#This Row],[STATES in numeric format]]=0,F251=1),1,0)</f>
        <v>0</v>
      </c>
      <c r="M252" s="3">
        <f>IF(AND(Table1[[#This Row],[STATES in numeric format]]=1,F251=-1),1,0)</f>
        <v>0</v>
      </c>
      <c r="N252" s="3">
        <f>IF(AND(Table1[[#This Row],[STATES in numeric format]]=1,F251=0),1,0)</f>
        <v>0</v>
      </c>
      <c r="O252" s="3">
        <f>IF(AND(Table1[[#This Row],[STATES in numeric format]]=1,F251=1),1,0)</f>
        <v>1</v>
      </c>
    </row>
    <row r="253" spans="1:15" x14ac:dyDescent="0.3">
      <c r="A253" s="1">
        <v>44196</v>
      </c>
      <c r="B253">
        <v>47751.33</v>
      </c>
      <c r="C253">
        <f>Table1[[#This Row],[Close]]-0.001*Table1[[#This Row],[Close]]</f>
        <v>47703.578670000003</v>
      </c>
      <c r="D253">
        <f>Table1[[#This Row],[Close]]+0.001*Table1[[#This Row],[Close]]</f>
        <v>47799.081330000001</v>
      </c>
      <c r="E253" t="str">
        <f>IF(Table1[[#This Row],[Close]]&gt;D252,"UP",IF(Table1[[#This Row],[Close]]&lt;C252,"Down","Constant"))</f>
        <v>Constant</v>
      </c>
      <c r="F253" s="3">
        <f>IF(Table1[[#This Row],[Column1]]="Up",1,IF(Table1[[#This Row],[Column1]]="Down",-1,0))</f>
        <v>0</v>
      </c>
      <c r="G253" s="3">
        <f>IF(AND(Table1[[#This Row],[STATES in numeric format]]=-1,F252=-1),1,0)</f>
        <v>0</v>
      </c>
      <c r="H253" s="3">
        <f>IF(AND(Table1[[#This Row],[STATES in numeric format]]=-1,F252=0),1,0)</f>
        <v>0</v>
      </c>
      <c r="I253" s="3">
        <f>IF(AND(Table1[[#This Row],[STATES in numeric format]]=-1,F252=1),1,0)</f>
        <v>0</v>
      </c>
      <c r="J253" s="3">
        <f>IF(AND(Table1[[#This Row],[STATES in numeric format]]=0,F252=-1),1,0)</f>
        <v>0</v>
      </c>
      <c r="K253" s="3">
        <f>IF(AND(Table1[[#This Row],[STATES in numeric format]]=0,F252=0),1,0)</f>
        <v>0</v>
      </c>
      <c r="L253" s="3">
        <f>IF(AND(Table1[[#This Row],[STATES in numeric format]]=0,F252=1),1,0)</f>
        <v>1</v>
      </c>
      <c r="M253" s="3">
        <f>IF(AND(Table1[[#This Row],[STATES in numeric format]]=1,F252=-1),1,0)</f>
        <v>0</v>
      </c>
      <c r="N253" s="3">
        <f>IF(AND(Table1[[#This Row],[STATES in numeric format]]=1,F252=0),1,0)</f>
        <v>0</v>
      </c>
      <c r="O253" s="3">
        <f>IF(AND(Table1[[#This Row],[STATES in numeric format]]=1,F252=1),1,0)</f>
        <v>0</v>
      </c>
    </row>
    <row r="254" spans="1:15" x14ac:dyDescent="0.3">
      <c r="A254" s="1">
        <v>44197</v>
      </c>
      <c r="B254" s="18">
        <v>47868.98</v>
      </c>
      <c r="C254" s="3">
        <f>Table1[[#This Row],[Close]]-0.001*Table1[[#This Row],[Close]]</f>
        <v>47821.111020000004</v>
      </c>
      <c r="D254" s="3">
        <f>Table1[[#This Row],[Close]]+0.001*Table1[[#This Row],[Close]]</f>
        <v>47916.848980000002</v>
      </c>
      <c r="E254" s="3" t="str">
        <f>IF(Table1[[#This Row],[Close]]&gt;D253,"UP",IF(Table1[[#This Row],[Close]]&lt;C253,"Down","Constant"))</f>
        <v>UP</v>
      </c>
      <c r="F254" s="3">
        <f>IF(Table1[[#This Row],[Column1]]="Up",1,IF(Table1[[#This Row],[Column1]]="Down",-1,0))</f>
        <v>1</v>
      </c>
      <c r="G254" s="3">
        <f>IF(AND(Table1[[#This Row],[STATES in numeric format]]=-1,F253=-1),1,0)</f>
        <v>0</v>
      </c>
      <c r="H254" s="3">
        <f>IF(AND(Table1[[#This Row],[STATES in numeric format]]=-1,F253=0),1,0)</f>
        <v>0</v>
      </c>
      <c r="I254" s="3">
        <f>IF(AND(Table1[[#This Row],[STATES in numeric format]]=-1,F253=1),1,0)</f>
        <v>0</v>
      </c>
      <c r="J254" s="3">
        <f>IF(AND(Table1[[#This Row],[STATES in numeric format]]=0,F253=-1),1,0)</f>
        <v>0</v>
      </c>
      <c r="K254" s="3">
        <f>IF(AND(Table1[[#This Row],[STATES in numeric format]]=0,F253=0),1,0)</f>
        <v>0</v>
      </c>
      <c r="L254" s="3">
        <f>IF(AND(Table1[[#This Row],[STATES in numeric format]]=0,F253=1),1,0)</f>
        <v>0</v>
      </c>
      <c r="M254" s="3">
        <f>IF(AND(Table1[[#This Row],[STATES in numeric format]]=1,F253=-1),1,0)</f>
        <v>0</v>
      </c>
      <c r="N254" s="3">
        <f>IF(AND(Table1[[#This Row],[STATES in numeric format]]=1,F253=0),1,0)</f>
        <v>1</v>
      </c>
      <c r="O254" s="3">
        <f>IF(AND(Table1[[#This Row],[STATES in numeric format]]=1,F253=1),1,0)</f>
        <v>0</v>
      </c>
    </row>
    <row r="255" spans="1:15" x14ac:dyDescent="0.3">
      <c r="A255" s="1">
        <v>44200</v>
      </c>
      <c r="B255" s="18">
        <v>48176.800000000003</v>
      </c>
      <c r="C255" s="3">
        <f>Table1[[#This Row],[Close]]-0.001*Table1[[#This Row],[Close]]</f>
        <v>48128.623200000002</v>
      </c>
      <c r="D255" s="3">
        <f>Table1[[#This Row],[Close]]+0.001*Table1[[#This Row],[Close]]</f>
        <v>48224.976800000004</v>
      </c>
      <c r="E255" s="3" t="str">
        <f>IF(Table1[[#This Row],[Close]]&gt;D254,"UP",IF(Table1[[#This Row],[Close]]&lt;C254,"Down","Constant"))</f>
        <v>UP</v>
      </c>
      <c r="F255" s="3">
        <f>IF(Table1[[#This Row],[Column1]]="Up",1,IF(Table1[[#This Row],[Column1]]="Down",-1,0))</f>
        <v>1</v>
      </c>
      <c r="G255" s="3">
        <f>IF(AND(Table1[[#This Row],[STATES in numeric format]]=-1,F254=-1),1,0)</f>
        <v>0</v>
      </c>
      <c r="H255" s="3">
        <f>IF(AND(Table1[[#This Row],[STATES in numeric format]]=-1,F254=0),1,0)</f>
        <v>0</v>
      </c>
      <c r="I255" s="3">
        <f>IF(AND(Table1[[#This Row],[STATES in numeric format]]=-1,F254=1),1,0)</f>
        <v>0</v>
      </c>
      <c r="J255" s="3">
        <f>IF(AND(Table1[[#This Row],[STATES in numeric format]]=0,F254=-1),1,0)</f>
        <v>0</v>
      </c>
      <c r="K255" s="3">
        <f>IF(AND(Table1[[#This Row],[STATES in numeric format]]=0,F254=0),1,0)</f>
        <v>0</v>
      </c>
      <c r="L255" s="3">
        <f>IF(AND(Table1[[#This Row],[STATES in numeric format]]=0,F254=1),1,0)</f>
        <v>0</v>
      </c>
      <c r="M255" s="3">
        <f>IF(AND(Table1[[#This Row],[STATES in numeric format]]=1,F254=-1),1,0)</f>
        <v>0</v>
      </c>
      <c r="N255" s="3">
        <f>IF(AND(Table1[[#This Row],[STATES in numeric format]]=1,F254=0),1,0)</f>
        <v>0</v>
      </c>
      <c r="O255" s="3">
        <f>IF(AND(Table1[[#This Row],[STATES in numeric format]]=1,F254=1),1,0)</f>
        <v>1</v>
      </c>
    </row>
    <row r="256" spans="1:15" x14ac:dyDescent="0.3">
      <c r="A256" s="1">
        <v>44201</v>
      </c>
      <c r="B256" s="18">
        <v>48437.78</v>
      </c>
      <c r="C256" s="3">
        <f>Table1[[#This Row],[Close]]-0.001*Table1[[#This Row],[Close]]</f>
        <v>48389.342219999999</v>
      </c>
      <c r="D256" s="3">
        <f>Table1[[#This Row],[Close]]+0.001*Table1[[#This Row],[Close]]</f>
        <v>48486.217779999999</v>
      </c>
      <c r="E256" s="3" t="str">
        <f>IF(Table1[[#This Row],[Close]]&gt;D255,"UP",IF(Table1[[#This Row],[Close]]&lt;C255,"Down","Constant"))</f>
        <v>UP</v>
      </c>
      <c r="F256" s="3">
        <f>IF(Table1[[#This Row],[Column1]]="Up",1,IF(Table1[[#This Row],[Column1]]="Down",-1,0))</f>
        <v>1</v>
      </c>
      <c r="G256" s="3">
        <f>IF(AND(Table1[[#This Row],[STATES in numeric format]]=-1,F255=-1),1,0)</f>
        <v>0</v>
      </c>
      <c r="H256" s="3">
        <f>IF(AND(Table1[[#This Row],[STATES in numeric format]]=-1,F255=0),1,0)</f>
        <v>0</v>
      </c>
      <c r="I256" s="3">
        <f>IF(AND(Table1[[#This Row],[STATES in numeric format]]=-1,F255=1),1,0)</f>
        <v>0</v>
      </c>
      <c r="J256" s="3">
        <f>IF(AND(Table1[[#This Row],[STATES in numeric format]]=0,F255=-1),1,0)</f>
        <v>0</v>
      </c>
      <c r="K256" s="3">
        <f>IF(AND(Table1[[#This Row],[STATES in numeric format]]=0,F255=0),1,0)</f>
        <v>0</v>
      </c>
      <c r="L256" s="3">
        <f>IF(AND(Table1[[#This Row],[STATES in numeric format]]=0,F255=1),1,0)</f>
        <v>0</v>
      </c>
      <c r="M256" s="3">
        <f>IF(AND(Table1[[#This Row],[STATES in numeric format]]=1,F255=-1),1,0)</f>
        <v>0</v>
      </c>
      <c r="N256" s="3">
        <f>IF(AND(Table1[[#This Row],[STATES in numeric format]]=1,F255=0),1,0)</f>
        <v>0</v>
      </c>
      <c r="O256" s="3">
        <f>IF(AND(Table1[[#This Row],[STATES in numeric format]]=1,F255=1),1,0)</f>
        <v>1</v>
      </c>
    </row>
    <row r="257" spans="1:15" x14ac:dyDescent="0.3">
      <c r="A257" s="1">
        <v>44202</v>
      </c>
      <c r="B257" s="18">
        <v>48174.06</v>
      </c>
      <c r="C257" s="3">
        <f>Table1[[#This Row],[Close]]-0.001*Table1[[#This Row],[Close]]</f>
        <v>48125.88594</v>
      </c>
      <c r="D257" s="3">
        <f>Table1[[#This Row],[Close]]+0.001*Table1[[#This Row],[Close]]</f>
        <v>48222.234059999995</v>
      </c>
      <c r="E257" s="3" t="str">
        <f>IF(Table1[[#This Row],[Close]]&gt;D256,"UP",IF(Table1[[#This Row],[Close]]&lt;C256,"Down","Constant"))</f>
        <v>Down</v>
      </c>
      <c r="F257" s="3">
        <f>IF(Table1[[#This Row],[Column1]]="Up",1,IF(Table1[[#This Row],[Column1]]="Down",-1,0))</f>
        <v>-1</v>
      </c>
      <c r="G257" s="3">
        <f>IF(AND(Table1[[#This Row],[STATES in numeric format]]=-1,F256=-1),1,0)</f>
        <v>0</v>
      </c>
      <c r="H257" s="3">
        <f>IF(AND(Table1[[#This Row],[STATES in numeric format]]=-1,F256=0),1,0)</f>
        <v>0</v>
      </c>
      <c r="I257" s="3">
        <f>IF(AND(Table1[[#This Row],[STATES in numeric format]]=-1,F256=1),1,0)</f>
        <v>1</v>
      </c>
      <c r="J257" s="3">
        <f>IF(AND(Table1[[#This Row],[STATES in numeric format]]=0,F256=-1),1,0)</f>
        <v>0</v>
      </c>
      <c r="K257" s="3">
        <f>IF(AND(Table1[[#This Row],[STATES in numeric format]]=0,F256=0),1,0)</f>
        <v>0</v>
      </c>
      <c r="L257" s="3">
        <f>IF(AND(Table1[[#This Row],[STATES in numeric format]]=0,F256=1),1,0)</f>
        <v>0</v>
      </c>
      <c r="M257" s="3">
        <f>IF(AND(Table1[[#This Row],[STATES in numeric format]]=1,F256=-1),1,0)</f>
        <v>0</v>
      </c>
      <c r="N257" s="3">
        <f>IF(AND(Table1[[#This Row],[STATES in numeric format]]=1,F256=0),1,0)</f>
        <v>0</v>
      </c>
      <c r="O257" s="3">
        <f>IF(AND(Table1[[#This Row],[STATES in numeric format]]=1,F256=1),1,0)</f>
        <v>0</v>
      </c>
    </row>
    <row r="258" spans="1:15" x14ac:dyDescent="0.3">
      <c r="A258" s="1">
        <v>44203</v>
      </c>
      <c r="B258" s="18">
        <v>48093.32</v>
      </c>
      <c r="C258" s="3">
        <f>Table1[[#This Row],[Close]]-0.001*Table1[[#This Row],[Close]]</f>
        <v>48045.22668</v>
      </c>
      <c r="D258" s="3">
        <f>Table1[[#This Row],[Close]]+0.001*Table1[[#This Row],[Close]]</f>
        <v>48141.41332</v>
      </c>
      <c r="E258" s="3" t="str">
        <f>IF(Table1[[#This Row],[Close]]&gt;D257,"UP",IF(Table1[[#This Row],[Close]]&lt;C257,"Down","Constant"))</f>
        <v>Down</v>
      </c>
      <c r="F258" s="3">
        <f>IF(Table1[[#This Row],[Column1]]="Up",1,IF(Table1[[#This Row],[Column1]]="Down",-1,0))</f>
        <v>-1</v>
      </c>
      <c r="G258" s="3">
        <f>IF(AND(Table1[[#This Row],[STATES in numeric format]]=-1,F257=-1),1,0)</f>
        <v>1</v>
      </c>
      <c r="H258" s="3">
        <f>IF(AND(Table1[[#This Row],[STATES in numeric format]]=-1,F257=0),1,0)</f>
        <v>0</v>
      </c>
      <c r="I258" s="3">
        <f>IF(AND(Table1[[#This Row],[STATES in numeric format]]=-1,F257=1),1,0)</f>
        <v>0</v>
      </c>
      <c r="J258" s="3">
        <f>IF(AND(Table1[[#This Row],[STATES in numeric format]]=0,F257=-1),1,0)</f>
        <v>0</v>
      </c>
      <c r="K258" s="3">
        <f>IF(AND(Table1[[#This Row],[STATES in numeric format]]=0,F257=0),1,0)</f>
        <v>0</v>
      </c>
      <c r="L258" s="3">
        <f>IF(AND(Table1[[#This Row],[STATES in numeric format]]=0,F257=1),1,0)</f>
        <v>0</v>
      </c>
      <c r="M258" s="3">
        <f>IF(AND(Table1[[#This Row],[STATES in numeric format]]=1,F257=-1),1,0)</f>
        <v>0</v>
      </c>
      <c r="N258" s="3">
        <f>IF(AND(Table1[[#This Row],[STATES in numeric format]]=1,F257=0),1,0)</f>
        <v>0</v>
      </c>
      <c r="O258" s="3">
        <f>IF(AND(Table1[[#This Row],[STATES in numeric format]]=1,F257=1),1,0)</f>
        <v>0</v>
      </c>
    </row>
    <row r="259" spans="1:15" x14ac:dyDescent="0.3">
      <c r="A259" s="1">
        <v>44204</v>
      </c>
      <c r="B259" s="18">
        <v>48782.51</v>
      </c>
      <c r="C259" s="3">
        <f>Table1[[#This Row],[Close]]-0.001*Table1[[#This Row],[Close]]</f>
        <v>48733.727490000005</v>
      </c>
      <c r="D259" s="3">
        <f>Table1[[#This Row],[Close]]+0.001*Table1[[#This Row],[Close]]</f>
        <v>48831.292509999999</v>
      </c>
      <c r="E259" s="3" t="str">
        <f>IF(Table1[[#This Row],[Close]]&gt;D258,"UP",IF(Table1[[#This Row],[Close]]&lt;C258,"Down","Constant"))</f>
        <v>UP</v>
      </c>
      <c r="F259" s="3">
        <f>IF(Table1[[#This Row],[Column1]]="Up",1,IF(Table1[[#This Row],[Column1]]="Down",-1,0))</f>
        <v>1</v>
      </c>
      <c r="G259" s="3">
        <f>IF(AND(Table1[[#This Row],[STATES in numeric format]]=-1,F258=-1),1,0)</f>
        <v>0</v>
      </c>
      <c r="H259" s="3">
        <f>IF(AND(Table1[[#This Row],[STATES in numeric format]]=-1,F258=0),1,0)</f>
        <v>0</v>
      </c>
      <c r="I259" s="3">
        <f>IF(AND(Table1[[#This Row],[STATES in numeric format]]=-1,F258=1),1,0)</f>
        <v>0</v>
      </c>
      <c r="J259" s="3">
        <f>IF(AND(Table1[[#This Row],[STATES in numeric format]]=0,F258=-1),1,0)</f>
        <v>0</v>
      </c>
      <c r="K259" s="3">
        <f>IF(AND(Table1[[#This Row],[STATES in numeric format]]=0,F258=0),1,0)</f>
        <v>0</v>
      </c>
      <c r="L259" s="3">
        <f>IF(AND(Table1[[#This Row],[STATES in numeric format]]=0,F258=1),1,0)</f>
        <v>0</v>
      </c>
      <c r="M259" s="3">
        <f>IF(AND(Table1[[#This Row],[STATES in numeric format]]=1,F258=-1),1,0)</f>
        <v>1</v>
      </c>
      <c r="N259" s="3">
        <f>IF(AND(Table1[[#This Row],[STATES in numeric format]]=1,F258=0),1,0)</f>
        <v>0</v>
      </c>
      <c r="O259" s="3">
        <f>IF(AND(Table1[[#This Row],[STATES in numeric format]]=1,F258=1),1,0)</f>
        <v>0</v>
      </c>
    </row>
    <row r="260" spans="1:15" x14ac:dyDescent="0.3">
      <c r="A260" s="1">
        <v>44207</v>
      </c>
      <c r="B260" s="18">
        <v>49269.32</v>
      </c>
      <c r="C260" s="3">
        <f>Table1[[#This Row],[Close]]-0.001*Table1[[#This Row],[Close]]</f>
        <v>49220.05068</v>
      </c>
      <c r="D260" s="3">
        <f>Table1[[#This Row],[Close]]+0.001*Table1[[#This Row],[Close]]</f>
        <v>49318.589319999999</v>
      </c>
      <c r="E260" s="3" t="str">
        <f>IF(Table1[[#This Row],[Close]]&gt;D259,"UP",IF(Table1[[#This Row],[Close]]&lt;C259,"Down","Constant"))</f>
        <v>UP</v>
      </c>
      <c r="F260" s="3">
        <f>IF(Table1[[#This Row],[Column1]]="Up",1,IF(Table1[[#This Row],[Column1]]="Down",-1,0))</f>
        <v>1</v>
      </c>
      <c r="G260" s="3">
        <f>IF(AND(Table1[[#This Row],[STATES in numeric format]]=-1,F259=-1),1,0)</f>
        <v>0</v>
      </c>
      <c r="H260" s="3">
        <f>IF(AND(Table1[[#This Row],[STATES in numeric format]]=-1,F259=0),1,0)</f>
        <v>0</v>
      </c>
      <c r="I260" s="3">
        <f>IF(AND(Table1[[#This Row],[STATES in numeric format]]=-1,F259=1),1,0)</f>
        <v>0</v>
      </c>
      <c r="J260" s="3">
        <f>IF(AND(Table1[[#This Row],[STATES in numeric format]]=0,F259=-1),1,0)</f>
        <v>0</v>
      </c>
      <c r="K260" s="3">
        <f>IF(AND(Table1[[#This Row],[STATES in numeric format]]=0,F259=0),1,0)</f>
        <v>0</v>
      </c>
      <c r="L260" s="3">
        <f>IF(AND(Table1[[#This Row],[STATES in numeric format]]=0,F259=1),1,0)</f>
        <v>0</v>
      </c>
      <c r="M260" s="3">
        <f>IF(AND(Table1[[#This Row],[STATES in numeric format]]=1,F259=-1),1,0)</f>
        <v>0</v>
      </c>
      <c r="N260" s="3">
        <f>IF(AND(Table1[[#This Row],[STATES in numeric format]]=1,F259=0),1,0)</f>
        <v>0</v>
      </c>
      <c r="O260" s="3">
        <f>IF(AND(Table1[[#This Row],[STATES in numeric format]]=1,F259=1),1,0)</f>
        <v>1</v>
      </c>
    </row>
    <row r="261" spans="1:15" x14ac:dyDescent="0.3">
      <c r="A261" s="1">
        <v>44208</v>
      </c>
      <c r="B261" s="18">
        <v>49517.11</v>
      </c>
      <c r="C261" s="3">
        <f>Table1[[#This Row],[Close]]-0.001*Table1[[#This Row],[Close]]</f>
        <v>49467.59289</v>
      </c>
      <c r="D261" s="3">
        <f>Table1[[#This Row],[Close]]+0.001*Table1[[#This Row],[Close]]</f>
        <v>49566.627110000001</v>
      </c>
      <c r="E261" s="3" t="str">
        <f>IF(Table1[[#This Row],[Close]]&gt;D260,"UP",IF(Table1[[#This Row],[Close]]&lt;C260,"Down","Constant"))</f>
        <v>UP</v>
      </c>
      <c r="F261" s="3">
        <f>IF(Table1[[#This Row],[Column1]]="Up",1,IF(Table1[[#This Row],[Column1]]="Down",-1,0))</f>
        <v>1</v>
      </c>
      <c r="G261" s="3">
        <f>IF(AND(Table1[[#This Row],[STATES in numeric format]]=-1,F260=-1),1,0)</f>
        <v>0</v>
      </c>
      <c r="H261" s="3">
        <f>IF(AND(Table1[[#This Row],[STATES in numeric format]]=-1,F260=0),1,0)</f>
        <v>0</v>
      </c>
      <c r="I261" s="3">
        <f>IF(AND(Table1[[#This Row],[STATES in numeric format]]=-1,F260=1),1,0)</f>
        <v>0</v>
      </c>
      <c r="J261" s="3">
        <f>IF(AND(Table1[[#This Row],[STATES in numeric format]]=0,F260=-1),1,0)</f>
        <v>0</v>
      </c>
      <c r="K261" s="3">
        <f>IF(AND(Table1[[#This Row],[STATES in numeric format]]=0,F260=0),1,0)</f>
        <v>0</v>
      </c>
      <c r="L261" s="3">
        <f>IF(AND(Table1[[#This Row],[STATES in numeric format]]=0,F260=1),1,0)</f>
        <v>0</v>
      </c>
      <c r="M261" s="3">
        <f>IF(AND(Table1[[#This Row],[STATES in numeric format]]=1,F260=-1),1,0)</f>
        <v>0</v>
      </c>
      <c r="N261" s="3">
        <f>IF(AND(Table1[[#This Row],[STATES in numeric format]]=1,F260=0),1,0)</f>
        <v>0</v>
      </c>
      <c r="O261" s="3">
        <f>IF(AND(Table1[[#This Row],[STATES in numeric format]]=1,F260=1),1,0)</f>
        <v>1</v>
      </c>
    </row>
    <row r="262" spans="1:15" x14ac:dyDescent="0.3">
      <c r="A262" s="1">
        <v>44209</v>
      </c>
      <c r="B262" s="18">
        <v>49492.32</v>
      </c>
      <c r="C262" s="3">
        <f>Table1[[#This Row],[Close]]-0.001*Table1[[#This Row],[Close]]</f>
        <v>49442.827680000002</v>
      </c>
      <c r="D262" s="3">
        <f>Table1[[#This Row],[Close]]+0.001*Table1[[#This Row],[Close]]</f>
        <v>49541.812319999997</v>
      </c>
      <c r="E262" s="3" t="str">
        <f>IF(Table1[[#This Row],[Close]]&gt;D261,"UP",IF(Table1[[#This Row],[Close]]&lt;C261,"Down","Constant"))</f>
        <v>Constant</v>
      </c>
      <c r="F262" s="3">
        <f>IF(Table1[[#This Row],[Column1]]="Up",1,IF(Table1[[#This Row],[Column1]]="Down",-1,0))</f>
        <v>0</v>
      </c>
      <c r="G262" s="3">
        <f>IF(AND(Table1[[#This Row],[STATES in numeric format]]=-1,F261=-1),1,0)</f>
        <v>0</v>
      </c>
      <c r="H262" s="3">
        <f>IF(AND(Table1[[#This Row],[STATES in numeric format]]=-1,F261=0),1,0)</f>
        <v>0</v>
      </c>
      <c r="I262" s="3">
        <f>IF(AND(Table1[[#This Row],[STATES in numeric format]]=-1,F261=1),1,0)</f>
        <v>0</v>
      </c>
      <c r="J262" s="3">
        <f>IF(AND(Table1[[#This Row],[STATES in numeric format]]=0,F261=-1),1,0)</f>
        <v>0</v>
      </c>
      <c r="K262" s="3">
        <f>IF(AND(Table1[[#This Row],[STATES in numeric format]]=0,F261=0),1,0)</f>
        <v>0</v>
      </c>
      <c r="L262" s="3">
        <f>IF(AND(Table1[[#This Row],[STATES in numeric format]]=0,F261=1),1,0)</f>
        <v>1</v>
      </c>
      <c r="M262" s="3">
        <f>IF(AND(Table1[[#This Row],[STATES in numeric format]]=1,F261=-1),1,0)</f>
        <v>0</v>
      </c>
      <c r="N262" s="3">
        <f>IF(AND(Table1[[#This Row],[STATES in numeric format]]=1,F261=0),1,0)</f>
        <v>0</v>
      </c>
      <c r="O262" s="3">
        <f>IF(AND(Table1[[#This Row],[STATES in numeric format]]=1,F261=1),1,0)</f>
        <v>0</v>
      </c>
    </row>
    <row r="263" spans="1:15" x14ac:dyDescent="0.3">
      <c r="A263" s="1">
        <v>44210</v>
      </c>
      <c r="B263" s="18">
        <v>49584.160000000003</v>
      </c>
      <c r="C263" s="3">
        <f>Table1[[#This Row],[Close]]-0.001*Table1[[#This Row],[Close]]</f>
        <v>49534.575840000005</v>
      </c>
      <c r="D263" s="3">
        <f>Table1[[#This Row],[Close]]+0.001*Table1[[#This Row],[Close]]</f>
        <v>49633.744160000002</v>
      </c>
      <c r="E263" s="3" t="str">
        <f>IF(Table1[[#This Row],[Close]]&gt;D262,"UP",IF(Table1[[#This Row],[Close]]&lt;C262,"Down","Constant"))</f>
        <v>UP</v>
      </c>
      <c r="F263" s="3">
        <f>IF(Table1[[#This Row],[Column1]]="Up",1,IF(Table1[[#This Row],[Column1]]="Down",-1,0))</f>
        <v>1</v>
      </c>
      <c r="G263" s="3">
        <f>IF(AND(Table1[[#This Row],[STATES in numeric format]]=-1,F262=-1),1,0)</f>
        <v>0</v>
      </c>
      <c r="H263" s="3">
        <f>IF(AND(Table1[[#This Row],[STATES in numeric format]]=-1,F262=0),1,0)</f>
        <v>0</v>
      </c>
      <c r="I263" s="3">
        <f>IF(AND(Table1[[#This Row],[STATES in numeric format]]=-1,F262=1),1,0)</f>
        <v>0</v>
      </c>
      <c r="J263" s="3">
        <f>IF(AND(Table1[[#This Row],[STATES in numeric format]]=0,F262=-1),1,0)</f>
        <v>0</v>
      </c>
      <c r="K263" s="3">
        <f>IF(AND(Table1[[#This Row],[STATES in numeric format]]=0,F262=0),1,0)</f>
        <v>0</v>
      </c>
      <c r="L263" s="3">
        <f>IF(AND(Table1[[#This Row],[STATES in numeric format]]=0,F262=1),1,0)</f>
        <v>0</v>
      </c>
      <c r="M263" s="3">
        <f>IF(AND(Table1[[#This Row],[STATES in numeric format]]=1,F262=-1),1,0)</f>
        <v>0</v>
      </c>
      <c r="N263" s="3">
        <f>IF(AND(Table1[[#This Row],[STATES in numeric format]]=1,F262=0),1,0)</f>
        <v>1</v>
      </c>
      <c r="O263" s="3">
        <f>IF(AND(Table1[[#This Row],[STATES in numeric format]]=1,F262=1),1,0)</f>
        <v>0</v>
      </c>
    </row>
    <row r="264" spans="1:15" x14ac:dyDescent="0.3">
      <c r="A264" s="1">
        <v>44211</v>
      </c>
      <c r="B264" s="18">
        <v>49034.67</v>
      </c>
      <c r="C264" s="3">
        <f>Table1[[#This Row],[Close]]-0.001*Table1[[#This Row],[Close]]</f>
        <v>48985.635329999997</v>
      </c>
      <c r="D264" s="3">
        <f>Table1[[#This Row],[Close]]+0.001*Table1[[#This Row],[Close]]</f>
        <v>49083.704669999999</v>
      </c>
      <c r="E264" s="3" t="str">
        <f>IF(Table1[[#This Row],[Close]]&gt;D263,"UP",IF(Table1[[#This Row],[Close]]&lt;C263,"Down","Constant"))</f>
        <v>Down</v>
      </c>
      <c r="F264" s="3">
        <f>IF(Table1[[#This Row],[Column1]]="Up",1,IF(Table1[[#This Row],[Column1]]="Down",-1,0))</f>
        <v>-1</v>
      </c>
      <c r="G264" s="3">
        <f>IF(AND(Table1[[#This Row],[STATES in numeric format]]=-1,F263=-1),1,0)</f>
        <v>0</v>
      </c>
      <c r="H264" s="3">
        <f>IF(AND(Table1[[#This Row],[STATES in numeric format]]=-1,F263=0),1,0)</f>
        <v>0</v>
      </c>
      <c r="I264" s="3">
        <f>IF(AND(Table1[[#This Row],[STATES in numeric format]]=-1,F263=1),1,0)</f>
        <v>1</v>
      </c>
      <c r="J264" s="3">
        <f>IF(AND(Table1[[#This Row],[STATES in numeric format]]=0,F263=-1),1,0)</f>
        <v>0</v>
      </c>
      <c r="K264" s="3">
        <f>IF(AND(Table1[[#This Row],[STATES in numeric format]]=0,F263=0),1,0)</f>
        <v>0</v>
      </c>
      <c r="L264" s="3">
        <f>IF(AND(Table1[[#This Row],[STATES in numeric format]]=0,F263=1),1,0)</f>
        <v>0</v>
      </c>
      <c r="M264" s="3">
        <f>IF(AND(Table1[[#This Row],[STATES in numeric format]]=1,F263=-1),1,0)</f>
        <v>0</v>
      </c>
      <c r="N264" s="3">
        <f>IF(AND(Table1[[#This Row],[STATES in numeric format]]=1,F263=0),1,0)</f>
        <v>0</v>
      </c>
      <c r="O264" s="3">
        <f>IF(AND(Table1[[#This Row],[STATES in numeric format]]=1,F263=1),1,0)</f>
        <v>0</v>
      </c>
    </row>
    <row r="265" spans="1:15" x14ac:dyDescent="0.3">
      <c r="A265" s="1">
        <v>44214</v>
      </c>
      <c r="B265" s="18">
        <v>48564.27</v>
      </c>
      <c r="C265" s="3">
        <f>Table1[[#This Row],[Close]]-0.001*Table1[[#This Row],[Close]]</f>
        <v>48515.705729999994</v>
      </c>
      <c r="D265" s="3">
        <f>Table1[[#This Row],[Close]]+0.001*Table1[[#This Row],[Close]]</f>
        <v>48612.834269999999</v>
      </c>
      <c r="E265" s="3" t="str">
        <f>IF(Table1[[#This Row],[Close]]&gt;D264,"UP",IF(Table1[[#This Row],[Close]]&lt;C264,"Down","Constant"))</f>
        <v>Down</v>
      </c>
      <c r="F265" s="3">
        <f>IF(Table1[[#This Row],[Column1]]="Up",1,IF(Table1[[#This Row],[Column1]]="Down",-1,0))</f>
        <v>-1</v>
      </c>
      <c r="G265" s="3">
        <f>IF(AND(Table1[[#This Row],[STATES in numeric format]]=-1,F264=-1),1,0)</f>
        <v>1</v>
      </c>
      <c r="H265" s="3">
        <f>IF(AND(Table1[[#This Row],[STATES in numeric format]]=-1,F264=0),1,0)</f>
        <v>0</v>
      </c>
      <c r="I265" s="3">
        <f>IF(AND(Table1[[#This Row],[STATES in numeric format]]=-1,F264=1),1,0)</f>
        <v>0</v>
      </c>
      <c r="J265" s="3">
        <f>IF(AND(Table1[[#This Row],[STATES in numeric format]]=0,F264=-1),1,0)</f>
        <v>0</v>
      </c>
      <c r="K265" s="3">
        <f>IF(AND(Table1[[#This Row],[STATES in numeric format]]=0,F264=0),1,0)</f>
        <v>0</v>
      </c>
      <c r="L265" s="3">
        <f>IF(AND(Table1[[#This Row],[STATES in numeric format]]=0,F264=1),1,0)</f>
        <v>0</v>
      </c>
      <c r="M265" s="3">
        <f>IF(AND(Table1[[#This Row],[STATES in numeric format]]=1,F264=-1),1,0)</f>
        <v>0</v>
      </c>
      <c r="N265" s="3">
        <f>IF(AND(Table1[[#This Row],[STATES in numeric format]]=1,F264=0),1,0)</f>
        <v>0</v>
      </c>
      <c r="O265" s="3">
        <f>IF(AND(Table1[[#This Row],[STATES in numeric format]]=1,F264=1),1,0)</f>
        <v>0</v>
      </c>
    </row>
    <row r="266" spans="1:15" x14ac:dyDescent="0.3">
      <c r="A266" s="1">
        <v>44215</v>
      </c>
      <c r="B266" s="18">
        <v>49398.29</v>
      </c>
      <c r="C266" s="3">
        <f>Table1[[#This Row],[Close]]-0.001*Table1[[#This Row],[Close]]</f>
        <v>49348.891710000004</v>
      </c>
      <c r="D266" s="3">
        <f>Table1[[#This Row],[Close]]+0.001*Table1[[#This Row],[Close]]</f>
        <v>49447.688289999998</v>
      </c>
      <c r="E266" s="3" t="str">
        <f>IF(Table1[[#This Row],[Close]]&gt;D265,"UP",IF(Table1[[#This Row],[Close]]&lt;C265,"Down","Constant"))</f>
        <v>UP</v>
      </c>
      <c r="F266" s="3">
        <f>IF(Table1[[#This Row],[Column1]]="Up",1,IF(Table1[[#This Row],[Column1]]="Down",-1,0))</f>
        <v>1</v>
      </c>
      <c r="G266" s="3">
        <f>IF(AND(Table1[[#This Row],[STATES in numeric format]]=-1,F265=-1),1,0)</f>
        <v>0</v>
      </c>
      <c r="H266" s="3">
        <f>IF(AND(Table1[[#This Row],[STATES in numeric format]]=-1,F265=0),1,0)</f>
        <v>0</v>
      </c>
      <c r="I266" s="3">
        <f>IF(AND(Table1[[#This Row],[STATES in numeric format]]=-1,F265=1),1,0)</f>
        <v>0</v>
      </c>
      <c r="J266" s="3">
        <f>IF(AND(Table1[[#This Row],[STATES in numeric format]]=0,F265=-1),1,0)</f>
        <v>0</v>
      </c>
      <c r="K266" s="3">
        <f>IF(AND(Table1[[#This Row],[STATES in numeric format]]=0,F265=0),1,0)</f>
        <v>0</v>
      </c>
      <c r="L266" s="3">
        <f>IF(AND(Table1[[#This Row],[STATES in numeric format]]=0,F265=1),1,0)</f>
        <v>0</v>
      </c>
      <c r="M266" s="3">
        <f>IF(AND(Table1[[#This Row],[STATES in numeric format]]=1,F265=-1),1,0)</f>
        <v>1</v>
      </c>
      <c r="N266" s="3">
        <f>IF(AND(Table1[[#This Row],[STATES in numeric format]]=1,F265=0),1,0)</f>
        <v>0</v>
      </c>
      <c r="O266" s="3">
        <f>IF(AND(Table1[[#This Row],[STATES in numeric format]]=1,F265=1),1,0)</f>
        <v>0</v>
      </c>
    </row>
    <row r="267" spans="1:15" x14ac:dyDescent="0.3">
      <c r="A267" s="1">
        <v>44216</v>
      </c>
      <c r="B267" s="18">
        <v>49792.12</v>
      </c>
      <c r="C267" s="3">
        <f>Table1[[#This Row],[Close]]-0.001*Table1[[#This Row],[Close]]</f>
        <v>49742.327880000004</v>
      </c>
      <c r="D267" s="3">
        <f>Table1[[#This Row],[Close]]+0.001*Table1[[#This Row],[Close]]</f>
        <v>49841.912120000001</v>
      </c>
      <c r="E267" s="3" t="str">
        <f>IF(Table1[[#This Row],[Close]]&gt;D266,"UP",IF(Table1[[#This Row],[Close]]&lt;C266,"Down","Constant"))</f>
        <v>UP</v>
      </c>
      <c r="F267" s="3">
        <f>IF(Table1[[#This Row],[Column1]]="Up",1,IF(Table1[[#This Row],[Column1]]="Down",-1,0))</f>
        <v>1</v>
      </c>
      <c r="G267" s="3">
        <f>IF(AND(Table1[[#This Row],[STATES in numeric format]]=-1,F266=-1),1,0)</f>
        <v>0</v>
      </c>
      <c r="H267" s="3">
        <f>IF(AND(Table1[[#This Row],[STATES in numeric format]]=-1,F266=0),1,0)</f>
        <v>0</v>
      </c>
      <c r="I267" s="3">
        <f>IF(AND(Table1[[#This Row],[STATES in numeric format]]=-1,F266=1),1,0)</f>
        <v>0</v>
      </c>
      <c r="J267" s="3">
        <f>IF(AND(Table1[[#This Row],[STATES in numeric format]]=0,F266=-1),1,0)</f>
        <v>0</v>
      </c>
      <c r="K267" s="3">
        <f>IF(AND(Table1[[#This Row],[STATES in numeric format]]=0,F266=0),1,0)</f>
        <v>0</v>
      </c>
      <c r="L267" s="3">
        <f>IF(AND(Table1[[#This Row],[STATES in numeric format]]=0,F266=1),1,0)</f>
        <v>0</v>
      </c>
      <c r="M267" s="3">
        <f>IF(AND(Table1[[#This Row],[STATES in numeric format]]=1,F266=-1),1,0)</f>
        <v>0</v>
      </c>
      <c r="N267" s="3">
        <f>IF(AND(Table1[[#This Row],[STATES in numeric format]]=1,F266=0),1,0)</f>
        <v>0</v>
      </c>
      <c r="O267" s="3">
        <f>IF(AND(Table1[[#This Row],[STATES in numeric format]]=1,F266=1),1,0)</f>
        <v>1</v>
      </c>
    </row>
    <row r="268" spans="1:15" x14ac:dyDescent="0.3">
      <c r="A268" s="1">
        <v>44217</v>
      </c>
      <c r="B268" s="18">
        <v>49624.76</v>
      </c>
      <c r="C268" s="3">
        <f>Table1[[#This Row],[Close]]-0.001*Table1[[#This Row],[Close]]</f>
        <v>49575.135240000003</v>
      </c>
      <c r="D268" s="3">
        <f>Table1[[#This Row],[Close]]+0.001*Table1[[#This Row],[Close]]</f>
        <v>49674.384760000001</v>
      </c>
      <c r="E268" s="3" t="str">
        <f>IF(Table1[[#This Row],[Close]]&gt;D267,"UP",IF(Table1[[#This Row],[Close]]&lt;C267,"Down","Constant"))</f>
        <v>Down</v>
      </c>
      <c r="F268" s="3">
        <f>IF(Table1[[#This Row],[Column1]]="Up",1,IF(Table1[[#This Row],[Column1]]="Down",-1,0))</f>
        <v>-1</v>
      </c>
      <c r="G268" s="3">
        <f>IF(AND(Table1[[#This Row],[STATES in numeric format]]=-1,F267=-1),1,0)</f>
        <v>0</v>
      </c>
      <c r="H268" s="3">
        <f>IF(AND(Table1[[#This Row],[STATES in numeric format]]=-1,F267=0),1,0)</f>
        <v>0</v>
      </c>
      <c r="I268" s="3">
        <f>IF(AND(Table1[[#This Row],[STATES in numeric format]]=-1,F267=1),1,0)</f>
        <v>1</v>
      </c>
      <c r="J268" s="3">
        <f>IF(AND(Table1[[#This Row],[STATES in numeric format]]=0,F267=-1),1,0)</f>
        <v>0</v>
      </c>
      <c r="K268" s="3">
        <f>IF(AND(Table1[[#This Row],[STATES in numeric format]]=0,F267=0),1,0)</f>
        <v>0</v>
      </c>
      <c r="L268" s="3">
        <f>IF(AND(Table1[[#This Row],[STATES in numeric format]]=0,F267=1),1,0)</f>
        <v>0</v>
      </c>
      <c r="M268" s="3">
        <f>IF(AND(Table1[[#This Row],[STATES in numeric format]]=1,F267=-1),1,0)</f>
        <v>0</v>
      </c>
      <c r="N268" s="3">
        <f>IF(AND(Table1[[#This Row],[STATES in numeric format]]=1,F267=0),1,0)</f>
        <v>0</v>
      </c>
      <c r="O268" s="3">
        <f>IF(AND(Table1[[#This Row],[STATES in numeric format]]=1,F267=1),1,0)</f>
        <v>0</v>
      </c>
    </row>
    <row r="269" spans="1:15" x14ac:dyDescent="0.3">
      <c r="A269" s="1">
        <v>44218</v>
      </c>
      <c r="B269" s="18">
        <v>48878.54</v>
      </c>
      <c r="C269" s="3">
        <f>Table1[[#This Row],[Close]]-0.001*Table1[[#This Row],[Close]]</f>
        <v>48829.661460000003</v>
      </c>
      <c r="D269" s="3">
        <f>Table1[[#This Row],[Close]]+0.001*Table1[[#This Row],[Close]]</f>
        <v>48927.418539999999</v>
      </c>
      <c r="E269" s="3" t="str">
        <f>IF(Table1[[#This Row],[Close]]&gt;D268,"UP",IF(Table1[[#This Row],[Close]]&lt;C268,"Down","Constant"))</f>
        <v>Down</v>
      </c>
      <c r="F269" s="3">
        <f>IF(Table1[[#This Row],[Column1]]="Up",1,IF(Table1[[#This Row],[Column1]]="Down",-1,0))</f>
        <v>-1</v>
      </c>
      <c r="G269" s="3">
        <f>IF(AND(Table1[[#This Row],[STATES in numeric format]]=-1,F268=-1),1,0)</f>
        <v>1</v>
      </c>
      <c r="H269" s="3">
        <f>IF(AND(Table1[[#This Row],[STATES in numeric format]]=-1,F268=0),1,0)</f>
        <v>0</v>
      </c>
      <c r="I269" s="3">
        <f>IF(AND(Table1[[#This Row],[STATES in numeric format]]=-1,F268=1),1,0)</f>
        <v>0</v>
      </c>
      <c r="J269" s="3">
        <f>IF(AND(Table1[[#This Row],[STATES in numeric format]]=0,F268=-1),1,0)</f>
        <v>0</v>
      </c>
      <c r="K269" s="3">
        <f>IF(AND(Table1[[#This Row],[STATES in numeric format]]=0,F268=0),1,0)</f>
        <v>0</v>
      </c>
      <c r="L269" s="3">
        <f>IF(AND(Table1[[#This Row],[STATES in numeric format]]=0,F268=1),1,0)</f>
        <v>0</v>
      </c>
      <c r="M269" s="3">
        <f>IF(AND(Table1[[#This Row],[STATES in numeric format]]=1,F268=-1),1,0)</f>
        <v>0</v>
      </c>
      <c r="N269" s="3">
        <f>IF(AND(Table1[[#This Row],[STATES in numeric format]]=1,F268=0),1,0)</f>
        <v>0</v>
      </c>
      <c r="O269" s="3">
        <f>IF(AND(Table1[[#This Row],[STATES in numeric format]]=1,F268=1),1,0)</f>
        <v>0</v>
      </c>
    </row>
    <row r="270" spans="1:15" x14ac:dyDescent="0.3">
      <c r="A270" s="1">
        <v>44221</v>
      </c>
      <c r="B270" s="18">
        <v>48347.59</v>
      </c>
      <c r="C270" s="3">
        <f>Table1[[#This Row],[Close]]-0.001*Table1[[#This Row],[Close]]</f>
        <v>48299.242409999999</v>
      </c>
      <c r="D270" s="3">
        <f>Table1[[#This Row],[Close]]+0.001*Table1[[#This Row],[Close]]</f>
        <v>48395.937589999994</v>
      </c>
      <c r="E270" s="3" t="str">
        <f>IF(Table1[[#This Row],[Close]]&gt;D269,"UP",IF(Table1[[#This Row],[Close]]&lt;C269,"Down","Constant"))</f>
        <v>Down</v>
      </c>
      <c r="F270" s="3">
        <f>IF(Table1[[#This Row],[Column1]]="Up",1,IF(Table1[[#This Row],[Column1]]="Down",-1,0))</f>
        <v>-1</v>
      </c>
      <c r="G270" s="3">
        <f>IF(AND(Table1[[#This Row],[STATES in numeric format]]=-1,F269=-1),1,0)</f>
        <v>1</v>
      </c>
      <c r="H270" s="3">
        <f>IF(AND(Table1[[#This Row],[STATES in numeric format]]=-1,F269=0),1,0)</f>
        <v>0</v>
      </c>
      <c r="I270" s="3">
        <f>IF(AND(Table1[[#This Row],[STATES in numeric format]]=-1,F269=1),1,0)</f>
        <v>0</v>
      </c>
      <c r="J270" s="3">
        <f>IF(AND(Table1[[#This Row],[STATES in numeric format]]=0,F269=-1),1,0)</f>
        <v>0</v>
      </c>
      <c r="K270" s="3">
        <f>IF(AND(Table1[[#This Row],[STATES in numeric format]]=0,F269=0),1,0)</f>
        <v>0</v>
      </c>
      <c r="L270" s="3">
        <f>IF(AND(Table1[[#This Row],[STATES in numeric format]]=0,F269=1),1,0)</f>
        <v>0</v>
      </c>
      <c r="M270" s="3">
        <f>IF(AND(Table1[[#This Row],[STATES in numeric format]]=1,F269=-1),1,0)</f>
        <v>0</v>
      </c>
      <c r="N270" s="3">
        <f>IF(AND(Table1[[#This Row],[STATES in numeric format]]=1,F269=0),1,0)</f>
        <v>0</v>
      </c>
      <c r="O270" s="3">
        <f>IF(AND(Table1[[#This Row],[STATES in numeric format]]=1,F269=1),1,0)</f>
        <v>0</v>
      </c>
    </row>
    <row r="271" spans="1:15" x14ac:dyDescent="0.3">
      <c r="A271" s="1">
        <v>44223</v>
      </c>
      <c r="B271" s="18">
        <v>47409.93</v>
      </c>
      <c r="C271" s="3">
        <f>Table1[[#This Row],[Close]]-0.001*Table1[[#This Row],[Close]]</f>
        <v>47362.520069999999</v>
      </c>
      <c r="D271" s="3">
        <f>Table1[[#This Row],[Close]]+0.001*Table1[[#This Row],[Close]]</f>
        <v>47457.339930000002</v>
      </c>
      <c r="E271" s="3" t="str">
        <f>IF(Table1[[#This Row],[Close]]&gt;D270,"UP",IF(Table1[[#This Row],[Close]]&lt;C270,"Down","Constant"))</f>
        <v>Down</v>
      </c>
      <c r="F271" s="3">
        <f>IF(Table1[[#This Row],[Column1]]="Up",1,IF(Table1[[#This Row],[Column1]]="Down",-1,0))</f>
        <v>-1</v>
      </c>
      <c r="G271" s="3">
        <f>IF(AND(Table1[[#This Row],[STATES in numeric format]]=-1,F270=-1),1,0)</f>
        <v>1</v>
      </c>
      <c r="H271" s="3">
        <f>IF(AND(Table1[[#This Row],[STATES in numeric format]]=-1,F270=0),1,0)</f>
        <v>0</v>
      </c>
      <c r="I271" s="3">
        <f>IF(AND(Table1[[#This Row],[STATES in numeric format]]=-1,F270=1),1,0)</f>
        <v>0</v>
      </c>
      <c r="J271" s="3">
        <f>IF(AND(Table1[[#This Row],[STATES in numeric format]]=0,F270=-1),1,0)</f>
        <v>0</v>
      </c>
      <c r="K271" s="3">
        <f>IF(AND(Table1[[#This Row],[STATES in numeric format]]=0,F270=0),1,0)</f>
        <v>0</v>
      </c>
      <c r="L271" s="3">
        <f>IF(AND(Table1[[#This Row],[STATES in numeric format]]=0,F270=1),1,0)</f>
        <v>0</v>
      </c>
      <c r="M271" s="3">
        <f>IF(AND(Table1[[#This Row],[STATES in numeric format]]=1,F270=-1),1,0)</f>
        <v>0</v>
      </c>
      <c r="N271" s="3">
        <f>IF(AND(Table1[[#This Row],[STATES in numeric format]]=1,F270=0),1,0)</f>
        <v>0</v>
      </c>
      <c r="O271" s="3">
        <f>IF(AND(Table1[[#This Row],[STATES in numeric format]]=1,F270=1),1,0)</f>
        <v>0</v>
      </c>
    </row>
    <row r="272" spans="1:15" x14ac:dyDescent="0.3">
      <c r="A272" s="1">
        <v>44224</v>
      </c>
      <c r="B272" s="18">
        <v>46874.36</v>
      </c>
      <c r="C272" s="3">
        <f>Table1[[#This Row],[Close]]-0.001*Table1[[#This Row],[Close]]</f>
        <v>46827.485639999999</v>
      </c>
      <c r="D272" s="3">
        <f>Table1[[#This Row],[Close]]+0.001*Table1[[#This Row],[Close]]</f>
        <v>46921.234360000002</v>
      </c>
      <c r="E272" s="3" t="str">
        <f>IF(Table1[[#This Row],[Close]]&gt;D271,"UP",IF(Table1[[#This Row],[Close]]&lt;C271,"Down","Constant"))</f>
        <v>Down</v>
      </c>
      <c r="F272" s="3">
        <f>IF(Table1[[#This Row],[Column1]]="Up",1,IF(Table1[[#This Row],[Column1]]="Down",-1,0))</f>
        <v>-1</v>
      </c>
      <c r="G272" s="3">
        <f>IF(AND(Table1[[#This Row],[STATES in numeric format]]=-1,F271=-1),1,0)</f>
        <v>1</v>
      </c>
      <c r="H272" s="3">
        <f>IF(AND(Table1[[#This Row],[STATES in numeric format]]=-1,F271=0),1,0)</f>
        <v>0</v>
      </c>
      <c r="I272" s="3">
        <f>IF(AND(Table1[[#This Row],[STATES in numeric format]]=-1,F271=1),1,0)</f>
        <v>0</v>
      </c>
      <c r="J272" s="3">
        <f>IF(AND(Table1[[#This Row],[STATES in numeric format]]=0,F271=-1),1,0)</f>
        <v>0</v>
      </c>
      <c r="K272" s="3">
        <f>IF(AND(Table1[[#This Row],[STATES in numeric format]]=0,F271=0),1,0)</f>
        <v>0</v>
      </c>
      <c r="L272" s="3">
        <f>IF(AND(Table1[[#This Row],[STATES in numeric format]]=0,F271=1),1,0)</f>
        <v>0</v>
      </c>
      <c r="M272" s="3">
        <f>IF(AND(Table1[[#This Row],[STATES in numeric format]]=1,F271=-1),1,0)</f>
        <v>0</v>
      </c>
      <c r="N272" s="3">
        <f>IF(AND(Table1[[#This Row],[STATES in numeric format]]=1,F271=0),1,0)</f>
        <v>0</v>
      </c>
      <c r="O272" s="3">
        <f>IF(AND(Table1[[#This Row],[STATES in numeric format]]=1,F271=1),1,0)</f>
        <v>0</v>
      </c>
    </row>
    <row r="273" spans="1:15" x14ac:dyDescent="0.3">
      <c r="A273" s="1">
        <v>44225</v>
      </c>
      <c r="B273" s="18">
        <v>46285.77</v>
      </c>
      <c r="C273" s="3">
        <f>Table1[[#This Row],[Close]]-0.001*Table1[[#This Row],[Close]]</f>
        <v>46239.484229999995</v>
      </c>
      <c r="D273" s="3">
        <f>Table1[[#This Row],[Close]]+0.001*Table1[[#This Row],[Close]]</f>
        <v>46332.055769999999</v>
      </c>
      <c r="E273" s="3" t="str">
        <f>IF(Table1[[#This Row],[Close]]&gt;D272,"UP",IF(Table1[[#This Row],[Close]]&lt;C272,"Down","Constant"))</f>
        <v>Down</v>
      </c>
      <c r="F273" s="3">
        <f>IF(Table1[[#This Row],[Column1]]="Up",1,IF(Table1[[#This Row],[Column1]]="Down",-1,0))</f>
        <v>-1</v>
      </c>
      <c r="G273" s="3">
        <f>IF(AND(Table1[[#This Row],[STATES in numeric format]]=-1,F272=-1),1,0)</f>
        <v>1</v>
      </c>
      <c r="H273" s="3">
        <f>IF(AND(Table1[[#This Row],[STATES in numeric format]]=-1,F272=0),1,0)</f>
        <v>0</v>
      </c>
      <c r="I273" s="3">
        <f>IF(AND(Table1[[#This Row],[STATES in numeric format]]=-1,F272=1),1,0)</f>
        <v>0</v>
      </c>
      <c r="J273" s="3">
        <f>IF(AND(Table1[[#This Row],[STATES in numeric format]]=0,F272=-1),1,0)</f>
        <v>0</v>
      </c>
      <c r="K273" s="3">
        <f>IF(AND(Table1[[#This Row],[STATES in numeric format]]=0,F272=0),1,0)</f>
        <v>0</v>
      </c>
      <c r="L273" s="3">
        <f>IF(AND(Table1[[#This Row],[STATES in numeric format]]=0,F272=1),1,0)</f>
        <v>0</v>
      </c>
      <c r="M273" s="3">
        <f>IF(AND(Table1[[#This Row],[STATES in numeric format]]=1,F272=-1),1,0)</f>
        <v>0</v>
      </c>
      <c r="N273" s="3">
        <f>IF(AND(Table1[[#This Row],[STATES in numeric format]]=1,F272=0),1,0)</f>
        <v>0</v>
      </c>
      <c r="O273" s="3">
        <f>IF(AND(Table1[[#This Row],[STATES in numeric format]]=1,F272=1),1,0)</f>
        <v>0</v>
      </c>
    </row>
    <row r="274" spans="1:15" x14ac:dyDescent="0.3">
      <c r="A274" s="1">
        <v>44228</v>
      </c>
      <c r="B274" s="18">
        <v>48600.61</v>
      </c>
      <c r="C274" s="3">
        <f>Table1[[#This Row],[Close]]-0.001*Table1[[#This Row],[Close]]</f>
        <v>48552.009389999999</v>
      </c>
      <c r="D274" s="3">
        <f>Table1[[#This Row],[Close]]+0.001*Table1[[#This Row],[Close]]</f>
        <v>48649.210610000002</v>
      </c>
      <c r="E274" s="3" t="str">
        <f>IF(Table1[[#This Row],[Close]]&gt;D273,"UP",IF(Table1[[#This Row],[Close]]&lt;C273,"Down","Constant"))</f>
        <v>UP</v>
      </c>
      <c r="F274" s="3">
        <f>IF(Table1[[#This Row],[Column1]]="Up",1,IF(Table1[[#This Row],[Column1]]="Down",-1,0))</f>
        <v>1</v>
      </c>
      <c r="G274" s="3">
        <f>IF(AND(Table1[[#This Row],[STATES in numeric format]]=-1,F273=-1),1,0)</f>
        <v>0</v>
      </c>
      <c r="H274" s="3">
        <f>IF(AND(Table1[[#This Row],[STATES in numeric format]]=-1,F273=0),1,0)</f>
        <v>0</v>
      </c>
      <c r="I274" s="3">
        <f>IF(AND(Table1[[#This Row],[STATES in numeric format]]=-1,F273=1),1,0)</f>
        <v>0</v>
      </c>
      <c r="J274" s="3">
        <f>IF(AND(Table1[[#This Row],[STATES in numeric format]]=0,F273=-1),1,0)</f>
        <v>0</v>
      </c>
      <c r="K274" s="3">
        <f>IF(AND(Table1[[#This Row],[STATES in numeric format]]=0,F273=0),1,0)</f>
        <v>0</v>
      </c>
      <c r="L274" s="3">
        <f>IF(AND(Table1[[#This Row],[STATES in numeric format]]=0,F273=1),1,0)</f>
        <v>0</v>
      </c>
      <c r="M274" s="3">
        <f>IF(AND(Table1[[#This Row],[STATES in numeric format]]=1,F273=-1),1,0)</f>
        <v>1</v>
      </c>
      <c r="N274" s="3">
        <f>IF(AND(Table1[[#This Row],[STATES in numeric format]]=1,F273=0),1,0)</f>
        <v>0</v>
      </c>
      <c r="O274" s="3">
        <f>IF(AND(Table1[[#This Row],[STATES in numeric format]]=1,F273=1),1,0)</f>
        <v>0</v>
      </c>
    </row>
    <row r="275" spans="1:15" x14ac:dyDescent="0.3">
      <c r="A275" s="1">
        <v>44229</v>
      </c>
      <c r="B275" s="18">
        <v>49797.72</v>
      </c>
      <c r="C275" s="3">
        <f>Table1[[#This Row],[Close]]-0.001*Table1[[#This Row],[Close]]</f>
        <v>49747.922279999999</v>
      </c>
      <c r="D275" s="3">
        <f>Table1[[#This Row],[Close]]+0.001*Table1[[#This Row],[Close]]</f>
        <v>49847.517720000003</v>
      </c>
      <c r="E275" s="3" t="str">
        <f>IF(Table1[[#This Row],[Close]]&gt;D274,"UP",IF(Table1[[#This Row],[Close]]&lt;C274,"Down","Constant"))</f>
        <v>UP</v>
      </c>
      <c r="F275" s="3">
        <f>IF(Table1[[#This Row],[Column1]]="Up",1,IF(Table1[[#This Row],[Column1]]="Down",-1,0))</f>
        <v>1</v>
      </c>
      <c r="G275" s="3">
        <f>IF(AND(Table1[[#This Row],[STATES in numeric format]]=-1,F274=-1),1,0)</f>
        <v>0</v>
      </c>
      <c r="H275" s="3">
        <f>IF(AND(Table1[[#This Row],[STATES in numeric format]]=-1,F274=0),1,0)</f>
        <v>0</v>
      </c>
      <c r="I275" s="3">
        <f>IF(AND(Table1[[#This Row],[STATES in numeric format]]=-1,F274=1),1,0)</f>
        <v>0</v>
      </c>
      <c r="J275" s="3">
        <f>IF(AND(Table1[[#This Row],[STATES in numeric format]]=0,F274=-1),1,0)</f>
        <v>0</v>
      </c>
      <c r="K275" s="3">
        <f>IF(AND(Table1[[#This Row],[STATES in numeric format]]=0,F274=0),1,0)</f>
        <v>0</v>
      </c>
      <c r="L275" s="3">
        <f>IF(AND(Table1[[#This Row],[STATES in numeric format]]=0,F274=1),1,0)</f>
        <v>0</v>
      </c>
      <c r="M275" s="3">
        <f>IF(AND(Table1[[#This Row],[STATES in numeric format]]=1,F274=-1),1,0)</f>
        <v>0</v>
      </c>
      <c r="N275" s="3">
        <f>IF(AND(Table1[[#This Row],[STATES in numeric format]]=1,F274=0),1,0)</f>
        <v>0</v>
      </c>
      <c r="O275" s="3">
        <f>IF(AND(Table1[[#This Row],[STATES in numeric format]]=1,F274=1),1,0)</f>
        <v>1</v>
      </c>
    </row>
    <row r="276" spans="1:15" x14ac:dyDescent="0.3">
      <c r="A276" s="1">
        <v>44230</v>
      </c>
      <c r="B276" s="18">
        <v>50255.75</v>
      </c>
      <c r="C276" s="3">
        <f>Table1[[#This Row],[Close]]-0.001*Table1[[#This Row],[Close]]</f>
        <v>50205.494250000003</v>
      </c>
      <c r="D276" s="3">
        <f>Table1[[#This Row],[Close]]+0.001*Table1[[#This Row],[Close]]</f>
        <v>50306.005749999997</v>
      </c>
      <c r="E276" s="3" t="str">
        <f>IF(Table1[[#This Row],[Close]]&gt;D275,"UP",IF(Table1[[#This Row],[Close]]&lt;C275,"Down","Constant"))</f>
        <v>UP</v>
      </c>
      <c r="F276" s="3">
        <f>IF(Table1[[#This Row],[Column1]]="Up",1,IF(Table1[[#This Row],[Column1]]="Down",-1,0))</f>
        <v>1</v>
      </c>
      <c r="G276" s="3">
        <f>IF(AND(Table1[[#This Row],[STATES in numeric format]]=-1,F275=-1),1,0)</f>
        <v>0</v>
      </c>
      <c r="H276" s="3">
        <f>IF(AND(Table1[[#This Row],[STATES in numeric format]]=-1,F275=0),1,0)</f>
        <v>0</v>
      </c>
      <c r="I276" s="3">
        <f>IF(AND(Table1[[#This Row],[STATES in numeric format]]=-1,F275=1),1,0)</f>
        <v>0</v>
      </c>
      <c r="J276" s="3">
        <f>IF(AND(Table1[[#This Row],[STATES in numeric format]]=0,F275=-1),1,0)</f>
        <v>0</v>
      </c>
      <c r="K276" s="3">
        <f>IF(AND(Table1[[#This Row],[STATES in numeric format]]=0,F275=0),1,0)</f>
        <v>0</v>
      </c>
      <c r="L276" s="3">
        <f>IF(AND(Table1[[#This Row],[STATES in numeric format]]=0,F275=1),1,0)</f>
        <v>0</v>
      </c>
      <c r="M276" s="3">
        <f>IF(AND(Table1[[#This Row],[STATES in numeric format]]=1,F275=-1),1,0)</f>
        <v>0</v>
      </c>
      <c r="N276" s="3">
        <f>IF(AND(Table1[[#This Row],[STATES in numeric format]]=1,F275=0),1,0)</f>
        <v>0</v>
      </c>
      <c r="O276" s="3">
        <f>IF(AND(Table1[[#This Row],[STATES in numeric format]]=1,F275=1),1,0)</f>
        <v>1</v>
      </c>
    </row>
    <row r="277" spans="1:15" x14ac:dyDescent="0.3">
      <c r="A277" s="1">
        <v>44231</v>
      </c>
      <c r="B277" s="18">
        <v>50614.29</v>
      </c>
      <c r="C277" s="3">
        <f>Table1[[#This Row],[Close]]-0.001*Table1[[#This Row],[Close]]</f>
        <v>50563.675710000003</v>
      </c>
      <c r="D277" s="3">
        <f>Table1[[#This Row],[Close]]+0.001*Table1[[#This Row],[Close]]</f>
        <v>50664.904289999999</v>
      </c>
      <c r="E277" s="3" t="str">
        <f>IF(Table1[[#This Row],[Close]]&gt;D276,"UP",IF(Table1[[#This Row],[Close]]&lt;C276,"Down","Constant"))</f>
        <v>UP</v>
      </c>
      <c r="F277" s="3">
        <f>IF(Table1[[#This Row],[Column1]]="Up",1,IF(Table1[[#This Row],[Column1]]="Down",-1,0))</f>
        <v>1</v>
      </c>
      <c r="G277" s="3">
        <f>IF(AND(Table1[[#This Row],[STATES in numeric format]]=-1,F276=-1),1,0)</f>
        <v>0</v>
      </c>
      <c r="H277" s="3">
        <f>IF(AND(Table1[[#This Row],[STATES in numeric format]]=-1,F276=0),1,0)</f>
        <v>0</v>
      </c>
      <c r="I277" s="3">
        <f>IF(AND(Table1[[#This Row],[STATES in numeric format]]=-1,F276=1),1,0)</f>
        <v>0</v>
      </c>
      <c r="J277" s="3">
        <f>IF(AND(Table1[[#This Row],[STATES in numeric format]]=0,F276=-1),1,0)</f>
        <v>0</v>
      </c>
      <c r="K277" s="3">
        <f>IF(AND(Table1[[#This Row],[STATES in numeric format]]=0,F276=0),1,0)</f>
        <v>0</v>
      </c>
      <c r="L277" s="3">
        <f>IF(AND(Table1[[#This Row],[STATES in numeric format]]=0,F276=1),1,0)</f>
        <v>0</v>
      </c>
      <c r="M277" s="3">
        <f>IF(AND(Table1[[#This Row],[STATES in numeric format]]=1,F276=-1),1,0)</f>
        <v>0</v>
      </c>
      <c r="N277" s="3">
        <f>IF(AND(Table1[[#This Row],[STATES in numeric format]]=1,F276=0),1,0)</f>
        <v>0</v>
      </c>
      <c r="O277" s="3">
        <f>IF(AND(Table1[[#This Row],[STATES in numeric format]]=1,F276=1),1,0)</f>
        <v>1</v>
      </c>
    </row>
    <row r="278" spans="1:15" x14ac:dyDescent="0.3">
      <c r="A278" s="1">
        <v>44232</v>
      </c>
      <c r="B278" s="18">
        <v>50731.63</v>
      </c>
      <c r="C278" s="3">
        <f>Table1[[#This Row],[Close]]-0.001*Table1[[#This Row],[Close]]</f>
        <v>50680.898369999995</v>
      </c>
      <c r="D278" s="3">
        <f>Table1[[#This Row],[Close]]+0.001*Table1[[#This Row],[Close]]</f>
        <v>50782.361629999999</v>
      </c>
      <c r="E278" s="3" t="str">
        <f>IF(Table1[[#This Row],[Close]]&gt;D277,"UP",IF(Table1[[#This Row],[Close]]&lt;C277,"Down","Constant"))</f>
        <v>UP</v>
      </c>
      <c r="F278" s="3">
        <f>IF(Table1[[#This Row],[Column1]]="Up",1,IF(Table1[[#This Row],[Column1]]="Down",-1,0))</f>
        <v>1</v>
      </c>
      <c r="G278" s="3">
        <f>IF(AND(Table1[[#This Row],[STATES in numeric format]]=-1,F277=-1),1,0)</f>
        <v>0</v>
      </c>
      <c r="H278" s="3">
        <f>IF(AND(Table1[[#This Row],[STATES in numeric format]]=-1,F277=0),1,0)</f>
        <v>0</v>
      </c>
      <c r="I278" s="3">
        <f>IF(AND(Table1[[#This Row],[STATES in numeric format]]=-1,F277=1),1,0)</f>
        <v>0</v>
      </c>
      <c r="J278" s="3">
        <f>IF(AND(Table1[[#This Row],[STATES in numeric format]]=0,F277=-1),1,0)</f>
        <v>0</v>
      </c>
      <c r="K278" s="3">
        <f>IF(AND(Table1[[#This Row],[STATES in numeric format]]=0,F277=0),1,0)</f>
        <v>0</v>
      </c>
      <c r="L278" s="3">
        <f>IF(AND(Table1[[#This Row],[STATES in numeric format]]=0,F277=1),1,0)</f>
        <v>0</v>
      </c>
      <c r="M278" s="3">
        <f>IF(AND(Table1[[#This Row],[STATES in numeric format]]=1,F277=-1),1,0)</f>
        <v>0</v>
      </c>
      <c r="N278" s="3">
        <f>IF(AND(Table1[[#This Row],[STATES in numeric format]]=1,F277=0),1,0)</f>
        <v>0</v>
      </c>
      <c r="O278" s="3">
        <f>IF(AND(Table1[[#This Row],[STATES in numeric format]]=1,F277=1),1,0)</f>
        <v>1</v>
      </c>
    </row>
    <row r="279" spans="1:15" x14ac:dyDescent="0.3">
      <c r="A279" s="1">
        <v>44235</v>
      </c>
      <c r="B279" s="18">
        <v>51348.77</v>
      </c>
      <c r="C279" s="3">
        <f>Table1[[#This Row],[Close]]-0.001*Table1[[#This Row],[Close]]</f>
        <v>51297.42123</v>
      </c>
      <c r="D279" s="3">
        <f>Table1[[#This Row],[Close]]+0.001*Table1[[#This Row],[Close]]</f>
        <v>51400.118769999994</v>
      </c>
      <c r="E279" s="3" t="str">
        <f>IF(Table1[[#This Row],[Close]]&gt;D278,"UP",IF(Table1[[#This Row],[Close]]&lt;C278,"Down","Constant"))</f>
        <v>UP</v>
      </c>
      <c r="F279" s="3">
        <f>IF(Table1[[#This Row],[Column1]]="Up",1,IF(Table1[[#This Row],[Column1]]="Down",-1,0))</f>
        <v>1</v>
      </c>
      <c r="G279" s="3">
        <f>IF(AND(Table1[[#This Row],[STATES in numeric format]]=-1,F278=-1),1,0)</f>
        <v>0</v>
      </c>
      <c r="H279" s="3">
        <f>IF(AND(Table1[[#This Row],[STATES in numeric format]]=-1,F278=0),1,0)</f>
        <v>0</v>
      </c>
      <c r="I279" s="3">
        <f>IF(AND(Table1[[#This Row],[STATES in numeric format]]=-1,F278=1),1,0)</f>
        <v>0</v>
      </c>
      <c r="J279" s="3">
        <f>IF(AND(Table1[[#This Row],[STATES in numeric format]]=0,F278=-1),1,0)</f>
        <v>0</v>
      </c>
      <c r="K279" s="3">
        <f>IF(AND(Table1[[#This Row],[STATES in numeric format]]=0,F278=0),1,0)</f>
        <v>0</v>
      </c>
      <c r="L279" s="3">
        <f>IF(AND(Table1[[#This Row],[STATES in numeric format]]=0,F278=1),1,0)</f>
        <v>0</v>
      </c>
      <c r="M279" s="3">
        <f>IF(AND(Table1[[#This Row],[STATES in numeric format]]=1,F278=-1),1,0)</f>
        <v>0</v>
      </c>
      <c r="N279" s="3">
        <f>IF(AND(Table1[[#This Row],[STATES in numeric format]]=1,F278=0),1,0)</f>
        <v>0</v>
      </c>
      <c r="O279" s="3">
        <f>IF(AND(Table1[[#This Row],[STATES in numeric format]]=1,F278=1),1,0)</f>
        <v>1</v>
      </c>
    </row>
    <row r="280" spans="1:15" x14ac:dyDescent="0.3">
      <c r="A280" s="1">
        <v>44236</v>
      </c>
      <c r="B280" s="18">
        <v>51329.08</v>
      </c>
      <c r="C280" s="3">
        <f>Table1[[#This Row],[Close]]-0.001*Table1[[#This Row],[Close]]</f>
        <v>51277.750919999999</v>
      </c>
      <c r="D280" s="3">
        <f>Table1[[#This Row],[Close]]+0.001*Table1[[#This Row],[Close]]</f>
        <v>51380.409080000005</v>
      </c>
      <c r="E280" s="3" t="str">
        <f>IF(Table1[[#This Row],[Close]]&gt;D279,"UP",IF(Table1[[#This Row],[Close]]&lt;C279,"Down","Constant"))</f>
        <v>Constant</v>
      </c>
      <c r="F280" s="3">
        <f>IF(Table1[[#This Row],[Column1]]="Up",1,IF(Table1[[#This Row],[Column1]]="Down",-1,0))</f>
        <v>0</v>
      </c>
      <c r="G280" s="3">
        <f>IF(AND(Table1[[#This Row],[STATES in numeric format]]=-1,F279=-1),1,0)</f>
        <v>0</v>
      </c>
      <c r="H280" s="3">
        <f>IF(AND(Table1[[#This Row],[STATES in numeric format]]=-1,F279=0),1,0)</f>
        <v>0</v>
      </c>
      <c r="I280" s="3">
        <f>IF(AND(Table1[[#This Row],[STATES in numeric format]]=-1,F279=1),1,0)</f>
        <v>0</v>
      </c>
      <c r="J280" s="3">
        <f>IF(AND(Table1[[#This Row],[STATES in numeric format]]=0,F279=-1),1,0)</f>
        <v>0</v>
      </c>
      <c r="K280" s="3">
        <f>IF(AND(Table1[[#This Row],[STATES in numeric format]]=0,F279=0),1,0)</f>
        <v>0</v>
      </c>
      <c r="L280" s="3">
        <f>IF(AND(Table1[[#This Row],[STATES in numeric format]]=0,F279=1),1,0)</f>
        <v>1</v>
      </c>
      <c r="M280" s="3">
        <f>IF(AND(Table1[[#This Row],[STATES in numeric format]]=1,F279=-1),1,0)</f>
        <v>0</v>
      </c>
      <c r="N280" s="3">
        <f>IF(AND(Table1[[#This Row],[STATES in numeric format]]=1,F279=0),1,0)</f>
        <v>0</v>
      </c>
      <c r="O280" s="3">
        <f>IF(AND(Table1[[#This Row],[STATES in numeric format]]=1,F279=1),1,0)</f>
        <v>0</v>
      </c>
    </row>
    <row r="281" spans="1:15" x14ac:dyDescent="0.3">
      <c r="A281" s="1">
        <v>44237</v>
      </c>
      <c r="B281" s="18">
        <v>51309.39</v>
      </c>
      <c r="C281" s="3">
        <f>Table1[[#This Row],[Close]]-0.001*Table1[[#This Row],[Close]]</f>
        <v>51258.080609999997</v>
      </c>
      <c r="D281" s="3">
        <f>Table1[[#This Row],[Close]]+0.001*Table1[[#This Row],[Close]]</f>
        <v>51360.699390000002</v>
      </c>
      <c r="E281" s="3" t="str">
        <f>IF(Table1[[#This Row],[Close]]&gt;D280,"UP",IF(Table1[[#This Row],[Close]]&lt;C280,"Down","Constant"))</f>
        <v>Constant</v>
      </c>
      <c r="F281" s="3">
        <f>IF(Table1[[#This Row],[Column1]]="Up",1,IF(Table1[[#This Row],[Column1]]="Down",-1,0))</f>
        <v>0</v>
      </c>
      <c r="G281" s="3">
        <f>IF(AND(Table1[[#This Row],[STATES in numeric format]]=-1,F280=-1),1,0)</f>
        <v>0</v>
      </c>
      <c r="H281" s="3">
        <f>IF(AND(Table1[[#This Row],[STATES in numeric format]]=-1,F280=0),1,0)</f>
        <v>0</v>
      </c>
      <c r="I281" s="3">
        <f>IF(AND(Table1[[#This Row],[STATES in numeric format]]=-1,F280=1),1,0)</f>
        <v>0</v>
      </c>
      <c r="J281" s="3">
        <f>IF(AND(Table1[[#This Row],[STATES in numeric format]]=0,F280=-1),1,0)</f>
        <v>0</v>
      </c>
      <c r="K281" s="3">
        <f>IF(AND(Table1[[#This Row],[STATES in numeric format]]=0,F280=0),1,0)</f>
        <v>1</v>
      </c>
      <c r="L281" s="3">
        <f>IF(AND(Table1[[#This Row],[STATES in numeric format]]=0,F280=1),1,0)</f>
        <v>0</v>
      </c>
      <c r="M281" s="3">
        <f>IF(AND(Table1[[#This Row],[STATES in numeric format]]=1,F280=-1),1,0)</f>
        <v>0</v>
      </c>
      <c r="N281" s="3">
        <f>IF(AND(Table1[[#This Row],[STATES in numeric format]]=1,F280=0),1,0)</f>
        <v>0</v>
      </c>
      <c r="O281" s="3">
        <f>IF(AND(Table1[[#This Row],[STATES in numeric format]]=1,F280=1),1,0)</f>
        <v>0</v>
      </c>
    </row>
    <row r="282" spans="1:15" x14ac:dyDescent="0.3">
      <c r="A282" s="1">
        <v>44238</v>
      </c>
      <c r="B282" s="18">
        <v>51531.519999999997</v>
      </c>
      <c r="C282" s="3">
        <f>Table1[[#This Row],[Close]]-0.001*Table1[[#This Row],[Close]]</f>
        <v>51479.98848</v>
      </c>
      <c r="D282" s="3">
        <f>Table1[[#This Row],[Close]]+0.001*Table1[[#This Row],[Close]]</f>
        <v>51583.051519999994</v>
      </c>
      <c r="E282" s="3" t="str">
        <f>IF(Table1[[#This Row],[Close]]&gt;D281,"UP",IF(Table1[[#This Row],[Close]]&lt;C281,"Down","Constant"))</f>
        <v>UP</v>
      </c>
      <c r="F282" s="3">
        <f>IF(Table1[[#This Row],[Column1]]="Up",1,IF(Table1[[#This Row],[Column1]]="Down",-1,0))</f>
        <v>1</v>
      </c>
      <c r="G282" s="3">
        <f>IF(AND(Table1[[#This Row],[STATES in numeric format]]=-1,F281=-1),1,0)</f>
        <v>0</v>
      </c>
      <c r="H282" s="3">
        <f>IF(AND(Table1[[#This Row],[STATES in numeric format]]=-1,F281=0),1,0)</f>
        <v>0</v>
      </c>
      <c r="I282" s="3">
        <f>IF(AND(Table1[[#This Row],[STATES in numeric format]]=-1,F281=1),1,0)</f>
        <v>0</v>
      </c>
      <c r="J282" s="3">
        <f>IF(AND(Table1[[#This Row],[STATES in numeric format]]=0,F281=-1),1,0)</f>
        <v>0</v>
      </c>
      <c r="K282" s="3">
        <f>IF(AND(Table1[[#This Row],[STATES in numeric format]]=0,F281=0),1,0)</f>
        <v>0</v>
      </c>
      <c r="L282" s="3">
        <f>IF(AND(Table1[[#This Row],[STATES in numeric format]]=0,F281=1),1,0)</f>
        <v>0</v>
      </c>
      <c r="M282" s="3">
        <f>IF(AND(Table1[[#This Row],[STATES in numeric format]]=1,F281=-1),1,0)</f>
        <v>0</v>
      </c>
      <c r="N282" s="3">
        <f>IF(AND(Table1[[#This Row],[STATES in numeric format]]=1,F281=0),1,0)</f>
        <v>1</v>
      </c>
      <c r="O282" s="3">
        <f>IF(AND(Table1[[#This Row],[STATES in numeric format]]=1,F281=1),1,0)</f>
        <v>0</v>
      </c>
    </row>
    <row r="283" spans="1:15" x14ac:dyDescent="0.3">
      <c r="A283" s="1">
        <v>44239</v>
      </c>
      <c r="B283" s="18">
        <v>51544.3</v>
      </c>
      <c r="C283" s="3">
        <f>Table1[[#This Row],[Close]]-0.001*Table1[[#This Row],[Close]]</f>
        <v>51492.755700000002</v>
      </c>
      <c r="D283" s="3">
        <f>Table1[[#This Row],[Close]]+0.001*Table1[[#This Row],[Close]]</f>
        <v>51595.844300000004</v>
      </c>
      <c r="E283" s="3" t="str">
        <f>IF(Table1[[#This Row],[Close]]&gt;D282,"UP",IF(Table1[[#This Row],[Close]]&lt;C282,"Down","Constant"))</f>
        <v>Constant</v>
      </c>
      <c r="F283" s="3">
        <f>IF(Table1[[#This Row],[Column1]]="Up",1,IF(Table1[[#This Row],[Column1]]="Down",-1,0))</f>
        <v>0</v>
      </c>
      <c r="G283" s="3">
        <f>IF(AND(Table1[[#This Row],[STATES in numeric format]]=-1,F282=-1),1,0)</f>
        <v>0</v>
      </c>
      <c r="H283" s="3">
        <f>IF(AND(Table1[[#This Row],[STATES in numeric format]]=-1,F282=0),1,0)</f>
        <v>0</v>
      </c>
      <c r="I283" s="3">
        <f>IF(AND(Table1[[#This Row],[STATES in numeric format]]=-1,F282=1),1,0)</f>
        <v>0</v>
      </c>
      <c r="J283" s="3">
        <f>IF(AND(Table1[[#This Row],[STATES in numeric format]]=0,F282=-1),1,0)</f>
        <v>0</v>
      </c>
      <c r="K283" s="3">
        <f>IF(AND(Table1[[#This Row],[STATES in numeric format]]=0,F282=0),1,0)</f>
        <v>0</v>
      </c>
      <c r="L283" s="3">
        <f>IF(AND(Table1[[#This Row],[STATES in numeric format]]=0,F282=1),1,0)</f>
        <v>1</v>
      </c>
      <c r="M283" s="3">
        <f>IF(AND(Table1[[#This Row],[STATES in numeric format]]=1,F282=-1),1,0)</f>
        <v>0</v>
      </c>
      <c r="N283" s="3">
        <f>IF(AND(Table1[[#This Row],[STATES in numeric format]]=1,F282=0),1,0)</f>
        <v>0</v>
      </c>
      <c r="O283" s="3">
        <f>IF(AND(Table1[[#This Row],[STATES in numeric format]]=1,F282=1),1,0)</f>
        <v>0</v>
      </c>
    </row>
    <row r="284" spans="1:15" x14ac:dyDescent="0.3">
      <c r="A284" s="1">
        <v>44242</v>
      </c>
      <c r="B284" s="18">
        <v>52154.13</v>
      </c>
      <c r="C284" s="3">
        <f>Table1[[#This Row],[Close]]-0.001*Table1[[#This Row],[Close]]</f>
        <v>52101.975869999995</v>
      </c>
      <c r="D284" s="3">
        <f>Table1[[#This Row],[Close]]+0.001*Table1[[#This Row],[Close]]</f>
        <v>52206.28413</v>
      </c>
      <c r="E284" s="3" t="str">
        <f>IF(Table1[[#This Row],[Close]]&gt;D283,"UP",IF(Table1[[#This Row],[Close]]&lt;C283,"Down","Constant"))</f>
        <v>UP</v>
      </c>
      <c r="F284" s="3">
        <f>IF(Table1[[#This Row],[Column1]]="Up",1,IF(Table1[[#This Row],[Column1]]="Down",-1,0))</f>
        <v>1</v>
      </c>
      <c r="G284" s="3">
        <f>IF(AND(Table1[[#This Row],[STATES in numeric format]]=-1,F283=-1),1,0)</f>
        <v>0</v>
      </c>
      <c r="H284" s="3">
        <f>IF(AND(Table1[[#This Row],[STATES in numeric format]]=-1,F283=0),1,0)</f>
        <v>0</v>
      </c>
      <c r="I284" s="3">
        <f>IF(AND(Table1[[#This Row],[STATES in numeric format]]=-1,F283=1),1,0)</f>
        <v>0</v>
      </c>
      <c r="J284" s="3">
        <f>IF(AND(Table1[[#This Row],[STATES in numeric format]]=0,F283=-1),1,0)</f>
        <v>0</v>
      </c>
      <c r="K284" s="3">
        <f>IF(AND(Table1[[#This Row],[STATES in numeric format]]=0,F283=0),1,0)</f>
        <v>0</v>
      </c>
      <c r="L284" s="3">
        <f>IF(AND(Table1[[#This Row],[STATES in numeric format]]=0,F283=1),1,0)</f>
        <v>0</v>
      </c>
      <c r="M284" s="3">
        <f>IF(AND(Table1[[#This Row],[STATES in numeric format]]=1,F283=-1),1,0)</f>
        <v>0</v>
      </c>
      <c r="N284" s="3">
        <f>IF(AND(Table1[[#This Row],[STATES in numeric format]]=1,F283=0),1,0)</f>
        <v>1</v>
      </c>
      <c r="O284" s="3">
        <f>IF(AND(Table1[[#This Row],[STATES in numeric format]]=1,F283=1),1,0)</f>
        <v>0</v>
      </c>
    </row>
    <row r="285" spans="1:15" x14ac:dyDescent="0.3">
      <c r="A285" s="1">
        <v>44243</v>
      </c>
      <c r="B285" s="18">
        <v>52104.17</v>
      </c>
      <c r="C285" s="3">
        <f>Table1[[#This Row],[Close]]-0.001*Table1[[#This Row],[Close]]</f>
        <v>52052.06583</v>
      </c>
      <c r="D285" s="3">
        <f>Table1[[#This Row],[Close]]+0.001*Table1[[#This Row],[Close]]</f>
        <v>52156.274169999997</v>
      </c>
      <c r="E285" s="3" t="str">
        <f>IF(Table1[[#This Row],[Close]]&gt;D284,"UP",IF(Table1[[#This Row],[Close]]&lt;C284,"Down","Constant"))</f>
        <v>Constant</v>
      </c>
      <c r="F285" s="3">
        <f>IF(Table1[[#This Row],[Column1]]="Up",1,IF(Table1[[#This Row],[Column1]]="Down",-1,0))</f>
        <v>0</v>
      </c>
      <c r="G285" s="3">
        <f>IF(AND(Table1[[#This Row],[STATES in numeric format]]=-1,F284=-1),1,0)</f>
        <v>0</v>
      </c>
      <c r="H285" s="3">
        <f>IF(AND(Table1[[#This Row],[STATES in numeric format]]=-1,F284=0),1,0)</f>
        <v>0</v>
      </c>
      <c r="I285" s="3">
        <f>IF(AND(Table1[[#This Row],[STATES in numeric format]]=-1,F284=1),1,0)</f>
        <v>0</v>
      </c>
      <c r="J285" s="3">
        <f>IF(AND(Table1[[#This Row],[STATES in numeric format]]=0,F284=-1),1,0)</f>
        <v>0</v>
      </c>
      <c r="K285" s="3">
        <f>IF(AND(Table1[[#This Row],[STATES in numeric format]]=0,F284=0),1,0)</f>
        <v>0</v>
      </c>
      <c r="L285" s="3">
        <f>IF(AND(Table1[[#This Row],[STATES in numeric format]]=0,F284=1),1,0)</f>
        <v>1</v>
      </c>
      <c r="M285" s="3">
        <f>IF(AND(Table1[[#This Row],[STATES in numeric format]]=1,F284=-1),1,0)</f>
        <v>0</v>
      </c>
      <c r="N285" s="3">
        <f>IF(AND(Table1[[#This Row],[STATES in numeric format]]=1,F284=0),1,0)</f>
        <v>0</v>
      </c>
      <c r="O285" s="3">
        <f>IF(AND(Table1[[#This Row],[STATES in numeric format]]=1,F284=1),1,0)</f>
        <v>0</v>
      </c>
    </row>
    <row r="286" spans="1:15" x14ac:dyDescent="0.3">
      <c r="A286" s="1">
        <v>44244</v>
      </c>
      <c r="B286" s="18">
        <v>51703.83</v>
      </c>
      <c r="C286" s="3">
        <f>Table1[[#This Row],[Close]]-0.001*Table1[[#This Row],[Close]]</f>
        <v>51652.126170000003</v>
      </c>
      <c r="D286" s="3">
        <f>Table1[[#This Row],[Close]]+0.001*Table1[[#This Row],[Close]]</f>
        <v>51755.53383</v>
      </c>
      <c r="E286" s="3" t="str">
        <f>IF(Table1[[#This Row],[Close]]&gt;D285,"UP",IF(Table1[[#This Row],[Close]]&lt;C285,"Down","Constant"))</f>
        <v>Down</v>
      </c>
      <c r="F286" s="3">
        <f>IF(Table1[[#This Row],[Column1]]="Up",1,IF(Table1[[#This Row],[Column1]]="Down",-1,0))</f>
        <v>-1</v>
      </c>
      <c r="G286" s="3">
        <f>IF(AND(Table1[[#This Row],[STATES in numeric format]]=-1,F285=-1),1,0)</f>
        <v>0</v>
      </c>
      <c r="H286" s="3">
        <f>IF(AND(Table1[[#This Row],[STATES in numeric format]]=-1,F285=0),1,0)</f>
        <v>1</v>
      </c>
      <c r="I286" s="3">
        <f>IF(AND(Table1[[#This Row],[STATES in numeric format]]=-1,F285=1),1,0)</f>
        <v>0</v>
      </c>
      <c r="J286" s="3">
        <f>IF(AND(Table1[[#This Row],[STATES in numeric format]]=0,F285=-1),1,0)</f>
        <v>0</v>
      </c>
      <c r="K286" s="3">
        <f>IF(AND(Table1[[#This Row],[STATES in numeric format]]=0,F285=0),1,0)</f>
        <v>0</v>
      </c>
      <c r="L286" s="3">
        <f>IF(AND(Table1[[#This Row],[STATES in numeric format]]=0,F285=1),1,0)</f>
        <v>0</v>
      </c>
      <c r="M286" s="3">
        <f>IF(AND(Table1[[#This Row],[STATES in numeric format]]=1,F285=-1),1,0)</f>
        <v>0</v>
      </c>
      <c r="N286" s="3">
        <f>IF(AND(Table1[[#This Row],[STATES in numeric format]]=1,F285=0),1,0)</f>
        <v>0</v>
      </c>
      <c r="O286" s="3">
        <f>IF(AND(Table1[[#This Row],[STATES in numeric format]]=1,F285=1),1,0)</f>
        <v>0</v>
      </c>
    </row>
    <row r="287" spans="1:15" x14ac:dyDescent="0.3">
      <c r="A287" s="1">
        <v>44245</v>
      </c>
      <c r="B287" s="18">
        <v>51324.69</v>
      </c>
      <c r="C287" s="3">
        <f>Table1[[#This Row],[Close]]-0.001*Table1[[#This Row],[Close]]</f>
        <v>51273.365310000001</v>
      </c>
      <c r="D287" s="3">
        <f>Table1[[#This Row],[Close]]+0.001*Table1[[#This Row],[Close]]</f>
        <v>51376.014690000004</v>
      </c>
      <c r="E287" s="3" t="str">
        <f>IF(Table1[[#This Row],[Close]]&gt;D286,"UP",IF(Table1[[#This Row],[Close]]&lt;C286,"Down","Constant"))</f>
        <v>Down</v>
      </c>
      <c r="F287" s="3">
        <f>IF(Table1[[#This Row],[Column1]]="Up",1,IF(Table1[[#This Row],[Column1]]="Down",-1,0))</f>
        <v>-1</v>
      </c>
      <c r="G287" s="3">
        <f>IF(AND(Table1[[#This Row],[STATES in numeric format]]=-1,F286=-1),1,0)</f>
        <v>1</v>
      </c>
      <c r="H287" s="3">
        <f>IF(AND(Table1[[#This Row],[STATES in numeric format]]=-1,F286=0),1,0)</f>
        <v>0</v>
      </c>
      <c r="I287" s="3">
        <f>IF(AND(Table1[[#This Row],[STATES in numeric format]]=-1,F286=1),1,0)</f>
        <v>0</v>
      </c>
      <c r="J287" s="3">
        <f>IF(AND(Table1[[#This Row],[STATES in numeric format]]=0,F286=-1),1,0)</f>
        <v>0</v>
      </c>
      <c r="K287" s="3">
        <f>IF(AND(Table1[[#This Row],[STATES in numeric format]]=0,F286=0),1,0)</f>
        <v>0</v>
      </c>
      <c r="L287" s="3">
        <f>IF(AND(Table1[[#This Row],[STATES in numeric format]]=0,F286=1),1,0)</f>
        <v>0</v>
      </c>
      <c r="M287" s="3">
        <f>IF(AND(Table1[[#This Row],[STATES in numeric format]]=1,F286=-1),1,0)</f>
        <v>0</v>
      </c>
      <c r="N287" s="3">
        <f>IF(AND(Table1[[#This Row],[STATES in numeric format]]=1,F286=0),1,0)</f>
        <v>0</v>
      </c>
      <c r="O287" s="3">
        <f>IF(AND(Table1[[#This Row],[STATES in numeric format]]=1,F286=1),1,0)</f>
        <v>0</v>
      </c>
    </row>
    <row r="288" spans="1:15" x14ac:dyDescent="0.3">
      <c r="A288" s="1">
        <v>44246</v>
      </c>
      <c r="B288" s="18">
        <v>50889.760000000002</v>
      </c>
      <c r="C288" s="3">
        <f>Table1[[#This Row],[Close]]-0.001*Table1[[#This Row],[Close]]</f>
        <v>50838.870240000004</v>
      </c>
      <c r="D288" s="3">
        <f>Table1[[#This Row],[Close]]+0.001*Table1[[#This Row],[Close]]</f>
        <v>50940.64976</v>
      </c>
      <c r="E288" s="3" t="str">
        <f>IF(Table1[[#This Row],[Close]]&gt;D287,"UP",IF(Table1[[#This Row],[Close]]&lt;C287,"Down","Constant"))</f>
        <v>Down</v>
      </c>
      <c r="F288" s="3">
        <f>IF(Table1[[#This Row],[Column1]]="Up",1,IF(Table1[[#This Row],[Column1]]="Down",-1,0))</f>
        <v>-1</v>
      </c>
      <c r="G288" s="3">
        <f>IF(AND(Table1[[#This Row],[STATES in numeric format]]=-1,F287=-1),1,0)</f>
        <v>1</v>
      </c>
      <c r="H288" s="3">
        <f>IF(AND(Table1[[#This Row],[STATES in numeric format]]=-1,F287=0),1,0)</f>
        <v>0</v>
      </c>
      <c r="I288" s="3">
        <f>IF(AND(Table1[[#This Row],[STATES in numeric format]]=-1,F287=1),1,0)</f>
        <v>0</v>
      </c>
      <c r="J288" s="3">
        <f>IF(AND(Table1[[#This Row],[STATES in numeric format]]=0,F287=-1),1,0)</f>
        <v>0</v>
      </c>
      <c r="K288" s="3">
        <f>IF(AND(Table1[[#This Row],[STATES in numeric format]]=0,F287=0),1,0)</f>
        <v>0</v>
      </c>
      <c r="L288" s="3">
        <f>IF(AND(Table1[[#This Row],[STATES in numeric format]]=0,F287=1),1,0)</f>
        <v>0</v>
      </c>
      <c r="M288" s="3">
        <f>IF(AND(Table1[[#This Row],[STATES in numeric format]]=1,F287=-1),1,0)</f>
        <v>0</v>
      </c>
      <c r="N288" s="3">
        <f>IF(AND(Table1[[#This Row],[STATES in numeric format]]=1,F287=0),1,0)</f>
        <v>0</v>
      </c>
      <c r="O288" s="3">
        <f>IF(AND(Table1[[#This Row],[STATES in numeric format]]=1,F287=1),1,0)</f>
        <v>0</v>
      </c>
    </row>
    <row r="289" spans="1:15" x14ac:dyDescent="0.3">
      <c r="A289" s="1">
        <v>44249</v>
      </c>
      <c r="B289" s="18">
        <v>49744.32</v>
      </c>
      <c r="C289" s="3">
        <f>Table1[[#This Row],[Close]]-0.001*Table1[[#This Row],[Close]]</f>
        <v>49694.575680000002</v>
      </c>
      <c r="D289" s="3">
        <f>Table1[[#This Row],[Close]]+0.001*Table1[[#This Row],[Close]]</f>
        <v>49794.064319999998</v>
      </c>
      <c r="E289" s="3" t="str">
        <f>IF(Table1[[#This Row],[Close]]&gt;D288,"UP",IF(Table1[[#This Row],[Close]]&lt;C288,"Down","Constant"))</f>
        <v>Down</v>
      </c>
      <c r="F289" s="3">
        <f>IF(Table1[[#This Row],[Column1]]="Up",1,IF(Table1[[#This Row],[Column1]]="Down",-1,0))</f>
        <v>-1</v>
      </c>
      <c r="G289" s="3">
        <f>IF(AND(Table1[[#This Row],[STATES in numeric format]]=-1,F288=-1),1,0)</f>
        <v>1</v>
      </c>
      <c r="H289" s="3">
        <f>IF(AND(Table1[[#This Row],[STATES in numeric format]]=-1,F288=0),1,0)</f>
        <v>0</v>
      </c>
      <c r="I289" s="3">
        <f>IF(AND(Table1[[#This Row],[STATES in numeric format]]=-1,F288=1),1,0)</f>
        <v>0</v>
      </c>
      <c r="J289" s="3">
        <f>IF(AND(Table1[[#This Row],[STATES in numeric format]]=0,F288=-1),1,0)</f>
        <v>0</v>
      </c>
      <c r="K289" s="3">
        <f>IF(AND(Table1[[#This Row],[STATES in numeric format]]=0,F288=0),1,0)</f>
        <v>0</v>
      </c>
      <c r="L289" s="3">
        <f>IF(AND(Table1[[#This Row],[STATES in numeric format]]=0,F288=1),1,0)</f>
        <v>0</v>
      </c>
      <c r="M289" s="3">
        <f>IF(AND(Table1[[#This Row],[STATES in numeric format]]=1,F288=-1),1,0)</f>
        <v>0</v>
      </c>
      <c r="N289" s="3">
        <f>IF(AND(Table1[[#This Row],[STATES in numeric format]]=1,F288=0),1,0)</f>
        <v>0</v>
      </c>
      <c r="O289" s="3">
        <f>IF(AND(Table1[[#This Row],[STATES in numeric format]]=1,F288=1),1,0)</f>
        <v>0</v>
      </c>
    </row>
    <row r="290" spans="1:15" x14ac:dyDescent="0.3">
      <c r="A290" s="1">
        <v>44250</v>
      </c>
      <c r="B290" s="18">
        <v>49751.41</v>
      </c>
      <c r="C290" s="3">
        <f>Table1[[#This Row],[Close]]-0.001*Table1[[#This Row],[Close]]</f>
        <v>49701.658590000006</v>
      </c>
      <c r="D290" s="3">
        <f>Table1[[#This Row],[Close]]+0.001*Table1[[#This Row],[Close]]</f>
        <v>49801.161410000001</v>
      </c>
      <c r="E290" s="3" t="str">
        <f>IF(Table1[[#This Row],[Close]]&gt;D289,"UP",IF(Table1[[#This Row],[Close]]&lt;C289,"Down","Constant"))</f>
        <v>Constant</v>
      </c>
      <c r="F290" s="3">
        <f>IF(Table1[[#This Row],[Column1]]="Up",1,IF(Table1[[#This Row],[Column1]]="Down",-1,0))</f>
        <v>0</v>
      </c>
      <c r="G290" s="3">
        <f>IF(AND(Table1[[#This Row],[STATES in numeric format]]=-1,F289=-1),1,0)</f>
        <v>0</v>
      </c>
      <c r="H290" s="3">
        <f>IF(AND(Table1[[#This Row],[STATES in numeric format]]=-1,F289=0),1,0)</f>
        <v>0</v>
      </c>
      <c r="I290" s="3">
        <f>IF(AND(Table1[[#This Row],[STATES in numeric format]]=-1,F289=1),1,0)</f>
        <v>0</v>
      </c>
      <c r="J290" s="3">
        <f>IF(AND(Table1[[#This Row],[STATES in numeric format]]=0,F289=-1),1,0)</f>
        <v>1</v>
      </c>
      <c r="K290" s="3">
        <f>IF(AND(Table1[[#This Row],[STATES in numeric format]]=0,F289=0),1,0)</f>
        <v>0</v>
      </c>
      <c r="L290" s="3">
        <f>IF(AND(Table1[[#This Row],[STATES in numeric format]]=0,F289=1),1,0)</f>
        <v>0</v>
      </c>
      <c r="M290" s="3">
        <f>IF(AND(Table1[[#This Row],[STATES in numeric format]]=1,F289=-1),1,0)</f>
        <v>0</v>
      </c>
      <c r="N290" s="3">
        <f>IF(AND(Table1[[#This Row],[STATES in numeric format]]=1,F289=0),1,0)</f>
        <v>0</v>
      </c>
      <c r="O290" s="3">
        <f>IF(AND(Table1[[#This Row],[STATES in numeric format]]=1,F289=1),1,0)</f>
        <v>0</v>
      </c>
    </row>
    <row r="291" spans="1:15" x14ac:dyDescent="0.3">
      <c r="A291" s="1">
        <v>44251</v>
      </c>
      <c r="B291" s="18">
        <v>50781.69</v>
      </c>
      <c r="C291" s="3">
        <f>Table1[[#This Row],[Close]]-0.001*Table1[[#This Row],[Close]]</f>
        <v>50730.908309999999</v>
      </c>
      <c r="D291" s="3">
        <f>Table1[[#This Row],[Close]]+0.001*Table1[[#This Row],[Close]]</f>
        <v>50832.471690000006</v>
      </c>
      <c r="E291" s="3" t="str">
        <f>IF(Table1[[#This Row],[Close]]&gt;D290,"UP",IF(Table1[[#This Row],[Close]]&lt;C290,"Down","Constant"))</f>
        <v>UP</v>
      </c>
      <c r="F291" s="3">
        <f>IF(Table1[[#This Row],[Column1]]="Up",1,IF(Table1[[#This Row],[Column1]]="Down",-1,0))</f>
        <v>1</v>
      </c>
      <c r="G291" s="3">
        <f>IF(AND(Table1[[#This Row],[STATES in numeric format]]=-1,F290=-1),1,0)</f>
        <v>0</v>
      </c>
      <c r="H291" s="3">
        <f>IF(AND(Table1[[#This Row],[STATES in numeric format]]=-1,F290=0),1,0)</f>
        <v>0</v>
      </c>
      <c r="I291" s="3">
        <f>IF(AND(Table1[[#This Row],[STATES in numeric format]]=-1,F290=1),1,0)</f>
        <v>0</v>
      </c>
      <c r="J291" s="3">
        <f>IF(AND(Table1[[#This Row],[STATES in numeric format]]=0,F290=-1),1,0)</f>
        <v>0</v>
      </c>
      <c r="K291" s="3">
        <f>IF(AND(Table1[[#This Row],[STATES in numeric format]]=0,F290=0),1,0)</f>
        <v>0</v>
      </c>
      <c r="L291" s="3">
        <f>IF(AND(Table1[[#This Row],[STATES in numeric format]]=0,F290=1),1,0)</f>
        <v>0</v>
      </c>
      <c r="M291" s="3">
        <f>IF(AND(Table1[[#This Row],[STATES in numeric format]]=1,F290=-1),1,0)</f>
        <v>0</v>
      </c>
      <c r="N291" s="3">
        <f>IF(AND(Table1[[#This Row],[STATES in numeric format]]=1,F290=0),1,0)</f>
        <v>1</v>
      </c>
      <c r="O291" s="3">
        <f>IF(AND(Table1[[#This Row],[STATES in numeric format]]=1,F290=1),1,0)</f>
        <v>0</v>
      </c>
    </row>
    <row r="292" spans="1:15" x14ac:dyDescent="0.3">
      <c r="A292" s="1">
        <v>44252</v>
      </c>
      <c r="B292" s="18">
        <v>51039.31</v>
      </c>
      <c r="C292" s="3">
        <f>Table1[[#This Row],[Close]]-0.001*Table1[[#This Row],[Close]]</f>
        <v>50988.270689999998</v>
      </c>
      <c r="D292" s="3">
        <f>Table1[[#This Row],[Close]]+0.001*Table1[[#This Row],[Close]]</f>
        <v>51090.349309999998</v>
      </c>
      <c r="E292" s="3" t="str">
        <f>IF(Table1[[#This Row],[Close]]&gt;D291,"UP",IF(Table1[[#This Row],[Close]]&lt;C291,"Down","Constant"))</f>
        <v>UP</v>
      </c>
      <c r="F292" s="3">
        <f>IF(Table1[[#This Row],[Column1]]="Up",1,IF(Table1[[#This Row],[Column1]]="Down",-1,0))</f>
        <v>1</v>
      </c>
      <c r="G292" s="3">
        <f>IF(AND(Table1[[#This Row],[STATES in numeric format]]=-1,F291=-1),1,0)</f>
        <v>0</v>
      </c>
      <c r="H292" s="3">
        <f>IF(AND(Table1[[#This Row],[STATES in numeric format]]=-1,F291=0),1,0)</f>
        <v>0</v>
      </c>
      <c r="I292" s="3">
        <f>IF(AND(Table1[[#This Row],[STATES in numeric format]]=-1,F291=1),1,0)</f>
        <v>0</v>
      </c>
      <c r="J292" s="3">
        <f>IF(AND(Table1[[#This Row],[STATES in numeric format]]=0,F291=-1),1,0)</f>
        <v>0</v>
      </c>
      <c r="K292" s="3">
        <f>IF(AND(Table1[[#This Row],[STATES in numeric format]]=0,F291=0),1,0)</f>
        <v>0</v>
      </c>
      <c r="L292" s="3">
        <f>IF(AND(Table1[[#This Row],[STATES in numeric format]]=0,F291=1),1,0)</f>
        <v>0</v>
      </c>
      <c r="M292" s="3">
        <f>IF(AND(Table1[[#This Row],[STATES in numeric format]]=1,F291=-1),1,0)</f>
        <v>0</v>
      </c>
      <c r="N292" s="3">
        <f>IF(AND(Table1[[#This Row],[STATES in numeric format]]=1,F291=0),1,0)</f>
        <v>0</v>
      </c>
      <c r="O292" s="3">
        <f>IF(AND(Table1[[#This Row],[STATES in numeric format]]=1,F291=1),1,0)</f>
        <v>1</v>
      </c>
    </row>
    <row r="293" spans="1:15" x14ac:dyDescent="0.3">
      <c r="A293" s="1">
        <v>44253</v>
      </c>
      <c r="B293" s="18">
        <v>49099.99</v>
      </c>
      <c r="C293" s="3">
        <f>Table1[[#This Row],[Close]]-0.001*Table1[[#This Row],[Close]]</f>
        <v>49050.890009999996</v>
      </c>
      <c r="D293" s="3">
        <f>Table1[[#This Row],[Close]]+0.001*Table1[[#This Row],[Close]]</f>
        <v>49149.08999</v>
      </c>
      <c r="E293" s="3" t="str">
        <f>IF(Table1[[#This Row],[Close]]&gt;D292,"UP",IF(Table1[[#This Row],[Close]]&lt;C292,"Down","Constant"))</f>
        <v>Down</v>
      </c>
      <c r="F293" s="3">
        <f>IF(Table1[[#This Row],[Column1]]="Up",1,IF(Table1[[#This Row],[Column1]]="Down",-1,0))</f>
        <v>-1</v>
      </c>
      <c r="G293" s="3">
        <f>IF(AND(Table1[[#This Row],[STATES in numeric format]]=-1,F292=-1),1,0)</f>
        <v>0</v>
      </c>
      <c r="H293" s="3">
        <f>IF(AND(Table1[[#This Row],[STATES in numeric format]]=-1,F292=0),1,0)</f>
        <v>0</v>
      </c>
      <c r="I293" s="3">
        <f>IF(AND(Table1[[#This Row],[STATES in numeric format]]=-1,F292=1),1,0)</f>
        <v>1</v>
      </c>
      <c r="J293" s="3">
        <f>IF(AND(Table1[[#This Row],[STATES in numeric format]]=0,F292=-1),1,0)</f>
        <v>0</v>
      </c>
      <c r="K293" s="3">
        <f>IF(AND(Table1[[#This Row],[STATES in numeric format]]=0,F292=0),1,0)</f>
        <v>0</v>
      </c>
      <c r="L293" s="3">
        <f>IF(AND(Table1[[#This Row],[STATES in numeric format]]=0,F292=1),1,0)</f>
        <v>0</v>
      </c>
      <c r="M293" s="3">
        <f>IF(AND(Table1[[#This Row],[STATES in numeric format]]=1,F292=-1),1,0)</f>
        <v>0</v>
      </c>
      <c r="N293" s="3">
        <f>IF(AND(Table1[[#This Row],[STATES in numeric format]]=1,F292=0),1,0)</f>
        <v>0</v>
      </c>
      <c r="O293" s="3">
        <f>IF(AND(Table1[[#This Row],[STATES in numeric format]]=1,F292=1),1,0)</f>
        <v>0</v>
      </c>
    </row>
    <row r="294" spans="1:15" x14ac:dyDescent="0.3">
      <c r="A294" s="1">
        <v>44256</v>
      </c>
      <c r="B294" s="18">
        <v>49849.84</v>
      </c>
      <c r="C294" s="3">
        <f>Table1[[#This Row],[Close]]-0.001*Table1[[#This Row],[Close]]</f>
        <v>49799.990159999994</v>
      </c>
      <c r="D294" s="3">
        <f>Table1[[#This Row],[Close]]+0.001*Table1[[#This Row],[Close]]</f>
        <v>49899.689839999999</v>
      </c>
      <c r="E294" s="3" t="str">
        <f>IF(Table1[[#This Row],[Close]]&gt;D293,"UP",IF(Table1[[#This Row],[Close]]&lt;C293,"Down","Constant"))</f>
        <v>UP</v>
      </c>
      <c r="F294" s="3">
        <f>IF(Table1[[#This Row],[Column1]]="Up",1,IF(Table1[[#This Row],[Column1]]="Down",-1,0))</f>
        <v>1</v>
      </c>
      <c r="G294" s="3">
        <f>IF(AND(Table1[[#This Row],[STATES in numeric format]]=-1,F293=-1),1,0)</f>
        <v>0</v>
      </c>
      <c r="H294" s="3">
        <f>IF(AND(Table1[[#This Row],[STATES in numeric format]]=-1,F293=0),1,0)</f>
        <v>0</v>
      </c>
      <c r="I294" s="3">
        <f>IF(AND(Table1[[#This Row],[STATES in numeric format]]=-1,F293=1),1,0)</f>
        <v>0</v>
      </c>
      <c r="J294" s="3">
        <f>IF(AND(Table1[[#This Row],[STATES in numeric format]]=0,F293=-1),1,0)</f>
        <v>0</v>
      </c>
      <c r="K294" s="3">
        <f>IF(AND(Table1[[#This Row],[STATES in numeric format]]=0,F293=0),1,0)</f>
        <v>0</v>
      </c>
      <c r="L294" s="3">
        <f>IF(AND(Table1[[#This Row],[STATES in numeric format]]=0,F293=1),1,0)</f>
        <v>0</v>
      </c>
      <c r="M294" s="3">
        <f>IF(AND(Table1[[#This Row],[STATES in numeric format]]=1,F293=-1),1,0)</f>
        <v>1</v>
      </c>
      <c r="N294" s="3">
        <f>IF(AND(Table1[[#This Row],[STATES in numeric format]]=1,F293=0),1,0)</f>
        <v>0</v>
      </c>
      <c r="O294" s="3">
        <f>IF(AND(Table1[[#This Row],[STATES in numeric format]]=1,F293=1),1,0)</f>
        <v>0</v>
      </c>
    </row>
    <row r="295" spans="1:15" x14ac:dyDescent="0.3">
      <c r="A295" s="1">
        <v>44257</v>
      </c>
      <c r="B295" s="18">
        <v>50296.89</v>
      </c>
      <c r="C295" s="3">
        <f>Table1[[#This Row],[Close]]-0.001*Table1[[#This Row],[Close]]</f>
        <v>50246.593110000002</v>
      </c>
      <c r="D295" s="3">
        <f>Table1[[#This Row],[Close]]+0.001*Table1[[#This Row],[Close]]</f>
        <v>50347.186889999997</v>
      </c>
      <c r="E295" s="3" t="str">
        <f>IF(Table1[[#This Row],[Close]]&gt;D294,"UP",IF(Table1[[#This Row],[Close]]&lt;C294,"Down","Constant"))</f>
        <v>UP</v>
      </c>
      <c r="F295" s="3">
        <f>IF(Table1[[#This Row],[Column1]]="Up",1,IF(Table1[[#This Row],[Column1]]="Down",-1,0))</f>
        <v>1</v>
      </c>
      <c r="G295" s="3">
        <f>IF(AND(Table1[[#This Row],[STATES in numeric format]]=-1,F294=-1),1,0)</f>
        <v>0</v>
      </c>
      <c r="H295" s="3">
        <f>IF(AND(Table1[[#This Row],[STATES in numeric format]]=-1,F294=0),1,0)</f>
        <v>0</v>
      </c>
      <c r="I295" s="3">
        <f>IF(AND(Table1[[#This Row],[STATES in numeric format]]=-1,F294=1),1,0)</f>
        <v>0</v>
      </c>
      <c r="J295" s="3">
        <f>IF(AND(Table1[[#This Row],[STATES in numeric format]]=0,F294=-1),1,0)</f>
        <v>0</v>
      </c>
      <c r="K295" s="3">
        <f>IF(AND(Table1[[#This Row],[STATES in numeric format]]=0,F294=0),1,0)</f>
        <v>0</v>
      </c>
      <c r="L295" s="3">
        <f>IF(AND(Table1[[#This Row],[STATES in numeric format]]=0,F294=1),1,0)</f>
        <v>0</v>
      </c>
      <c r="M295" s="3">
        <f>IF(AND(Table1[[#This Row],[STATES in numeric format]]=1,F294=-1),1,0)</f>
        <v>0</v>
      </c>
      <c r="N295" s="3">
        <f>IF(AND(Table1[[#This Row],[STATES in numeric format]]=1,F294=0),1,0)</f>
        <v>0</v>
      </c>
      <c r="O295" s="3">
        <f>IF(AND(Table1[[#This Row],[STATES in numeric format]]=1,F294=1),1,0)</f>
        <v>1</v>
      </c>
    </row>
    <row r="296" spans="1:15" x14ac:dyDescent="0.3">
      <c r="A296" s="1">
        <v>44258</v>
      </c>
      <c r="B296" s="18">
        <v>51444.65</v>
      </c>
      <c r="C296" s="3">
        <f>Table1[[#This Row],[Close]]-0.001*Table1[[#This Row],[Close]]</f>
        <v>51393.205350000004</v>
      </c>
      <c r="D296" s="3">
        <f>Table1[[#This Row],[Close]]+0.001*Table1[[#This Row],[Close]]</f>
        <v>51496.094649999999</v>
      </c>
      <c r="E296" s="3" t="str">
        <f>IF(Table1[[#This Row],[Close]]&gt;D295,"UP",IF(Table1[[#This Row],[Close]]&lt;C295,"Down","Constant"))</f>
        <v>UP</v>
      </c>
      <c r="F296" s="3">
        <f>IF(Table1[[#This Row],[Column1]]="Up",1,IF(Table1[[#This Row],[Column1]]="Down",-1,0))</f>
        <v>1</v>
      </c>
      <c r="G296" s="3">
        <f>IF(AND(Table1[[#This Row],[STATES in numeric format]]=-1,F295=-1),1,0)</f>
        <v>0</v>
      </c>
      <c r="H296" s="3">
        <f>IF(AND(Table1[[#This Row],[STATES in numeric format]]=-1,F295=0),1,0)</f>
        <v>0</v>
      </c>
      <c r="I296" s="3">
        <f>IF(AND(Table1[[#This Row],[STATES in numeric format]]=-1,F295=1),1,0)</f>
        <v>0</v>
      </c>
      <c r="J296" s="3">
        <f>IF(AND(Table1[[#This Row],[STATES in numeric format]]=0,F295=-1),1,0)</f>
        <v>0</v>
      </c>
      <c r="K296" s="3">
        <f>IF(AND(Table1[[#This Row],[STATES in numeric format]]=0,F295=0),1,0)</f>
        <v>0</v>
      </c>
      <c r="L296" s="3">
        <f>IF(AND(Table1[[#This Row],[STATES in numeric format]]=0,F295=1),1,0)</f>
        <v>0</v>
      </c>
      <c r="M296" s="3">
        <f>IF(AND(Table1[[#This Row],[STATES in numeric format]]=1,F295=-1),1,0)</f>
        <v>0</v>
      </c>
      <c r="N296" s="3">
        <f>IF(AND(Table1[[#This Row],[STATES in numeric format]]=1,F295=0),1,0)</f>
        <v>0</v>
      </c>
      <c r="O296" s="3">
        <f>IF(AND(Table1[[#This Row],[STATES in numeric format]]=1,F295=1),1,0)</f>
        <v>1</v>
      </c>
    </row>
    <row r="297" spans="1:15" x14ac:dyDescent="0.3">
      <c r="A297" s="1">
        <v>44259</v>
      </c>
      <c r="B297" s="18">
        <v>50846.080000000002</v>
      </c>
      <c r="C297" s="3">
        <f>Table1[[#This Row],[Close]]-0.001*Table1[[#This Row],[Close]]</f>
        <v>50795.233919999999</v>
      </c>
      <c r="D297" s="3">
        <f>Table1[[#This Row],[Close]]+0.001*Table1[[#This Row],[Close]]</f>
        <v>50896.926080000005</v>
      </c>
      <c r="E297" s="3" t="str">
        <f>IF(Table1[[#This Row],[Close]]&gt;D296,"UP",IF(Table1[[#This Row],[Close]]&lt;C296,"Down","Constant"))</f>
        <v>Down</v>
      </c>
      <c r="F297" s="3">
        <f>IF(Table1[[#This Row],[Column1]]="Up",1,IF(Table1[[#This Row],[Column1]]="Down",-1,0))</f>
        <v>-1</v>
      </c>
      <c r="G297" s="3">
        <f>IF(AND(Table1[[#This Row],[STATES in numeric format]]=-1,F296=-1),1,0)</f>
        <v>0</v>
      </c>
      <c r="H297" s="3">
        <f>IF(AND(Table1[[#This Row],[STATES in numeric format]]=-1,F296=0),1,0)</f>
        <v>0</v>
      </c>
      <c r="I297" s="3">
        <f>IF(AND(Table1[[#This Row],[STATES in numeric format]]=-1,F296=1),1,0)</f>
        <v>1</v>
      </c>
      <c r="J297" s="3">
        <f>IF(AND(Table1[[#This Row],[STATES in numeric format]]=0,F296=-1),1,0)</f>
        <v>0</v>
      </c>
      <c r="K297" s="3">
        <f>IF(AND(Table1[[#This Row],[STATES in numeric format]]=0,F296=0),1,0)</f>
        <v>0</v>
      </c>
      <c r="L297" s="3">
        <f>IF(AND(Table1[[#This Row],[STATES in numeric format]]=0,F296=1),1,0)</f>
        <v>0</v>
      </c>
      <c r="M297" s="3">
        <f>IF(AND(Table1[[#This Row],[STATES in numeric format]]=1,F296=-1),1,0)</f>
        <v>0</v>
      </c>
      <c r="N297" s="3">
        <f>IF(AND(Table1[[#This Row],[STATES in numeric format]]=1,F296=0),1,0)</f>
        <v>0</v>
      </c>
      <c r="O297" s="3">
        <f>IF(AND(Table1[[#This Row],[STATES in numeric format]]=1,F296=1),1,0)</f>
        <v>0</v>
      </c>
    </row>
    <row r="298" spans="1:15" x14ac:dyDescent="0.3">
      <c r="A298" s="1">
        <v>44260</v>
      </c>
      <c r="B298" s="18">
        <v>50405.32</v>
      </c>
      <c r="C298" s="3">
        <f>Table1[[#This Row],[Close]]-0.001*Table1[[#This Row],[Close]]</f>
        <v>50354.914680000002</v>
      </c>
      <c r="D298" s="3">
        <f>Table1[[#This Row],[Close]]+0.001*Table1[[#This Row],[Close]]</f>
        <v>50455.725319999998</v>
      </c>
      <c r="E298" s="3" t="str">
        <f>IF(Table1[[#This Row],[Close]]&gt;D297,"UP",IF(Table1[[#This Row],[Close]]&lt;C297,"Down","Constant"))</f>
        <v>Down</v>
      </c>
      <c r="F298" s="3">
        <f>IF(Table1[[#This Row],[Column1]]="Up",1,IF(Table1[[#This Row],[Column1]]="Down",-1,0))</f>
        <v>-1</v>
      </c>
      <c r="G298" s="3">
        <f>IF(AND(Table1[[#This Row],[STATES in numeric format]]=-1,F297=-1),1,0)</f>
        <v>1</v>
      </c>
      <c r="H298" s="3">
        <f>IF(AND(Table1[[#This Row],[STATES in numeric format]]=-1,F297=0),1,0)</f>
        <v>0</v>
      </c>
      <c r="I298" s="3">
        <f>IF(AND(Table1[[#This Row],[STATES in numeric format]]=-1,F297=1),1,0)</f>
        <v>0</v>
      </c>
      <c r="J298" s="3">
        <f>IF(AND(Table1[[#This Row],[STATES in numeric format]]=0,F297=-1),1,0)</f>
        <v>0</v>
      </c>
      <c r="K298" s="3">
        <f>IF(AND(Table1[[#This Row],[STATES in numeric format]]=0,F297=0),1,0)</f>
        <v>0</v>
      </c>
      <c r="L298" s="3">
        <f>IF(AND(Table1[[#This Row],[STATES in numeric format]]=0,F297=1),1,0)</f>
        <v>0</v>
      </c>
      <c r="M298" s="3">
        <f>IF(AND(Table1[[#This Row],[STATES in numeric format]]=1,F297=-1),1,0)</f>
        <v>0</v>
      </c>
      <c r="N298" s="3">
        <f>IF(AND(Table1[[#This Row],[STATES in numeric format]]=1,F297=0),1,0)</f>
        <v>0</v>
      </c>
      <c r="O298" s="3">
        <f>IF(AND(Table1[[#This Row],[STATES in numeric format]]=1,F297=1),1,0)</f>
        <v>0</v>
      </c>
    </row>
    <row r="299" spans="1:15" x14ac:dyDescent="0.3">
      <c r="A299" s="1">
        <v>44263</v>
      </c>
      <c r="B299" s="18">
        <v>50441.07</v>
      </c>
      <c r="C299" s="3">
        <f>Table1[[#This Row],[Close]]-0.001*Table1[[#This Row],[Close]]</f>
        <v>50390.628929999999</v>
      </c>
      <c r="D299" s="3">
        <f>Table1[[#This Row],[Close]]+0.001*Table1[[#This Row],[Close]]</f>
        <v>50491.51107</v>
      </c>
      <c r="E299" s="3" t="str">
        <f>IF(Table1[[#This Row],[Close]]&gt;D298,"UP",IF(Table1[[#This Row],[Close]]&lt;C298,"Down","Constant"))</f>
        <v>Constant</v>
      </c>
      <c r="F299" s="3">
        <f>IF(Table1[[#This Row],[Column1]]="Up",1,IF(Table1[[#This Row],[Column1]]="Down",-1,0))</f>
        <v>0</v>
      </c>
      <c r="G299" s="3">
        <f>IF(AND(Table1[[#This Row],[STATES in numeric format]]=-1,F298=-1),1,0)</f>
        <v>0</v>
      </c>
      <c r="H299" s="3">
        <f>IF(AND(Table1[[#This Row],[STATES in numeric format]]=-1,F298=0),1,0)</f>
        <v>0</v>
      </c>
      <c r="I299" s="3">
        <f>IF(AND(Table1[[#This Row],[STATES in numeric format]]=-1,F298=1),1,0)</f>
        <v>0</v>
      </c>
      <c r="J299" s="3">
        <f>IF(AND(Table1[[#This Row],[STATES in numeric format]]=0,F298=-1),1,0)</f>
        <v>1</v>
      </c>
      <c r="K299" s="3">
        <f>IF(AND(Table1[[#This Row],[STATES in numeric format]]=0,F298=0),1,0)</f>
        <v>0</v>
      </c>
      <c r="L299" s="3">
        <f>IF(AND(Table1[[#This Row],[STATES in numeric format]]=0,F298=1),1,0)</f>
        <v>0</v>
      </c>
      <c r="M299" s="3">
        <f>IF(AND(Table1[[#This Row],[STATES in numeric format]]=1,F298=-1),1,0)</f>
        <v>0</v>
      </c>
      <c r="N299" s="3">
        <f>IF(AND(Table1[[#This Row],[STATES in numeric format]]=1,F298=0),1,0)</f>
        <v>0</v>
      </c>
      <c r="O299" s="3">
        <f>IF(AND(Table1[[#This Row],[STATES in numeric format]]=1,F298=1),1,0)</f>
        <v>0</v>
      </c>
    </row>
    <row r="300" spans="1:15" x14ac:dyDescent="0.3">
      <c r="A300" s="1">
        <v>44264</v>
      </c>
      <c r="B300" s="18">
        <v>51025.48</v>
      </c>
      <c r="C300" s="3">
        <f>Table1[[#This Row],[Close]]-0.001*Table1[[#This Row],[Close]]</f>
        <v>50974.454520000007</v>
      </c>
      <c r="D300" s="3">
        <f>Table1[[#This Row],[Close]]+0.001*Table1[[#This Row],[Close]]</f>
        <v>51076.50548</v>
      </c>
      <c r="E300" s="3" t="str">
        <f>IF(Table1[[#This Row],[Close]]&gt;D299,"UP",IF(Table1[[#This Row],[Close]]&lt;C299,"Down","Constant"))</f>
        <v>UP</v>
      </c>
      <c r="F300" s="3">
        <f>IF(Table1[[#This Row],[Column1]]="Up",1,IF(Table1[[#This Row],[Column1]]="Down",-1,0))</f>
        <v>1</v>
      </c>
      <c r="G300" s="3">
        <f>IF(AND(Table1[[#This Row],[STATES in numeric format]]=-1,F299=-1),1,0)</f>
        <v>0</v>
      </c>
      <c r="H300" s="3">
        <f>IF(AND(Table1[[#This Row],[STATES in numeric format]]=-1,F299=0),1,0)</f>
        <v>0</v>
      </c>
      <c r="I300" s="3">
        <f>IF(AND(Table1[[#This Row],[STATES in numeric format]]=-1,F299=1),1,0)</f>
        <v>0</v>
      </c>
      <c r="J300" s="3">
        <f>IF(AND(Table1[[#This Row],[STATES in numeric format]]=0,F299=-1),1,0)</f>
        <v>0</v>
      </c>
      <c r="K300" s="3">
        <f>IF(AND(Table1[[#This Row],[STATES in numeric format]]=0,F299=0),1,0)</f>
        <v>0</v>
      </c>
      <c r="L300" s="3">
        <f>IF(AND(Table1[[#This Row],[STATES in numeric format]]=0,F299=1),1,0)</f>
        <v>0</v>
      </c>
      <c r="M300" s="3">
        <f>IF(AND(Table1[[#This Row],[STATES in numeric format]]=1,F299=-1),1,0)</f>
        <v>0</v>
      </c>
      <c r="N300" s="3">
        <f>IF(AND(Table1[[#This Row],[STATES in numeric format]]=1,F299=0),1,0)</f>
        <v>1</v>
      </c>
      <c r="O300" s="3">
        <f>IF(AND(Table1[[#This Row],[STATES in numeric format]]=1,F299=1),1,0)</f>
        <v>0</v>
      </c>
    </row>
    <row r="301" spans="1:15" x14ac:dyDescent="0.3">
      <c r="A301" s="1">
        <v>44265</v>
      </c>
      <c r="B301" s="18">
        <v>51279.51</v>
      </c>
      <c r="C301" s="3">
        <f>Table1[[#This Row],[Close]]-0.001*Table1[[#This Row],[Close]]</f>
        <v>51228.230490000002</v>
      </c>
      <c r="D301" s="3">
        <f>Table1[[#This Row],[Close]]+0.001*Table1[[#This Row],[Close]]</f>
        <v>51330.789510000002</v>
      </c>
      <c r="E301" s="3" t="str">
        <f>IF(Table1[[#This Row],[Close]]&gt;D300,"UP",IF(Table1[[#This Row],[Close]]&lt;C300,"Down","Constant"))</f>
        <v>UP</v>
      </c>
      <c r="F301" s="3">
        <f>IF(Table1[[#This Row],[Column1]]="Up",1,IF(Table1[[#This Row],[Column1]]="Down",-1,0))</f>
        <v>1</v>
      </c>
      <c r="G301" s="3">
        <f>IF(AND(Table1[[#This Row],[STATES in numeric format]]=-1,F300=-1),1,0)</f>
        <v>0</v>
      </c>
      <c r="H301" s="3">
        <f>IF(AND(Table1[[#This Row],[STATES in numeric format]]=-1,F300=0),1,0)</f>
        <v>0</v>
      </c>
      <c r="I301" s="3">
        <f>IF(AND(Table1[[#This Row],[STATES in numeric format]]=-1,F300=1),1,0)</f>
        <v>0</v>
      </c>
      <c r="J301" s="3">
        <f>IF(AND(Table1[[#This Row],[STATES in numeric format]]=0,F300=-1),1,0)</f>
        <v>0</v>
      </c>
      <c r="K301" s="3">
        <f>IF(AND(Table1[[#This Row],[STATES in numeric format]]=0,F300=0),1,0)</f>
        <v>0</v>
      </c>
      <c r="L301" s="3">
        <f>IF(AND(Table1[[#This Row],[STATES in numeric format]]=0,F300=1),1,0)</f>
        <v>0</v>
      </c>
      <c r="M301" s="3">
        <f>IF(AND(Table1[[#This Row],[STATES in numeric format]]=1,F300=-1),1,0)</f>
        <v>0</v>
      </c>
      <c r="N301" s="3">
        <f>IF(AND(Table1[[#This Row],[STATES in numeric format]]=1,F300=0),1,0)</f>
        <v>0</v>
      </c>
      <c r="O301" s="3">
        <f>IF(AND(Table1[[#This Row],[STATES in numeric format]]=1,F300=1),1,0)</f>
        <v>1</v>
      </c>
    </row>
    <row r="302" spans="1:15" x14ac:dyDescent="0.3">
      <c r="A302" s="1">
        <v>44267</v>
      </c>
      <c r="B302" s="18">
        <v>50792.08</v>
      </c>
      <c r="C302" s="3">
        <f>Table1[[#This Row],[Close]]-0.001*Table1[[#This Row],[Close]]</f>
        <v>50741.287920000002</v>
      </c>
      <c r="D302" s="3">
        <f>Table1[[#This Row],[Close]]+0.001*Table1[[#This Row],[Close]]</f>
        <v>50842.872080000001</v>
      </c>
      <c r="E302" s="3" t="str">
        <f>IF(Table1[[#This Row],[Close]]&gt;D301,"UP",IF(Table1[[#This Row],[Close]]&lt;C301,"Down","Constant"))</f>
        <v>Down</v>
      </c>
      <c r="F302" s="3">
        <f>IF(Table1[[#This Row],[Column1]]="Up",1,IF(Table1[[#This Row],[Column1]]="Down",-1,0))</f>
        <v>-1</v>
      </c>
      <c r="G302" s="3">
        <f>IF(AND(Table1[[#This Row],[STATES in numeric format]]=-1,F301=-1),1,0)</f>
        <v>0</v>
      </c>
      <c r="H302" s="3">
        <f>IF(AND(Table1[[#This Row],[STATES in numeric format]]=-1,F301=0),1,0)</f>
        <v>0</v>
      </c>
      <c r="I302" s="3">
        <f>IF(AND(Table1[[#This Row],[STATES in numeric format]]=-1,F301=1),1,0)</f>
        <v>1</v>
      </c>
      <c r="J302" s="3">
        <f>IF(AND(Table1[[#This Row],[STATES in numeric format]]=0,F301=-1),1,0)</f>
        <v>0</v>
      </c>
      <c r="K302" s="3">
        <f>IF(AND(Table1[[#This Row],[STATES in numeric format]]=0,F301=0),1,0)</f>
        <v>0</v>
      </c>
      <c r="L302" s="3">
        <f>IF(AND(Table1[[#This Row],[STATES in numeric format]]=0,F301=1),1,0)</f>
        <v>0</v>
      </c>
      <c r="M302" s="3">
        <f>IF(AND(Table1[[#This Row],[STATES in numeric format]]=1,F301=-1),1,0)</f>
        <v>0</v>
      </c>
      <c r="N302" s="3">
        <f>IF(AND(Table1[[#This Row],[STATES in numeric format]]=1,F301=0),1,0)</f>
        <v>0</v>
      </c>
      <c r="O302" s="3">
        <f>IF(AND(Table1[[#This Row],[STATES in numeric format]]=1,F301=1),1,0)</f>
        <v>0</v>
      </c>
    </row>
    <row r="303" spans="1:15" x14ac:dyDescent="0.3">
      <c r="A303" s="1">
        <v>44270</v>
      </c>
      <c r="B303" s="18">
        <v>50395.08</v>
      </c>
      <c r="C303" s="3">
        <f>Table1[[#This Row],[Close]]-0.001*Table1[[#This Row],[Close]]</f>
        <v>50344.68492</v>
      </c>
      <c r="D303" s="3">
        <f>Table1[[#This Row],[Close]]+0.001*Table1[[#This Row],[Close]]</f>
        <v>50445.475080000004</v>
      </c>
      <c r="E303" s="3" t="str">
        <f>IF(Table1[[#This Row],[Close]]&gt;D302,"UP",IF(Table1[[#This Row],[Close]]&lt;C302,"Down","Constant"))</f>
        <v>Down</v>
      </c>
      <c r="F303" s="3">
        <f>IF(Table1[[#This Row],[Column1]]="Up",1,IF(Table1[[#This Row],[Column1]]="Down",-1,0))</f>
        <v>-1</v>
      </c>
      <c r="G303" s="3">
        <f>IF(AND(Table1[[#This Row],[STATES in numeric format]]=-1,F302=-1),1,0)</f>
        <v>1</v>
      </c>
      <c r="H303" s="3">
        <f>IF(AND(Table1[[#This Row],[STATES in numeric format]]=-1,F302=0),1,0)</f>
        <v>0</v>
      </c>
      <c r="I303" s="3">
        <f>IF(AND(Table1[[#This Row],[STATES in numeric format]]=-1,F302=1),1,0)</f>
        <v>0</v>
      </c>
      <c r="J303" s="3">
        <f>IF(AND(Table1[[#This Row],[STATES in numeric format]]=0,F302=-1),1,0)</f>
        <v>0</v>
      </c>
      <c r="K303" s="3">
        <f>IF(AND(Table1[[#This Row],[STATES in numeric format]]=0,F302=0),1,0)</f>
        <v>0</v>
      </c>
      <c r="L303" s="3">
        <f>IF(AND(Table1[[#This Row],[STATES in numeric format]]=0,F302=1),1,0)</f>
        <v>0</v>
      </c>
      <c r="M303" s="3">
        <f>IF(AND(Table1[[#This Row],[STATES in numeric format]]=1,F302=-1),1,0)</f>
        <v>0</v>
      </c>
      <c r="N303" s="3">
        <f>IF(AND(Table1[[#This Row],[STATES in numeric format]]=1,F302=0),1,0)</f>
        <v>0</v>
      </c>
      <c r="O303" s="3">
        <f>IF(AND(Table1[[#This Row],[STATES in numeric format]]=1,F302=1),1,0)</f>
        <v>0</v>
      </c>
    </row>
    <row r="304" spans="1:15" x14ac:dyDescent="0.3">
      <c r="A304" s="1">
        <v>44271</v>
      </c>
      <c r="B304" s="18">
        <v>50363.96</v>
      </c>
      <c r="C304" s="3">
        <f>Table1[[#This Row],[Close]]-0.001*Table1[[#This Row],[Close]]</f>
        <v>50313.596039999997</v>
      </c>
      <c r="D304" s="3">
        <f>Table1[[#This Row],[Close]]+0.001*Table1[[#This Row],[Close]]</f>
        <v>50414.323960000002</v>
      </c>
      <c r="E304" s="3" t="str">
        <f>IF(Table1[[#This Row],[Close]]&gt;D303,"UP",IF(Table1[[#This Row],[Close]]&lt;C303,"Down","Constant"))</f>
        <v>Constant</v>
      </c>
      <c r="F304" s="3">
        <f>IF(Table1[[#This Row],[Column1]]="Up",1,IF(Table1[[#This Row],[Column1]]="Down",-1,0))</f>
        <v>0</v>
      </c>
      <c r="G304" s="3">
        <f>IF(AND(Table1[[#This Row],[STATES in numeric format]]=-1,F303=-1),1,0)</f>
        <v>0</v>
      </c>
      <c r="H304" s="3">
        <f>IF(AND(Table1[[#This Row],[STATES in numeric format]]=-1,F303=0),1,0)</f>
        <v>0</v>
      </c>
      <c r="I304" s="3">
        <f>IF(AND(Table1[[#This Row],[STATES in numeric format]]=-1,F303=1),1,0)</f>
        <v>0</v>
      </c>
      <c r="J304" s="3">
        <f>IF(AND(Table1[[#This Row],[STATES in numeric format]]=0,F303=-1),1,0)</f>
        <v>1</v>
      </c>
      <c r="K304" s="3">
        <f>IF(AND(Table1[[#This Row],[STATES in numeric format]]=0,F303=0),1,0)</f>
        <v>0</v>
      </c>
      <c r="L304" s="3">
        <f>IF(AND(Table1[[#This Row],[STATES in numeric format]]=0,F303=1),1,0)</f>
        <v>0</v>
      </c>
      <c r="M304" s="3">
        <f>IF(AND(Table1[[#This Row],[STATES in numeric format]]=1,F303=-1),1,0)</f>
        <v>0</v>
      </c>
      <c r="N304" s="3">
        <f>IF(AND(Table1[[#This Row],[STATES in numeric format]]=1,F303=0),1,0)</f>
        <v>0</v>
      </c>
      <c r="O304" s="3">
        <f>IF(AND(Table1[[#This Row],[STATES in numeric format]]=1,F303=1),1,0)</f>
        <v>0</v>
      </c>
    </row>
    <row r="305" spans="1:15" x14ac:dyDescent="0.3">
      <c r="A305" s="1">
        <v>44272</v>
      </c>
      <c r="B305" s="18">
        <v>49801.62</v>
      </c>
      <c r="C305" s="3">
        <f>Table1[[#This Row],[Close]]-0.001*Table1[[#This Row],[Close]]</f>
        <v>49751.818380000004</v>
      </c>
      <c r="D305" s="3">
        <f>Table1[[#This Row],[Close]]+0.001*Table1[[#This Row],[Close]]</f>
        <v>49851.421620000001</v>
      </c>
      <c r="E305" s="3" t="str">
        <f>IF(Table1[[#This Row],[Close]]&gt;D304,"UP",IF(Table1[[#This Row],[Close]]&lt;C304,"Down","Constant"))</f>
        <v>Down</v>
      </c>
      <c r="F305" s="3">
        <f>IF(Table1[[#This Row],[Column1]]="Up",1,IF(Table1[[#This Row],[Column1]]="Down",-1,0))</f>
        <v>-1</v>
      </c>
      <c r="G305" s="3">
        <f>IF(AND(Table1[[#This Row],[STATES in numeric format]]=-1,F304=-1),1,0)</f>
        <v>0</v>
      </c>
      <c r="H305" s="3">
        <f>IF(AND(Table1[[#This Row],[STATES in numeric format]]=-1,F304=0),1,0)</f>
        <v>1</v>
      </c>
      <c r="I305" s="3">
        <f>IF(AND(Table1[[#This Row],[STATES in numeric format]]=-1,F304=1),1,0)</f>
        <v>0</v>
      </c>
      <c r="J305" s="3">
        <f>IF(AND(Table1[[#This Row],[STATES in numeric format]]=0,F304=-1),1,0)</f>
        <v>0</v>
      </c>
      <c r="K305" s="3">
        <f>IF(AND(Table1[[#This Row],[STATES in numeric format]]=0,F304=0),1,0)</f>
        <v>0</v>
      </c>
      <c r="L305" s="3">
        <f>IF(AND(Table1[[#This Row],[STATES in numeric format]]=0,F304=1),1,0)</f>
        <v>0</v>
      </c>
      <c r="M305" s="3">
        <f>IF(AND(Table1[[#This Row],[STATES in numeric format]]=1,F304=-1),1,0)</f>
        <v>0</v>
      </c>
      <c r="N305" s="3">
        <f>IF(AND(Table1[[#This Row],[STATES in numeric format]]=1,F304=0),1,0)</f>
        <v>0</v>
      </c>
      <c r="O305" s="3">
        <f>IF(AND(Table1[[#This Row],[STATES in numeric format]]=1,F304=1),1,0)</f>
        <v>0</v>
      </c>
    </row>
    <row r="306" spans="1:15" x14ac:dyDescent="0.3">
      <c r="A306" s="1">
        <v>44273</v>
      </c>
      <c r="B306" s="18">
        <v>49216.52</v>
      </c>
      <c r="C306" s="3">
        <f>Table1[[#This Row],[Close]]-0.001*Table1[[#This Row],[Close]]</f>
        <v>49167.303479999995</v>
      </c>
      <c r="D306" s="3">
        <f>Table1[[#This Row],[Close]]+0.001*Table1[[#This Row],[Close]]</f>
        <v>49265.736519999999</v>
      </c>
      <c r="E306" s="3" t="str">
        <f>IF(Table1[[#This Row],[Close]]&gt;D305,"UP",IF(Table1[[#This Row],[Close]]&lt;C305,"Down","Constant"))</f>
        <v>Down</v>
      </c>
      <c r="F306" s="3">
        <f>IF(Table1[[#This Row],[Column1]]="Up",1,IF(Table1[[#This Row],[Column1]]="Down",-1,0))</f>
        <v>-1</v>
      </c>
      <c r="G306" s="3">
        <f>IF(AND(Table1[[#This Row],[STATES in numeric format]]=-1,F305=-1),1,0)</f>
        <v>1</v>
      </c>
      <c r="H306" s="3">
        <f>IF(AND(Table1[[#This Row],[STATES in numeric format]]=-1,F305=0),1,0)</f>
        <v>0</v>
      </c>
      <c r="I306" s="3">
        <f>IF(AND(Table1[[#This Row],[STATES in numeric format]]=-1,F305=1),1,0)</f>
        <v>0</v>
      </c>
      <c r="J306" s="3">
        <f>IF(AND(Table1[[#This Row],[STATES in numeric format]]=0,F305=-1),1,0)</f>
        <v>0</v>
      </c>
      <c r="K306" s="3">
        <f>IF(AND(Table1[[#This Row],[STATES in numeric format]]=0,F305=0),1,0)</f>
        <v>0</v>
      </c>
      <c r="L306" s="3">
        <f>IF(AND(Table1[[#This Row],[STATES in numeric format]]=0,F305=1),1,0)</f>
        <v>0</v>
      </c>
      <c r="M306" s="3">
        <f>IF(AND(Table1[[#This Row],[STATES in numeric format]]=1,F305=-1),1,0)</f>
        <v>0</v>
      </c>
      <c r="N306" s="3">
        <f>IF(AND(Table1[[#This Row],[STATES in numeric format]]=1,F305=0),1,0)</f>
        <v>0</v>
      </c>
      <c r="O306" s="3">
        <f>IF(AND(Table1[[#This Row],[STATES in numeric format]]=1,F305=1),1,0)</f>
        <v>0</v>
      </c>
    </row>
    <row r="307" spans="1:15" x14ac:dyDescent="0.3">
      <c r="A307" s="1">
        <v>44274</v>
      </c>
      <c r="B307" s="18">
        <v>49858.239999999998</v>
      </c>
      <c r="C307" s="3">
        <f>Table1[[#This Row],[Close]]-0.001*Table1[[#This Row],[Close]]</f>
        <v>49808.381759999997</v>
      </c>
      <c r="D307" s="3">
        <f>Table1[[#This Row],[Close]]+0.001*Table1[[#This Row],[Close]]</f>
        <v>49908.098239999999</v>
      </c>
      <c r="E307" s="3" t="str">
        <f>IF(Table1[[#This Row],[Close]]&gt;D306,"UP",IF(Table1[[#This Row],[Close]]&lt;C306,"Down","Constant"))</f>
        <v>UP</v>
      </c>
      <c r="F307" s="3">
        <f>IF(Table1[[#This Row],[Column1]]="Up",1,IF(Table1[[#This Row],[Column1]]="Down",-1,0))</f>
        <v>1</v>
      </c>
      <c r="G307" s="3">
        <f>IF(AND(Table1[[#This Row],[STATES in numeric format]]=-1,F306=-1),1,0)</f>
        <v>0</v>
      </c>
      <c r="H307" s="3">
        <f>IF(AND(Table1[[#This Row],[STATES in numeric format]]=-1,F306=0),1,0)</f>
        <v>0</v>
      </c>
      <c r="I307" s="3">
        <f>IF(AND(Table1[[#This Row],[STATES in numeric format]]=-1,F306=1),1,0)</f>
        <v>0</v>
      </c>
      <c r="J307" s="3">
        <f>IF(AND(Table1[[#This Row],[STATES in numeric format]]=0,F306=-1),1,0)</f>
        <v>0</v>
      </c>
      <c r="K307" s="3">
        <f>IF(AND(Table1[[#This Row],[STATES in numeric format]]=0,F306=0),1,0)</f>
        <v>0</v>
      </c>
      <c r="L307" s="3">
        <f>IF(AND(Table1[[#This Row],[STATES in numeric format]]=0,F306=1),1,0)</f>
        <v>0</v>
      </c>
      <c r="M307" s="3">
        <f>IF(AND(Table1[[#This Row],[STATES in numeric format]]=1,F306=-1),1,0)</f>
        <v>1</v>
      </c>
      <c r="N307" s="3">
        <f>IF(AND(Table1[[#This Row],[STATES in numeric format]]=1,F306=0),1,0)</f>
        <v>0</v>
      </c>
      <c r="O307" s="3">
        <f>IF(AND(Table1[[#This Row],[STATES in numeric format]]=1,F306=1),1,0)</f>
        <v>0</v>
      </c>
    </row>
    <row r="308" spans="1:15" x14ac:dyDescent="0.3">
      <c r="A308" s="1">
        <v>44277</v>
      </c>
      <c r="B308" s="18">
        <v>49771.29</v>
      </c>
      <c r="C308" s="3">
        <f>Table1[[#This Row],[Close]]-0.001*Table1[[#This Row],[Close]]</f>
        <v>49721.518710000004</v>
      </c>
      <c r="D308" s="3">
        <f>Table1[[#This Row],[Close]]+0.001*Table1[[#This Row],[Close]]</f>
        <v>49821.061289999998</v>
      </c>
      <c r="E308" s="3" t="str">
        <f>IF(Table1[[#This Row],[Close]]&gt;D307,"UP",IF(Table1[[#This Row],[Close]]&lt;C307,"Down","Constant"))</f>
        <v>Down</v>
      </c>
      <c r="F308" s="3">
        <f>IF(Table1[[#This Row],[Column1]]="Up",1,IF(Table1[[#This Row],[Column1]]="Down",-1,0))</f>
        <v>-1</v>
      </c>
      <c r="G308" s="3">
        <f>IF(AND(Table1[[#This Row],[STATES in numeric format]]=-1,F307=-1),1,0)</f>
        <v>0</v>
      </c>
      <c r="H308" s="3">
        <f>IF(AND(Table1[[#This Row],[STATES in numeric format]]=-1,F307=0),1,0)</f>
        <v>0</v>
      </c>
      <c r="I308" s="3">
        <f>IF(AND(Table1[[#This Row],[STATES in numeric format]]=-1,F307=1),1,0)</f>
        <v>1</v>
      </c>
      <c r="J308" s="3">
        <f>IF(AND(Table1[[#This Row],[STATES in numeric format]]=0,F307=-1),1,0)</f>
        <v>0</v>
      </c>
      <c r="K308" s="3">
        <f>IF(AND(Table1[[#This Row],[STATES in numeric format]]=0,F307=0),1,0)</f>
        <v>0</v>
      </c>
      <c r="L308" s="3">
        <f>IF(AND(Table1[[#This Row],[STATES in numeric format]]=0,F307=1),1,0)</f>
        <v>0</v>
      </c>
      <c r="M308" s="3">
        <f>IF(AND(Table1[[#This Row],[STATES in numeric format]]=1,F307=-1),1,0)</f>
        <v>0</v>
      </c>
      <c r="N308" s="3">
        <f>IF(AND(Table1[[#This Row],[STATES in numeric format]]=1,F307=0),1,0)</f>
        <v>0</v>
      </c>
      <c r="O308" s="3">
        <f>IF(AND(Table1[[#This Row],[STATES in numeric format]]=1,F307=1),1,0)</f>
        <v>0</v>
      </c>
    </row>
    <row r="309" spans="1:15" x14ac:dyDescent="0.3">
      <c r="A309" s="1">
        <v>44278</v>
      </c>
      <c r="B309" s="18">
        <v>50051.44</v>
      </c>
      <c r="C309" s="3">
        <f>Table1[[#This Row],[Close]]-0.001*Table1[[#This Row],[Close]]</f>
        <v>50001.388559999999</v>
      </c>
      <c r="D309" s="3">
        <f>Table1[[#This Row],[Close]]+0.001*Table1[[#This Row],[Close]]</f>
        <v>50101.491440000005</v>
      </c>
      <c r="E309" s="3" t="str">
        <f>IF(Table1[[#This Row],[Close]]&gt;D308,"UP",IF(Table1[[#This Row],[Close]]&lt;C308,"Down","Constant"))</f>
        <v>UP</v>
      </c>
      <c r="F309" s="3">
        <f>IF(Table1[[#This Row],[Column1]]="Up",1,IF(Table1[[#This Row],[Column1]]="Down",-1,0))</f>
        <v>1</v>
      </c>
      <c r="G309" s="3">
        <f>IF(AND(Table1[[#This Row],[STATES in numeric format]]=-1,F308=-1),1,0)</f>
        <v>0</v>
      </c>
      <c r="H309" s="3">
        <f>IF(AND(Table1[[#This Row],[STATES in numeric format]]=-1,F308=0),1,0)</f>
        <v>0</v>
      </c>
      <c r="I309" s="3">
        <f>IF(AND(Table1[[#This Row],[STATES in numeric format]]=-1,F308=1),1,0)</f>
        <v>0</v>
      </c>
      <c r="J309" s="3">
        <f>IF(AND(Table1[[#This Row],[STATES in numeric format]]=0,F308=-1),1,0)</f>
        <v>0</v>
      </c>
      <c r="K309" s="3">
        <f>IF(AND(Table1[[#This Row],[STATES in numeric format]]=0,F308=0),1,0)</f>
        <v>0</v>
      </c>
      <c r="L309" s="3">
        <f>IF(AND(Table1[[#This Row],[STATES in numeric format]]=0,F308=1),1,0)</f>
        <v>0</v>
      </c>
      <c r="M309" s="3">
        <f>IF(AND(Table1[[#This Row],[STATES in numeric format]]=1,F308=-1),1,0)</f>
        <v>1</v>
      </c>
      <c r="N309" s="3">
        <f>IF(AND(Table1[[#This Row],[STATES in numeric format]]=1,F308=0),1,0)</f>
        <v>0</v>
      </c>
      <c r="O309" s="3">
        <f>IF(AND(Table1[[#This Row],[STATES in numeric format]]=1,F308=1),1,0)</f>
        <v>0</v>
      </c>
    </row>
    <row r="310" spans="1:15" x14ac:dyDescent="0.3">
      <c r="A310" s="1">
        <v>44279</v>
      </c>
      <c r="B310" s="18">
        <v>49180.31</v>
      </c>
      <c r="C310" s="3">
        <f>Table1[[#This Row],[Close]]-0.001*Table1[[#This Row],[Close]]</f>
        <v>49131.129689999994</v>
      </c>
      <c r="D310" s="3">
        <f>Table1[[#This Row],[Close]]+0.001*Table1[[#This Row],[Close]]</f>
        <v>49229.490310000001</v>
      </c>
      <c r="E310" s="3" t="str">
        <f>IF(Table1[[#This Row],[Close]]&gt;D309,"UP",IF(Table1[[#This Row],[Close]]&lt;C309,"Down","Constant"))</f>
        <v>Down</v>
      </c>
      <c r="F310" s="3">
        <f>IF(Table1[[#This Row],[Column1]]="Up",1,IF(Table1[[#This Row],[Column1]]="Down",-1,0))</f>
        <v>-1</v>
      </c>
      <c r="G310" s="3">
        <f>IF(AND(Table1[[#This Row],[STATES in numeric format]]=-1,F309=-1),1,0)</f>
        <v>0</v>
      </c>
      <c r="H310" s="3">
        <f>IF(AND(Table1[[#This Row],[STATES in numeric format]]=-1,F309=0),1,0)</f>
        <v>0</v>
      </c>
      <c r="I310" s="3">
        <f>IF(AND(Table1[[#This Row],[STATES in numeric format]]=-1,F309=1),1,0)</f>
        <v>1</v>
      </c>
      <c r="J310" s="3">
        <f>IF(AND(Table1[[#This Row],[STATES in numeric format]]=0,F309=-1),1,0)</f>
        <v>0</v>
      </c>
      <c r="K310" s="3">
        <f>IF(AND(Table1[[#This Row],[STATES in numeric format]]=0,F309=0),1,0)</f>
        <v>0</v>
      </c>
      <c r="L310" s="3">
        <f>IF(AND(Table1[[#This Row],[STATES in numeric format]]=0,F309=1),1,0)</f>
        <v>0</v>
      </c>
      <c r="M310" s="3">
        <f>IF(AND(Table1[[#This Row],[STATES in numeric format]]=1,F309=-1),1,0)</f>
        <v>0</v>
      </c>
      <c r="N310" s="3">
        <f>IF(AND(Table1[[#This Row],[STATES in numeric format]]=1,F309=0),1,0)</f>
        <v>0</v>
      </c>
      <c r="O310" s="3">
        <f>IF(AND(Table1[[#This Row],[STATES in numeric format]]=1,F309=1),1,0)</f>
        <v>0</v>
      </c>
    </row>
    <row r="311" spans="1:15" x14ac:dyDescent="0.3">
      <c r="A311" s="1">
        <v>44280</v>
      </c>
      <c r="B311" s="18">
        <v>48440.12</v>
      </c>
      <c r="C311" s="3">
        <f>Table1[[#This Row],[Close]]-0.001*Table1[[#This Row],[Close]]</f>
        <v>48391.679880000003</v>
      </c>
      <c r="D311" s="3">
        <f>Table1[[#This Row],[Close]]+0.001*Table1[[#This Row],[Close]]</f>
        <v>48488.560120000002</v>
      </c>
      <c r="E311" s="3" t="str">
        <f>IF(Table1[[#This Row],[Close]]&gt;D310,"UP",IF(Table1[[#This Row],[Close]]&lt;C310,"Down","Constant"))</f>
        <v>Down</v>
      </c>
      <c r="F311" s="3">
        <f>IF(Table1[[#This Row],[Column1]]="Up",1,IF(Table1[[#This Row],[Column1]]="Down",-1,0))</f>
        <v>-1</v>
      </c>
      <c r="G311" s="3">
        <f>IF(AND(Table1[[#This Row],[STATES in numeric format]]=-1,F310=-1),1,0)</f>
        <v>1</v>
      </c>
      <c r="H311" s="3">
        <f>IF(AND(Table1[[#This Row],[STATES in numeric format]]=-1,F310=0),1,0)</f>
        <v>0</v>
      </c>
      <c r="I311" s="3">
        <f>IF(AND(Table1[[#This Row],[STATES in numeric format]]=-1,F310=1),1,0)</f>
        <v>0</v>
      </c>
      <c r="J311" s="3">
        <f>IF(AND(Table1[[#This Row],[STATES in numeric format]]=0,F310=-1),1,0)</f>
        <v>0</v>
      </c>
      <c r="K311" s="3">
        <f>IF(AND(Table1[[#This Row],[STATES in numeric format]]=0,F310=0),1,0)</f>
        <v>0</v>
      </c>
      <c r="L311" s="3">
        <f>IF(AND(Table1[[#This Row],[STATES in numeric format]]=0,F310=1),1,0)</f>
        <v>0</v>
      </c>
      <c r="M311" s="3">
        <f>IF(AND(Table1[[#This Row],[STATES in numeric format]]=1,F310=-1),1,0)</f>
        <v>0</v>
      </c>
      <c r="N311" s="3">
        <f>IF(AND(Table1[[#This Row],[STATES in numeric format]]=1,F310=0),1,0)</f>
        <v>0</v>
      </c>
      <c r="O311" s="3">
        <f>IF(AND(Table1[[#This Row],[STATES in numeric format]]=1,F310=1),1,0)</f>
        <v>0</v>
      </c>
    </row>
    <row r="312" spans="1:15" x14ac:dyDescent="0.3">
      <c r="A312" s="1">
        <v>44281</v>
      </c>
      <c r="B312" s="18">
        <v>49008.5</v>
      </c>
      <c r="C312" s="3">
        <f>Table1[[#This Row],[Close]]-0.001*Table1[[#This Row],[Close]]</f>
        <v>48959.491499999996</v>
      </c>
      <c r="D312" s="3">
        <f>Table1[[#This Row],[Close]]+0.001*Table1[[#This Row],[Close]]</f>
        <v>49057.508500000004</v>
      </c>
      <c r="E312" s="3" t="str">
        <f>IF(Table1[[#This Row],[Close]]&gt;D311,"UP",IF(Table1[[#This Row],[Close]]&lt;C311,"Down","Constant"))</f>
        <v>UP</v>
      </c>
      <c r="F312" s="3">
        <f>IF(Table1[[#This Row],[Column1]]="Up",1,IF(Table1[[#This Row],[Column1]]="Down",-1,0))</f>
        <v>1</v>
      </c>
      <c r="G312" s="3">
        <f>IF(AND(Table1[[#This Row],[STATES in numeric format]]=-1,F311=-1),1,0)</f>
        <v>0</v>
      </c>
      <c r="H312" s="3">
        <f>IF(AND(Table1[[#This Row],[STATES in numeric format]]=-1,F311=0),1,0)</f>
        <v>0</v>
      </c>
      <c r="I312" s="3">
        <f>IF(AND(Table1[[#This Row],[STATES in numeric format]]=-1,F311=1),1,0)</f>
        <v>0</v>
      </c>
      <c r="J312" s="3">
        <f>IF(AND(Table1[[#This Row],[STATES in numeric format]]=0,F311=-1),1,0)</f>
        <v>0</v>
      </c>
      <c r="K312" s="3">
        <f>IF(AND(Table1[[#This Row],[STATES in numeric format]]=0,F311=0),1,0)</f>
        <v>0</v>
      </c>
      <c r="L312" s="3">
        <f>IF(AND(Table1[[#This Row],[STATES in numeric format]]=0,F311=1),1,0)</f>
        <v>0</v>
      </c>
      <c r="M312" s="3">
        <f>IF(AND(Table1[[#This Row],[STATES in numeric format]]=1,F311=-1),1,0)</f>
        <v>1</v>
      </c>
      <c r="N312" s="3">
        <f>IF(AND(Table1[[#This Row],[STATES in numeric format]]=1,F311=0),1,0)</f>
        <v>0</v>
      </c>
      <c r="O312" s="3">
        <f>IF(AND(Table1[[#This Row],[STATES in numeric format]]=1,F311=1),1,0)</f>
        <v>0</v>
      </c>
    </row>
    <row r="313" spans="1:15" x14ac:dyDescent="0.3">
      <c r="A313" s="1">
        <v>44285</v>
      </c>
      <c r="B313" s="18">
        <v>50136.58</v>
      </c>
      <c r="C313" s="3">
        <f>Table1[[#This Row],[Close]]-0.001*Table1[[#This Row],[Close]]</f>
        <v>50086.443420000003</v>
      </c>
      <c r="D313" s="3">
        <f>Table1[[#This Row],[Close]]+0.001*Table1[[#This Row],[Close]]</f>
        <v>50186.71658</v>
      </c>
      <c r="E313" s="3" t="str">
        <f>IF(Table1[[#This Row],[Close]]&gt;D312,"UP",IF(Table1[[#This Row],[Close]]&lt;C312,"Down","Constant"))</f>
        <v>UP</v>
      </c>
      <c r="F313" s="3">
        <f>IF(Table1[[#This Row],[Column1]]="Up",1,IF(Table1[[#This Row],[Column1]]="Down",-1,0))</f>
        <v>1</v>
      </c>
      <c r="G313" s="3">
        <f>IF(AND(Table1[[#This Row],[STATES in numeric format]]=-1,F312=-1),1,0)</f>
        <v>0</v>
      </c>
      <c r="H313" s="3">
        <f>IF(AND(Table1[[#This Row],[STATES in numeric format]]=-1,F312=0),1,0)</f>
        <v>0</v>
      </c>
      <c r="I313" s="3">
        <f>IF(AND(Table1[[#This Row],[STATES in numeric format]]=-1,F312=1),1,0)</f>
        <v>0</v>
      </c>
      <c r="J313" s="3">
        <f>IF(AND(Table1[[#This Row],[STATES in numeric format]]=0,F312=-1),1,0)</f>
        <v>0</v>
      </c>
      <c r="K313" s="3">
        <f>IF(AND(Table1[[#This Row],[STATES in numeric format]]=0,F312=0),1,0)</f>
        <v>0</v>
      </c>
      <c r="L313" s="3">
        <f>IF(AND(Table1[[#This Row],[STATES in numeric format]]=0,F312=1),1,0)</f>
        <v>0</v>
      </c>
      <c r="M313" s="3">
        <f>IF(AND(Table1[[#This Row],[STATES in numeric format]]=1,F312=-1),1,0)</f>
        <v>0</v>
      </c>
      <c r="N313" s="3">
        <f>IF(AND(Table1[[#This Row],[STATES in numeric format]]=1,F312=0),1,0)</f>
        <v>0</v>
      </c>
      <c r="O313" s="3">
        <f>IF(AND(Table1[[#This Row],[STATES in numeric format]]=1,F312=1),1,0)</f>
        <v>1</v>
      </c>
    </row>
    <row r="314" spans="1:15" x14ac:dyDescent="0.3">
      <c r="A314" s="1">
        <v>44286</v>
      </c>
      <c r="B314" s="18">
        <v>49509.15</v>
      </c>
      <c r="C314" s="3">
        <f>Table1[[#This Row],[Close]]-0.001*Table1[[#This Row],[Close]]</f>
        <v>49459.640850000003</v>
      </c>
      <c r="D314" s="3">
        <f>Table1[[#This Row],[Close]]+0.001*Table1[[#This Row],[Close]]</f>
        <v>49558.659149999999</v>
      </c>
      <c r="E314" s="3" t="str">
        <f>IF(Table1[[#This Row],[Close]]&gt;D313,"UP",IF(Table1[[#This Row],[Close]]&lt;C313,"Down","Constant"))</f>
        <v>Down</v>
      </c>
      <c r="F314" s="3">
        <f>IF(Table1[[#This Row],[Column1]]="Up",1,IF(Table1[[#This Row],[Column1]]="Down",-1,0))</f>
        <v>-1</v>
      </c>
      <c r="G314" s="3">
        <f>IF(AND(Table1[[#This Row],[STATES in numeric format]]=-1,F313=-1),1,0)</f>
        <v>0</v>
      </c>
      <c r="H314" s="3">
        <f>IF(AND(Table1[[#This Row],[STATES in numeric format]]=-1,F313=0),1,0)</f>
        <v>0</v>
      </c>
      <c r="I314" s="3">
        <f>IF(AND(Table1[[#This Row],[STATES in numeric format]]=-1,F313=1),1,0)</f>
        <v>1</v>
      </c>
      <c r="J314" s="3">
        <f>IF(AND(Table1[[#This Row],[STATES in numeric format]]=0,F313=-1),1,0)</f>
        <v>0</v>
      </c>
      <c r="K314" s="3">
        <f>IF(AND(Table1[[#This Row],[STATES in numeric format]]=0,F313=0),1,0)</f>
        <v>0</v>
      </c>
      <c r="L314" s="3">
        <f>IF(AND(Table1[[#This Row],[STATES in numeric format]]=0,F313=1),1,0)</f>
        <v>0</v>
      </c>
      <c r="M314" s="3">
        <f>IF(AND(Table1[[#This Row],[STATES in numeric format]]=1,F313=-1),1,0)</f>
        <v>0</v>
      </c>
      <c r="N314" s="3">
        <f>IF(AND(Table1[[#This Row],[STATES in numeric format]]=1,F313=0),1,0)</f>
        <v>0</v>
      </c>
      <c r="O314" s="3">
        <f>IF(AND(Table1[[#This Row],[STATES in numeric format]]=1,F313=1),1,0)</f>
        <v>0</v>
      </c>
    </row>
    <row r="315" spans="1:15" x14ac:dyDescent="0.3">
      <c r="A315" s="1">
        <v>44287</v>
      </c>
      <c r="B315" s="18">
        <v>50029.83</v>
      </c>
      <c r="C315" s="3">
        <f>Table1[[#This Row],[Close]]-0.001*Table1[[#This Row],[Close]]</f>
        <v>49979.800170000002</v>
      </c>
      <c r="D315" s="3">
        <f>Table1[[#This Row],[Close]]+0.001*Table1[[#This Row],[Close]]</f>
        <v>50079.859830000001</v>
      </c>
      <c r="E315" s="3" t="str">
        <f>IF(Table1[[#This Row],[Close]]&gt;D314,"UP",IF(Table1[[#This Row],[Close]]&lt;C314,"Down","Constant"))</f>
        <v>UP</v>
      </c>
      <c r="F315" s="3">
        <f>IF(Table1[[#This Row],[Column1]]="Up",1,IF(Table1[[#This Row],[Column1]]="Down",-1,0))</f>
        <v>1</v>
      </c>
      <c r="G315" s="3">
        <f>IF(AND(Table1[[#This Row],[STATES in numeric format]]=-1,F314=-1),1,0)</f>
        <v>0</v>
      </c>
      <c r="H315" s="3">
        <f>IF(AND(Table1[[#This Row],[STATES in numeric format]]=-1,F314=0),1,0)</f>
        <v>0</v>
      </c>
      <c r="I315" s="3">
        <f>IF(AND(Table1[[#This Row],[STATES in numeric format]]=-1,F314=1),1,0)</f>
        <v>0</v>
      </c>
      <c r="J315" s="3">
        <f>IF(AND(Table1[[#This Row],[STATES in numeric format]]=0,F314=-1),1,0)</f>
        <v>0</v>
      </c>
      <c r="K315" s="3">
        <f>IF(AND(Table1[[#This Row],[STATES in numeric format]]=0,F314=0),1,0)</f>
        <v>0</v>
      </c>
      <c r="L315" s="3">
        <f>IF(AND(Table1[[#This Row],[STATES in numeric format]]=0,F314=1),1,0)</f>
        <v>0</v>
      </c>
      <c r="M315" s="3">
        <f>IF(AND(Table1[[#This Row],[STATES in numeric format]]=1,F314=-1),1,0)</f>
        <v>1</v>
      </c>
      <c r="N315" s="3">
        <f>IF(AND(Table1[[#This Row],[STATES in numeric format]]=1,F314=0),1,0)</f>
        <v>0</v>
      </c>
      <c r="O315" s="3">
        <f>IF(AND(Table1[[#This Row],[STATES in numeric format]]=1,F314=1),1,0)</f>
        <v>0</v>
      </c>
    </row>
    <row r="316" spans="1:15" x14ac:dyDescent="0.3">
      <c r="A316" s="1">
        <v>44291</v>
      </c>
      <c r="B316" s="18">
        <v>49159.32</v>
      </c>
      <c r="C316" s="3">
        <f>Table1[[#This Row],[Close]]-0.001*Table1[[#This Row],[Close]]</f>
        <v>49110.160680000001</v>
      </c>
      <c r="D316" s="3">
        <f>Table1[[#This Row],[Close]]+0.001*Table1[[#This Row],[Close]]</f>
        <v>49208.479319999999</v>
      </c>
      <c r="E316" s="3" t="str">
        <f>IF(Table1[[#This Row],[Close]]&gt;D315,"UP",IF(Table1[[#This Row],[Close]]&lt;C315,"Down","Constant"))</f>
        <v>Down</v>
      </c>
      <c r="F316" s="3">
        <f>IF(Table1[[#This Row],[Column1]]="Up",1,IF(Table1[[#This Row],[Column1]]="Down",-1,0))</f>
        <v>-1</v>
      </c>
      <c r="G316" s="3">
        <f>IF(AND(Table1[[#This Row],[STATES in numeric format]]=-1,F315=-1),1,0)</f>
        <v>0</v>
      </c>
      <c r="H316" s="3">
        <f>IF(AND(Table1[[#This Row],[STATES in numeric format]]=-1,F315=0),1,0)</f>
        <v>0</v>
      </c>
      <c r="I316" s="3">
        <f>IF(AND(Table1[[#This Row],[STATES in numeric format]]=-1,F315=1),1,0)</f>
        <v>1</v>
      </c>
      <c r="J316" s="3">
        <f>IF(AND(Table1[[#This Row],[STATES in numeric format]]=0,F315=-1),1,0)</f>
        <v>0</v>
      </c>
      <c r="K316" s="3">
        <f>IF(AND(Table1[[#This Row],[STATES in numeric format]]=0,F315=0),1,0)</f>
        <v>0</v>
      </c>
      <c r="L316" s="3">
        <f>IF(AND(Table1[[#This Row],[STATES in numeric format]]=0,F315=1),1,0)</f>
        <v>0</v>
      </c>
      <c r="M316" s="3">
        <f>IF(AND(Table1[[#This Row],[STATES in numeric format]]=1,F315=-1),1,0)</f>
        <v>0</v>
      </c>
      <c r="N316" s="3">
        <f>IF(AND(Table1[[#This Row],[STATES in numeric format]]=1,F315=0),1,0)</f>
        <v>0</v>
      </c>
      <c r="O316" s="3">
        <f>IF(AND(Table1[[#This Row],[STATES in numeric format]]=1,F315=1),1,0)</f>
        <v>0</v>
      </c>
    </row>
    <row r="317" spans="1:15" x14ac:dyDescent="0.3">
      <c r="A317" s="1">
        <v>44292</v>
      </c>
      <c r="B317" s="18">
        <v>49201.39</v>
      </c>
      <c r="C317" s="3">
        <f>Table1[[#This Row],[Close]]-0.001*Table1[[#This Row],[Close]]</f>
        <v>49152.188609999997</v>
      </c>
      <c r="D317" s="3">
        <f>Table1[[#This Row],[Close]]+0.001*Table1[[#This Row],[Close]]</f>
        <v>49250.591390000001</v>
      </c>
      <c r="E317" s="3" t="str">
        <f>IF(Table1[[#This Row],[Close]]&gt;D316,"UP",IF(Table1[[#This Row],[Close]]&lt;C316,"Down","Constant"))</f>
        <v>Constant</v>
      </c>
      <c r="F317" s="3">
        <f>IF(Table1[[#This Row],[Column1]]="Up",1,IF(Table1[[#This Row],[Column1]]="Down",-1,0))</f>
        <v>0</v>
      </c>
      <c r="G317" s="3">
        <f>IF(AND(Table1[[#This Row],[STATES in numeric format]]=-1,F316=-1),1,0)</f>
        <v>0</v>
      </c>
      <c r="H317" s="3">
        <f>IF(AND(Table1[[#This Row],[STATES in numeric format]]=-1,F316=0),1,0)</f>
        <v>0</v>
      </c>
      <c r="I317" s="3">
        <f>IF(AND(Table1[[#This Row],[STATES in numeric format]]=-1,F316=1),1,0)</f>
        <v>0</v>
      </c>
      <c r="J317" s="3">
        <f>IF(AND(Table1[[#This Row],[STATES in numeric format]]=0,F316=-1),1,0)</f>
        <v>1</v>
      </c>
      <c r="K317" s="3">
        <f>IF(AND(Table1[[#This Row],[STATES in numeric format]]=0,F316=0),1,0)</f>
        <v>0</v>
      </c>
      <c r="L317" s="3">
        <f>IF(AND(Table1[[#This Row],[STATES in numeric format]]=0,F316=1),1,0)</f>
        <v>0</v>
      </c>
      <c r="M317" s="3">
        <f>IF(AND(Table1[[#This Row],[STATES in numeric format]]=1,F316=-1),1,0)</f>
        <v>0</v>
      </c>
      <c r="N317" s="3">
        <f>IF(AND(Table1[[#This Row],[STATES in numeric format]]=1,F316=0),1,0)</f>
        <v>0</v>
      </c>
      <c r="O317" s="3">
        <f>IF(AND(Table1[[#This Row],[STATES in numeric format]]=1,F316=1),1,0)</f>
        <v>0</v>
      </c>
    </row>
    <row r="318" spans="1:15" x14ac:dyDescent="0.3">
      <c r="A318" s="1">
        <v>44293</v>
      </c>
      <c r="B318" s="18">
        <v>49661.760000000002</v>
      </c>
      <c r="C318" s="3">
        <f>Table1[[#This Row],[Close]]-0.001*Table1[[#This Row],[Close]]</f>
        <v>49612.098239999999</v>
      </c>
      <c r="D318" s="3">
        <f>Table1[[#This Row],[Close]]+0.001*Table1[[#This Row],[Close]]</f>
        <v>49711.421760000005</v>
      </c>
      <c r="E318" s="3" t="str">
        <f>IF(Table1[[#This Row],[Close]]&gt;D317,"UP",IF(Table1[[#This Row],[Close]]&lt;C317,"Down","Constant"))</f>
        <v>UP</v>
      </c>
      <c r="F318" s="3">
        <f>IF(Table1[[#This Row],[Column1]]="Up",1,IF(Table1[[#This Row],[Column1]]="Down",-1,0))</f>
        <v>1</v>
      </c>
      <c r="G318" s="3">
        <f>IF(AND(Table1[[#This Row],[STATES in numeric format]]=-1,F317=-1),1,0)</f>
        <v>0</v>
      </c>
      <c r="H318" s="3">
        <f>IF(AND(Table1[[#This Row],[STATES in numeric format]]=-1,F317=0),1,0)</f>
        <v>0</v>
      </c>
      <c r="I318" s="3">
        <f>IF(AND(Table1[[#This Row],[STATES in numeric format]]=-1,F317=1),1,0)</f>
        <v>0</v>
      </c>
      <c r="J318" s="3">
        <f>IF(AND(Table1[[#This Row],[STATES in numeric format]]=0,F317=-1),1,0)</f>
        <v>0</v>
      </c>
      <c r="K318" s="3">
        <f>IF(AND(Table1[[#This Row],[STATES in numeric format]]=0,F317=0),1,0)</f>
        <v>0</v>
      </c>
      <c r="L318" s="3">
        <f>IF(AND(Table1[[#This Row],[STATES in numeric format]]=0,F317=1),1,0)</f>
        <v>0</v>
      </c>
      <c r="M318" s="3">
        <f>IF(AND(Table1[[#This Row],[STATES in numeric format]]=1,F317=-1),1,0)</f>
        <v>0</v>
      </c>
      <c r="N318" s="3">
        <f>IF(AND(Table1[[#This Row],[STATES in numeric format]]=1,F317=0),1,0)</f>
        <v>1</v>
      </c>
      <c r="O318" s="3">
        <f>IF(AND(Table1[[#This Row],[STATES in numeric format]]=1,F317=1),1,0)</f>
        <v>0</v>
      </c>
    </row>
    <row r="319" spans="1:15" x14ac:dyDescent="0.3">
      <c r="A319" s="1">
        <v>44294</v>
      </c>
      <c r="B319" s="18">
        <v>49746.21</v>
      </c>
      <c r="C319" s="3">
        <f>Table1[[#This Row],[Close]]-0.001*Table1[[#This Row],[Close]]</f>
        <v>49696.463790000002</v>
      </c>
      <c r="D319" s="3">
        <f>Table1[[#This Row],[Close]]+0.001*Table1[[#This Row],[Close]]</f>
        <v>49795.956209999997</v>
      </c>
      <c r="E319" s="3" t="str">
        <f>IF(Table1[[#This Row],[Close]]&gt;D318,"UP",IF(Table1[[#This Row],[Close]]&lt;C318,"Down","Constant"))</f>
        <v>UP</v>
      </c>
      <c r="F319" s="3">
        <f>IF(Table1[[#This Row],[Column1]]="Up",1,IF(Table1[[#This Row],[Column1]]="Down",-1,0))</f>
        <v>1</v>
      </c>
      <c r="G319" s="3">
        <f>IF(AND(Table1[[#This Row],[STATES in numeric format]]=-1,F318=-1),1,0)</f>
        <v>0</v>
      </c>
      <c r="H319" s="3">
        <f>IF(AND(Table1[[#This Row],[STATES in numeric format]]=-1,F318=0),1,0)</f>
        <v>0</v>
      </c>
      <c r="I319" s="3">
        <f>IF(AND(Table1[[#This Row],[STATES in numeric format]]=-1,F318=1),1,0)</f>
        <v>0</v>
      </c>
      <c r="J319" s="3">
        <f>IF(AND(Table1[[#This Row],[STATES in numeric format]]=0,F318=-1),1,0)</f>
        <v>0</v>
      </c>
      <c r="K319" s="3">
        <f>IF(AND(Table1[[#This Row],[STATES in numeric format]]=0,F318=0),1,0)</f>
        <v>0</v>
      </c>
      <c r="L319" s="3">
        <f>IF(AND(Table1[[#This Row],[STATES in numeric format]]=0,F318=1),1,0)</f>
        <v>0</v>
      </c>
      <c r="M319" s="3">
        <f>IF(AND(Table1[[#This Row],[STATES in numeric format]]=1,F318=-1),1,0)</f>
        <v>0</v>
      </c>
      <c r="N319" s="3">
        <f>IF(AND(Table1[[#This Row],[STATES in numeric format]]=1,F318=0),1,0)</f>
        <v>0</v>
      </c>
      <c r="O319" s="3">
        <f>IF(AND(Table1[[#This Row],[STATES in numeric format]]=1,F318=1),1,0)</f>
        <v>1</v>
      </c>
    </row>
    <row r="320" spans="1:15" x14ac:dyDescent="0.3">
      <c r="A320" s="1">
        <v>44295</v>
      </c>
      <c r="B320" s="18">
        <v>49591.32</v>
      </c>
      <c r="C320" s="3">
        <f>Table1[[#This Row],[Close]]-0.001*Table1[[#This Row],[Close]]</f>
        <v>49541.72868</v>
      </c>
      <c r="D320" s="3">
        <f>Table1[[#This Row],[Close]]+0.001*Table1[[#This Row],[Close]]</f>
        <v>49640.911319999999</v>
      </c>
      <c r="E320" s="3" t="str">
        <f>IF(Table1[[#This Row],[Close]]&gt;D319,"UP",IF(Table1[[#This Row],[Close]]&lt;C319,"Down","Constant"))</f>
        <v>Down</v>
      </c>
      <c r="F320" s="3">
        <f>IF(Table1[[#This Row],[Column1]]="Up",1,IF(Table1[[#This Row],[Column1]]="Down",-1,0))</f>
        <v>-1</v>
      </c>
      <c r="G320" s="3">
        <f>IF(AND(Table1[[#This Row],[STATES in numeric format]]=-1,F319=-1),1,0)</f>
        <v>0</v>
      </c>
      <c r="H320" s="3">
        <f>IF(AND(Table1[[#This Row],[STATES in numeric format]]=-1,F319=0),1,0)</f>
        <v>0</v>
      </c>
      <c r="I320" s="3">
        <f>IF(AND(Table1[[#This Row],[STATES in numeric format]]=-1,F319=1),1,0)</f>
        <v>1</v>
      </c>
      <c r="J320" s="3">
        <f>IF(AND(Table1[[#This Row],[STATES in numeric format]]=0,F319=-1),1,0)</f>
        <v>0</v>
      </c>
      <c r="K320" s="3">
        <f>IF(AND(Table1[[#This Row],[STATES in numeric format]]=0,F319=0),1,0)</f>
        <v>0</v>
      </c>
      <c r="L320" s="3">
        <f>IF(AND(Table1[[#This Row],[STATES in numeric format]]=0,F319=1),1,0)</f>
        <v>0</v>
      </c>
      <c r="M320" s="3">
        <f>IF(AND(Table1[[#This Row],[STATES in numeric format]]=1,F319=-1),1,0)</f>
        <v>0</v>
      </c>
      <c r="N320" s="3">
        <f>IF(AND(Table1[[#This Row],[STATES in numeric format]]=1,F319=0),1,0)</f>
        <v>0</v>
      </c>
      <c r="O320" s="3">
        <f>IF(AND(Table1[[#This Row],[STATES in numeric format]]=1,F319=1),1,0)</f>
        <v>0</v>
      </c>
    </row>
    <row r="321" spans="1:15" x14ac:dyDescent="0.3">
      <c r="A321" s="1">
        <v>44298</v>
      </c>
      <c r="B321" s="18">
        <v>47883.38</v>
      </c>
      <c r="C321" s="3">
        <f>Table1[[#This Row],[Close]]-0.001*Table1[[#This Row],[Close]]</f>
        <v>47835.496619999998</v>
      </c>
      <c r="D321" s="3">
        <f>Table1[[#This Row],[Close]]+0.001*Table1[[#This Row],[Close]]</f>
        <v>47931.263379999997</v>
      </c>
      <c r="E321" s="3" t="str">
        <f>IF(Table1[[#This Row],[Close]]&gt;D320,"UP",IF(Table1[[#This Row],[Close]]&lt;C320,"Down","Constant"))</f>
        <v>Down</v>
      </c>
      <c r="F321" s="3">
        <f>IF(Table1[[#This Row],[Column1]]="Up",1,IF(Table1[[#This Row],[Column1]]="Down",-1,0))</f>
        <v>-1</v>
      </c>
      <c r="G321" s="3">
        <f>IF(AND(Table1[[#This Row],[STATES in numeric format]]=-1,F320=-1),1,0)</f>
        <v>1</v>
      </c>
      <c r="H321" s="3">
        <f>IF(AND(Table1[[#This Row],[STATES in numeric format]]=-1,F320=0),1,0)</f>
        <v>0</v>
      </c>
      <c r="I321" s="3">
        <f>IF(AND(Table1[[#This Row],[STATES in numeric format]]=-1,F320=1),1,0)</f>
        <v>0</v>
      </c>
      <c r="J321" s="3">
        <f>IF(AND(Table1[[#This Row],[STATES in numeric format]]=0,F320=-1),1,0)</f>
        <v>0</v>
      </c>
      <c r="K321" s="3">
        <f>IF(AND(Table1[[#This Row],[STATES in numeric format]]=0,F320=0),1,0)</f>
        <v>0</v>
      </c>
      <c r="L321" s="3">
        <f>IF(AND(Table1[[#This Row],[STATES in numeric format]]=0,F320=1),1,0)</f>
        <v>0</v>
      </c>
      <c r="M321" s="3">
        <f>IF(AND(Table1[[#This Row],[STATES in numeric format]]=1,F320=-1),1,0)</f>
        <v>0</v>
      </c>
      <c r="N321" s="3">
        <f>IF(AND(Table1[[#This Row],[STATES in numeric format]]=1,F320=0),1,0)</f>
        <v>0</v>
      </c>
      <c r="O321" s="3">
        <f>IF(AND(Table1[[#This Row],[STATES in numeric format]]=1,F320=1),1,0)</f>
        <v>0</v>
      </c>
    </row>
    <row r="322" spans="1:15" x14ac:dyDescent="0.3">
      <c r="A322" s="1">
        <v>44299</v>
      </c>
      <c r="B322" s="18">
        <v>48544.06</v>
      </c>
      <c r="C322" s="3">
        <f>Table1[[#This Row],[Close]]-0.001*Table1[[#This Row],[Close]]</f>
        <v>48495.515939999997</v>
      </c>
      <c r="D322" s="3">
        <f>Table1[[#This Row],[Close]]+0.001*Table1[[#This Row],[Close]]</f>
        <v>48592.604059999998</v>
      </c>
      <c r="E322" s="3" t="str">
        <f>IF(Table1[[#This Row],[Close]]&gt;D321,"UP",IF(Table1[[#This Row],[Close]]&lt;C321,"Down","Constant"))</f>
        <v>UP</v>
      </c>
      <c r="F322" s="3">
        <f>IF(Table1[[#This Row],[Column1]]="Up",1,IF(Table1[[#This Row],[Column1]]="Down",-1,0))</f>
        <v>1</v>
      </c>
      <c r="G322" s="3">
        <f>IF(AND(Table1[[#This Row],[STATES in numeric format]]=-1,F321=-1),1,0)</f>
        <v>0</v>
      </c>
      <c r="H322" s="3">
        <f>IF(AND(Table1[[#This Row],[STATES in numeric format]]=-1,F321=0),1,0)</f>
        <v>0</v>
      </c>
      <c r="I322" s="3">
        <f>IF(AND(Table1[[#This Row],[STATES in numeric format]]=-1,F321=1),1,0)</f>
        <v>0</v>
      </c>
      <c r="J322" s="3">
        <f>IF(AND(Table1[[#This Row],[STATES in numeric format]]=0,F321=-1),1,0)</f>
        <v>0</v>
      </c>
      <c r="K322" s="3">
        <f>IF(AND(Table1[[#This Row],[STATES in numeric format]]=0,F321=0),1,0)</f>
        <v>0</v>
      </c>
      <c r="L322" s="3">
        <f>IF(AND(Table1[[#This Row],[STATES in numeric format]]=0,F321=1),1,0)</f>
        <v>0</v>
      </c>
      <c r="M322" s="3">
        <f>IF(AND(Table1[[#This Row],[STATES in numeric format]]=1,F321=-1),1,0)</f>
        <v>1</v>
      </c>
      <c r="N322" s="3">
        <f>IF(AND(Table1[[#This Row],[STATES in numeric format]]=1,F321=0),1,0)</f>
        <v>0</v>
      </c>
      <c r="O322" s="3">
        <f>IF(AND(Table1[[#This Row],[STATES in numeric format]]=1,F321=1),1,0)</f>
        <v>0</v>
      </c>
    </row>
    <row r="323" spans="1:15" x14ac:dyDescent="0.3">
      <c r="A323" s="1">
        <v>44301</v>
      </c>
      <c r="B323" s="18">
        <v>48803.68</v>
      </c>
      <c r="C323" s="3">
        <f>Table1[[#This Row],[Close]]-0.001*Table1[[#This Row],[Close]]</f>
        <v>48754.876320000003</v>
      </c>
      <c r="D323" s="3">
        <f>Table1[[#This Row],[Close]]+0.001*Table1[[#This Row],[Close]]</f>
        <v>48852.483679999998</v>
      </c>
      <c r="E323" s="3" t="str">
        <f>IF(Table1[[#This Row],[Close]]&gt;D322,"UP",IF(Table1[[#This Row],[Close]]&lt;C322,"Down","Constant"))</f>
        <v>UP</v>
      </c>
      <c r="F323" s="3">
        <f>IF(Table1[[#This Row],[Column1]]="Up",1,IF(Table1[[#This Row],[Column1]]="Down",-1,0))</f>
        <v>1</v>
      </c>
      <c r="G323" s="3">
        <f>IF(AND(Table1[[#This Row],[STATES in numeric format]]=-1,F322=-1),1,0)</f>
        <v>0</v>
      </c>
      <c r="H323" s="3">
        <f>IF(AND(Table1[[#This Row],[STATES in numeric format]]=-1,F322=0),1,0)</f>
        <v>0</v>
      </c>
      <c r="I323" s="3">
        <f>IF(AND(Table1[[#This Row],[STATES in numeric format]]=-1,F322=1),1,0)</f>
        <v>0</v>
      </c>
      <c r="J323" s="3">
        <f>IF(AND(Table1[[#This Row],[STATES in numeric format]]=0,F322=-1),1,0)</f>
        <v>0</v>
      </c>
      <c r="K323" s="3">
        <f>IF(AND(Table1[[#This Row],[STATES in numeric format]]=0,F322=0),1,0)</f>
        <v>0</v>
      </c>
      <c r="L323" s="3">
        <f>IF(AND(Table1[[#This Row],[STATES in numeric format]]=0,F322=1),1,0)</f>
        <v>0</v>
      </c>
      <c r="M323" s="3">
        <f>IF(AND(Table1[[#This Row],[STATES in numeric format]]=1,F322=-1),1,0)</f>
        <v>0</v>
      </c>
      <c r="N323" s="3">
        <f>IF(AND(Table1[[#This Row],[STATES in numeric format]]=1,F322=0),1,0)</f>
        <v>0</v>
      </c>
      <c r="O323" s="3">
        <f>IF(AND(Table1[[#This Row],[STATES in numeric format]]=1,F322=1),1,0)</f>
        <v>1</v>
      </c>
    </row>
    <row r="324" spans="1:15" x14ac:dyDescent="0.3">
      <c r="A324" s="1">
        <v>44302</v>
      </c>
      <c r="B324" s="18">
        <v>48832.03</v>
      </c>
      <c r="C324" s="3">
        <f>Table1[[#This Row],[Close]]-0.001*Table1[[#This Row],[Close]]</f>
        <v>48783.197970000001</v>
      </c>
      <c r="D324" s="3">
        <f>Table1[[#This Row],[Close]]+0.001*Table1[[#This Row],[Close]]</f>
        <v>48880.862029999997</v>
      </c>
      <c r="E324" s="3" t="str">
        <f>IF(Table1[[#This Row],[Close]]&gt;D323,"UP",IF(Table1[[#This Row],[Close]]&lt;C323,"Down","Constant"))</f>
        <v>Constant</v>
      </c>
      <c r="F324" s="3">
        <f>IF(Table1[[#This Row],[Column1]]="Up",1,IF(Table1[[#This Row],[Column1]]="Down",-1,0))</f>
        <v>0</v>
      </c>
      <c r="G324" s="3">
        <f>IF(AND(Table1[[#This Row],[STATES in numeric format]]=-1,F323=-1),1,0)</f>
        <v>0</v>
      </c>
      <c r="H324" s="3">
        <f>IF(AND(Table1[[#This Row],[STATES in numeric format]]=-1,F323=0),1,0)</f>
        <v>0</v>
      </c>
      <c r="I324" s="3">
        <f>IF(AND(Table1[[#This Row],[STATES in numeric format]]=-1,F323=1),1,0)</f>
        <v>0</v>
      </c>
      <c r="J324" s="3">
        <f>IF(AND(Table1[[#This Row],[STATES in numeric format]]=0,F323=-1),1,0)</f>
        <v>0</v>
      </c>
      <c r="K324" s="3">
        <f>IF(AND(Table1[[#This Row],[STATES in numeric format]]=0,F323=0),1,0)</f>
        <v>0</v>
      </c>
      <c r="L324" s="3">
        <f>IF(AND(Table1[[#This Row],[STATES in numeric format]]=0,F323=1),1,0)</f>
        <v>1</v>
      </c>
      <c r="M324" s="3">
        <f>IF(AND(Table1[[#This Row],[STATES in numeric format]]=1,F323=-1),1,0)</f>
        <v>0</v>
      </c>
      <c r="N324" s="3">
        <f>IF(AND(Table1[[#This Row],[STATES in numeric format]]=1,F323=0),1,0)</f>
        <v>0</v>
      </c>
      <c r="O324" s="3">
        <f>IF(AND(Table1[[#This Row],[STATES in numeric format]]=1,F323=1),1,0)</f>
        <v>0</v>
      </c>
    </row>
    <row r="325" spans="1:15" x14ac:dyDescent="0.3">
      <c r="A325" s="1">
        <v>44305</v>
      </c>
      <c r="B325" s="18">
        <v>47949.42</v>
      </c>
      <c r="C325" s="3">
        <f>Table1[[#This Row],[Close]]-0.001*Table1[[#This Row],[Close]]</f>
        <v>47901.470580000001</v>
      </c>
      <c r="D325" s="3">
        <f>Table1[[#This Row],[Close]]+0.001*Table1[[#This Row],[Close]]</f>
        <v>47997.369419999995</v>
      </c>
      <c r="E325" s="3" t="str">
        <f>IF(Table1[[#This Row],[Close]]&gt;D324,"UP",IF(Table1[[#This Row],[Close]]&lt;C324,"Down","Constant"))</f>
        <v>Down</v>
      </c>
      <c r="F325" s="3">
        <f>IF(Table1[[#This Row],[Column1]]="Up",1,IF(Table1[[#This Row],[Column1]]="Down",-1,0))</f>
        <v>-1</v>
      </c>
      <c r="G325" s="3">
        <f>IF(AND(Table1[[#This Row],[STATES in numeric format]]=-1,F324=-1),1,0)</f>
        <v>0</v>
      </c>
      <c r="H325" s="3">
        <f>IF(AND(Table1[[#This Row],[STATES in numeric format]]=-1,F324=0),1,0)</f>
        <v>1</v>
      </c>
      <c r="I325" s="3">
        <f>IF(AND(Table1[[#This Row],[STATES in numeric format]]=-1,F324=1),1,0)</f>
        <v>0</v>
      </c>
      <c r="J325" s="3">
        <f>IF(AND(Table1[[#This Row],[STATES in numeric format]]=0,F324=-1),1,0)</f>
        <v>0</v>
      </c>
      <c r="K325" s="3">
        <f>IF(AND(Table1[[#This Row],[STATES in numeric format]]=0,F324=0),1,0)</f>
        <v>0</v>
      </c>
      <c r="L325" s="3">
        <f>IF(AND(Table1[[#This Row],[STATES in numeric format]]=0,F324=1),1,0)</f>
        <v>0</v>
      </c>
      <c r="M325" s="3">
        <f>IF(AND(Table1[[#This Row],[STATES in numeric format]]=1,F324=-1),1,0)</f>
        <v>0</v>
      </c>
      <c r="N325" s="3">
        <f>IF(AND(Table1[[#This Row],[STATES in numeric format]]=1,F324=0),1,0)</f>
        <v>0</v>
      </c>
      <c r="O325" s="3">
        <f>IF(AND(Table1[[#This Row],[STATES in numeric format]]=1,F324=1),1,0)</f>
        <v>0</v>
      </c>
    </row>
    <row r="326" spans="1:15" x14ac:dyDescent="0.3">
      <c r="A326" s="1">
        <v>44306</v>
      </c>
      <c r="B326" s="18">
        <v>47705.8</v>
      </c>
      <c r="C326" s="3">
        <f>Table1[[#This Row],[Close]]-0.001*Table1[[#This Row],[Close]]</f>
        <v>47658.0942</v>
      </c>
      <c r="D326" s="3">
        <f>Table1[[#This Row],[Close]]+0.001*Table1[[#This Row],[Close]]</f>
        <v>47753.505800000006</v>
      </c>
      <c r="E326" s="3" t="str">
        <f>IF(Table1[[#This Row],[Close]]&gt;D325,"UP",IF(Table1[[#This Row],[Close]]&lt;C325,"Down","Constant"))</f>
        <v>Down</v>
      </c>
      <c r="F326" s="3">
        <f>IF(Table1[[#This Row],[Column1]]="Up",1,IF(Table1[[#This Row],[Column1]]="Down",-1,0))</f>
        <v>-1</v>
      </c>
      <c r="G326" s="3">
        <f>IF(AND(Table1[[#This Row],[STATES in numeric format]]=-1,F325=-1),1,0)</f>
        <v>1</v>
      </c>
      <c r="H326" s="3">
        <f>IF(AND(Table1[[#This Row],[STATES in numeric format]]=-1,F325=0),1,0)</f>
        <v>0</v>
      </c>
      <c r="I326" s="3">
        <f>IF(AND(Table1[[#This Row],[STATES in numeric format]]=-1,F325=1),1,0)</f>
        <v>0</v>
      </c>
      <c r="J326" s="3">
        <f>IF(AND(Table1[[#This Row],[STATES in numeric format]]=0,F325=-1),1,0)</f>
        <v>0</v>
      </c>
      <c r="K326" s="3">
        <f>IF(AND(Table1[[#This Row],[STATES in numeric format]]=0,F325=0),1,0)</f>
        <v>0</v>
      </c>
      <c r="L326" s="3">
        <f>IF(AND(Table1[[#This Row],[STATES in numeric format]]=0,F325=1),1,0)</f>
        <v>0</v>
      </c>
      <c r="M326" s="3">
        <f>IF(AND(Table1[[#This Row],[STATES in numeric format]]=1,F325=-1),1,0)</f>
        <v>0</v>
      </c>
      <c r="N326" s="3">
        <f>IF(AND(Table1[[#This Row],[STATES in numeric format]]=1,F325=0),1,0)</f>
        <v>0</v>
      </c>
      <c r="O326" s="3">
        <f>IF(AND(Table1[[#This Row],[STATES in numeric format]]=1,F325=1),1,0)</f>
        <v>0</v>
      </c>
    </row>
    <row r="327" spans="1:15" x14ac:dyDescent="0.3">
      <c r="A327" s="1">
        <v>44308</v>
      </c>
      <c r="B327" s="18">
        <v>48080.67</v>
      </c>
      <c r="C327" s="3">
        <f>Table1[[#This Row],[Close]]-0.001*Table1[[#This Row],[Close]]</f>
        <v>48032.589329999995</v>
      </c>
      <c r="D327" s="3">
        <f>Table1[[#This Row],[Close]]+0.001*Table1[[#This Row],[Close]]</f>
        <v>48128.750670000001</v>
      </c>
      <c r="E327" s="3" t="str">
        <f>IF(Table1[[#This Row],[Close]]&gt;D326,"UP",IF(Table1[[#This Row],[Close]]&lt;C326,"Down","Constant"))</f>
        <v>UP</v>
      </c>
      <c r="F327" s="3">
        <f>IF(Table1[[#This Row],[Column1]]="Up",1,IF(Table1[[#This Row],[Column1]]="Down",-1,0))</f>
        <v>1</v>
      </c>
      <c r="G327" s="3">
        <f>IF(AND(Table1[[#This Row],[STATES in numeric format]]=-1,F326=-1),1,0)</f>
        <v>0</v>
      </c>
      <c r="H327" s="3">
        <f>IF(AND(Table1[[#This Row],[STATES in numeric format]]=-1,F326=0),1,0)</f>
        <v>0</v>
      </c>
      <c r="I327" s="3">
        <f>IF(AND(Table1[[#This Row],[STATES in numeric format]]=-1,F326=1),1,0)</f>
        <v>0</v>
      </c>
      <c r="J327" s="3">
        <f>IF(AND(Table1[[#This Row],[STATES in numeric format]]=0,F326=-1),1,0)</f>
        <v>0</v>
      </c>
      <c r="K327" s="3">
        <f>IF(AND(Table1[[#This Row],[STATES in numeric format]]=0,F326=0),1,0)</f>
        <v>0</v>
      </c>
      <c r="L327" s="3">
        <f>IF(AND(Table1[[#This Row],[STATES in numeric format]]=0,F326=1),1,0)</f>
        <v>0</v>
      </c>
      <c r="M327" s="3">
        <f>IF(AND(Table1[[#This Row],[STATES in numeric format]]=1,F326=-1),1,0)</f>
        <v>1</v>
      </c>
      <c r="N327" s="3">
        <f>IF(AND(Table1[[#This Row],[STATES in numeric format]]=1,F326=0),1,0)</f>
        <v>0</v>
      </c>
      <c r="O327" s="3">
        <f>IF(AND(Table1[[#This Row],[STATES in numeric format]]=1,F326=1),1,0)</f>
        <v>0</v>
      </c>
    </row>
    <row r="328" spans="1:15" x14ac:dyDescent="0.3">
      <c r="A328" s="1">
        <v>44309</v>
      </c>
      <c r="B328" s="18">
        <v>47878.45</v>
      </c>
      <c r="C328" s="3">
        <f>Table1[[#This Row],[Close]]-0.001*Table1[[#This Row],[Close]]</f>
        <v>47830.571550000001</v>
      </c>
      <c r="D328" s="3">
        <f>Table1[[#This Row],[Close]]+0.001*Table1[[#This Row],[Close]]</f>
        <v>47926.328449999994</v>
      </c>
      <c r="E328" s="3" t="str">
        <f>IF(Table1[[#This Row],[Close]]&gt;D327,"UP",IF(Table1[[#This Row],[Close]]&lt;C327,"Down","Constant"))</f>
        <v>Down</v>
      </c>
      <c r="F328" s="3">
        <f>IF(Table1[[#This Row],[Column1]]="Up",1,IF(Table1[[#This Row],[Column1]]="Down",-1,0))</f>
        <v>-1</v>
      </c>
      <c r="G328" s="3">
        <f>IF(AND(Table1[[#This Row],[STATES in numeric format]]=-1,F327=-1),1,0)</f>
        <v>0</v>
      </c>
      <c r="H328" s="3">
        <f>IF(AND(Table1[[#This Row],[STATES in numeric format]]=-1,F327=0),1,0)</f>
        <v>0</v>
      </c>
      <c r="I328" s="3">
        <f>IF(AND(Table1[[#This Row],[STATES in numeric format]]=-1,F327=1),1,0)</f>
        <v>1</v>
      </c>
      <c r="J328" s="3">
        <f>IF(AND(Table1[[#This Row],[STATES in numeric format]]=0,F327=-1),1,0)</f>
        <v>0</v>
      </c>
      <c r="K328" s="3">
        <f>IF(AND(Table1[[#This Row],[STATES in numeric format]]=0,F327=0),1,0)</f>
        <v>0</v>
      </c>
      <c r="L328" s="3">
        <f>IF(AND(Table1[[#This Row],[STATES in numeric format]]=0,F327=1),1,0)</f>
        <v>0</v>
      </c>
      <c r="M328" s="3">
        <f>IF(AND(Table1[[#This Row],[STATES in numeric format]]=1,F327=-1),1,0)</f>
        <v>0</v>
      </c>
      <c r="N328" s="3">
        <f>IF(AND(Table1[[#This Row],[STATES in numeric format]]=1,F327=0),1,0)</f>
        <v>0</v>
      </c>
      <c r="O328" s="3">
        <f>IF(AND(Table1[[#This Row],[STATES in numeric format]]=1,F327=1),1,0)</f>
        <v>0</v>
      </c>
    </row>
    <row r="329" spans="1:15" x14ac:dyDescent="0.3">
      <c r="A329" s="1">
        <v>44312</v>
      </c>
      <c r="B329" s="18">
        <v>48386.51</v>
      </c>
      <c r="C329" s="3">
        <f>Table1[[#This Row],[Close]]-0.001*Table1[[#This Row],[Close]]</f>
        <v>48338.123490000005</v>
      </c>
      <c r="D329" s="3">
        <f>Table1[[#This Row],[Close]]+0.001*Table1[[#This Row],[Close]]</f>
        <v>48434.896509999999</v>
      </c>
      <c r="E329" s="3" t="str">
        <f>IF(Table1[[#This Row],[Close]]&gt;D328,"UP",IF(Table1[[#This Row],[Close]]&lt;C328,"Down","Constant"))</f>
        <v>UP</v>
      </c>
      <c r="F329" s="3">
        <f>IF(Table1[[#This Row],[Column1]]="Up",1,IF(Table1[[#This Row],[Column1]]="Down",-1,0))</f>
        <v>1</v>
      </c>
      <c r="G329" s="3">
        <f>IF(AND(Table1[[#This Row],[STATES in numeric format]]=-1,F328=-1),1,0)</f>
        <v>0</v>
      </c>
      <c r="H329" s="3">
        <f>IF(AND(Table1[[#This Row],[STATES in numeric format]]=-1,F328=0),1,0)</f>
        <v>0</v>
      </c>
      <c r="I329" s="3">
        <f>IF(AND(Table1[[#This Row],[STATES in numeric format]]=-1,F328=1),1,0)</f>
        <v>0</v>
      </c>
      <c r="J329" s="3">
        <f>IF(AND(Table1[[#This Row],[STATES in numeric format]]=0,F328=-1),1,0)</f>
        <v>0</v>
      </c>
      <c r="K329" s="3">
        <f>IF(AND(Table1[[#This Row],[STATES in numeric format]]=0,F328=0),1,0)</f>
        <v>0</v>
      </c>
      <c r="L329" s="3">
        <f>IF(AND(Table1[[#This Row],[STATES in numeric format]]=0,F328=1),1,0)</f>
        <v>0</v>
      </c>
      <c r="M329" s="3">
        <f>IF(AND(Table1[[#This Row],[STATES in numeric format]]=1,F328=-1),1,0)</f>
        <v>1</v>
      </c>
      <c r="N329" s="3">
        <f>IF(AND(Table1[[#This Row],[STATES in numeric format]]=1,F328=0),1,0)</f>
        <v>0</v>
      </c>
      <c r="O329" s="3">
        <f>IF(AND(Table1[[#This Row],[STATES in numeric format]]=1,F328=1),1,0)</f>
        <v>0</v>
      </c>
    </row>
    <row r="330" spans="1:15" x14ac:dyDescent="0.3">
      <c r="A330" s="1">
        <v>44313</v>
      </c>
      <c r="B330" s="18">
        <v>48944.14</v>
      </c>
      <c r="C330" s="3">
        <f>Table1[[#This Row],[Close]]-0.001*Table1[[#This Row],[Close]]</f>
        <v>48895.19586</v>
      </c>
      <c r="D330" s="3">
        <f>Table1[[#This Row],[Close]]+0.001*Table1[[#This Row],[Close]]</f>
        <v>48993.084139999999</v>
      </c>
      <c r="E330" s="3" t="str">
        <f>IF(Table1[[#This Row],[Close]]&gt;D329,"UP",IF(Table1[[#This Row],[Close]]&lt;C329,"Down","Constant"))</f>
        <v>UP</v>
      </c>
      <c r="F330" s="3">
        <f>IF(Table1[[#This Row],[Column1]]="Up",1,IF(Table1[[#This Row],[Column1]]="Down",-1,0))</f>
        <v>1</v>
      </c>
      <c r="G330" s="3">
        <f>IF(AND(Table1[[#This Row],[STATES in numeric format]]=-1,F329=-1),1,0)</f>
        <v>0</v>
      </c>
      <c r="H330" s="3">
        <f>IF(AND(Table1[[#This Row],[STATES in numeric format]]=-1,F329=0),1,0)</f>
        <v>0</v>
      </c>
      <c r="I330" s="3">
        <f>IF(AND(Table1[[#This Row],[STATES in numeric format]]=-1,F329=1),1,0)</f>
        <v>0</v>
      </c>
      <c r="J330" s="3">
        <f>IF(AND(Table1[[#This Row],[STATES in numeric format]]=0,F329=-1),1,0)</f>
        <v>0</v>
      </c>
      <c r="K330" s="3">
        <f>IF(AND(Table1[[#This Row],[STATES in numeric format]]=0,F329=0),1,0)</f>
        <v>0</v>
      </c>
      <c r="L330" s="3">
        <f>IF(AND(Table1[[#This Row],[STATES in numeric format]]=0,F329=1),1,0)</f>
        <v>0</v>
      </c>
      <c r="M330" s="3">
        <f>IF(AND(Table1[[#This Row],[STATES in numeric format]]=1,F329=-1),1,0)</f>
        <v>0</v>
      </c>
      <c r="N330" s="3">
        <f>IF(AND(Table1[[#This Row],[STATES in numeric format]]=1,F329=0),1,0)</f>
        <v>0</v>
      </c>
      <c r="O330" s="3">
        <f>IF(AND(Table1[[#This Row],[STATES in numeric format]]=1,F329=1),1,0)</f>
        <v>1</v>
      </c>
    </row>
    <row r="331" spans="1:15" x14ac:dyDescent="0.3">
      <c r="A331" s="1">
        <v>44314</v>
      </c>
      <c r="B331" s="18">
        <v>49733.84</v>
      </c>
      <c r="C331" s="3">
        <f>Table1[[#This Row],[Close]]-0.001*Table1[[#This Row],[Close]]</f>
        <v>49684.106159999996</v>
      </c>
      <c r="D331" s="3">
        <f>Table1[[#This Row],[Close]]+0.001*Table1[[#This Row],[Close]]</f>
        <v>49783.573839999997</v>
      </c>
      <c r="E331" s="3" t="str">
        <f>IF(Table1[[#This Row],[Close]]&gt;D330,"UP",IF(Table1[[#This Row],[Close]]&lt;C330,"Down","Constant"))</f>
        <v>UP</v>
      </c>
      <c r="F331" s="3">
        <f>IF(Table1[[#This Row],[Column1]]="Up",1,IF(Table1[[#This Row],[Column1]]="Down",-1,0))</f>
        <v>1</v>
      </c>
      <c r="G331" s="3">
        <f>IF(AND(Table1[[#This Row],[STATES in numeric format]]=-1,F330=-1),1,0)</f>
        <v>0</v>
      </c>
      <c r="H331" s="3">
        <f>IF(AND(Table1[[#This Row],[STATES in numeric format]]=-1,F330=0),1,0)</f>
        <v>0</v>
      </c>
      <c r="I331" s="3">
        <f>IF(AND(Table1[[#This Row],[STATES in numeric format]]=-1,F330=1),1,0)</f>
        <v>0</v>
      </c>
      <c r="J331" s="3">
        <f>IF(AND(Table1[[#This Row],[STATES in numeric format]]=0,F330=-1),1,0)</f>
        <v>0</v>
      </c>
      <c r="K331" s="3">
        <f>IF(AND(Table1[[#This Row],[STATES in numeric format]]=0,F330=0),1,0)</f>
        <v>0</v>
      </c>
      <c r="L331" s="3">
        <f>IF(AND(Table1[[#This Row],[STATES in numeric format]]=0,F330=1),1,0)</f>
        <v>0</v>
      </c>
      <c r="M331" s="3">
        <f>IF(AND(Table1[[#This Row],[STATES in numeric format]]=1,F330=-1),1,0)</f>
        <v>0</v>
      </c>
      <c r="N331" s="3">
        <f>IF(AND(Table1[[#This Row],[STATES in numeric format]]=1,F330=0),1,0)</f>
        <v>0</v>
      </c>
      <c r="O331" s="3">
        <f>IF(AND(Table1[[#This Row],[STATES in numeric format]]=1,F330=1),1,0)</f>
        <v>1</v>
      </c>
    </row>
    <row r="332" spans="1:15" x14ac:dyDescent="0.3">
      <c r="A332" s="1">
        <v>44315</v>
      </c>
      <c r="B332" s="18">
        <v>49765.94</v>
      </c>
      <c r="C332" s="3">
        <f>Table1[[#This Row],[Close]]-0.001*Table1[[#This Row],[Close]]</f>
        <v>49716.174060000005</v>
      </c>
      <c r="D332" s="3">
        <f>Table1[[#This Row],[Close]]+0.001*Table1[[#This Row],[Close]]</f>
        <v>49815.70594</v>
      </c>
      <c r="E332" s="3" t="str">
        <f>IF(Table1[[#This Row],[Close]]&gt;D331,"UP",IF(Table1[[#This Row],[Close]]&lt;C331,"Down","Constant"))</f>
        <v>Constant</v>
      </c>
      <c r="F332" s="3">
        <f>IF(Table1[[#This Row],[Column1]]="Up",1,IF(Table1[[#This Row],[Column1]]="Down",-1,0))</f>
        <v>0</v>
      </c>
      <c r="G332" s="3">
        <f>IF(AND(Table1[[#This Row],[STATES in numeric format]]=-1,F331=-1),1,0)</f>
        <v>0</v>
      </c>
      <c r="H332" s="3">
        <f>IF(AND(Table1[[#This Row],[STATES in numeric format]]=-1,F331=0),1,0)</f>
        <v>0</v>
      </c>
      <c r="I332" s="3">
        <f>IF(AND(Table1[[#This Row],[STATES in numeric format]]=-1,F331=1),1,0)</f>
        <v>0</v>
      </c>
      <c r="J332" s="3">
        <f>IF(AND(Table1[[#This Row],[STATES in numeric format]]=0,F331=-1),1,0)</f>
        <v>0</v>
      </c>
      <c r="K332" s="3">
        <f>IF(AND(Table1[[#This Row],[STATES in numeric format]]=0,F331=0),1,0)</f>
        <v>0</v>
      </c>
      <c r="L332" s="3">
        <f>IF(AND(Table1[[#This Row],[STATES in numeric format]]=0,F331=1),1,0)</f>
        <v>1</v>
      </c>
      <c r="M332" s="3">
        <f>IF(AND(Table1[[#This Row],[STATES in numeric format]]=1,F331=-1),1,0)</f>
        <v>0</v>
      </c>
      <c r="N332" s="3">
        <f>IF(AND(Table1[[#This Row],[STATES in numeric format]]=1,F331=0),1,0)</f>
        <v>0</v>
      </c>
      <c r="O332" s="3">
        <f>IF(AND(Table1[[#This Row],[STATES in numeric format]]=1,F331=1),1,0)</f>
        <v>0</v>
      </c>
    </row>
    <row r="333" spans="1:15" x14ac:dyDescent="0.3">
      <c r="A333" s="1">
        <v>44316</v>
      </c>
      <c r="B333" s="18">
        <v>48782.36</v>
      </c>
      <c r="C333" s="3">
        <f>Table1[[#This Row],[Close]]-0.001*Table1[[#This Row],[Close]]</f>
        <v>48733.577640000003</v>
      </c>
      <c r="D333" s="3">
        <f>Table1[[#This Row],[Close]]+0.001*Table1[[#This Row],[Close]]</f>
        <v>48831.142359999998</v>
      </c>
      <c r="E333" s="3" t="str">
        <f>IF(Table1[[#This Row],[Close]]&gt;D332,"UP",IF(Table1[[#This Row],[Close]]&lt;C332,"Down","Constant"))</f>
        <v>Down</v>
      </c>
      <c r="F333" s="3">
        <f>IF(Table1[[#This Row],[Column1]]="Up",1,IF(Table1[[#This Row],[Column1]]="Down",-1,0))</f>
        <v>-1</v>
      </c>
      <c r="G333" s="3">
        <f>IF(AND(Table1[[#This Row],[STATES in numeric format]]=-1,F332=-1),1,0)</f>
        <v>0</v>
      </c>
      <c r="H333" s="3">
        <f>IF(AND(Table1[[#This Row],[STATES in numeric format]]=-1,F332=0),1,0)</f>
        <v>1</v>
      </c>
      <c r="I333" s="3">
        <f>IF(AND(Table1[[#This Row],[STATES in numeric format]]=-1,F332=1),1,0)</f>
        <v>0</v>
      </c>
      <c r="J333" s="3">
        <f>IF(AND(Table1[[#This Row],[STATES in numeric format]]=0,F332=-1),1,0)</f>
        <v>0</v>
      </c>
      <c r="K333" s="3">
        <f>IF(AND(Table1[[#This Row],[STATES in numeric format]]=0,F332=0),1,0)</f>
        <v>0</v>
      </c>
      <c r="L333" s="3">
        <f>IF(AND(Table1[[#This Row],[STATES in numeric format]]=0,F332=1),1,0)</f>
        <v>0</v>
      </c>
      <c r="M333" s="3">
        <f>IF(AND(Table1[[#This Row],[STATES in numeric format]]=1,F332=-1),1,0)</f>
        <v>0</v>
      </c>
      <c r="N333" s="3">
        <f>IF(AND(Table1[[#This Row],[STATES in numeric format]]=1,F332=0),1,0)</f>
        <v>0</v>
      </c>
      <c r="O333" s="3">
        <f>IF(AND(Table1[[#This Row],[STATES in numeric format]]=1,F332=1),1,0)</f>
        <v>0</v>
      </c>
    </row>
    <row r="334" spans="1:15" x14ac:dyDescent="0.3">
      <c r="A334" s="1">
        <v>44319</v>
      </c>
      <c r="B334" s="18">
        <v>48718.52</v>
      </c>
      <c r="C334" s="3">
        <f>Table1[[#This Row],[Close]]-0.001*Table1[[#This Row],[Close]]</f>
        <v>48669.801479999995</v>
      </c>
      <c r="D334" s="3">
        <f>Table1[[#This Row],[Close]]+0.001*Table1[[#This Row],[Close]]</f>
        <v>48767.238519999999</v>
      </c>
      <c r="E334" s="3" t="str">
        <f>IF(Table1[[#This Row],[Close]]&gt;D333,"UP",IF(Table1[[#This Row],[Close]]&lt;C333,"Down","Constant"))</f>
        <v>Down</v>
      </c>
      <c r="F334" s="3">
        <f>IF(Table1[[#This Row],[Column1]]="Up",1,IF(Table1[[#This Row],[Column1]]="Down",-1,0))</f>
        <v>-1</v>
      </c>
      <c r="G334" s="3">
        <f>IF(AND(Table1[[#This Row],[STATES in numeric format]]=-1,F333=-1),1,0)</f>
        <v>1</v>
      </c>
      <c r="H334" s="3">
        <f>IF(AND(Table1[[#This Row],[STATES in numeric format]]=-1,F333=0),1,0)</f>
        <v>0</v>
      </c>
      <c r="I334" s="3">
        <f>IF(AND(Table1[[#This Row],[STATES in numeric format]]=-1,F333=1),1,0)</f>
        <v>0</v>
      </c>
      <c r="J334" s="3">
        <f>IF(AND(Table1[[#This Row],[STATES in numeric format]]=0,F333=-1),1,0)</f>
        <v>0</v>
      </c>
      <c r="K334" s="3">
        <f>IF(AND(Table1[[#This Row],[STATES in numeric format]]=0,F333=0),1,0)</f>
        <v>0</v>
      </c>
      <c r="L334" s="3">
        <f>IF(AND(Table1[[#This Row],[STATES in numeric format]]=0,F333=1),1,0)</f>
        <v>0</v>
      </c>
      <c r="M334" s="3">
        <f>IF(AND(Table1[[#This Row],[STATES in numeric format]]=1,F333=-1),1,0)</f>
        <v>0</v>
      </c>
      <c r="N334" s="3">
        <f>IF(AND(Table1[[#This Row],[STATES in numeric format]]=1,F333=0),1,0)</f>
        <v>0</v>
      </c>
      <c r="O334" s="3">
        <f>IF(AND(Table1[[#This Row],[STATES in numeric format]]=1,F333=1),1,0)</f>
        <v>0</v>
      </c>
    </row>
    <row r="335" spans="1:15" x14ac:dyDescent="0.3">
      <c r="A335" s="1">
        <v>44320</v>
      </c>
      <c r="B335" s="18">
        <v>48253.51</v>
      </c>
      <c r="C335" s="3">
        <f>Table1[[#This Row],[Close]]-0.001*Table1[[#This Row],[Close]]</f>
        <v>48205.25649</v>
      </c>
      <c r="D335" s="3">
        <f>Table1[[#This Row],[Close]]+0.001*Table1[[#This Row],[Close]]</f>
        <v>48301.763510000004</v>
      </c>
      <c r="E335" s="3" t="str">
        <f>IF(Table1[[#This Row],[Close]]&gt;D334,"UP",IF(Table1[[#This Row],[Close]]&lt;C334,"Down","Constant"))</f>
        <v>Down</v>
      </c>
      <c r="F335" s="3">
        <f>IF(Table1[[#This Row],[Column1]]="Up",1,IF(Table1[[#This Row],[Column1]]="Down",-1,0))</f>
        <v>-1</v>
      </c>
      <c r="G335" s="3">
        <f>IF(AND(Table1[[#This Row],[STATES in numeric format]]=-1,F334=-1),1,0)</f>
        <v>1</v>
      </c>
      <c r="H335" s="3">
        <f>IF(AND(Table1[[#This Row],[STATES in numeric format]]=-1,F334=0),1,0)</f>
        <v>0</v>
      </c>
      <c r="I335" s="3">
        <f>IF(AND(Table1[[#This Row],[STATES in numeric format]]=-1,F334=1),1,0)</f>
        <v>0</v>
      </c>
      <c r="J335" s="3">
        <f>IF(AND(Table1[[#This Row],[STATES in numeric format]]=0,F334=-1),1,0)</f>
        <v>0</v>
      </c>
      <c r="K335" s="3">
        <f>IF(AND(Table1[[#This Row],[STATES in numeric format]]=0,F334=0),1,0)</f>
        <v>0</v>
      </c>
      <c r="L335" s="3">
        <f>IF(AND(Table1[[#This Row],[STATES in numeric format]]=0,F334=1),1,0)</f>
        <v>0</v>
      </c>
      <c r="M335" s="3">
        <f>IF(AND(Table1[[#This Row],[STATES in numeric format]]=1,F334=-1),1,0)</f>
        <v>0</v>
      </c>
      <c r="N335" s="3">
        <f>IF(AND(Table1[[#This Row],[STATES in numeric format]]=1,F334=0),1,0)</f>
        <v>0</v>
      </c>
      <c r="O335" s="3">
        <f>IF(AND(Table1[[#This Row],[STATES in numeric format]]=1,F334=1),1,0)</f>
        <v>0</v>
      </c>
    </row>
    <row r="336" spans="1:15" x14ac:dyDescent="0.3">
      <c r="A336" s="1">
        <v>44321</v>
      </c>
      <c r="B336" s="18">
        <v>48677.55</v>
      </c>
      <c r="C336" s="3">
        <f>Table1[[#This Row],[Close]]-0.001*Table1[[#This Row],[Close]]</f>
        <v>48628.872450000003</v>
      </c>
      <c r="D336" s="3">
        <f>Table1[[#This Row],[Close]]+0.001*Table1[[#This Row],[Close]]</f>
        <v>48726.227550000003</v>
      </c>
      <c r="E336" s="3" t="str">
        <f>IF(Table1[[#This Row],[Close]]&gt;D335,"UP",IF(Table1[[#This Row],[Close]]&lt;C335,"Down","Constant"))</f>
        <v>UP</v>
      </c>
      <c r="F336" s="3">
        <f>IF(Table1[[#This Row],[Column1]]="Up",1,IF(Table1[[#This Row],[Column1]]="Down",-1,0))</f>
        <v>1</v>
      </c>
      <c r="G336" s="3">
        <f>IF(AND(Table1[[#This Row],[STATES in numeric format]]=-1,F335=-1),1,0)</f>
        <v>0</v>
      </c>
      <c r="H336" s="3">
        <f>IF(AND(Table1[[#This Row],[STATES in numeric format]]=-1,F335=0),1,0)</f>
        <v>0</v>
      </c>
      <c r="I336" s="3">
        <f>IF(AND(Table1[[#This Row],[STATES in numeric format]]=-1,F335=1),1,0)</f>
        <v>0</v>
      </c>
      <c r="J336" s="3">
        <f>IF(AND(Table1[[#This Row],[STATES in numeric format]]=0,F335=-1),1,0)</f>
        <v>0</v>
      </c>
      <c r="K336" s="3">
        <f>IF(AND(Table1[[#This Row],[STATES in numeric format]]=0,F335=0),1,0)</f>
        <v>0</v>
      </c>
      <c r="L336" s="3">
        <f>IF(AND(Table1[[#This Row],[STATES in numeric format]]=0,F335=1),1,0)</f>
        <v>0</v>
      </c>
      <c r="M336" s="3">
        <f>IF(AND(Table1[[#This Row],[STATES in numeric format]]=1,F335=-1),1,0)</f>
        <v>1</v>
      </c>
      <c r="N336" s="3">
        <f>IF(AND(Table1[[#This Row],[STATES in numeric format]]=1,F335=0),1,0)</f>
        <v>0</v>
      </c>
      <c r="O336" s="3">
        <f>IF(AND(Table1[[#This Row],[STATES in numeric format]]=1,F335=1),1,0)</f>
        <v>0</v>
      </c>
    </row>
    <row r="337" spans="1:15" x14ac:dyDescent="0.3">
      <c r="A337" s="1">
        <v>44322</v>
      </c>
      <c r="B337" s="18">
        <v>48949.760000000002</v>
      </c>
      <c r="C337" s="3">
        <f>Table1[[#This Row],[Close]]-0.001*Table1[[#This Row],[Close]]</f>
        <v>48900.810239999999</v>
      </c>
      <c r="D337" s="3">
        <f>Table1[[#This Row],[Close]]+0.001*Table1[[#This Row],[Close]]</f>
        <v>48998.709760000005</v>
      </c>
      <c r="E337" s="3" t="str">
        <f>IF(Table1[[#This Row],[Close]]&gt;D336,"UP",IF(Table1[[#This Row],[Close]]&lt;C336,"Down","Constant"))</f>
        <v>UP</v>
      </c>
      <c r="F337" s="3">
        <f>IF(Table1[[#This Row],[Column1]]="Up",1,IF(Table1[[#This Row],[Column1]]="Down",-1,0))</f>
        <v>1</v>
      </c>
      <c r="G337" s="3">
        <f>IF(AND(Table1[[#This Row],[STATES in numeric format]]=-1,F336=-1),1,0)</f>
        <v>0</v>
      </c>
      <c r="H337" s="3">
        <f>IF(AND(Table1[[#This Row],[STATES in numeric format]]=-1,F336=0),1,0)</f>
        <v>0</v>
      </c>
      <c r="I337" s="3">
        <f>IF(AND(Table1[[#This Row],[STATES in numeric format]]=-1,F336=1),1,0)</f>
        <v>0</v>
      </c>
      <c r="J337" s="3">
        <f>IF(AND(Table1[[#This Row],[STATES in numeric format]]=0,F336=-1),1,0)</f>
        <v>0</v>
      </c>
      <c r="K337" s="3">
        <f>IF(AND(Table1[[#This Row],[STATES in numeric format]]=0,F336=0),1,0)</f>
        <v>0</v>
      </c>
      <c r="L337" s="3">
        <f>IF(AND(Table1[[#This Row],[STATES in numeric format]]=0,F336=1),1,0)</f>
        <v>0</v>
      </c>
      <c r="M337" s="3">
        <f>IF(AND(Table1[[#This Row],[STATES in numeric format]]=1,F336=-1),1,0)</f>
        <v>0</v>
      </c>
      <c r="N337" s="3">
        <f>IF(AND(Table1[[#This Row],[STATES in numeric format]]=1,F336=0),1,0)</f>
        <v>0</v>
      </c>
      <c r="O337" s="3">
        <f>IF(AND(Table1[[#This Row],[STATES in numeric format]]=1,F336=1),1,0)</f>
        <v>1</v>
      </c>
    </row>
    <row r="338" spans="1:15" x14ac:dyDescent="0.3">
      <c r="A338" s="1">
        <v>44323</v>
      </c>
      <c r="B338" s="18">
        <v>49206.47</v>
      </c>
      <c r="C338" s="3">
        <f>Table1[[#This Row],[Close]]-0.001*Table1[[#This Row],[Close]]</f>
        <v>49157.263530000004</v>
      </c>
      <c r="D338" s="3">
        <f>Table1[[#This Row],[Close]]+0.001*Table1[[#This Row],[Close]]</f>
        <v>49255.676469999999</v>
      </c>
      <c r="E338" s="3" t="str">
        <f>IF(Table1[[#This Row],[Close]]&gt;D337,"UP",IF(Table1[[#This Row],[Close]]&lt;C337,"Down","Constant"))</f>
        <v>UP</v>
      </c>
      <c r="F338" s="3">
        <f>IF(Table1[[#This Row],[Column1]]="Up",1,IF(Table1[[#This Row],[Column1]]="Down",-1,0))</f>
        <v>1</v>
      </c>
      <c r="G338" s="3">
        <f>IF(AND(Table1[[#This Row],[STATES in numeric format]]=-1,F337=-1),1,0)</f>
        <v>0</v>
      </c>
      <c r="H338" s="3">
        <f>IF(AND(Table1[[#This Row],[STATES in numeric format]]=-1,F337=0),1,0)</f>
        <v>0</v>
      </c>
      <c r="I338" s="3">
        <f>IF(AND(Table1[[#This Row],[STATES in numeric format]]=-1,F337=1),1,0)</f>
        <v>0</v>
      </c>
      <c r="J338" s="3">
        <f>IF(AND(Table1[[#This Row],[STATES in numeric format]]=0,F337=-1),1,0)</f>
        <v>0</v>
      </c>
      <c r="K338" s="3">
        <f>IF(AND(Table1[[#This Row],[STATES in numeric format]]=0,F337=0),1,0)</f>
        <v>0</v>
      </c>
      <c r="L338" s="3">
        <f>IF(AND(Table1[[#This Row],[STATES in numeric format]]=0,F337=1),1,0)</f>
        <v>0</v>
      </c>
      <c r="M338" s="3">
        <f>IF(AND(Table1[[#This Row],[STATES in numeric format]]=1,F337=-1),1,0)</f>
        <v>0</v>
      </c>
      <c r="N338" s="3">
        <f>IF(AND(Table1[[#This Row],[STATES in numeric format]]=1,F337=0),1,0)</f>
        <v>0</v>
      </c>
      <c r="O338" s="3">
        <f>IF(AND(Table1[[#This Row],[STATES in numeric format]]=1,F337=1),1,0)</f>
        <v>1</v>
      </c>
    </row>
    <row r="339" spans="1:15" x14ac:dyDescent="0.3">
      <c r="A339" s="1">
        <v>44326</v>
      </c>
      <c r="B339" s="18">
        <v>49502.41</v>
      </c>
      <c r="C339" s="3">
        <f>Table1[[#This Row],[Close]]-0.001*Table1[[#This Row],[Close]]</f>
        <v>49452.907590000003</v>
      </c>
      <c r="D339" s="3">
        <f>Table1[[#This Row],[Close]]+0.001*Table1[[#This Row],[Close]]</f>
        <v>49551.912410000004</v>
      </c>
      <c r="E339" s="3" t="str">
        <f>IF(Table1[[#This Row],[Close]]&gt;D338,"UP",IF(Table1[[#This Row],[Close]]&lt;C338,"Down","Constant"))</f>
        <v>UP</v>
      </c>
      <c r="F339" s="3">
        <f>IF(Table1[[#This Row],[Column1]]="Up",1,IF(Table1[[#This Row],[Column1]]="Down",-1,0))</f>
        <v>1</v>
      </c>
      <c r="G339" s="3">
        <f>IF(AND(Table1[[#This Row],[STATES in numeric format]]=-1,F338=-1),1,0)</f>
        <v>0</v>
      </c>
      <c r="H339" s="3">
        <f>IF(AND(Table1[[#This Row],[STATES in numeric format]]=-1,F338=0),1,0)</f>
        <v>0</v>
      </c>
      <c r="I339" s="3">
        <f>IF(AND(Table1[[#This Row],[STATES in numeric format]]=-1,F338=1),1,0)</f>
        <v>0</v>
      </c>
      <c r="J339" s="3">
        <f>IF(AND(Table1[[#This Row],[STATES in numeric format]]=0,F338=-1),1,0)</f>
        <v>0</v>
      </c>
      <c r="K339" s="3">
        <f>IF(AND(Table1[[#This Row],[STATES in numeric format]]=0,F338=0),1,0)</f>
        <v>0</v>
      </c>
      <c r="L339" s="3">
        <f>IF(AND(Table1[[#This Row],[STATES in numeric format]]=0,F338=1),1,0)</f>
        <v>0</v>
      </c>
      <c r="M339" s="3">
        <f>IF(AND(Table1[[#This Row],[STATES in numeric format]]=1,F338=-1),1,0)</f>
        <v>0</v>
      </c>
      <c r="N339" s="3">
        <f>IF(AND(Table1[[#This Row],[STATES in numeric format]]=1,F338=0),1,0)</f>
        <v>0</v>
      </c>
      <c r="O339" s="3">
        <f>IF(AND(Table1[[#This Row],[STATES in numeric format]]=1,F338=1),1,0)</f>
        <v>1</v>
      </c>
    </row>
    <row r="340" spans="1:15" x14ac:dyDescent="0.3">
      <c r="A340" s="1">
        <v>44327</v>
      </c>
      <c r="B340" s="18">
        <v>49161.81</v>
      </c>
      <c r="C340" s="3">
        <f>Table1[[#This Row],[Close]]-0.001*Table1[[#This Row],[Close]]</f>
        <v>49112.64819</v>
      </c>
      <c r="D340" s="3">
        <f>Table1[[#This Row],[Close]]+0.001*Table1[[#This Row],[Close]]</f>
        <v>49210.971809999995</v>
      </c>
      <c r="E340" s="3" t="str">
        <f>IF(Table1[[#This Row],[Close]]&gt;D339,"UP",IF(Table1[[#This Row],[Close]]&lt;C339,"Down","Constant"))</f>
        <v>Down</v>
      </c>
      <c r="F340" s="3">
        <f>IF(Table1[[#This Row],[Column1]]="Up",1,IF(Table1[[#This Row],[Column1]]="Down",-1,0))</f>
        <v>-1</v>
      </c>
      <c r="G340" s="3">
        <f>IF(AND(Table1[[#This Row],[STATES in numeric format]]=-1,F339=-1),1,0)</f>
        <v>0</v>
      </c>
      <c r="H340" s="3">
        <f>IF(AND(Table1[[#This Row],[STATES in numeric format]]=-1,F339=0),1,0)</f>
        <v>0</v>
      </c>
      <c r="I340" s="3">
        <f>IF(AND(Table1[[#This Row],[STATES in numeric format]]=-1,F339=1),1,0)</f>
        <v>1</v>
      </c>
      <c r="J340" s="3">
        <f>IF(AND(Table1[[#This Row],[STATES in numeric format]]=0,F339=-1),1,0)</f>
        <v>0</v>
      </c>
      <c r="K340" s="3">
        <f>IF(AND(Table1[[#This Row],[STATES in numeric format]]=0,F339=0),1,0)</f>
        <v>0</v>
      </c>
      <c r="L340" s="3">
        <f>IF(AND(Table1[[#This Row],[STATES in numeric format]]=0,F339=1),1,0)</f>
        <v>0</v>
      </c>
      <c r="M340" s="3">
        <f>IF(AND(Table1[[#This Row],[STATES in numeric format]]=1,F339=-1),1,0)</f>
        <v>0</v>
      </c>
      <c r="N340" s="3">
        <f>IF(AND(Table1[[#This Row],[STATES in numeric format]]=1,F339=0),1,0)</f>
        <v>0</v>
      </c>
      <c r="O340" s="3">
        <f>IF(AND(Table1[[#This Row],[STATES in numeric format]]=1,F339=1),1,0)</f>
        <v>0</v>
      </c>
    </row>
    <row r="341" spans="1:15" x14ac:dyDescent="0.3">
      <c r="A341" s="1">
        <v>44328</v>
      </c>
      <c r="B341" s="18">
        <v>48690.8</v>
      </c>
      <c r="C341" s="3">
        <f>Table1[[#This Row],[Close]]-0.001*Table1[[#This Row],[Close]]</f>
        <v>48642.109200000006</v>
      </c>
      <c r="D341" s="3">
        <f>Table1[[#This Row],[Close]]+0.001*Table1[[#This Row],[Close]]</f>
        <v>48739.4908</v>
      </c>
      <c r="E341" s="3" t="str">
        <f>IF(Table1[[#This Row],[Close]]&gt;D340,"UP",IF(Table1[[#This Row],[Close]]&lt;C340,"Down","Constant"))</f>
        <v>Down</v>
      </c>
      <c r="F341" s="3">
        <f>IF(Table1[[#This Row],[Column1]]="Up",1,IF(Table1[[#This Row],[Column1]]="Down",-1,0))</f>
        <v>-1</v>
      </c>
      <c r="G341" s="3">
        <f>IF(AND(Table1[[#This Row],[STATES in numeric format]]=-1,F340=-1),1,0)</f>
        <v>1</v>
      </c>
      <c r="H341" s="3">
        <f>IF(AND(Table1[[#This Row],[STATES in numeric format]]=-1,F340=0),1,0)</f>
        <v>0</v>
      </c>
      <c r="I341" s="3">
        <f>IF(AND(Table1[[#This Row],[STATES in numeric format]]=-1,F340=1),1,0)</f>
        <v>0</v>
      </c>
      <c r="J341" s="3">
        <f>IF(AND(Table1[[#This Row],[STATES in numeric format]]=0,F340=-1),1,0)</f>
        <v>0</v>
      </c>
      <c r="K341" s="3">
        <f>IF(AND(Table1[[#This Row],[STATES in numeric format]]=0,F340=0),1,0)</f>
        <v>0</v>
      </c>
      <c r="L341" s="3">
        <f>IF(AND(Table1[[#This Row],[STATES in numeric format]]=0,F340=1),1,0)</f>
        <v>0</v>
      </c>
      <c r="M341" s="3">
        <f>IF(AND(Table1[[#This Row],[STATES in numeric format]]=1,F340=-1),1,0)</f>
        <v>0</v>
      </c>
      <c r="N341" s="3">
        <f>IF(AND(Table1[[#This Row],[STATES in numeric format]]=1,F340=0),1,0)</f>
        <v>0</v>
      </c>
      <c r="O341" s="3">
        <f>IF(AND(Table1[[#This Row],[STATES in numeric format]]=1,F340=1),1,0)</f>
        <v>0</v>
      </c>
    </row>
    <row r="342" spans="1:15" x14ac:dyDescent="0.3">
      <c r="A342" s="1">
        <v>44330</v>
      </c>
      <c r="B342" s="18">
        <v>48732.55</v>
      </c>
      <c r="C342" s="3">
        <f>Table1[[#This Row],[Close]]-0.001*Table1[[#This Row],[Close]]</f>
        <v>48683.817450000002</v>
      </c>
      <c r="D342" s="3">
        <f>Table1[[#This Row],[Close]]+0.001*Table1[[#This Row],[Close]]</f>
        <v>48781.282550000004</v>
      </c>
      <c r="E342" s="3" t="str">
        <f>IF(Table1[[#This Row],[Close]]&gt;D341,"UP",IF(Table1[[#This Row],[Close]]&lt;C341,"Down","Constant"))</f>
        <v>Constant</v>
      </c>
      <c r="F342" s="3">
        <f>IF(Table1[[#This Row],[Column1]]="Up",1,IF(Table1[[#This Row],[Column1]]="Down",-1,0))</f>
        <v>0</v>
      </c>
      <c r="G342" s="3">
        <f>IF(AND(Table1[[#This Row],[STATES in numeric format]]=-1,F341=-1),1,0)</f>
        <v>0</v>
      </c>
      <c r="H342" s="3">
        <f>IF(AND(Table1[[#This Row],[STATES in numeric format]]=-1,F341=0),1,0)</f>
        <v>0</v>
      </c>
      <c r="I342" s="3">
        <f>IF(AND(Table1[[#This Row],[STATES in numeric format]]=-1,F341=1),1,0)</f>
        <v>0</v>
      </c>
      <c r="J342" s="3">
        <f>IF(AND(Table1[[#This Row],[STATES in numeric format]]=0,F341=-1),1,0)</f>
        <v>1</v>
      </c>
      <c r="K342" s="3">
        <f>IF(AND(Table1[[#This Row],[STATES in numeric format]]=0,F341=0),1,0)</f>
        <v>0</v>
      </c>
      <c r="L342" s="3">
        <f>IF(AND(Table1[[#This Row],[STATES in numeric format]]=0,F341=1),1,0)</f>
        <v>0</v>
      </c>
      <c r="M342" s="3">
        <f>IF(AND(Table1[[#This Row],[STATES in numeric format]]=1,F341=-1),1,0)</f>
        <v>0</v>
      </c>
      <c r="N342" s="3">
        <f>IF(AND(Table1[[#This Row],[STATES in numeric format]]=1,F341=0),1,0)</f>
        <v>0</v>
      </c>
      <c r="O342" s="3">
        <f>IF(AND(Table1[[#This Row],[STATES in numeric format]]=1,F341=1),1,0)</f>
        <v>0</v>
      </c>
    </row>
    <row r="343" spans="1:15" x14ac:dyDescent="0.3">
      <c r="A343" s="1">
        <v>44333</v>
      </c>
      <c r="B343" s="18">
        <v>49580.73</v>
      </c>
      <c r="C343" s="3">
        <f>Table1[[#This Row],[Close]]-0.001*Table1[[#This Row],[Close]]</f>
        <v>49531.149270000002</v>
      </c>
      <c r="D343" s="3">
        <f>Table1[[#This Row],[Close]]+0.001*Table1[[#This Row],[Close]]</f>
        <v>49630.310730000005</v>
      </c>
      <c r="E343" s="3" t="str">
        <f>IF(Table1[[#This Row],[Close]]&gt;D342,"UP",IF(Table1[[#This Row],[Close]]&lt;C342,"Down","Constant"))</f>
        <v>UP</v>
      </c>
      <c r="F343" s="3">
        <f>IF(Table1[[#This Row],[Column1]]="Up",1,IF(Table1[[#This Row],[Column1]]="Down",-1,0))</f>
        <v>1</v>
      </c>
      <c r="G343" s="3">
        <f>IF(AND(Table1[[#This Row],[STATES in numeric format]]=-1,F342=-1),1,0)</f>
        <v>0</v>
      </c>
      <c r="H343" s="3">
        <f>IF(AND(Table1[[#This Row],[STATES in numeric format]]=-1,F342=0),1,0)</f>
        <v>0</v>
      </c>
      <c r="I343" s="3">
        <f>IF(AND(Table1[[#This Row],[STATES in numeric format]]=-1,F342=1),1,0)</f>
        <v>0</v>
      </c>
      <c r="J343" s="3">
        <f>IF(AND(Table1[[#This Row],[STATES in numeric format]]=0,F342=-1),1,0)</f>
        <v>0</v>
      </c>
      <c r="K343" s="3">
        <f>IF(AND(Table1[[#This Row],[STATES in numeric format]]=0,F342=0),1,0)</f>
        <v>0</v>
      </c>
      <c r="L343" s="3">
        <f>IF(AND(Table1[[#This Row],[STATES in numeric format]]=0,F342=1),1,0)</f>
        <v>0</v>
      </c>
      <c r="M343" s="3">
        <f>IF(AND(Table1[[#This Row],[STATES in numeric format]]=1,F342=-1),1,0)</f>
        <v>0</v>
      </c>
      <c r="N343" s="3">
        <f>IF(AND(Table1[[#This Row],[STATES in numeric format]]=1,F342=0),1,0)</f>
        <v>1</v>
      </c>
      <c r="O343" s="3">
        <f>IF(AND(Table1[[#This Row],[STATES in numeric format]]=1,F342=1),1,0)</f>
        <v>0</v>
      </c>
    </row>
    <row r="344" spans="1:15" x14ac:dyDescent="0.3">
      <c r="A344" s="1">
        <v>44334</v>
      </c>
      <c r="B344" s="18">
        <v>50193.33</v>
      </c>
      <c r="C344" s="3">
        <f>Table1[[#This Row],[Close]]-0.001*Table1[[#This Row],[Close]]</f>
        <v>50143.13667</v>
      </c>
      <c r="D344" s="3">
        <f>Table1[[#This Row],[Close]]+0.001*Table1[[#This Row],[Close]]</f>
        <v>50243.523330000004</v>
      </c>
      <c r="E344" s="3" t="str">
        <f>IF(Table1[[#This Row],[Close]]&gt;D343,"UP",IF(Table1[[#This Row],[Close]]&lt;C343,"Down","Constant"))</f>
        <v>UP</v>
      </c>
      <c r="F344" s="3">
        <f>IF(Table1[[#This Row],[Column1]]="Up",1,IF(Table1[[#This Row],[Column1]]="Down",-1,0))</f>
        <v>1</v>
      </c>
      <c r="G344" s="3">
        <f>IF(AND(Table1[[#This Row],[STATES in numeric format]]=-1,F343=-1),1,0)</f>
        <v>0</v>
      </c>
      <c r="H344" s="3">
        <f>IF(AND(Table1[[#This Row],[STATES in numeric format]]=-1,F343=0),1,0)</f>
        <v>0</v>
      </c>
      <c r="I344" s="3">
        <f>IF(AND(Table1[[#This Row],[STATES in numeric format]]=-1,F343=1),1,0)</f>
        <v>0</v>
      </c>
      <c r="J344" s="3">
        <f>IF(AND(Table1[[#This Row],[STATES in numeric format]]=0,F343=-1),1,0)</f>
        <v>0</v>
      </c>
      <c r="K344" s="3">
        <f>IF(AND(Table1[[#This Row],[STATES in numeric format]]=0,F343=0),1,0)</f>
        <v>0</v>
      </c>
      <c r="L344" s="3">
        <f>IF(AND(Table1[[#This Row],[STATES in numeric format]]=0,F343=1),1,0)</f>
        <v>0</v>
      </c>
      <c r="M344" s="3">
        <f>IF(AND(Table1[[#This Row],[STATES in numeric format]]=1,F343=-1),1,0)</f>
        <v>0</v>
      </c>
      <c r="N344" s="3">
        <f>IF(AND(Table1[[#This Row],[STATES in numeric format]]=1,F343=0),1,0)</f>
        <v>0</v>
      </c>
      <c r="O344" s="3">
        <f>IF(AND(Table1[[#This Row],[STATES in numeric format]]=1,F343=1),1,0)</f>
        <v>1</v>
      </c>
    </row>
    <row r="345" spans="1:15" x14ac:dyDescent="0.3">
      <c r="A345" s="1">
        <v>44335</v>
      </c>
      <c r="B345" s="18">
        <v>49902.64</v>
      </c>
      <c r="C345" s="3">
        <f>Table1[[#This Row],[Close]]-0.001*Table1[[#This Row],[Close]]</f>
        <v>49852.737359999999</v>
      </c>
      <c r="D345" s="3">
        <f>Table1[[#This Row],[Close]]+0.001*Table1[[#This Row],[Close]]</f>
        <v>49952.54264</v>
      </c>
      <c r="E345" s="3" t="str">
        <f>IF(Table1[[#This Row],[Close]]&gt;D344,"UP",IF(Table1[[#This Row],[Close]]&lt;C344,"Down","Constant"))</f>
        <v>Down</v>
      </c>
      <c r="F345" s="3">
        <f>IF(Table1[[#This Row],[Column1]]="Up",1,IF(Table1[[#This Row],[Column1]]="Down",-1,0))</f>
        <v>-1</v>
      </c>
      <c r="G345" s="3">
        <f>IF(AND(Table1[[#This Row],[STATES in numeric format]]=-1,F344=-1),1,0)</f>
        <v>0</v>
      </c>
      <c r="H345" s="3">
        <f>IF(AND(Table1[[#This Row],[STATES in numeric format]]=-1,F344=0),1,0)</f>
        <v>0</v>
      </c>
      <c r="I345" s="3">
        <f>IF(AND(Table1[[#This Row],[STATES in numeric format]]=-1,F344=1),1,0)</f>
        <v>1</v>
      </c>
      <c r="J345" s="3">
        <f>IF(AND(Table1[[#This Row],[STATES in numeric format]]=0,F344=-1),1,0)</f>
        <v>0</v>
      </c>
      <c r="K345" s="3">
        <f>IF(AND(Table1[[#This Row],[STATES in numeric format]]=0,F344=0),1,0)</f>
        <v>0</v>
      </c>
      <c r="L345" s="3">
        <f>IF(AND(Table1[[#This Row],[STATES in numeric format]]=0,F344=1),1,0)</f>
        <v>0</v>
      </c>
      <c r="M345" s="3">
        <f>IF(AND(Table1[[#This Row],[STATES in numeric format]]=1,F344=-1),1,0)</f>
        <v>0</v>
      </c>
      <c r="N345" s="3">
        <f>IF(AND(Table1[[#This Row],[STATES in numeric format]]=1,F344=0),1,0)</f>
        <v>0</v>
      </c>
      <c r="O345" s="3">
        <f>IF(AND(Table1[[#This Row],[STATES in numeric format]]=1,F344=1),1,0)</f>
        <v>0</v>
      </c>
    </row>
    <row r="346" spans="1:15" x14ac:dyDescent="0.3">
      <c r="A346" s="1">
        <v>44336</v>
      </c>
      <c r="B346" s="18">
        <v>49564.86</v>
      </c>
      <c r="C346" s="3">
        <f>Table1[[#This Row],[Close]]-0.001*Table1[[#This Row],[Close]]</f>
        <v>49515.295140000002</v>
      </c>
      <c r="D346" s="3">
        <f>Table1[[#This Row],[Close]]+0.001*Table1[[#This Row],[Close]]</f>
        <v>49614.424859999999</v>
      </c>
      <c r="E346" s="3" t="str">
        <f>IF(Table1[[#This Row],[Close]]&gt;D345,"UP",IF(Table1[[#This Row],[Close]]&lt;C345,"Down","Constant"))</f>
        <v>Down</v>
      </c>
      <c r="F346" s="3">
        <f>IF(Table1[[#This Row],[Column1]]="Up",1,IF(Table1[[#This Row],[Column1]]="Down",-1,0))</f>
        <v>-1</v>
      </c>
      <c r="G346" s="3">
        <f>IF(AND(Table1[[#This Row],[STATES in numeric format]]=-1,F345=-1),1,0)</f>
        <v>1</v>
      </c>
      <c r="H346" s="3">
        <f>IF(AND(Table1[[#This Row],[STATES in numeric format]]=-1,F345=0),1,0)</f>
        <v>0</v>
      </c>
      <c r="I346" s="3">
        <f>IF(AND(Table1[[#This Row],[STATES in numeric format]]=-1,F345=1),1,0)</f>
        <v>0</v>
      </c>
      <c r="J346" s="3">
        <f>IF(AND(Table1[[#This Row],[STATES in numeric format]]=0,F345=-1),1,0)</f>
        <v>0</v>
      </c>
      <c r="K346" s="3">
        <f>IF(AND(Table1[[#This Row],[STATES in numeric format]]=0,F345=0),1,0)</f>
        <v>0</v>
      </c>
      <c r="L346" s="3">
        <f>IF(AND(Table1[[#This Row],[STATES in numeric format]]=0,F345=1),1,0)</f>
        <v>0</v>
      </c>
      <c r="M346" s="3">
        <f>IF(AND(Table1[[#This Row],[STATES in numeric format]]=1,F345=-1),1,0)</f>
        <v>0</v>
      </c>
      <c r="N346" s="3">
        <f>IF(AND(Table1[[#This Row],[STATES in numeric format]]=1,F345=0),1,0)</f>
        <v>0</v>
      </c>
      <c r="O346" s="3">
        <f>IF(AND(Table1[[#This Row],[STATES in numeric format]]=1,F345=1),1,0)</f>
        <v>0</v>
      </c>
    </row>
    <row r="347" spans="1:15" x14ac:dyDescent="0.3">
      <c r="A347" s="1">
        <v>44337</v>
      </c>
      <c r="B347" s="18">
        <v>50540.480000000003</v>
      </c>
      <c r="C347" s="3">
        <f>Table1[[#This Row],[Close]]-0.001*Table1[[#This Row],[Close]]</f>
        <v>50489.93952</v>
      </c>
      <c r="D347" s="3">
        <f>Table1[[#This Row],[Close]]+0.001*Table1[[#This Row],[Close]]</f>
        <v>50591.020480000007</v>
      </c>
      <c r="E347" s="3" t="str">
        <f>IF(Table1[[#This Row],[Close]]&gt;D346,"UP",IF(Table1[[#This Row],[Close]]&lt;C346,"Down","Constant"))</f>
        <v>UP</v>
      </c>
      <c r="F347" s="3">
        <f>IF(Table1[[#This Row],[Column1]]="Up",1,IF(Table1[[#This Row],[Column1]]="Down",-1,0))</f>
        <v>1</v>
      </c>
      <c r="G347" s="3">
        <f>IF(AND(Table1[[#This Row],[STATES in numeric format]]=-1,F346=-1),1,0)</f>
        <v>0</v>
      </c>
      <c r="H347" s="3">
        <f>IF(AND(Table1[[#This Row],[STATES in numeric format]]=-1,F346=0),1,0)</f>
        <v>0</v>
      </c>
      <c r="I347" s="3">
        <f>IF(AND(Table1[[#This Row],[STATES in numeric format]]=-1,F346=1),1,0)</f>
        <v>0</v>
      </c>
      <c r="J347" s="3">
        <f>IF(AND(Table1[[#This Row],[STATES in numeric format]]=0,F346=-1),1,0)</f>
        <v>0</v>
      </c>
      <c r="K347" s="3">
        <f>IF(AND(Table1[[#This Row],[STATES in numeric format]]=0,F346=0),1,0)</f>
        <v>0</v>
      </c>
      <c r="L347" s="3">
        <f>IF(AND(Table1[[#This Row],[STATES in numeric format]]=0,F346=1),1,0)</f>
        <v>0</v>
      </c>
      <c r="M347" s="3">
        <f>IF(AND(Table1[[#This Row],[STATES in numeric format]]=1,F346=-1),1,0)</f>
        <v>1</v>
      </c>
      <c r="N347" s="3">
        <f>IF(AND(Table1[[#This Row],[STATES in numeric format]]=1,F346=0),1,0)</f>
        <v>0</v>
      </c>
      <c r="O347" s="3">
        <f>IF(AND(Table1[[#This Row],[STATES in numeric format]]=1,F346=1),1,0)</f>
        <v>0</v>
      </c>
    </row>
    <row r="348" spans="1:15" x14ac:dyDescent="0.3">
      <c r="A348" s="1">
        <v>44340</v>
      </c>
      <c r="B348" s="18">
        <v>50651.9</v>
      </c>
      <c r="C348" s="3">
        <f>Table1[[#This Row],[Close]]-0.001*Table1[[#This Row],[Close]]</f>
        <v>50601.248100000004</v>
      </c>
      <c r="D348" s="3">
        <f>Table1[[#This Row],[Close]]+0.001*Table1[[#This Row],[Close]]</f>
        <v>50702.551899999999</v>
      </c>
      <c r="E348" s="3" t="str">
        <f>IF(Table1[[#This Row],[Close]]&gt;D347,"UP",IF(Table1[[#This Row],[Close]]&lt;C347,"Down","Constant"))</f>
        <v>UP</v>
      </c>
      <c r="F348" s="3">
        <f>IF(Table1[[#This Row],[Column1]]="Up",1,IF(Table1[[#This Row],[Column1]]="Down",-1,0))</f>
        <v>1</v>
      </c>
      <c r="G348" s="3">
        <f>IF(AND(Table1[[#This Row],[STATES in numeric format]]=-1,F347=-1),1,0)</f>
        <v>0</v>
      </c>
      <c r="H348" s="3">
        <f>IF(AND(Table1[[#This Row],[STATES in numeric format]]=-1,F347=0),1,0)</f>
        <v>0</v>
      </c>
      <c r="I348" s="3">
        <f>IF(AND(Table1[[#This Row],[STATES in numeric format]]=-1,F347=1),1,0)</f>
        <v>0</v>
      </c>
      <c r="J348" s="3">
        <f>IF(AND(Table1[[#This Row],[STATES in numeric format]]=0,F347=-1),1,0)</f>
        <v>0</v>
      </c>
      <c r="K348" s="3">
        <f>IF(AND(Table1[[#This Row],[STATES in numeric format]]=0,F347=0),1,0)</f>
        <v>0</v>
      </c>
      <c r="L348" s="3">
        <f>IF(AND(Table1[[#This Row],[STATES in numeric format]]=0,F347=1),1,0)</f>
        <v>0</v>
      </c>
      <c r="M348" s="3">
        <f>IF(AND(Table1[[#This Row],[STATES in numeric format]]=1,F347=-1),1,0)</f>
        <v>0</v>
      </c>
      <c r="N348" s="3">
        <f>IF(AND(Table1[[#This Row],[STATES in numeric format]]=1,F347=0),1,0)</f>
        <v>0</v>
      </c>
      <c r="O348" s="3">
        <f>IF(AND(Table1[[#This Row],[STATES in numeric format]]=1,F347=1),1,0)</f>
        <v>1</v>
      </c>
    </row>
    <row r="349" spans="1:15" x14ac:dyDescent="0.3">
      <c r="A349" s="1">
        <v>44341</v>
      </c>
      <c r="B349" s="18">
        <v>50637.53</v>
      </c>
      <c r="C349" s="3">
        <f>Table1[[#This Row],[Close]]-0.001*Table1[[#This Row],[Close]]</f>
        <v>50586.892469999999</v>
      </c>
      <c r="D349" s="3">
        <f>Table1[[#This Row],[Close]]+0.001*Table1[[#This Row],[Close]]</f>
        <v>50688.167529999999</v>
      </c>
      <c r="E349" s="3" t="str">
        <f>IF(Table1[[#This Row],[Close]]&gt;D348,"UP",IF(Table1[[#This Row],[Close]]&lt;C348,"Down","Constant"))</f>
        <v>Constant</v>
      </c>
      <c r="F349" s="3">
        <f>IF(Table1[[#This Row],[Column1]]="Up",1,IF(Table1[[#This Row],[Column1]]="Down",-1,0))</f>
        <v>0</v>
      </c>
      <c r="G349" s="3">
        <f>IF(AND(Table1[[#This Row],[STATES in numeric format]]=-1,F348=-1),1,0)</f>
        <v>0</v>
      </c>
      <c r="H349" s="3">
        <f>IF(AND(Table1[[#This Row],[STATES in numeric format]]=-1,F348=0),1,0)</f>
        <v>0</v>
      </c>
      <c r="I349" s="3">
        <f>IF(AND(Table1[[#This Row],[STATES in numeric format]]=-1,F348=1),1,0)</f>
        <v>0</v>
      </c>
      <c r="J349" s="3">
        <f>IF(AND(Table1[[#This Row],[STATES in numeric format]]=0,F348=-1),1,0)</f>
        <v>0</v>
      </c>
      <c r="K349" s="3">
        <f>IF(AND(Table1[[#This Row],[STATES in numeric format]]=0,F348=0),1,0)</f>
        <v>0</v>
      </c>
      <c r="L349" s="3">
        <f>IF(AND(Table1[[#This Row],[STATES in numeric format]]=0,F348=1),1,0)</f>
        <v>1</v>
      </c>
      <c r="M349" s="3">
        <f>IF(AND(Table1[[#This Row],[STATES in numeric format]]=1,F348=-1),1,0)</f>
        <v>0</v>
      </c>
      <c r="N349" s="3">
        <f>IF(AND(Table1[[#This Row],[STATES in numeric format]]=1,F348=0),1,0)</f>
        <v>0</v>
      </c>
      <c r="O349" s="3">
        <f>IF(AND(Table1[[#This Row],[STATES in numeric format]]=1,F348=1),1,0)</f>
        <v>0</v>
      </c>
    </row>
    <row r="350" spans="1:15" x14ac:dyDescent="0.3">
      <c r="A350" s="1">
        <v>44342</v>
      </c>
      <c r="B350" s="18">
        <v>51017.52</v>
      </c>
      <c r="C350" s="3">
        <f>Table1[[#This Row],[Close]]-0.001*Table1[[#This Row],[Close]]</f>
        <v>50966.502479999996</v>
      </c>
      <c r="D350" s="3">
        <f>Table1[[#This Row],[Close]]+0.001*Table1[[#This Row],[Close]]</f>
        <v>51068.537519999998</v>
      </c>
      <c r="E350" s="3" t="str">
        <f>IF(Table1[[#This Row],[Close]]&gt;D349,"UP",IF(Table1[[#This Row],[Close]]&lt;C349,"Down","Constant"))</f>
        <v>UP</v>
      </c>
      <c r="F350" s="3">
        <f>IF(Table1[[#This Row],[Column1]]="Up",1,IF(Table1[[#This Row],[Column1]]="Down",-1,0))</f>
        <v>1</v>
      </c>
      <c r="G350" s="3">
        <f>IF(AND(Table1[[#This Row],[STATES in numeric format]]=-1,F349=-1),1,0)</f>
        <v>0</v>
      </c>
      <c r="H350" s="3">
        <f>IF(AND(Table1[[#This Row],[STATES in numeric format]]=-1,F349=0),1,0)</f>
        <v>0</v>
      </c>
      <c r="I350" s="3">
        <f>IF(AND(Table1[[#This Row],[STATES in numeric format]]=-1,F349=1),1,0)</f>
        <v>0</v>
      </c>
      <c r="J350" s="3">
        <f>IF(AND(Table1[[#This Row],[STATES in numeric format]]=0,F349=-1),1,0)</f>
        <v>0</v>
      </c>
      <c r="K350" s="3">
        <f>IF(AND(Table1[[#This Row],[STATES in numeric format]]=0,F349=0),1,0)</f>
        <v>0</v>
      </c>
      <c r="L350" s="3">
        <f>IF(AND(Table1[[#This Row],[STATES in numeric format]]=0,F349=1),1,0)</f>
        <v>0</v>
      </c>
      <c r="M350" s="3">
        <f>IF(AND(Table1[[#This Row],[STATES in numeric format]]=1,F349=-1),1,0)</f>
        <v>0</v>
      </c>
      <c r="N350" s="3">
        <f>IF(AND(Table1[[#This Row],[STATES in numeric format]]=1,F349=0),1,0)</f>
        <v>1</v>
      </c>
      <c r="O350" s="3">
        <f>IF(AND(Table1[[#This Row],[STATES in numeric format]]=1,F349=1),1,0)</f>
        <v>0</v>
      </c>
    </row>
    <row r="351" spans="1:15" x14ac:dyDescent="0.3">
      <c r="A351" s="1">
        <v>44343</v>
      </c>
      <c r="B351" s="18">
        <v>51115.22</v>
      </c>
      <c r="C351" s="3">
        <f>Table1[[#This Row],[Close]]-0.001*Table1[[#This Row],[Close]]</f>
        <v>51064.104780000001</v>
      </c>
      <c r="D351" s="3">
        <f>Table1[[#This Row],[Close]]+0.001*Table1[[#This Row],[Close]]</f>
        <v>51166.335220000001</v>
      </c>
      <c r="E351" s="3" t="str">
        <f>IF(Table1[[#This Row],[Close]]&gt;D350,"UP",IF(Table1[[#This Row],[Close]]&lt;C350,"Down","Constant"))</f>
        <v>UP</v>
      </c>
      <c r="F351" s="3">
        <f>IF(Table1[[#This Row],[Column1]]="Up",1,IF(Table1[[#This Row],[Column1]]="Down",-1,0))</f>
        <v>1</v>
      </c>
      <c r="G351" s="3">
        <f>IF(AND(Table1[[#This Row],[STATES in numeric format]]=-1,F350=-1),1,0)</f>
        <v>0</v>
      </c>
      <c r="H351" s="3">
        <f>IF(AND(Table1[[#This Row],[STATES in numeric format]]=-1,F350=0),1,0)</f>
        <v>0</v>
      </c>
      <c r="I351" s="3">
        <f>IF(AND(Table1[[#This Row],[STATES in numeric format]]=-1,F350=1),1,0)</f>
        <v>0</v>
      </c>
      <c r="J351" s="3">
        <f>IF(AND(Table1[[#This Row],[STATES in numeric format]]=0,F350=-1),1,0)</f>
        <v>0</v>
      </c>
      <c r="K351" s="3">
        <f>IF(AND(Table1[[#This Row],[STATES in numeric format]]=0,F350=0),1,0)</f>
        <v>0</v>
      </c>
      <c r="L351" s="3">
        <f>IF(AND(Table1[[#This Row],[STATES in numeric format]]=0,F350=1),1,0)</f>
        <v>0</v>
      </c>
      <c r="M351" s="3">
        <f>IF(AND(Table1[[#This Row],[STATES in numeric format]]=1,F350=-1),1,0)</f>
        <v>0</v>
      </c>
      <c r="N351" s="3">
        <f>IF(AND(Table1[[#This Row],[STATES in numeric format]]=1,F350=0),1,0)</f>
        <v>0</v>
      </c>
      <c r="O351" s="3">
        <f>IF(AND(Table1[[#This Row],[STATES in numeric format]]=1,F350=1),1,0)</f>
        <v>1</v>
      </c>
    </row>
    <row r="352" spans="1:15" x14ac:dyDescent="0.3">
      <c r="A352" s="1">
        <v>44344</v>
      </c>
      <c r="B352" s="18">
        <v>51422.879999999997</v>
      </c>
      <c r="C352" s="3">
        <f>Table1[[#This Row],[Close]]-0.001*Table1[[#This Row],[Close]]</f>
        <v>51371.457119999999</v>
      </c>
      <c r="D352" s="3">
        <f>Table1[[#This Row],[Close]]+0.001*Table1[[#This Row],[Close]]</f>
        <v>51474.302879999996</v>
      </c>
      <c r="E352" s="3" t="str">
        <f>IF(Table1[[#This Row],[Close]]&gt;D351,"UP",IF(Table1[[#This Row],[Close]]&lt;C351,"Down","Constant"))</f>
        <v>UP</v>
      </c>
      <c r="F352" s="3">
        <f>IF(Table1[[#This Row],[Column1]]="Up",1,IF(Table1[[#This Row],[Column1]]="Down",-1,0))</f>
        <v>1</v>
      </c>
      <c r="G352" s="3">
        <f>IF(AND(Table1[[#This Row],[STATES in numeric format]]=-1,F351=-1),1,0)</f>
        <v>0</v>
      </c>
      <c r="H352" s="3">
        <f>IF(AND(Table1[[#This Row],[STATES in numeric format]]=-1,F351=0),1,0)</f>
        <v>0</v>
      </c>
      <c r="I352" s="3">
        <f>IF(AND(Table1[[#This Row],[STATES in numeric format]]=-1,F351=1),1,0)</f>
        <v>0</v>
      </c>
      <c r="J352" s="3">
        <f>IF(AND(Table1[[#This Row],[STATES in numeric format]]=0,F351=-1),1,0)</f>
        <v>0</v>
      </c>
      <c r="K352" s="3">
        <f>IF(AND(Table1[[#This Row],[STATES in numeric format]]=0,F351=0),1,0)</f>
        <v>0</v>
      </c>
      <c r="L352" s="3">
        <f>IF(AND(Table1[[#This Row],[STATES in numeric format]]=0,F351=1),1,0)</f>
        <v>0</v>
      </c>
      <c r="M352" s="3">
        <f>IF(AND(Table1[[#This Row],[STATES in numeric format]]=1,F351=-1),1,0)</f>
        <v>0</v>
      </c>
      <c r="N352" s="3">
        <f>IF(AND(Table1[[#This Row],[STATES in numeric format]]=1,F351=0),1,0)</f>
        <v>0</v>
      </c>
      <c r="O352" s="3">
        <f>IF(AND(Table1[[#This Row],[STATES in numeric format]]=1,F351=1),1,0)</f>
        <v>1</v>
      </c>
    </row>
    <row r="353" spans="1:15" x14ac:dyDescent="0.3">
      <c r="A353" s="1">
        <v>44347</v>
      </c>
      <c r="B353" s="18">
        <v>51937.440000000002</v>
      </c>
      <c r="C353" s="3">
        <f>Table1[[#This Row],[Close]]-0.001*Table1[[#This Row],[Close]]</f>
        <v>51885.502560000001</v>
      </c>
      <c r="D353" s="3">
        <f>Table1[[#This Row],[Close]]+0.001*Table1[[#This Row],[Close]]</f>
        <v>51989.377440000004</v>
      </c>
      <c r="E353" s="3" t="str">
        <f>IF(Table1[[#This Row],[Close]]&gt;D352,"UP",IF(Table1[[#This Row],[Close]]&lt;C352,"Down","Constant"))</f>
        <v>UP</v>
      </c>
      <c r="F353" s="3">
        <f>IF(Table1[[#This Row],[Column1]]="Up",1,IF(Table1[[#This Row],[Column1]]="Down",-1,0))</f>
        <v>1</v>
      </c>
      <c r="G353" s="3">
        <f>IF(AND(Table1[[#This Row],[STATES in numeric format]]=-1,F352=-1),1,0)</f>
        <v>0</v>
      </c>
      <c r="H353" s="3">
        <f>IF(AND(Table1[[#This Row],[STATES in numeric format]]=-1,F352=0),1,0)</f>
        <v>0</v>
      </c>
      <c r="I353" s="3">
        <f>IF(AND(Table1[[#This Row],[STATES in numeric format]]=-1,F352=1),1,0)</f>
        <v>0</v>
      </c>
      <c r="J353" s="3">
        <f>IF(AND(Table1[[#This Row],[STATES in numeric format]]=0,F352=-1),1,0)</f>
        <v>0</v>
      </c>
      <c r="K353" s="3">
        <f>IF(AND(Table1[[#This Row],[STATES in numeric format]]=0,F352=0),1,0)</f>
        <v>0</v>
      </c>
      <c r="L353" s="3">
        <f>IF(AND(Table1[[#This Row],[STATES in numeric format]]=0,F352=1),1,0)</f>
        <v>0</v>
      </c>
      <c r="M353" s="3">
        <f>IF(AND(Table1[[#This Row],[STATES in numeric format]]=1,F352=-1),1,0)</f>
        <v>0</v>
      </c>
      <c r="N353" s="3">
        <f>IF(AND(Table1[[#This Row],[STATES in numeric format]]=1,F352=0),1,0)</f>
        <v>0</v>
      </c>
      <c r="O353" s="3">
        <f>IF(AND(Table1[[#This Row],[STATES in numeric format]]=1,F352=1),1,0)</f>
        <v>1</v>
      </c>
    </row>
    <row r="354" spans="1:15" x14ac:dyDescent="0.3">
      <c r="A354" s="1">
        <v>44348</v>
      </c>
      <c r="B354" s="18">
        <v>51934.879999999997</v>
      </c>
      <c r="C354" s="3">
        <f>Table1[[#This Row],[Close]]-0.001*Table1[[#This Row],[Close]]</f>
        <v>51882.945119999997</v>
      </c>
      <c r="D354" s="3">
        <f>Table1[[#This Row],[Close]]+0.001*Table1[[#This Row],[Close]]</f>
        <v>51986.814879999998</v>
      </c>
      <c r="E354" s="3" t="str">
        <f>IF(Table1[[#This Row],[Close]]&gt;D353,"UP",IF(Table1[[#This Row],[Close]]&lt;C353,"Down","Constant"))</f>
        <v>Constant</v>
      </c>
      <c r="F354" s="3">
        <f>IF(Table1[[#This Row],[Column1]]="Up",1,IF(Table1[[#This Row],[Column1]]="Down",-1,0))</f>
        <v>0</v>
      </c>
      <c r="G354" s="3">
        <f>IF(AND(Table1[[#This Row],[STATES in numeric format]]=-1,F353=-1),1,0)</f>
        <v>0</v>
      </c>
      <c r="H354" s="3">
        <f>IF(AND(Table1[[#This Row],[STATES in numeric format]]=-1,F353=0),1,0)</f>
        <v>0</v>
      </c>
      <c r="I354" s="3">
        <f>IF(AND(Table1[[#This Row],[STATES in numeric format]]=-1,F353=1),1,0)</f>
        <v>0</v>
      </c>
      <c r="J354" s="3">
        <f>IF(AND(Table1[[#This Row],[STATES in numeric format]]=0,F353=-1),1,0)</f>
        <v>0</v>
      </c>
      <c r="K354" s="3">
        <f>IF(AND(Table1[[#This Row],[STATES in numeric format]]=0,F353=0),1,0)</f>
        <v>0</v>
      </c>
      <c r="L354" s="3">
        <f>IF(AND(Table1[[#This Row],[STATES in numeric format]]=0,F353=1),1,0)</f>
        <v>1</v>
      </c>
      <c r="M354" s="3">
        <f>IF(AND(Table1[[#This Row],[STATES in numeric format]]=1,F353=-1),1,0)</f>
        <v>0</v>
      </c>
      <c r="N354" s="3">
        <f>IF(AND(Table1[[#This Row],[STATES in numeric format]]=1,F353=0),1,0)</f>
        <v>0</v>
      </c>
      <c r="O354" s="3">
        <f>IF(AND(Table1[[#This Row],[STATES in numeric format]]=1,F353=1),1,0)</f>
        <v>0</v>
      </c>
    </row>
    <row r="355" spans="1:15" x14ac:dyDescent="0.3">
      <c r="A355" s="1">
        <v>44349</v>
      </c>
      <c r="B355" s="18">
        <v>51849.48</v>
      </c>
      <c r="C355" s="3">
        <f>Table1[[#This Row],[Close]]-0.001*Table1[[#This Row],[Close]]</f>
        <v>51797.630520000006</v>
      </c>
      <c r="D355" s="3">
        <f>Table1[[#This Row],[Close]]+0.001*Table1[[#This Row],[Close]]</f>
        <v>51901.32948</v>
      </c>
      <c r="E355" s="3" t="str">
        <f>IF(Table1[[#This Row],[Close]]&gt;D354,"UP",IF(Table1[[#This Row],[Close]]&lt;C354,"Down","Constant"))</f>
        <v>Down</v>
      </c>
      <c r="F355" s="3">
        <f>IF(Table1[[#This Row],[Column1]]="Up",1,IF(Table1[[#This Row],[Column1]]="Down",-1,0))</f>
        <v>-1</v>
      </c>
      <c r="G355" s="3">
        <f>IF(AND(Table1[[#This Row],[STATES in numeric format]]=-1,F354=-1),1,0)</f>
        <v>0</v>
      </c>
      <c r="H355" s="3">
        <f>IF(AND(Table1[[#This Row],[STATES in numeric format]]=-1,F354=0),1,0)</f>
        <v>1</v>
      </c>
      <c r="I355" s="3">
        <f>IF(AND(Table1[[#This Row],[STATES in numeric format]]=-1,F354=1),1,0)</f>
        <v>0</v>
      </c>
      <c r="J355" s="3">
        <f>IF(AND(Table1[[#This Row],[STATES in numeric format]]=0,F354=-1),1,0)</f>
        <v>0</v>
      </c>
      <c r="K355" s="3">
        <f>IF(AND(Table1[[#This Row],[STATES in numeric format]]=0,F354=0),1,0)</f>
        <v>0</v>
      </c>
      <c r="L355" s="3">
        <f>IF(AND(Table1[[#This Row],[STATES in numeric format]]=0,F354=1),1,0)</f>
        <v>0</v>
      </c>
      <c r="M355" s="3">
        <f>IF(AND(Table1[[#This Row],[STATES in numeric format]]=1,F354=-1),1,0)</f>
        <v>0</v>
      </c>
      <c r="N355" s="3">
        <f>IF(AND(Table1[[#This Row],[STATES in numeric format]]=1,F354=0),1,0)</f>
        <v>0</v>
      </c>
      <c r="O355" s="3">
        <f>IF(AND(Table1[[#This Row],[STATES in numeric format]]=1,F354=1),1,0)</f>
        <v>0</v>
      </c>
    </row>
    <row r="356" spans="1:15" x14ac:dyDescent="0.3">
      <c r="A356" s="1">
        <v>44350</v>
      </c>
      <c r="B356" s="18">
        <v>52232.43</v>
      </c>
      <c r="C356" s="3">
        <f>Table1[[#This Row],[Close]]-0.001*Table1[[#This Row],[Close]]</f>
        <v>52180.197570000004</v>
      </c>
      <c r="D356" s="3">
        <f>Table1[[#This Row],[Close]]+0.001*Table1[[#This Row],[Close]]</f>
        <v>52284.662429999997</v>
      </c>
      <c r="E356" s="3" t="str">
        <f>IF(Table1[[#This Row],[Close]]&gt;D355,"UP",IF(Table1[[#This Row],[Close]]&lt;C355,"Down","Constant"))</f>
        <v>UP</v>
      </c>
      <c r="F356" s="3">
        <f>IF(Table1[[#This Row],[Column1]]="Up",1,IF(Table1[[#This Row],[Column1]]="Down",-1,0))</f>
        <v>1</v>
      </c>
      <c r="G356" s="3">
        <f>IF(AND(Table1[[#This Row],[STATES in numeric format]]=-1,F355=-1),1,0)</f>
        <v>0</v>
      </c>
      <c r="H356" s="3">
        <f>IF(AND(Table1[[#This Row],[STATES in numeric format]]=-1,F355=0),1,0)</f>
        <v>0</v>
      </c>
      <c r="I356" s="3">
        <f>IF(AND(Table1[[#This Row],[STATES in numeric format]]=-1,F355=1),1,0)</f>
        <v>0</v>
      </c>
      <c r="J356" s="3">
        <f>IF(AND(Table1[[#This Row],[STATES in numeric format]]=0,F355=-1),1,0)</f>
        <v>0</v>
      </c>
      <c r="K356" s="3">
        <f>IF(AND(Table1[[#This Row],[STATES in numeric format]]=0,F355=0),1,0)</f>
        <v>0</v>
      </c>
      <c r="L356" s="3">
        <f>IF(AND(Table1[[#This Row],[STATES in numeric format]]=0,F355=1),1,0)</f>
        <v>0</v>
      </c>
      <c r="M356" s="3">
        <f>IF(AND(Table1[[#This Row],[STATES in numeric format]]=1,F355=-1),1,0)</f>
        <v>1</v>
      </c>
      <c r="N356" s="3">
        <f>IF(AND(Table1[[#This Row],[STATES in numeric format]]=1,F355=0),1,0)</f>
        <v>0</v>
      </c>
      <c r="O356" s="3">
        <f>IF(AND(Table1[[#This Row],[STATES in numeric format]]=1,F355=1),1,0)</f>
        <v>0</v>
      </c>
    </row>
    <row r="357" spans="1:15" x14ac:dyDescent="0.3">
      <c r="A357" s="1">
        <v>44351</v>
      </c>
      <c r="B357" s="18">
        <v>52100.05</v>
      </c>
      <c r="C357" s="3">
        <f>Table1[[#This Row],[Close]]-0.001*Table1[[#This Row],[Close]]</f>
        <v>52047.949950000002</v>
      </c>
      <c r="D357" s="3">
        <f>Table1[[#This Row],[Close]]+0.001*Table1[[#This Row],[Close]]</f>
        <v>52152.150050000004</v>
      </c>
      <c r="E357" s="3" t="str">
        <f>IF(Table1[[#This Row],[Close]]&gt;D356,"UP",IF(Table1[[#This Row],[Close]]&lt;C356,"Down","Constant"))</f>
        <v>Down</v>
      </c>
      <c r="F357" s="3">
        <f>IF(Table1[[#This Row],[Column1]]="Up",1,IF(Table1[[#This Row],[Column1]]="Down",-1,0))</f>
        <v>-1</v>
      </c>
      <c r="G357" s="3">
        <f>IF(AND(Table1[[#This Row],[STATES in numeric format]]=-1,F356=-1),1,0)</f>
        <v>0</v>
      </c>
      <c r="H357" s="3">
        <f>IF(AND(Table1[[#This Row],[STATES in numeric format]]=-1,F356=0),1,0)</f>
        <v>0</v>
      </c>
      <c r="I357" s="3">
        <f>IF(AND(Table1[[#This Row],[STATES in numeric format]]=-1,F356=1),1,0)</f>
        <v>1</v>
      </c>
      <c r="J357" s="3">
        <f>IF(AND(Table1[[#This Row],[STATES in numeric format]]=0,F356=-1),1,0)</f>
        <v>0</v>
      </c>
      <c r="K357" s="3">
        <f>IF(AND(Table1[[#This Row],[STATES in numeric format]]=0,F356=0),1,0)</f>
        <v>0</v>
      </c>
      <c r="L357" s="3">
        <f>IF(AND(Table1[[#This Row],[STATES in numeric format]]=0,F356=1),1,0)</f>
        <v>0</v>
      </c>
      <c r="M357" s="3">
        <f>IF(AND(Table1[[#This Row],[STATES in numeric format]]=1,F356=-1),1,0)</f>
        <v>0</v>
      </c>
      <c r="N357" s="3">
        <f>IF(AND(Table1[[#This Row],[STATES in numeric format]]=1,F356=0),1,0)</f>
        <v>0</v>
      </c>
      <c r="O357" s="3">
        <f>IF(AND(Table1[[#This Row],[STATES in numeric format]]=1,F356=1),1,0)</f>
        <v>0</v>
      </c>
    </row>
    <row r="358" spans="1:15" x14ac:dyDescent="0.3">
      <c r="A358" s="1">
        <v>44354</v>
      </c>
      <c r="B358" s="18">
        <v>52328.51</v>
      </c>
      <c r="C358" s="3">
        <f>Table1[[#This Row],[Close]]-0.001*Table1[[#This Row],[Close]]</f>
        <v>52276.181490000003</v>
      </c>
      <c r="D358" s="3">
        <f>Table1[[#This Row],[Close]]+0.001*Table1[[#This Row],[Close]]</f>
        <v>52380.838510000001</v>
      </c>
      <c r="E358" s="3" t="str">
        <f>IF(Table1[[#This Row],[Close]]&gt;D357,"UP",IF(Table1[[#This Row],[Close]]&lt;C357,"Down","Constant"))</f>
        <v>UP</v>
      </c>
      <c r="F358" s="3">
        <f>IF(Table1[[#This Row],[Column1]]="Up",1,IF(Table1[[#This Row],[Column1]]="Down",-1,0))</f>
        <v>1</v>
      </c>
      <c r="G358" s="3">
        <f>IF(AND(Table1[[#This Row],[STATES in numeric format]]=-1,F357=-1),1,0)</f>
        <v>0</v>
      </c>
      <c r="H358" s="3">
        <f>IF(AND(Table1[[#This Row],[STATES in numeric format]]=-1,F357=0),1,0)</f>
        <v>0</v>
      </c>
      <c r="I358" s="3">
        <f>IF(AND(Table1[[#This Row],[STATES in numeric format]]=-1,F357=1),1,0)</f>
        <v>0</v>
      </c>
      <c r="J358" s="3">
        <f>IF(AND(Table1[[#This Row],[STATES in numeric format]]=0,F357=-1),1,0)</f>
        <v>0</v>
      </c>
      <c r="K358" s="3">
        <f>IF(AND(Table1[[#This Row],[STATES in numeric format]]=0,F357=0),1,0)</f>
        <v>0</v>
      </c>
      <c r="L358" s="3">
        <f>IF(AND(Table1[[#This Row],[STATES in numeric format]]=0,F357=1),1,0)</f>
        <v>0</v>
      </c>
      <c r="M358" s="3">
        <f>IF(AND(Table1[[#This Row],[STATES in numeric format]]=1,F357=-1),1,0)</f>
        <v>1</v>
      </c>
      <c r="N358" s="3">
        <f>IF(AND(Table1[[#This Row],[STATES in numeric format]]=1,F357=0),1,0)</f>
        <v>0</v>
      </c>
      <c r="O358" s="3">
        <f>IF(AND(Table1[[#This Row],[STATES in numeric format]]=1,F357=1),1,0)</f>
        <v>0</v>
      </c>
    </row>
    <row r="359" spans="1:15" x14ac:dyDescent="0.3">
      <c r="A359" s="1">
        <v>44355</v>
      </c>
      <c r="B359" s="18">
        <v>52275.57</v>
      </c>
      <c r="C359" s="3">
        <f>Table1[[#This Row],[Close]]-0.001*Table1[[#This Row],[Close]]</f>
        <v>52223.294430000002</v>
      </c>
      <c r="D359" s="3">
        <f>Table1[[#This Row],[Close]]+0.001*Table1[[#This Row],[Close]]</f>
        <v>52327.845569999998</v>
      </c>
      <c r="E359" s="3" t="str">
        <f>IF(Table1[[#This Row],[Close]]&gt;D358,"UP",IF(Table1[[#This Row],[Close]]&lt;C358,"Down","Constant"))</f>
        <v>Down</v>
      </c>
      <c r="F359" s="3">
        <f>IF(Table1[[#This Row],[Column1]]="Up",1,IF(Table1[[#This Row],[Column1]]="Down",-1,0))</f>
        <v>-1</v>
      </c>
      <c r="G359" s="3">
        <f>IF(AND(Table1[[#This Row],[STATES in numeric format]]=-1,F358=-1),1,0)</f>
        <v>0</v>
      </c>
      <c r="H359" s="3">
        <f>IF(AND(Table1[[#This Row],[STATES in numeric format]]=-1,F358=0),1,0)</f>
        <v>0</v>
      </c>
      <c r="I359" s="3">
        <f>IF(AND(Table1[[#This Row],[STATES in numeric format]]=-1,F358=1),1,0)</f>
        <v>1</v>
      </c>
      <c r="J359" s="3">
        <f>IF(AND(Table1[[#This Row],[STATES in numeric format]]=0,F358=-1),1,0)</f>
        <v>0</v>
      </c>
      <c r="K359" s="3">
        <f>IF(AND(Table1[[#This Row],[STATES in numeric format]]=0,F358=0),1,0)</f>
        <v>0</v>
      </c>
      <c r="L359" s="3">
        <f>IF(AND(Table1[[#This Row],[STATES in numeric format]]=0,F358=1),1,0)</f>
        <v>0</v>
      </c>
      <c r="M359" s="3">
        <f>IF(AND(Table1[[#This Row],[STATES in numeric format]]=1,F358=-1),1,0)</f>
        <v>0</v>
      </c>
      <c r="N359" s="3">
        <f>IF(AND(Table1[[#This Row],[STATES in numeric format]]=1,F358=0),1,0)</f>
        <v>0</v>
      </c>
      <c r="O359" s="3">
        <f>IF(AND(Table1[[#This Row],[STATES in numeric format]]=1,F358=1),1,0)</f>
        <v>0</v>
      </c>
    </row>
    <row r="360" spans="1:15" x14ac:dyDescent="0.3">
      <c r="A360" s="1">
        <v>44356</v>
      </c>
      <c r="B360" s="18">
        <v>51941.64</v>
      </c>
      <c r="C360" s="3">
        <f>Table1[[#This Row],[Close]]-0.001*Table1[[#This Row],[Close]]</f>
        <v>51889.698360000002</v>
      </c>
      <c r="D360" s="3">
        <f>Table1[[#This Row],[Close]]+0.001*Table1[[#This Row],[Close]]</f>
        <v>51993.581639999997</v>
      </c>
      <c r="E360" s="3" t="str">
        <f>IF(Table1[[#This Row],[Close]]&gt;D359,"UP",IF(Table1[[#This Row],[Close]]&lt;C359,"Down","Constant"))</f>
        <v>Down</v>
      </c>
      <c r="F360" s="3">
        <f>IF(Table1[[#This Row],[Column1]]="Up",1,IF(Table1[[#This Row],[Column1]]="Down",-1,0))</f>
        <v>-1</v>
      </c>
      <c r="G360" s="3">
        <f>IF(AND(Table1[[#This Row],[STATES in numeric format]]=-1,F359=-1),1,0)</f>
        <v>1</v>
      </c>
      <c r="H360" s="3">
        <f>IF(AND(Table1[[#This Row],[STATES in numeric format]]=-1,F359=0),1,0)</f>
        <v>0</v>
      </c>
      <c r="I360" s="3">
        <f>IF(AND(Table1[[#This Row],[STATES in numeric format]]=-1,F359=1),1,0)</f>
        <v>0</v>
      </c>
      <c r="J360" s="3">
        <f>IF(AND(Table1[[#This Row],[STATES in numeric format]]=0,F359=-1),1,0)</f>
        <v>0</v>
      </c>
      <c r="K360" s="3">
        <f>IF(AND(Table1[[#This Row],[STATES in numeric format]]=0,F359=0),1,0)</f>
        <v>0</v>
      </c>
      <c r="L360" s="3">
        <f>IF(AND(Table1[[#This Row],[STATES in numeric format]]=0,F359=1),1,0)</f>
        <v>0</v>
      </c>
      <c r="M360" s="3">
        <f>IF(AND(Table1[[#This Row],[STATES in numeric format]]=1,F359=-1),1,0)</f>
        <v>0</v>
      </c>
      <c r="N360" s="3">
        <f>IF(AND(Table1[[#This Row],[STATES in numeric format]]=1,F359=0),1,0)</f>
        <v>0</v>
      </c>
      <c r="O360" s="3">
        <f>IF(AND(Table1[[#This Row],[STATES in numeric format]]=1,F359=1),1,0)</f>
        <v>0</v>
      </c>
    </row>
    <row r="361" spans="1:15" x14ac:dyDescent="0.3">
      <c r="A361" s="1">
        <v>44357</v>
      </c>
      <c r="B361" s="18">
        <v>52300.47</v>
      </c>
      <c r="C361" s="3">
        <f>Table1[[#This Row],[Close]]-0.001*Table1[[#This Row],[Close]]</f>
        <v>52248.169529999999</v>
      </c>
      <c r="D361" s="3">
        <f>Table1[[#This Row],[Close]]+0.001*Table1[[#This Row],[Close]]</f>
        <v>52352.770470000003</v>
      </c>
      <c r="E361" s="3" t="str">
        <f>IF(Table1[[#This Row],[Close]]&gt;D360,"UP",IF(Table1[[#This Row],[Close]]&lt;C360,"Down","Constant"))</f>
        <v>UP</v>
      </c>
      <c r="F361" s="3">
        <f>IF(Table1[[#This Row],[Column1]]="Up",1,IF(Table1[[#This Row],[Column1]]="Down",-1,0))</f>
        <v>1</v>
      </c>
      <c r="G361" s="3">
        <f>IF(AND(Table1[[#This Row],[STATES in numeric format]]=-1,F360=-1),1,0)</f>
        <v>0</v>
      </c>
      <c r="H361" s="3">
        <f>IF(AND(Table1[[#This Row],[STATES in numeric format]]=-1,F360=0),1,0)</f>
        <v>0</v>
      </c>
      <c r="I361" s="3">
        <f>IF(AND(Table1[[#This Row],[STATES in numeric format]]=-1,F360=1),1,0)</f>
        <v>0</v>
      </c>
      <c r="J361" s="3">
        <f>IF(AND(Table1[[#This Row],[STATES in numeric format]]=0,F360=-1),1,0)</f>
        <v>0</v>
      </c>
      <c r="K361" s="3">
        <f>IF(AND(Table1[[#This Row],[STATES in numeric format]]=0,F360=0),1,0)</f>
        <v>0</v>
      </c>
      <c r="L361" s="3">
        <f>IF(AND(Table1[[#This Row],[STATES in numeric format]]=0,F360=1),1,0)</f>
        <v>0</v>
      </c>
      <c r="M361" s="3">
        <f>IF(AND(Table1[[#This Row],[STATES in numeric format]]=1,F360=-1),1,0)</f>
        <v>1</v>
      </c>
      <c r="N361" s="3">
        <f>IF(AND(Table1[[#This Row],[STATES in numeric format]]=1,F360=0),1,0)</f>
        <v>0</v>
      </c>
      <c r="O361" s="3">
        <f>IF(AND(Table1[[#This Row],[STATES in numeric format]]=1,F360=1),1,0)</f>
        <v>0</v>
      </c>
    </row>
    <row r="362" spans="1:15" x14ac:dyDescent="0.3">
      <c r="A362" s="1">
        <v>44358</v>
      </c>
      <c r="B362" s="18">
        <v>52474.76</v>
      </c>
      <c r="C362" s="3">
        <f>Table1[[#This Row],[Close]]-0.001*Table1[[#This Row],[Close]]</f>
        <v>52422.285240000005</v>
      </c>
      <c r="D362" s="3">
        <f>Table1[[#This Row],[Close]]+0.001*Table1[[#This Row],[Close]]</f>
        <v>52527.234759999999</v>
      </c>
      <c r="E362" s="3" t="str">
        <f>IF(Table1[[#This Row],[Close]]&gt;D361,"UP",IF(Table1[[#This Row],[Close]]&lt;C361,"Down","Constant"))</f>
        <v>UP</v>
      </c>
      <c r="F362" s="3">
        <f>IF(Table1[[#This Row],[Column1]]="Up",1,IF(Table1[[#This Row],[Column1]]="Down",-1,0))</f>
        <v>1</v>
      </c>
      <c r="G362" s="3">
        <f>IF(AND(Table1[[#This Row],[STATES in numeric format]]=-1,F361=-1),1,0)</f>
        <v>0</v>
      </c>
      <c r="H362" s="3">
        <f>IF(AND(Table1[[#This Row],[STATES in numeric format]]=-1,F361=0),1,0)</f>
        <v>0</v>
      </c>
      <c r="I362" s="3">
        <f>IF(AND(Table1[[#This Row],[STATES in numeric format]]=-1,F361=1),1,0)</f>
        <v>0</v>
      </c>
      <c r="J362" s="3">
        <f>IF(AND(Table1[[#This Row],[STATES in numeric format]]=0,F361=-1),1,0)</f>
        <v>0</v>
      </c>
      <c r="K362" s="3">
        <f>IF(AND(Table1[[#This Row],[STATES in numeric format]]=0,F361=0),1,0)</f>
        <v>0</v>
      </c>
      <c r="L362" s="3">
        <f>IF(AND(Table1[[#This Row],[STATES in numeric format]]=0,F361=1),1,0)</f>
        <v>0</v>
      </c>
      <c r="M362" s="3">
        <f>IF(AND(Table1[[#This Row],[STATES in numeric format]]=1,F361=-1),1,0)</f>
        <v>0</v>
      </c>
      <c r="N362" s="3">
        <f>IF(AND(Table1[[#This Row],[STATES in numeric format]]=1,F361=0),1,0)</f>
        <v>0</v>
      </c>
      <c r="O362" s="3">
        <f>IF(AND(Table1[[#This Row],[STATES in numeric format]]=1,F361=1),1,0)</f>
        <v>1</v>
      </c>
    </row>
    <row r="363" spans="1:15" x14ac:dyDescent="0.3">
      <c r="A363" s="1">
        <v>44361</v>
      </c>
      <c r="B363" s="18">
        <v>52551.53</v>
      </c>
      <c r="C363" s="3">
        <f>Table1[[#This Row],[Close]]-0.001*Table1[[#This Row],[Close]]</f>
        <v>52498.978470000002</v>
      </c>
      <c r="D363" s="3">
        <f>Table1[[#This Row],[Close]]+0.001*Table1[[#This Row],[Close]]</f>
        <v>52604.081529999996</v>
      </c>
      <c r="E363" s="3" t="str">
        <f>IF(Table1[[#This Row],[Close]]&gt;D362,"UP",IF(Table1[[#This Row],[Close]]&lt;C362,"Down","Constant"))</f>
        <v>UP</v>
      </c>
      <c r="F363" s="3">
        <f>IF(Table1[[#This Row],[Column1]]="Up",1,IF(Table1[[#This Row],[Column1]]="Down",-1,0))</f>
        <v>1</v>
      </c>
      <c r="G363" s="3">
        <f>IF(AND(Table1[[#This Row],[STATES in numeric format]]=-1,F362=-1),1,0)</f>
        <v>0</v>
      </c>
      <c r="H363" s="3">
        <f>IF(AND(Table1[[#This Row],[STATES in numeric format]]=-1,F362=0),1,0)</f>
        <v>0</v>
      </c>
      <c r="I363" s="3">
        <f>IF(AND(Table1[[#This Row],[STATES in numeric format]]=-1,F362=1),1,0)</f>
        <v>0</v>
      </c>
      <c r="J363" s="3">
        <f>IF(AND(Table1[[#This Row],[STATES in numeric format]]=0,F362=-1),1,0)</f>
        <v>0</v>
      </c>
      <c r="K363" s="3">
        <f>IF(AND(Table1[[#This Row],[STATES in numeric format]]=0,F362=0),1,0)</f>
        <v>0</v>
      </c>
      <c r="L363" s="3">
        <f>IF(AND(Table1[[#This Row],[STATES in numeric format]]=0,F362=1),1,0)</f>
        <v>0</v>
      </c>
      <c r="M363" s="3">
        <f>IF(AND(Table1[[#This Row],[STATES in numeric format]]=1,F362=-1),1,0)</f>
        <v>0</v>
      </c>
      <c r="N363" s="3">
        <f>IF(AND(Table1[[#This Row],[STATES in numeric format]]=1,F362=0),1,0)</f>
        <v>0</v>
      </c>
      <c r="O363" s="3">
        <f>IF(AND(Table1[[#This Row],[STATES in numeric format]]=1,F362=1),1,0)</f>
        <v>1</v>
      </c>
    </row>
    <row r="364" spans="1:15" x14ac:dyDescent="0.3">
      <c r="A364" s="1">
        <v>44362</v>
      </c>
      <c r="B364" s="18">
        <v>52773.05</v>
      </c>
      <c r="C364" s="3">
        <f>Table1[[#This Row],[Close]]-0.001*Table1[[#This Row],[Close]]</f>
        <v>52720.276949999999</v>
      </c>
      <c r="D364" s="3">
        <f>Table1[[#This Row],[Close]]+0.001*Table1[[#This Row],[Close]]</f>
        <v>52825.823050000006</v>
      </c>
      <c r="E364" s="3" t="str">
        <f>IF(Table1[[#This Row],[Close]]&gt;D363,"UP",IF(Table1[[#This Row],[Close]]&lt;C363,"Down","Constant"))</f>
        <v>UP</v>
      </c>
      <c r="F364" s="3">
        <f>IF(Table1[[#This Row],[Column1]]="Up",1,IF(Table1[[#This Row],[Column1]]="Down",-1,0))</f>
        <v>1</v>
      </c>
      <c r="G364" s="3">
        <f>IF(AND(Table1[[#This Row],[STATES in numeric format]]=-1,F363=-1),1,0)</f>
        <v>0</v>
      </c>
      <c r="H364" s="3">
        <f>IF(AND(Table1[[#This Row],[STATES in numeric format]]=-1,F363=0),1,0)</f>
        <v>0</v>
      </c>
      <c r="I364" s="3">
        <f>IF(AND(Table1[[#This Row],[STATES in numeric format]]=-1,F363=1),1,0)</f>
        <v>0</v>
      </c>
      <c r="J364" s="3">
        <f>IF(AND(Table1[[#This Row],[STATES in numeric format]]=0,F363=-1),1,0)</f>
        <v>0</v>
      </c>
      <c r="K364" s="3">
        <f>IF(AND(Table1[[#This Row],[STATES in numeric format]]=0,F363=0),1,0)</f>
        <v>0</v>
      </c>
      <c r="L364" s="3">
        <f>IF(AND(Table1[[#This Row],[STATES in numeric format]]=0,F363=1),1,0)</f>
        <v>0</v>
      </c>
      <c r="M364" s="3">
        <f>IF(AND(Table1[[#This Row],[STATES in numeric format]]=1,F363=-1),1,0)</f>
        <v>0</v>
      </c>
      <c r="N364" s="3">
        <f>IF(AND(Table1[[#This Row],[STATES in numeric format]]=1,F363=0),1,0)</f>
        <v>0</v>
      </c>
      <c r="O364" s="3">
        <f>IF(AND(Table1[[#This Row],[STATES in numeric format]]=1,F363=1),1,0)</f>
        <v>1</v>
      </c>
    </row>
    <row r="365" spans="1:15" x14ac:dyDescent="0.3">
      <c r="A365" s="1">
        <v>44363</v>
      </c>
      <c r="B365" s="18">
        <v>52501.98</v>
      </c>
      <c r="C365" s="3">
        <f>Table1[[#This Row],[Close]]-0.001*Table1[[#This Row],[Close]]</f>
        <v>52449.478020000002</v>
      </c>
      <c r="D365" s="3">
        <f>Table1[[#This Row],[Close]]+0.001*Table1[[#This Row],[Close]]</f>
        <v>52554.481980000004</v>
      </c>
      <c r="E365" s="3" t="str">
        <f>IF(Table1[[#This Row],[Close]]&gt;D364,"UP",IF(Table1[[#This Row],[Close]]&lt;C364,"Down","Constant"))</f>
        <v>Down</v>
      </c>
      <c r="F365" s="3">
        <f>IF(Table1[[#This Row],[Column1]]="Up",1,IF(Table1[[#This Row],[Column1]]="Down",-1,0))</f>
        <v>-1</v>
      </c>
      <c r="G365" s="3">
        <f>IF(AND(Table1[[#This Row],[STATES in numeric format]]=-1,F364=-1),1,0)</f>
        <v>0</v>
      </c>
      <c r="H365" s="3">
        <f>IF(AND(Table1[[#This Row],[STATES in numeric format]]=-1,F364=0),1,0)</f>
        <v>0</v>
      </c>
      <c r="I365" s="3">
        <f>IF(AND(Table1[[#This Row],[STATES in numeric format]]=-1,F364=1),1,0)</f>
        <v>1</v>
      </c>
      <c r="J365" s="3">
        <f>IF(AND(Table1[[#This Row],[STATES in numeric format]]=0,F364=-1),1,0)</f>
        <v>0</v>
      </c>
      <c r="K365" s="3">
        <f>IF(AND(Table1[[#This Row],[STATES in numeric format]]=0,F364=0),1,0)</f>
        <v>0</v>
      </c>
      <c r="L365" s="3">
        <f>IF(AND(Table1[[#This Row],[STATES in numeric format]]=0,F364=1),1,0)</f>
        <v>0</v>
      </c>
      <c r="M365" s="3">
        <f>IF(AND(Table1[[#This Row],[STATES in numeric format]]=1,F364=-1),1,0)</f>
        <v>0</v>
      </c>
      <c r="N365" s="3">
        <f>IF(AND(Table1[[#This Row],[STATES in numeric format]]=1,F364=0),1,0)</f>
        <v>0</v>
      </c>
      <c r="O365" s="3">
        <f>IF(AND(Table1[[#This Row],[STATES in numeric format]]=1,F364=1),1,0)</f>
        <v>0</v>
      </c>
    </row>
    <row r="366" spans="1:15" x14ac:dyDescent="0.3">
      <c r="A366" s="1">
        <v>44364</v>
      </c>
      <c r="B366" s="18">
        <v>52323.33</v>
      </c>
      <c r="C366" s="3">
        <f>Table1[[#This Row],[Close]]-0.001*Table1[[#This Row],[Close]]</f>
        <v>52271.006670000002</v>
      </c>
      <c r="D366" s="3">
        <f>Table1[[#This Row],[Close]]+0.001*Table1[[#This Row],[Close]]</f>
        <v>52375.653330000001</v>
      </c>
      <c r="E366" s="3" t="str">
        <f>IF(Table1[[#This Row],[Close]]&gt;D365,"UP",IF(Table1[[#This Row],[Close]]&lt;C365,"Down","Constant"))</f>
        <v>Down</v>
      </c>
      <c r="F366" s="3">
        <f>IF(Table1[[#This Row],[Column1]]="Up",1,IF(Table1[[#This Row],[Column1]]="Down",-1,0))</f>
        <v>-1</v>
      </c>
      <c r="G366" s="3">
        <f>IF(AND(Table1[[#This Row],[STATES in numeric format]]=-1,F365=-1),1,0)</f>
        <v>1</v>
      </c>
      <c r="H366" s="3">
        <f>IF(AND(Table1[[#This Row],[STATES in numeric format]]=-1,F365=0),1,0)</f>
        <v>0</v>
      </c>
      <c r="I366" s="3">
        <f>IF(AND(Table1[[#This Row],[STATES in numeric format]]=-1,F365=1),1,0)</f>
        <v>0</v>
      </c>
      <c r="J366" s="3">
        <f>IF(AND(Table1[[#This Row],[STATES in numeric format]]=0,F365=-1),1,0)</f>
        <v>0</v>
      </c>
      <c r="K366" s="3">
        <f>IF(AND(Table1[[#This Row],[STATES in numeric format]]=0,F365=0),1,0)</f>
        <v>0</v>
      </c>
      <c r="L366" s="3">
        <f>IF(AND(Table1[[#This Row],[STATES in numeric format]]=0,F365=1),1,0)</f>
        <v>0</v>
      </c>
      <c r="M366" s="3">
        <f>IF(AND(Table1[[#This Row],[STATES in numeric format]]=1,F365=-1),1,0)</f>
        <v>0</v>
      </c>
      <c r="N366" s="3">
        <f>IF(AND(Table1[[#This Row],[STATES in numeric format]]=1,F365=0),1,0)</f>
        <v>0</v>
      </c>
      <c r="O366" s="3">
        <f>IF(AND(Table1[[#This Row],[STATES in numeric format]]=1,F365=1),1,0)</f>
        <v>0</v>
      </c>
    </row>
    <row r="367" spans="1:15" x14ac:dyDescent="0.3">
      <c r="A367" s="1">
        <v>44365</v>
      </c>
      <c r="B367" s="18">
        <v>52344.45</v>
      </c>
      <c r="C367" s="3">
        <f>Table1[[#This Row],[Close]]-0.001*Table1[[#This Row],[Close]]</f>
        <v>52292.10555</v>
      </c>
      <c r="D367" s="3">
        <f>Table1[[#This Row],[Close]]+0.001*Table1[[#This Row],[Close]]</f>
        <v>52396.794449999994</v>
      </c>
      <c r="E367" s="3" t="str">
        <f>IF(Table1[[#This Row],[Close]]&gt;D366,"UP",IF(Table1[[#This Row],[Close]]&lt;C366,"Down","Constant"))</f>
        <v>Constant</v>
      </c>
      <c r="F367" s="3">
        <f>IF(Table1[[#This Row],[Column1]]="Up",1,IF(Table1[[#This Row],[Column1]]="Down",-1,0))</f>
        <v>0</v>
      </c>
      <c r="G367" s="3">
        <f>IF(AND(Table1[[#This Row],[STATES in numeric format]]=-1,F366=-1),1,0)</f>
        <v>0</v>
      </c>
      <c r="H367" s="3">
        <f>IF(AND(Table1[[#This Row],[STATES in numeric format]]=-1,F366=0),1,0)</f>
        <v>0</v>
      </c>
      <c r="I367" s="3">
        <f>IF(AND(Table1[[#This Row],[STATES in numeric format]]=-1,F366=1),1,0)</f>
        <v>0</v>
      </c>
      <c r="J367" s="3">
        <f>IF(AND(Table1[[#This Row],[STATES in numeric format]]=0,F366=-1),1,0)</f>
        <v>1</v>
      </c>
      <c r="K367" s="3">
        <f>IF(AND(Table1[[#This Row],[STATES in numeric format]]=0,F366=0),1,0)</f>
        <v>0</v>
      </c>
      <c r="L367" s="3">
        <f>IF(AND(Table1[[#This Row],[STATES in numeric format]]=0,F366=1),1,0)</f>
        <v>0</v>
      </c>
      <c r="M367" s="3">
        <f>IF(AND(Table1[[#This Row],[STATES in numeric format]]=1,F366=-1),1,0)</f>
        <v>0</v>
      </c>
      <c r="N367" s="3">
        <f>IF(AND(Table1[[#This Row],[STATES in numeric format]]=1,F366=0),1,0)</f>
        <v>0</v>
      </c>
      <c r="O367" s="3">
        <f>IF(AND(Table1[[#This Row],[STATES in numeric format]]=1,F366=1),1,0)</f>
        <v>0</v>
      </c>
    </row>
    <row r="368" spans="1:15" x14ac:dyDescent="0.3">
      <c r="A368" s="1">
        <v>44368</v>
      </c>
      <c r="B368" s="18">
        <v>52574.46</v>
      </c>
      <c r="C368" s="3">
        <f>Table1[[#This Row],[Close]]-0.001*Table1[[#This Row],[Close]]</f>
        <v>52521.885539999996</v>
      </c>
      <c r="D368" s="3">
        <f>Table1[[#This Row],[Close]]+0.001*Table1[[#This Row],[Close]]</f>
        <v>52627.034460000003</v>
      </c>
      <c r="E368" s="3" t="str">
        <f>IF(Table1[[#This Row],[Close]]&gt;D367,"UP",IF(Table1[[#This Row],[Close]]&lt;C367,"Down","Constant"))</f>
        <v>UP</v>
      </c>
      <c r="F368" s="3">
        <f>IF(Table1[[#This Row],[Column1]]="Up",1,IF(Table1[[#This Row],[Column1]]="Down",-1,0))</f>
        <v>1</v>
      </c>
      <c r="G368" s="3">
        <f>IF(AND(Table1[[#This Row],[STATES in numeric format]]=-1,F367=-1),1,0)</f>
        <v>0</v>
      </c>
      <c r="H368" s="3">
        <f>IF(AND(Table1[[#This Row],[STATES in numeric format]]=-1,F367=0),1,0)</f>
        <v>0</v>
      </c>
      <c r="I368" s="3">
        <f>IF(AND(Table1[[#This Row],[STATES in numeric format]]=-1,F367=1),1,0)</f>
        <v>0</v>
      </c>
      <c r="J368" s="3">
        <f>IF(AND(Table1[[#This Row],[STATES in numeric format]]=0,F367=-1),1,0)</f>
        <v>0</v>
      </c>
      <c r="K368" s="3">
        <f>IF(AND(Table1[[#This Row],[STATES in numeric format]]=0,F367=0),1,0)</f>
        <v>0</v>
      </c>
      <c r="L368" s="3">
        <f>IF(AND(Table1[[#This Row],[STATES in numeric format]]=0,F367=1),1,0)</f>
        <v>0</v>
      </c>
      <c r="M368" s="3">
        <f>IF(AND(Table1[[#This Row],[STATES in numeric format]]=1,F367=-1),1,0)</f>
        <v>0</v>
      </c>
      <c r="N368" s="3">
        <f>IF(AND(Table1[[#This Row],[STATES in numeric format]]=1,F367=0),1,0)</f>
        <v>1</v>
      </c>
      <c r="O368" s="3">
        <f>IF(AND(Table1[[#This Row],[STATES in numeric format]]=1,F367=1),1,0)</f>
        <v>0</v>
      </c>
    </row>
    <row r="369" spans="1:15" x14ac:dyDescent="0.3">
      <c r="A369" s="1">
        <v>44369</v>
      </c>
      <c r="B369" s="18">
        <v>52588.71</v>
      </c>
      <c r="C369" s="3">
        <f>Table1[[#This Row],[Close]]-0.001*Table1[[#This Row],[Close]]</f>
        <v>52536.121289999995</v>
      </c>
      <c r="D369" s="3">
        <f>Table1[[#This Row],[Close]]+0.001*Table1[[#This Row],[Close]]</f>
        <v>52641.298710000003</v>
      </c>
      <c r="E369" s="3" t="str">
        <f>IF(Table1[[#This Row],[Close]]&gt;D368,"UP",IF(Table1[[#This Row],[Close]]&lt;C368,"Down","Constant"))</f>
        <v>Constant</v>
      </c>
      <c r="F369" s="3">
        <f>IF(Table1[[#This Row],[Column1]]="Up",1,IF(Table1[[#This Row],[Column1]]="Down",-1,0))</f>
        <v>0</v>
      </c>
      <c r="G369" s="3">
        <f>IF(AND(Table1[[#This Row],[STATES in numeric format]]=-1,F368=-1),1,0)</f>
        <v>0</v>
      </c>
      <c r="H369" s="3">
        <f>IF(AND(Table1[[#This Row],[STATES in numeric format]]=-1,F368=0),1,0)</f>
        <v>0</v>
      </c>
      <c r="I369" s="3">
        <f>IF(AND(Table1[[#This Row],[STATES in numeric format]]=-1,F368=1),1,0)</f>
        <v>0</v>
      </c>
      <c r="J369" s="3">
        <f>IF(AND(Table1[[#This Row],[STATES in numeric format]]=0,F368=-1),1,0)</f>
        <v>0</v>
      </c>
      <c r="K369" s="3">
        <f>IF(AND(Table1[[#This Row],[STATES in numeric format]]=0,F368=0),1,0)</f>
        <v>0</v>
      </c>
      <c r="L369" s="3">
        <f>IF(AND(Table1[[#This Row],[STATES in numeric format]]=0,F368=1),1,0)</f>
        <v>1</v>
      </c>
      <c r="M369" s="3">
        <f>IF(AND(Table1[[#This Row],[STATES in numeric format]]=1,F368=-1),1,0)</f>
        <v>0</v>
      </c>
      <c r="N369" s="3">
        <f>IF(AND(Table1[[#This Row],[STATES in numeric format]]=1,F368=0),1,0)</f>
        <v>0</v>
      </c>
      <c r="O369" s="3">
        <f>IF(AND(Table1[[#This Row],[STATES in numeric format]]=1,F368=1),1,0)</f>
        <v>0</v>
      </c>
    </row>
    <row r="370" spans="1:15" x14ac:dyDescent="0.3">
      <c r="A370" s="1">
        <v>44370</v>
      </c>
      <c r="B370" s="18">
        <v>52306.080000000002</v>
      </c>
      <c r="C370" s="3">
        <f>Table1[[#This Row],[Close]]-0.001*Table1[[#This Row],[Close]]</f>
        <v>52253.77392</v>
      </c>
      <c r="D370" s="3">
        <f>Table1[[#This Row],[Close]]+0.001*Table1[[#This Row],[Close]]</f>
        <v>52358.386080000004</v>
      </c>
      <c r="E370" s="3" t="str">
        <f>IF(Table1[[#This Row],[Close]]&gt;D369,"UP",IF(Table1[[#This Row],[Close]]&lt;C369,"Down","Constant"))</f>
        <v>Down</v>
      </c>
      <c r="F370" s="3">
        <f>IF(Table1[[#This Row],[Column1]]="Up",1,IF(Table1[[#This Row],[Column1]]="Down",-1,0))</f>
        <v>-1</v>
      </c>
      <c r="G370" s="3">
        <f>IF(AND(Table1[[#This Row],[STATES in numeric format]]=-1,F369=-1),1,0)</f>
        <v>0</v>
      </c>
      <c r="H370" s="3">
        <f>IF(AND(Table1[[#This Row],[STATES in numeric format]]=-1,F369=0),1,0)</f>
        <v>1</v>
      </c>
      <c r="I370" s="3">
        <f>IF(AND(Table1[[#This Row],[STATES in numeric format]]=-1,F369=1),1,0)</f>
        <v>0</v>
      </c>
      <c r="J370" s="3">
        <f>IF(AND(Table1[[#This Row],[STATES in numeric format]]=0,F369=-1),1,0)</f>
        <v>0</v>
      </c>
      <c r="K370" s="3">
        <f>IF(AND(Table1[[#This Row],[STATES in numeric format]]=0,F369=0),1,0)</f>
        <v>0</v>
      </c>
      <c r="L370" s="3">
        <f>IF(AND(Table1[[#This Row],[STATES in numeric format]]=0,F369=1),1,0)</f>
        <v>0</v>
      </c>
      <c r="M370" s="3">
        <f>IF(AND(Table1[[#This Row],[STATES in numeric format]]=1,F369=-1),1,0)</f>
        <v>0</v>
      </c>
      <c r="N370" s="3">
        <f>IF(AND(Table1[[#This Row],[STATES in numeric format]]=1,F369=0),1,0)</f>
        <v>0</v>
      </c>
      <c r="O370" s="3">
        <f>IF(AND(Table1[[#This Row],[STATES in numeric format]]=1,F369=1),1,0)</f>
        <v>0</v>
      </c>
    </row>
    <row r="371" spans="1:15" x14ac:dyDescent="0.3">
      <c r="A371" s="1">
        <v>44371</v>
      </c>
      <c r="B371" s="18">
        <v>52699</v>
      </c>
      <c r="C371" s="3">
        <f>Table1[[#This Row],[Close]]-0.001*Table1[[#This Row],[Close]]</f>
        <v>52646.300999999999</v>
      </c>
      <c r="D371" s="3">
        <f>Table1[[#This Row],[Close]]+0.001*Table1[[#This Row],[Close]]</f>
        <v>52751.699000000001</v>
      </c>
      <c r="E371" s="3" t="str">
        <f>IF(Table1[[#This Row],[Close]]&gt;D370,"UP",IF(Table1[[#This Row],[Close]]&lt;C370,"Down","Constant"))</f>
        <v>UP</v>
      </c>
      <c r="F371" s="3">
        <f>IF(Table1[[#This Row],[Column1]]="Up",1,IF(Table1[[#This Row],[Column1]]="Down",-1,0))</f>
        <v>1</v>
      </c>
      <c r="G371" s="3">
        <f>IF(AND(Table1[[#This Row],[STATES in numeric format]]=-1,F370=-1),1,0)</f>
        <v>0</v>
      </c>
      <c r="H371" s="3">
        <f>IF(AND(Table1[[#This Row],[STATES in numeric format]]=-1,F370=0),1,0)</f>
        <v>0</v>
      </c>
      <c r="I371" s="3">
        <f>IF(AND(Table1[[#This Row],[STATES in numeric format]]=-1,F370=1),1,0)</f>
        <v>0</v>
      </c>
      <c r="J371" s="3">
        <f>IF(AND(Table1[[#This Row],[STATES in numeric format]]=0,F370=-1),1,0)</f>
        <v>0</v>
      </c>
      <c r="K371" s="3">
        <f>IF(AND(Table1[[#This Row],[STATES in numeric format]]=0,F370=0),1,0)</f>
        <v>0</v>
      </c>
      <c r="L371" s="3">
        <f>IF(AND(Table1[[#This Row],[STATES in numeric format]]=0,F370=1),1,0)</f>
        <v>0</v>
      </c>
      <c r="M371" s="3">
        <f>IF(AND(Table1[[#This Row],[STATES in numeric format]]=1,F370=-1),1,0)</f>
        <v>1</v>
      </c>
      <c r="N371" s="3">
        <f>IF(AND(Table1[[#This Row],[STATES in numeric format]]=1,F370=0),1,0)</f>
        <v>0</v>
      </c>
      <c r="O371" s="3">
        <f>IF(AND(Table1[[#This Row],[STATES in numeric format]]=1,F370=1),1,0)</f>
        <v>0</v>
      </c>
    </row>
    <row r="372" spans="1:15" x14ac:dyDescent="0.3">
      <c r="A372" s="1">
        <v>44372</v>
      </c>
      <c r="B372" s="18">
        <v>52925.04</v>
      </c>
      <c r="C372" s="3">
        <f>Table1[[#This Row],[Close]]-0.001*Table1[[#This Row],[Close]]</f>
        <v>52872.114959999999</v>
      </c>
      <c r="D372" s="3">
        <f>Table1[[#This Row],[Close]]+0.001*Table1[[#This Row],[Close]]</f>
        <v>52977.965040000003</v>
      </c>
      <c r="E372" s="3" t="str">
        <f>IF(Table1[[#This Row],[Close]]&gt;D371,"UP",IF(Table1[[#This Row],[Close]]&lt;C371,"Down","Constant"))</f>
        <v>UP</v>
      </c>
      <c r="F372" s="3">
        <f>IF(Table1[[#This Row],[Column1]]="Up",1,IF(Table1[[#This Row],[Column1]]="Down",-1,0))</f>
        <v>1</v>
      </c>
      <c r="G372" s="3">
        <f>IF(AND(Table1[[#This Row],[STATES in numeric format]]=-1,F371=-1),1,0)</f>
        <v>0</v>
      </c>
      <c r="H372" s="3">
        <f>IF(AND(Table1[[#This Row],[STATES in numeric format]]=-1,F371=0),1,0)</f>
        <v>0</v>
      </c>
      <c r="I372" s="3">
        <f>IF(AND(Table1[[#This Row],[STATES in numeric format]]=-1,F371=1),1,0)</f>
        <v>0</v>
      </c>
      <c r="J372" s="3">
        <f>IF(AND(Table1[[#This Row],[STATES in numeric format]]=0,F371=-1),1,0)</f>
        <v>0</v>
      </c>
      <c r="K372" s="3">
        <f>IF(AND(Table1[[#This Row],[STATES in numeric format]]=0,F371=0),1,0)</f>
        <v>0</v>
      </c>
      <c r="L372" s="3">
        <f>IF(AND(Table1[[#This Row],[STATES in numeric format]]=0,F371=1),1,0)</f>
        <v>0</v>
      </c>
      <c r="M372" s="3">
        <f>IF(AND(Table1[[#This Row],[STATES in numeric format]]=1,F371=-1),1,0)</f>
        <v>0</v>
      </c>
      <c r="N372" s="3">
        <f>IF(AND(Table1[[#This Row],[STATES in numeric format]]=1,F371=0),1,0)</f>
        <v>0</v>
      </c>
      <c r="O372" s="3">
        <f>IF(AND(Table1[[#This Row],[STATES in numeric format]]=1,F371=1),1,0)</f>
        <v>1</v>
      </c>
    </row>
    <row r="373" spans="1:15" x14ac:dyDescent="0.3">
      <c r="A373" s="1">
        <v>44375</v>
      </c>
      <c r="B373" s="18">
        <v>52735.59</v>
      </c>
      <c r="C373" s="3">
        <f>Table1[[#This Row],[Close]]-0.001*Table1[[#This Row],[Close]]</f>
        <v>52682.85441</v>
      </c>
      <c r="D373" s="3">
        <f>Table1[[#This Row],[Close]]+0.001*Table1[[#This Row],[Close]]</f>
        <v>52788.325589999993</v>
      </c>
      <c r="E373" s="3" t="str">
        <f>IF(Table1[[#This Row],[Close]]&gt;D372,"UP",IF(Table1[[#This Row],[Close]]&lt;C372,"Down","Constant"))</f>
        <v>Down</v>
      </c>
      <c r="F373" s="3">
        <f>IF(Table1[[#This Row],[Column1]]="Up",1,IF(Table1[[#This Row],[Column1]]="Down",-1,0))</f>
        <v>-1</v>
      </c>
      <c r="G373" s="3">
        <f>IF(AND(Table1[[#This Row],[STATES in numeric format]]=-1,F372=-1),1,0)</f>
        <v>0</v>
      </c>
      <c r="H373" s="3">
        <f>IF(AND(Table1[[#This Row],[STATES in numeric format]]=-1,F372=0),1,0)</f>
        <v>0</v>
      </c>
      <c r="I373" s="3">
        <f>IF(AND(Table1[[#This Row],[STATES in numeric format]]=-1,F372=1),1,0)</f>
        <v>1</v>
      </c>
      <c r="J373" s="3">
        <f>IF(AND(Table1[[#This Row],[STATES in numeric format]]=0,F372=-1),1,0)</f>
        <v>0</v>
      </c>
      <c r="K373" s="3">
        <f>IF(AND(Table1[[#This Row],[STATES in numeric format]]=0,F372=0),1,0)</f>
        <v>0</v>
      </c>
      <c r="L373" s="3">
        <f>IF(AND(Table1[[#This Row],[STATES in numeric format]]=0,F372=1),1,0)</f>
        <v>0</v>
      </c>
      <c r="M373" s="3">
        <f>IF(AND(Table1[[#This Row],[STATES in numeric format]]=1,F372=-1),1,0)</f>
        <v>0</v>
      </c>
      <c r="N373" s="3">
        <f>IF(AND(Table1[[#This Row],[STATES in numeric format]]=1,F372=0),1,0)</f>
        <v>0</v>
      </c>
      <c r="O373" s="3">
        <f>IF(AND(Table1[[#This Row],[STATES in numeric format]]=1,F372=1),1,0)</f>
        <v>0</v>
      </c>
    </row>
    <row r="374" spans="1:15" x14ac:dyDescent="0.3">
      <c r="A374" s="1">
        <v>44376</v>
      </c>
      <c r="B374" s="18">
        <v>52549.66</v>
      </c>
      <c r="C374" s="3">
        <f>Table1[[#This Row],[Close]]-0.001*Table1[[#This Row],[Close]]</f>
        <v>52497.110340000007</v>
      </c>
      <c r="D374" s="3">
        <f>Table1[[#This Row],[Close]]+0.001*Table1[[#This Row],[Close]]</f>
        <v>52602.20966</v>
      </c>
      <c r="E374" s="3" t="str">
        <f>IF(Table1[[#This Row],[Close]]&gt;D373,"UP",IF(Table1[[#This Row],[Close]]&lt;C373,"Down","Constant"))</f>
        <v>Down</v>
      </c>
      <c r="F374" s="3">
        <f>IF(Table1[[#This Row],[Column1]]="Up",1,IF(Table1[[#This Row],[Column1]]="Down",-1,0))</f>
        <v>-1</v>
      </c>
      <c r="G374" s="3">
        <f>IF(AND(Table1[[#This Row],[STATES in numeric format]]=-1,F373=-1),1,0)</f>
        <v>1</v>
      </c>
      <c r="H374" s="3">
        <f>IF(AND(Table1[[#This Row],[STATES in numeric format]]=-1,F373=0),1,0)</f>
        <v>0</v>
      </c>
      <c r="I374" s="3">
        <f>IF(AND(Table1[[#This Row],[STATES in numeric format]]=-1,F373=1),1,0)</f>
        <v>0</v>
      </c>
      <c r="J374" s="3">
        <f>IF(AND(Table1[[#This Row],[STATES in numeric format]]=0,F373=-1),1,0)</f>
        <v>0</v>
      </c>
      <c r="K374" s="3">
        <f>IF(AND(Table1[[#This Row],[STATES in numeric format]]=0,F373=0),1,0)</f>
        <v>0</v>
      </c>
      <c r="L374" s="3">
        <f>IF(AND(Table1[[#This Row],[STATES in numeric format]]=0,F373=1),1,0)</f>
        <v>0</v>
      </c>
      <c r="M374" s="3">
        <f>IF(AND(Table1[[#This Row],[STATES in numeric format]]=1,F373=-1),1,0)</f>
        <v>0</v>
      </c>
      <c r="N374" s="3">
        <f>IF(AND(Table1[[#This Row],[STATES in numeric format]]=1,F373=0),1,0)</f>
        <v>0</v>
      </c>
      <c r="O374" s="3">
        <f>IF(AND(Table1[[#This Row],[STATES in numeric format]]=1,F373=1),1,0)</f>
        <v>0</v>
      </c>
    </row>
    <row r="375" spans="1:15" x14ac:dyDescent="0.3">
      <c r="A375" s="1">
        <v>44377</v>
      </c>
      <c r="B375" s="18">
        <v>52482.71</v>
      </c>
      <c r="C375" s="3">
        <f>Table1[[#This Row],[Close]]-0.001*Table1[[#This Row],[Close]]</f>
        <v>52430.227290000003</v>
      </c>
      <c r="D375" s="3">
        <f>Table1[[#This Row],[Close]]+0.001*Table1[[#This Row],[Close]]</f>
        <v>52535.192709999996</v>
      </c>
      <c r="E375" s="3" t="str">
        <f>IF(Table1[[#This Row],[Close]]&gt;D374,"UP",IF(Table1[[#This Row],[Close]]&lt;C374,"Down","Constant"))</f>
        <v>Down</v>
      </c>
      <c r="F375" s="3">
        <f>IF(Table1[[#This Row],[Column1]]="Up",1,IF(Table1[[#This Row],[Column1]]="Down",-1,0))</f>
        <v>-1</v>
      </c>
      <c r="G375" s="3">
        <f>IF(AND(Table1[[#This Row],[STATES in numeric format]]=-1,F374=-1),1,0)</f>
        <v>1</v>
      </c>
      <c r="H375" s="3">
        <f>IF(AND(Table1[[#This Row],[STATES in numeric format]]=-1,F374=0),1,0)</f>
        <v>0</v>
      </c>
      <c r="I375" s="3">
        <f>IF(AND(Table1[[#This Row],[STATES in numeric format]]=-1,F374=1),1,0)</f>
        <v>0</v>
      </c>
      <c r="J375" s="3">
        <f>IF(AND(Table1[[#This Row],[STATES in numeric format]]=0,F374=-1),1,0)</f>
        <v>0</v>
      </c>
      <c r="K375" s="3">
        <f>IF(AND(Table1[[#This Row],[STATES in numeric format]]=0,F374=0),1,0)</f>
        <v>0</v>
      </c>
      <c r="L375" s="3">
        <f>IF(AND(Table1[[#This Row],[STATES in numeric format]]=0,F374=1),1,0)</f>
        <v>0</v>
      </c>
      <c r="M375" s="3">
        <f>IF(AND(Table1[[#This Row],[STATES in numeric format]]=1,F374=-1),1,0)</f>
        <v>0</v>
      </c>
      <c r="N375" s="3">
        <f>IF(AND(Table1[[#This Row],[STATES in numeric format]]=1,F374=0),1,0)</f>
        <v>0</v>
      </c>
      <c r="O375" s="3">
        <f>IF(AND(Table1[[#This Row],[STATES in numeric format]]=1,F374=1),1,0)</f>
        <v>0</v>
      </c>
    </row>
    <row r="376" spans="1:15" x14ac:dyDescent="0.3">
      <c r="A376" s="1">
        <v>44378</v>
      </c>
      <c r="B376" s="18">
        <v>52318.6</v>
      </c>
      <c r="C376" s="3">
        <f>Table1[[#This Row],[Close]]-0.001*Table1[[#This Row],[Close]]</f>
        <v>52266.2814</v>
      </c>
      <c r="D376" s="3">
        <f>Table1[[#This Row],[Close]]+0.001*Table1[[#This Row],[Close]]</f>
        <v>52370.918599999997</v>
      </c>
      <c r="E376" s="3" t="str">
        <f>IF(Table1[[#This Row],[Close]]&gt;D375,"UP",IF(Table1[[#This Row],[Close]]&lt;C375,"Down","Constant"))</f>
        <v>Down</v>
      </c>
      <c r="F376" s="3">
        <f>IF(Table1[[#This Row],[Column1]]="Up",1,IF(Table1[[#This Row],[Column1]]="Down",-1,0))</f>
        <v>-1</v>
      </c>
      <c r="G376" s="3">
        <f>IF(AND(Table1[[#This Row],[STATES in numeric format]]=-1,F375=-1),1,0)</f>
        <v>1</v>
      </c>
      <c r="H376" s="3">
        <f>IF(AND(Table1[[#This Row],[STATES in numeric format]]=-1,F375=0),1,0)</f>
        <v>0</v>
      </c>
      <c r="I376" s="3">
        <f>IF(AND(Table1[[#This Row],[STATES in numeric format]]=-1,F375=1),1,0)</f>
        <v>0</v>
      </c>
      <c r="J376" s="3">
        <f>IF(AND(Table1[[#This Row],[STATES in numeric format]]=0,F375=-1),1,0)</f>
        <v>0</v>
      </c>
      <c r="K376" s="3">
        <f>IF(AND(Table1[[#This Row],[STATES in numeric format]]=0,F375=0),1,0)</f>
        <v>0</v>
      </c>
      <c r="L376" s="3">
        <f>IF(AND(Table1[[#This Row],[STATES in numeric format]]=0,F375=1),1,0)</f>
        <v>0</v>
      </c>
      <c r="M376" s="3">
        <f>IF(AND(Table1[[#This Row],[STATES in numeric format]]=1,F375=-1),1,0)</f>
        <v>0</v>
      </c>
      <c r="N376" s="3">
        <f>IF(AND(Table1[[#This Row],[STATES in numeric format]]=1,F375=0),1,0)</f>
        <v>0</v>
      </c>
      <c r="O376" s="3">
        <f>IF(AND(Table1[[#This Row],[STATES in numeric format]]=1,F375=1),1,0)</f>
        <v>0</v>
      </c>
    </row>
    <row r="377" spans="1:15" x14ac:dyDescent="0.3">
      <c r="A377" s="1">
        <v>44379</v>
      </c>
      <c r="B377" s="18">
        <v>52484.67</v>
      </c>
      <c r="C377" s="3">
        <f>Table1[[#This Row],[Close]]-0.001*Table1[[#This Row],[Close]]</f>
        <v>52432.18533</v>
      </c>
      <c r="D377" s="3">
        <f>Table1[[#This Row],[Close]]+0.001*Table1[[#This Row],[Close]]</f>
        <v>52537.154669999996</v>
      </c>
      <c r="E377" s="3" t="str">
        <f>IF(Table1[[#This Row],[Close]]&gt;D376,"UP",IF(Table1[[#This Row],[Close]]&lt;C376,"Down","Constant"))</f>
        <v>UP</v>
      </c>
      <c r="F377" s="3">
        <f>IF(Table1[[#This Row],[Column1]]="Up",1,IF(Table1[[#This Row],[Column1]]="Down",-1,0))</f>
        <v>1</v>
      </c>
      <c r="G377" s="3">
        <f>IF(AND(Table1[[#This Row],[STATES in numeric format]]=-1,F376=-1),1,0)</f>
        <v>0</v>
      </c>
      <c r="H377" s="3">
        <f>IF(AND(Table1[[#This Row],[STATES in numeric format]]=-1,F376=0),1,0)</f>
        <v>0</v>
      </c>
      <c r="I377" s="3">
        <f>IF(AND(Table1[[#This Row],[STATES in numeric format]]=-1,F376=1),1,0)</f>
        <v>0</v>
      </c>
      <c r="J377" s="3">
        <f>IF(AND(Table1[[#This Row],[STATES in numeric format]]=0,F376=-1),1,0)</f>
        <v>0</v>
      </c>
      <c r="K377" s="3">
        <f>IF(AND(Table1[[#This Row],[STATES in numeric format]]=0,F376=0),1,0)</f>
        <v>0</v>
      </c>
      <c r="L377" s="3">
        <f>IF(AND(Table1[[#This Row],[STATES in numeric format]]=0,F376=1),1,0)</f>
        <v>0</v>
      </c>
      <c r="M377" s="3">
        <f>IF(AND(Table1[[#This Row],[STATES in numeric format]]=1,F376=-1),1,0)</f>
        <v>1</v>
      </c>
      <c r="N377" s="3">
        <f>IF(AND(Table1[[#This Row],[STATES in numeric format]]=1,F376=0),1,0)</f>
        <v>0</v>
      </c>
      <c r="O377" s="3">
        <f>IF(AND(Table1[[#This Row],[STATES in numeric format]]=1,F376=1),1,0)</f>
        <v>0</v>
      </c>
    </row>
    <row r="378" spans="1:15" x14ac:dyDescent="0.3">
      <c r="A378" s="1">
        <v>44382</v>
      </c>
      <c r="B378" s="18">
        <v>52880</v>
      </c>
      <c r="C378" s="3">
        <f>Table1[[#This Row],[Close]]-0.001*Table1[[#This Row],[Close]]</f>
        <v>52827.12</v>
      </c>
      <c r="D378" s="3">
        <f>Table1[[#This Row],[Close]]+0.001*Table1[[#This Row],[Close]]</f>
        <v>52932.88</v>
      </c>
      <c r="E378" s="3" t="str">
        <f>IF(Table1[[#This Row],[Close]]&gt;D377,"UP",IF(Table1[[#This Row],[Close]]&lt;C377,"Down","Constant"))</f>
        <v>UP</v>
      </c>
      <c r="F378" s="3">
        <f>IF(Table1[[#This Row],[Column1]]="Up",1,IF(Table1[[#This Row],[Column1]]="Down",-1,0))</f>
        <v>1</v>
      </c>
      <c r="G378" s="3">
        <f>IF(AND(Table1[[#This Row],[STATES in numeric format]]=-1,F377=-1),1,0)</f>
        <v>0</v>
      </c>
      <c r="H378" s="3">
        <f>IF(AND(Table1[[#This Row],[STATES in numeric format]]=-1,F377=0),1,0)</f>
        <v>0</v>
      </c>
      <c r="I378" s="3">
        <f>IF(AND(Table1[[#This Row],[STATES in numeric format]]=-1,F377=1),1,0)</f>
        <v>0</v>
      </c>
      <c r="J378" s="3">
        <f>IF(AND(Table1[[#This Row],[STATES in numeric format]]=0,F377=-1),1,0)</f>
        <v>0</v>
      </c>
      <c r="K378" s="3">
        <f>IF(AND(Table1[[#This Row],[STATES in numeric format]]=0,F377=0),1,0)</f>
        <v>0</v>
      </c>
      <c r="L378" s="3">
        <f>IF(AND(Table1[[#This Row],[STATES in numeric format]]=0,F377=1),1,0)</f>
        <v>0</v>
      </c>
      <c r="M378" s="3">
        <f>IF(AND(Table1[[#This Row],[STATES in numeric format]]=1,F377=-1),1,0)</f>
        <v>0</v>
      </c>
      <c r="N378" s="3">
        <f>IF(AND(Table1[[#This Row],[STATES in numeric format]]=1,F377=0),1,0)</f>
        <v>0</v>
      </c>
      <c r="O378" s="3">
        <f>IF(AND(Table1[[#This Row],[STATES in numeric format]]=1,F377=1),1,0)</f>
        <v>1</v>
      </c>
    </row>
    <row r="379" spans="1:15" x14ac:dyDescent="0.3">
      <c r="A379" s="1">
        <v>44383</v>
      </c>
      <c r="B379" s="18">
        <v>52861.18</v>
      </c>
      <c r="C379" s="3">
        <f>Table1[[#This Row],[Close]]-0.001*Table1[[#This Row],[Close]]</f>
        <v>52808.31882</v>
      </c>
      <c r="D379" s="3">
        <f>Table1[[#This Row],[Close]]+0.001*Table1[[#This Row],[Close]]</f>
        <v>52914.04118</v>
      </c>
      <c r="E379" s="3" t="str">
        <f>IF(Table1[[#This Row],[Close]]&gt;D378,"UP",IF(Table1[[#This Row],[Close]]&lt;C378,"Down","Constant"))</f>
        <v>Constant</v>
      </c>
      <c r="F379" s="3">
        <f>IF(Table1[[#This Row],[Column1]]="Up",1,IF(Table1[[#This Row],[Column1]]="Down",-1,0))</f>
        <v>0</v>
      </c>
      <c r="G379" s="3">
        <f>IF(AND(Table1[[#This Row],[STATES in numeric format]]=-1,F378=-1),1,0)</f>
        <v>0</v>
      </c>
      <c r="H379" s="3">
        <f>IF(AND(Table1[[#This Row],[STATES in numeric format]]=-1,F378=0),1,0)</f>
        <v>0</v>
      </c>
      <c r="I379" s="3">
        <f>IF(AND(Table1[[#This Row],[STATES in numeric format]]=-1,F378=1),1,0)</f>
        <v>0</v>
      </c>
      <c r="J379" s="3">
        <f>IF(AND(Table1[[#This Row],[STATES in numeric format]]=0,F378=-1),1,0)</f>
        <v>0</v>
      </c>
      <c r="K379" s="3">
        <f>IF(AND(Table1[[#This Row],[STATES in numeric format]]=0,F378=0),1,0)</f>
        <v>0</v>
      </c>
      <c r="L379" s="3">
        <f>IF(AND(Table1[[#This Row],[STATES in numeric format]]=0,F378=1),1,0)</f>
        <v>1</v>
      </c>
      <c r="M379" s="3">
        <f>IF(AND(Table1[[#This Row],[STATES in numeric format]]=1,F378=-1),1,0)</f>
        <v>0</v>
      </c>
      <c r="N379" s="3">
        <f>IF(AND(Table1[[#This Row],[STATES in numeric format]]=1,F378=0),1,0)</f>
        <v>0</v>
      </c>
      <c r="O379" s="3">
        <f>IF(AND(Table1[[#This Row],[STATES in numeric format]]=1,F378=1),1,0)</f>
        <v>0</v>
      </c>
    </row>
    <row r="380" spans="1:15" x14ac:dyDescent="0.3">
      <c r="A380" s="1">
        <v>44384</v>
      </c>
      <c r="B380" s="18">
        <v>53054.76</v>
      </c>
      <c r="C380" s="3">
        <f>Table1[[#This Row],[Close]]-0.001*Table1[[#This Row],[Close]]</f>
        <v>53001.705240000003</v>
      </c>
      <c r="D380" s="3">
        <f>Table1[[#This Row],[Close]]+0.001*Table1[[#This Row],[Close]]</f>
        <v>53107.814760000001</v>
      </c>
      <c r="E380" s="3" t="str">
        <f>IF(Table1[[#This Row],[Close]]&gt;D379,"UP",IF(Table1[[#This Row],[Close]]&lt;C379,"Down","Constant"))</f>
        <v>UP</v>
      </c>
      <c r="F380" s="3">
        <f>IF(Table1[[#This Row],[Column1]]="Up",1,IF(Table1[[#This Row],[Column1]]="Down",-1,0))</f>
        <v>1</v>
      </c>
      <c r="G380" s="3">
        <f>IF(AND(Table1[[#This Row],[STATES in numeric format]]=-1,F379=-1),1,0)</f>
        <v>0</v>
      </c>
      <c r="H380" s="3">
        <f>IF(AND(Table1[[#This Row],[STATES in numeric format]]=-1,F379=0),1,0)</f>
        <v>0</v>
      </c>
      <c r="I380" s="3">
        <f>IF(AND(Table1[[#This Row],[STATES in numeric format]]=-1,F379=1),1,0)</f>
        <v>0</v>
      </c>
      <c r="J380" s="3">
        <f>IF(AND(Table1[[#This Row],[STATES in numeric format]]=0,F379=-1),1,0)</f>
        <v>0</v>
      </c>
      <c r="K380" s="3">
        <f>IF(AND(Table1[[#This Row],[STATES in numeric format]]=0,F379=0),1,0)</f>
        <v>0</v>
      </c>
      <c r="L380" s="3">
        <f>IF(AND(Table1[[#This Row],[STATES in numeric format]]=0,F379=1),1,0)</f>
        <v>0</v>
      </c>
      <c r="M380" s="3">
        <f>IF(AND(Table1[[#This Row],[STATES in numeric format]]=1,F379=-1),1,0)</f>
        <v>0</v>
      </c>
      <c r="N380" s="3">
        <f>IF(AND(Table1[[#This Row],[STATES in numeric format]]=1,F379=0),1,0)</f>
        <v>1</v>
      </c>
      <c r="O380" s="3">
        <f>IF(AND(Table1[[#This Row],[STATES in numeric format]]=1,F379=1),1,0)</f>
        <v>0</v>
      </c>
    </row>
    <row r="381" spans="1:15" x14ac:dyDescent="0.3">
      <c r="A381" s="1">
        <v>44385</v>
      </c>
      <c r="B381" s="18">
        <v>52568.94</v>
      </c>
      <c r="C381" s="3">
        <f>Table1[[#This Row],[Close]]-0.001*Table1[[#This Row],[Close]]</f>
        <v>52516.371060000005</v>
      </c>
      <c r="D381" s="3">
        <f>Table1[[#This Row],[Close]]+0.001*Table1[[#This Row],[Close]]</f>
        <v>52621.50894</v>
      </c>
      <c r="E381" s="3" t="str">
        <f>IF(Table1[[#This Row],[Close]]&gt;D380,"UP",IF(Table1[[#This Row],[Close]]&lt;C380,"Down","Constant"))</f>
        <v>Down</v>
      </c>
      <c r="F381" s="3">
        <f>IF(Table1[[#This Row],[Column1]]="Up",1,IF(Table1[[#This Row],[Column1]]="Down",-1,0))</f>
        <v>-1</v>
      </c>
      <c r="G381" s="3">
        <f>IF(AND(Table1[[#This Row],[STATES in numeric format]]=-1,F380=-1),1,0)</f>
        <v>0</v>
      </c>
      <c r="H381" s="3">
        <f>IF(AND(Table1[[#This Row],[STATES in numeric format]]=-1,F380=0),1,0)</f>
        <v>0</v>
      </c>
      <c r="I381" s="3">
        <f>IF(AND(Table1[[#This Row],[STATES in numeric format]]=-1,F380=1),1,0)</f>
        <v>1</v>
      </c>
      <c r="J381" s="3">
        <f>IF(AND(Table1[[#This Row],[STATES in numeric format]]=0,F380=-1),1,0)</f>
        <v>0</v>
      </c>
      <c r="K381" s="3">
        <f>IF(AND(Table1[[#This Row],[STATES in numeric format]]=0,F380=0),1,0)</f>
        <v>0</v>
      </c>
      <c r="L381" s="3">
        <f>IF(AND(Table1[[#This Row],[STATES in numeric format]]=0,F380=1),1,0)</f>
        <v>0</v>
      </c>
      <c r="M381" s="3">
        <f>IF(AND(Table1[[#This Row],[STATES in numeric format]]=1,F380=-1),1,0)</f>
        <v>0</v>
      </c>
      <c r="N381" s="3">
        <f>IF(AND(Table1[[#This Row],[STATES in numeric format]]=1,F380=0),1,0)</f>
        <v>0</v>
      </c>
      <c r="O381" s="3">
        <f>IF(AND(Table1[[#This Row],[STATES in numeric format]]=1,F380=1),1,0)</f>
        <v>0</v>
      </c>
    </row>
    <row r="382" spans="1:15" x14ac:dyDescent="0.3">
      <c r="A382" s="1">
        <v>44386</v>
      </c>
      <c r="B382" s="18">
        <v>52386.19</v>
      </c>
      <c r="C382" s="3">
        <f>Table1[[#This Row],[Close]]-0.001*Table1[[#This Row],[Close]]</f>
        <v>52333.803810000005</v>
      </c>
      <c r="D382" s="3">
        <f>Table1[[#This Row],[Close]]+0.001*Table1[[#This Row],[Close]]</f>
        <v>52438.57619</v>
      </c>
      <c r="E382" s="3" t="str">
        <f>IF(Table1[[#This Row],[Close]]&gt;D381,"UP",IF(Table1[[#This Row],[Close]]&lt;C381,"Down","Constant"))</f>
        <v>Down</v>
      </c>
      <c r="F382" s="3">
        <f>IF(Table1[[#This Row],[Column1]]="Up",1,IF(Table1[[#This Row],[Column1]]="Down",-1,0))</f>
        <v>-1</v>
      </c>
      <c r="G382" s="3">
        <f>IF(AND(Table1[[#This Row],[STATES in numeric format]]=-1,F381=-1),1,0)</f>
        <v>1</v>
      </c>
      <c r="H382" s="3">
        <f>IF(AND(Table1[[#This Row],[STATES in numeric format]]=-1,F381=0),1,0)</f>
        <v>0</v>
      </c>
      <c r="I382" s="3">
        <f>IF(AND(Table1[[#This Row],[STATES in numeric format]]=-1,F381=1),1,0)</f>
        <v>0</v>
      </c>
      <c r="J382" s="3">
        <f>IF(AND(Table1[[#This Row],[STATES in numeric format]]=0,F381=-1),1,0)</f>
        <v>0</v>
      </c>
      <c r="K382" s="3">
        <f>IF(AND(Table1[[#This Row],[STATES in numeric format]]=0,F381=0),1,0)</f>
        <v>0</v>
      </c>
      <c r="L382" s="3">
        <f>IF(AND(Table1[[#This Row],[STATES in numeric format]]=0,F381=1),1,0)</f>
        <v>0</v>
      </c>
      <c r="M382" s="3">
        <f>IF(AND(Table1[[#This Row],[STATES in numeric format]]=1,F381=-1),1,0)</f>
        <v>0</v>
      </c>
      <c r="N382" s="3">
        <f>IF(AND(Table1[[#This Row],[STATES in numeric format]]=1,F381=0),1,0)</f>
        <v>0</v>
      </c>
      <c r="O382" s="3">
        <f>IF(AND(Table1[[#This Row],[STATES in numeric format]]=1,F381=1),1,0)</f>
        <v>0</v>
      </c>
    </row>
    <row r="383" spans="1:15" x14ac:dyDescent="0.3">
      <c r="A383" s="1">
        <v>44389</v>
      </c>
      <c r="B383" s="18">
        <v>52372.69</v>
      </c>
      <c r="C383" s="3">
        <f>Table1[[#This Row],[Close]]-0.001*Table1[[#This Row],[Close]]</f>
        <v>52320.317310000006</v>
      </c>
      <c r="D383" s="3">
        <f>Table1[[#This Row],[Close]]+0.001*Table1[[#This Row],[Close]]</f>
        <v>52425.062689999999</v>
      </c>
      <c r="E383" s="3" t="str">
        <f>IF(Table1[[#This Row],[Close]]&gt;D382,"UP",IF(Table1[[#This Row],[Close]]&lt;C382,"Down","Constant"))</f>
        <v>Constant</v>
      </c>
      <c r="F383" s="3">
        <f>IF(Table1[[#This Row],[Column1]]="Up",1,IF(Table1[[#This Row],[Column1]]="Down",-1,0))</f>
        <v>0</v>
      </c>
      <c r="G383" s="3">
        <f>IF(AND(Table1[[#This Row],[STATES in numeric format]]=-1,F382=-1),1,0)</f>
        <v>0</v>
      </c>
      <c r="H383" s="3">
        <f>IF(AND(Table1[[#This Row],[STATES in numeric format]]=-1,F382=0),1,0)</f>
        <v>0</v>
      </c>
      <c r="I383" s="3">
        <f>IF(AND(Table1[[#This Row],[STATES in numeric format]]=-1,F382=1),1,0)</f>
        <v>0</v>
      </c>
      <c r="J383" s="3">
        <f>IF(AND(Table1[[#This Row],[STATES in numeric format]]=0,F382=-1),1,0)</f>
        <v>1</v>
      </c>
      <c r="K383" s="3">
        <f>IF(AND(Table1[[#This Row],[STATES in numeric format]]=0,F382=0),1,0)</f>
        <v>0</v>
      </c>
      <c r="L383" s="3">
        <f>IF(AND(Table1[[#This Row],[STATES in numeric format]]=0,F382=1),1,0)</f>
        <v>0</v>
      </c>
      <c r="M383" s="3">
        <f>IF(AND(Table1[[#This Row],[STATES in numeric format]]=1,F382=-1),1,0)</f>
        <v>0</v>
      </c>
      <c r="N383" s="3">
        <f>IF(AND(Table1[[#This Row],[STATES in numeric format]]=1,F382=0),1,0)</f>
        <v>0</v>
      </c>
      <c r="O383" s="3">
        <f>IF(AND(Table1[[#This Row],[STATES in numeric format]]=1,F382=1),1,0)</f>
        <v>0</v>
      </c>
    </row>
    <row r="384" spans="1:15" x14ac:dyDescent="0.3">
      <c r="A384" s="1">
        <v>44390</v>
      </c>
      <c r="B384" s="18">
        <v>52769.73</v>
      </c>
      <c r="C384" s="3">
        <f>Table1[[#This Row],[Close]]-0.001*Table1[[#This Row],[Close]]</f>
        <v>52716.960270000003</v>
      </c>
      <c r="D384" s="3">
        <f>Table1[[#This Row],[Close]]+0.001*Table1[[#This Row],[Close]]</f>
        <v>52822.499730000003</v>
      </c>
      <c r="E384" s="3" t="str">
        <f>IF(Table1[[#This Row],[Close]]&gt;D383,"UP",IF(Table1[[#This Row],[Close]]&lt;C383,"Down","Constant"))</f>
        <v>UP</v>
      </c>
      <c r="F384" s="3">
        <f>IF(Table1[[#This Row],[Column1]]="Up",1,IF(Table1[[#This Row],[Column1]]="Down",-1,0))</f>
        <v>1</v>
      </c>
      <c r="G384" s="3">
        <f>IF(AND(Table1[[#This Row],[STATES in numeric format]]=-1,F383=-1),1,0)</f>
        <v>0</v>
      </c>
      <c r="H384" s="3">
        <f>IF(AND(Table1[[#This Row],[STATES in numeric format]]=-1,F383=0),1,0)</f>
        <v>0</v>
      </c>
      <c r="I384" s="3">
        <f>IF(AND(Table1[[#This Row],[STATES in numeric format]]=-1,F383=1),1,0)</f>
        <v>0</v>
      </c>
      <c r="J384" s="3">
        <f>IF(AND(Table1[[#This Row],[STATES in numeric format]]=0,F383=-1),1,0)</f>
        <v>0</v>
      </c>
      <c r="K384" s="3">
        <f>IF(AND(Table1[[#This Row],[STATES in numeric format]]=0,F383=0),1,0)</f>
        <v>0</v>
      </c>
      <c r="L384" s="3">
        <f>IF(AND(Table1[[#This Row],[STATES in numeric format]]=0,F383=1),1,0)</f>
        <v>0</v>
      </c>
      <c r="M384" s="3">
        <f>IF(AND(Table1[[#This Row],[STATES in numeric format]]=1,F383=-1),1,0)</f>
        <v>0</v>
      </c>
      <c r="N384" s="3">
        <f>IF(AND(Table1[[#This Row],[STATES in numeric format]]=1,F383=0),1,0)</f>
        <v>1</v>
      </c>
      <c r="O384" s="3">
        <f>IF(AND(Table1[[#This Row],[STATES in numeric format]]=1,F383=1),1,0)</f>
        <v>0</v>
      </c>
    </row>
    <row r="385" spans="1:15" x14ac:dyDescent="0.3">
      <c r="A385" s="1">
        <v>44391</v>
      </c>
      <c r="B385" s="18">
        <v>52904.05</v>
      </c>
      <c r="C385" s="3">
        <f>Table1[[#This Row],[Close]]-0.001*Table1[[#This Row],[Close]]</f>
        <v>52851.145950000006</v>
      </c>
      <c r="D385" s="3">
        <f>Table1[[#This Row],[Close]]+0.001*Table1[[#This Row],[Close]]</f>
        <v>52956.95405</v>
      </c>
      <c r="E385" s="3" t="str">
        <f>IF(Table1[[#This Row],[Close]]&gt;D384,"UP",IF(Table1[[#This Row],[Close]]&lt;C384,"Down","Constant"))</f>
        <v>UP</v>
      </c>
      <c r="F385" s="3">
        <f>IF(Table1[[#This Row],[Column1]]="Up",1,IF(Table1[[#This Row],[Column1]]="Down",-1,0))</f>
        <v>1</v>
      </c>
      <c r="G385" s="3">
        <f>IF(AND(Table1[[#This Row],[STATES in numeric format]]=-1,F384=-1),1,0)</f>
        <v>0</v>
      </c>
      <c r="H385" s="3">
        <f>IF(AND(Table1[[#This Row],[STATES in numeric format]]=-1,F384=0),1,0)</f>
        <v>0</v>
      </c>
      <c r="I385" s="3">
        <f>IF(AND(Table1[[#This Row],[STATES in numeric format]]=-1,F384=1),1,0)</f>
        <v>0</v>
      </c>
      <c r="J385" s="3">
        <f>IF(AND(Table1[[#This Row],[STATES in numeric format]]=0,F384=-1),1,0)</f>
        <v>0</v>
      </c>
      <c r="K385" s="3">
        <f>IF(AND(Table1[[#This Row],[STATES in numeric format]]=0,F384=0),1,0)</f>
        <v>0</v>
      </c>
      <c r="L385" s="3">
        <f>IF(AND(Table1[[#This Row],[STATES in numeric format]]=0,F384=1),1,0)</f>
        <v>0</v>
      </c>
      <c r="M385" s="3">
        <f>IF(AND(Table1[[#This Row],[STATES in numeric format]]=1,F384=-1),1,0)</f>
        <v>0</v>
      </c>
      <c r="N385" s="3">
        <f>IF(AND(Table1[[#This Row],[STATES in numeric format]]=1,F384=0),1,0)</f>
        <v>0</v>
      </c>
      <c r="O385" s="3">
        <f>IF(AND(Table1[[#This Row],[STATES in numeric format]]=1,F384=1),1,0)</f>
        <v>1</v>
      </c>
    </row>
    <row r="386" spans="1:15" x14ac:dyDescent="0.3">
      <c r="A386" s="1">
        <v>44392</v>
      </c>
      <c r="B386" s="18">
        <v>53158.85</v>
      </c>
      <c r="C386" s="3">
        <f>Table1[[#This Row],[Close]]-0.001*Table1[[#This Row],[Close]]</f>
        <v>53105.691149999999</v>
      </c>
      <c r="D386" s="3">
        <f>Table1[[#This Row],[Close]]+0.001*Table1[[#This Row],[Close]]</f>
        <v>53212.008849999998</v>
      </c>
      <c r="E386" s="3" t="str">
        <f>IF(Table1[[#This Row],[Close]]&gt;D385,"UP",IF(Table1[[#This Row],[Close]]&lt;C385,"Down","Constant"))</f>
        <v>UP</v>
      </c>
      <c r="F386" s="3">
        <f>IF(Table1[[#This Row],[Column1]]="Up",1,IF(Table1[[#This Row],[Column1]]="Down",-1,0))</f>
        <v>1</v>
      </c>
      <c r="G386" s="3">
        <f>IF(AND(Table1[[#This Row],[STATES in numeric format]]=-1,F385=-1),1,0)</f>
        <v>0</v>
      </c>
      <c r="H386" s="3">
        <f>IF(AND(Table1[[#This Row],[STATES in numeric format]]=-1,F385=0),1,0)</f>
        <v>0</v>
      </c>
      <c r="I386" s="3">
        <f>IF(AND(Table1[[#This Row],[STATES in numeric format]]=-1,F385=1),1,0)</f>
        <v>0</v>
      </c>
      <c r="J386" s="3">
        <f>IF(AND(Table1[[#This Row],[STATES in numeric format]]=0,F385=-1),1,0)</f>
        <v>0</v>
      </c>
      <c r="K386" s="3">
        <f>IF(AND(Table1[[#This Row],[STATES in numeric format]]=0,F385=0),1,0)</f>
        <v>0</v>
      </c>
      <c r="L386" s="3">
        <f>IF(AND(Table1[[#This Row],[STATES in numeric format]]=0,F385=1),1,0)</f>
        <v>0</v>
      </c>
      <c r="M386" s="3">
        <f>IF(AND(Table1[[#This Row],[STATES in numeric format]]=1,F385=-1),1,0)</f>
        <v>0</v>
      </c>
      <c r="N386" s="3">
        <f>IF(AND(Table1[[#This Row],[STATES in numeric format]]=1,F385=0),1,0)</f>
        <v>0</v>
      </c>
      <c r="O386" s="3">
        <f>IF(AND(Table1[[#This Row],[STATES in numeric format]]=1,F385=1),1,0)</f>
        <v>1</v>
      </c>
    </row>
    <row r="387" spans="1:15" x14ac:dyDescent="0.3">
      <c r="A387" s="1">
        <v>44393</v>
      </c>
      <c r="B387" s="18">
        <v>53140.06</v>
      </c>
      <c r="C387" s="3">
        <f>Table1[[#This Row],[Close]]-0.001*Table1[[#This Row],[Close]]</f>
        <v>53086.91994</v>
      </c>
      <c r="D387" s="3">
        <f>Table1[[#This Row],[Close]]+0.001*Table1[[#This Row],[Close]]</f>
        <v>53193.200059999996</v>
      </c>
      <c r="E387" s="3" t="str">
        <f>IF(Table1[[#This Row],[Close]]&gt;D386,"UP",IF(Table1[[#This Row],[Close]]&lt;C386,"Down","Constant"))</f>
        <v>Constant</v>
      </c>
      <c r="F387" s="3">
        <f>IF(Table1[[#This Row],[Column1]]="Up",1,IF(Table1[[#This Row],[Column1]]="Down",-1,0))</f>
        <v>0</v>
      </c>
      <c r="G387" s="3">
        <f>IF(AND(Table1[[#This Row],[STATES in numeric format]]=-1,F386=-1),1,0)</f>
        <v>0</v>
      </c>
      <c r="H387" s="3">
        <f>IF(AND(Table1[[#This Row],[STATES in numeric format]]=-1,F386=0),1,0)</f>
        <v>0</v>
      </c>
      <c r="I387" s="3">
        <f>IF(AND(Table1[[#This Row],[STATES in numeric format]]=-1,F386=1),1,0)</f>
        <v>0</v>
      </c>
      <c r="J387" s="3">
        <f>IF(AND(Table1[[#This Row],[STATES in numeric format]]=0,F386=-1),1,0)</f>
        <v>0</v>
      </c>
      <c r="K387" s="3">
        <f>IF(AND(Table1[[#This Row],[STATES in numeric format]]=0,F386=0),1,0)</f>
        <v>0</v>
      </c>
      <c r="L387" s="3">
        <f>IF(AND(Table1[[#This Row],[STATES in numeric format]]=0,F386=1),1,0)</f>
        <v>1</v>
      </c>
      <c r="M387" s="3">
        <f>IF(AND(Table1[[#This Row],[STATES in numeric format]]=1,F386=-1),1,0)</f>
        <v>0</v>
      </c>
      <c r="N387" s="3">
        <f>IF(AND(Table1[[#This Row],[STATES in numeric format]]=1,F386=0),1,0)</f>
        <v>0</v>
      </c>
      <c r="O387" s="3">
        <f>IF(AND(Table1[[#This Row],[STATES in numeric format]]=1,F386=1),1,0)</f>
        <v>0</v>
      </c>
    </row>
    <row r="388" spans="1:15" x14ac:dyDescent="0.3">
      <c r="A388" s="1">
        <v>44396</v>
      </c>
      <c r="B388" s="18">
        <v>52553.4</v>
      </c>
      <c r="C388" s="3">
        <f>Table1[[#This Row],[Close]]-0.001*Table1[[#This Row],[Close]]</f>
        <v>52500.846600000004</v>
      </c>
      <c r="D388" s="3">
        <f>Table1[[#This Row],[Close]]+0.001*Table1[[#This Row],[Close]]</f>
        <v>52605.953399999999</v>
      </c>
      <c r="E388" s="3" t="str">
        <f>IF(Table1[[#This Row],[Close]]&gt;D387,"UP",IF(Table1[[#This Row],[Close]]&lt;C387,"Down","Constant"))</f>
        <v>Down</v>
      </c>
      <c r="F388" s="3">
        <f>IF(Table1[[#This Row],[Column1]]="Up",1,IF(Table1[[#This Row],[Column1]]="Down",-1,0))</f>
        <v>-1</v>
      </c>
      <c r="G388" s="3">
        <f>IF(AND(Table1[[#This Row],[STATES in numeric format]]=-1,F387=-1),1,0)</f>
        <v>0</v>
      </c>
      <c r="H388" s="3">
        <f>IF(AND(Table1[[#This Row],[STATES in numeric format]]=-1,F387=0),1,0)</f>
        <v>1</v>
      </c>
      <c r="I388" s="3">
        <f>IF(AND(Table1[[#This Row],[STATES in numeric format]]=-1,F387=1),1,0)</f>
        <v>0</v>
      </c>
      <c r="J388" s="3">
        <f>IF(AND(Table1[[#This Row],[STATES in numeric format]]=0,F387=-1),1,0)</f>
        <v>0</v>
      </c>
      <c r="K388" s="3">
        <f>IF(AND(Table1[[#This Row],[STATES in numeric format]]=0,F387=0),1,0)</f>
        <v>0</v>
      </c>
      <c r="L388" s="3">
        <f>IF(AND(Table1[[#This Row],[STATES in numeric format]]=0,F387=1),1,0)</f>
        <v>0</v>
      </c>
      <c r="M388" s="3">
        <f>IF(AND(Table1[[#This Row],[STATES in numeric format]]=1,F387=-1),1,0)</f>
        <v>0</v>
      </c>
      <c r="N388" s="3">
        <f>IF(AND(Table1[[#This Row],[STATES in numeric format]]=1,F387=0),1,0)</f>
        <v>0</v>
      </c>
      <c r="O388" s="3">
        <f>IF(AND(Table1[[#This Row],[STATES in numeric format]]=1,F387=1),1,0)</f>
        <v>0</v>
      </c>
    </row>
    <row r="389" spans="1:15" x14ac:dyDescent="0.3">
      <c r="A389" s="1">
        <v>44397</v>
      </c>
      <c r="B389" s="18">
        <v>52198.51</v>
      </c>
      <c r="C389" s="3">
        <f>Table1[[#This Row],[Close]]-0.001*Table1[[#This Row],[Close]]</f>
        <v>52146.31149</v>
      </c>
      <c r="D389" s="3">
        <f>Table1[[#This Row],[Close]]+0.001*Table1[[#This Row],[Close]]</f>
        <v>52250.708510000004</v>
      </c>
      <c r="E389" s="3" t="str">
        <f>IF(Table1[[#This Row],[Close]]&gt;D388,"UP",IF(Table1[[#This Row],[Close]]&lt;C388,"Down","Constant"))</f>
        <v>Down</v>
      </c>
      <c r="F389" s="3">
        <f>IF(Table1[[#This Row],[Column1]]="Up",1,IF(Table1[[#This Row],[Column1]]="Down",-1,0))</f>
        <v>-1</v>
      </c>
      <c r="G389" s="3">
        <f>IF(AND(Table1[[#This Row],[STATES in numeric format]]=-1,F388=-1),1,0)</f>
        <v>1</v>
      </c>
      <c r="H389" s="3">
        <f>IF(AND(Table1[[#This Row],[STATES in numeric format]]=-1,F388=0),1,0)</f>
        <v>0</v>
      </c>
      <c r="I389" s="3">
        <f>IF(AND(Table1[[#This Row],[STATES in numeric format]]=-1,F388=1),1,0)</f>
        <v>0</v>
      </c>
      <c r="J389" s="3">
        <f>IF(AND(Table1[[#This Row],[STATES in numeric format]]=0,F388=-1),1,0)</f>
        <v>0</v>
      </c>
      <c r="K389" s="3">
        <f>IF(AND(Table1[[#This Row],[STATES in numeric format]]=0,F388=0),1,0)</f>
        <v>0</v>
      </c>
      <c r="L389" s="3">
        <f>IF(AND(Table1[[#This Row],[STATES in numeric format]]=0,F388=1),1,0)</f>
        <v>0</v>
      </c>
      <c r="M389" s="3">
        <f>IF(AND(Table1[[#This Row],[STATES in numeric format]]=1,F388=-1),1,0)</f>
        <v>0</v>
      </c>
      <c r="N389" s="3">
        <f>IF(AND(Table1[[#This Row],[STATES in numeric format]]=1,F388=0),1,0)</f>
        <v>0</v>
      </c>
      <c r="O389" s="3">
        <f>IF(AND(Table1[[#This Row],[STATES in numeric format]]=1,F388=1),1,0)</f>
        <v>0</v>
      </c>
    </row>
    <row r="390" spans="1:15" x14ac:dyDescent="0.3">
      <c r="A390" s="1">
        <v>44399</v>
      </c>
      <c r="B390" s="18">
        <v>52837.21</v>
      </c>
      <c r="C390" s="3">
        <f>Table1[[#This Row],[Close]]-0.001*Table1[[#This Row],[Close]]</f>
        <v>52784.372790000001</v>
      </c>
      <c r="D390" s="3">
        <f>Table1[[#This Row],[Close]]+0.001*Table1[[#This Row],[Close]]</f>
        <v>52890.047209999997</v>
      </c>
      <c r="E390" s="3" t="str">
        <f>IF(Table1[[#This Row],[Close]]&gt;D389,"UP",IF(Table1[[#This Row],[Close]]&lt;C389,"Down","Constant"))</f>
        <v>UP</v>
      </c>
      <c r="F390" s="3">
        <f>IF(Table1[[#This Row],[Column1]]="Up",1,IF(Table1[[#This Row],[Column1]]="Down",-1,0))</f>
        <v>1</v>
      </c>
      <c r="G390" s="3">
        <f>IF(AND(Table1[[#This Row],[STATES in numeric format]]=-1,F389=-1),1,0)</f>
        <v>0</v>
      </c>
      <c r="H390" s="3">
        <f>IF(AND(Table1[[#This Row],[STATES in numeric format]]=-1,F389=0),1,0)</f>
        <v>0</v>
      </c>
      <c r="I390" s="3">
        <f>IF(AND(Table1[[#This Row],[STATES in numeric format]]=-1,F389=1),1,0)</f>
        <v>0</v>
      </c>
      <c r="J390" s="3">
        <f>IF(AND(Table1[[#This Row],[STATES in numeric format]]=0,F389=-1),1,0)</f>
        <v>0</v>
      </c>
      <c r="K390" s="3">
        <f>IF(AND(Table1[[#This Row],[STATES in numeric format]]=0,F389=0),1,0)</f>
        <v>0</v>
      </c>
      <c r="L390" s="3">
        <f>IF(AND(Table1[[#This Row],[STATES in numeric format]]=0,F389=1),1,0)</f>
        <v>0</v>
      </c>
      <c r="M390" s="3">
        <f>IF(AND(Table1[[#This Row],[STATES in numeric format]]=1,F389=-1),1,0)</f>
        <v>1</v>
      </c>
      <c r="N390" s="3">
        <f>IF(AND(Table1[[#This Row],[STATES in numeric format]]=1,F389=0),1,0)</f>
        <v>0</v>
      </c>
      <c r="O390" s="3">
        <f>IF(AND(Table1[[#This Row],[STATES in numeric format]]=1,F389=1),1,0)</f>
        <v>0</v>
      </c>
    </row>
    <row r="391" spans="1:15" x14ac:dyDescent="0.3">
      <c r="A391" s="1">
        <v>44400</v>
      </c>
      <c r="B391" s="18">
        <v>52975.8</v>
      </c>
      <c r="C391" s="3">
        <f>Table1[[#This Row],[Close]]-0.001*Table1[[#This Row],[Close]]</f>
        <v>52922.824200000003</v>
      </c>
      <c r="D391" s="3">
        <f>Table1[[#This Row],[Close]]+0.001*Table1[[#This Row],[Close]]</f>
        <v>53028.775800000003</v>
      </c>
      <c r="E391" s="3" t="str">
        <f>IF(Table1[[#This Row],[Close]]&gt;D390,"UP",IF(Table1[[#This Row],[Close]]&lt;C390,"Down","Constant"))</f>
        <v>UP</v>
      </c>
      <c r="F391" s="3">
        <f>IF(Table1[[#This Row],[Column1]]="Up",1,IF(Table1[[#This Row],[Column1]]="Down",-1,0))</f>
        <v>1</v>
      </c>
      <c r="G391" s="3">
        <f>IF(AND(Table1[[#This Row],[STATES in numeric format]]=-1,F390=-1),1,0)</f>
        <v>0</v>
      </c>
      <c r="H391" s="3">
        <f>IF(AND(Table1[[#This Row],[STATES in numeric format]]=-1,F390=0),1,0)</f>
        <v>0</v>
      </c>
      <c r="I391" s="3">
        <f>IF(AND(Table1[[#This Row],[STATES in numeric format]]=-1,F390=1),1,0)</f>
        <v>0</v>
      </c>
      <c r="J391" s="3">
        <f>IF(AND(Table1[[#This Row],[STATES in numeric format]]=0,F390=-1),1,0)</f>
        <v>0</v>
      </c>
      <c r="K391" s="3">
        <f>IF(AND(Table1[[#This Row],[STATES in numeric format]]=0,F390=0),1,0)</f>
        <v>0</v>
      </c>
      <c r="L391" s="3">
        <f>IF(AND(Table1[[#This Row],[STATES in numeric format]]=0,F390=1),1,0)</f>
        <v>0</v>
      </c>
      <c r="M391" s="3">
        <f>IF(AND(Table1[[#This Row],[STATES in numeric format]]=1,F390=-1),1,0)</f>
        <v>0</v>
      </c>
      <c r="N391" s="3">
        <f>IF(AND(Table1[[#This Row],[STATES in numeric format]]=1,F390=0),1,0)</f>
        <v>0</v>
      </c>
      <c r="O391" s="3">
        <f>IF(AND(Table1[[#This Row],[STATES in numeric format]]=1,F390=1),1,0)</f>
        <v>1</v>
      </c>
    </row>
    <row r="392" spans="1:15" x14ac:dyDescent="0.3">
      <c r="A392" s="1">
        <v>44403</v>
      </c>
      <c r="B392" s="18">
        <v>52852.27</v>
      </c>
      <c r="C392" s="3">
        <f>Table1[[#This Row],[Close]]-0.001*Table1[[#This Row],[Close]]</f>
        <v>52799.417729999994</v>
      </c>
      <c r="D392" s="3">
        <f>Table1[[#This Row],[Close]]+0.001*Table1[[#This Row],[Close]]</f>
        <v>52905.12227</v>
      </c>
      <c r="E392" s="3" t="str">
        <f>IF(Table1[[#This Row],[Close]]&gt;D391,"UP",IF(Table1[[#This Row],[Close]]&lt;C391,"Down","Constant"))</f>
        <v>Down</v>
      </c>
      <c r="F392" s="3">
        <f>IF(Table1[[#This Row],[Column1]]="Up",1,IF(Table1[[#This Row],[Column1]]="Down",-1,0))</f>
        <v>-1</v>
      </c>
      <c r="G392" s="3">
        <f>IF(AND(Table1[[#This Row],[STATES in numeric format]]=-1,F391=-1),1,0)</f>
        <v>0</v>
      </c>
      <c r="H392" s="3">
        <f>IF(AND(Table1[[#This Row],[STATES in numeric format]]=-1,F391=0),1,0)</f>
        <v>0</v>
      </c>
      <c r="I392" s="3">
        <f>IF(AND(Table1[[#This Row],[STATES in numeric format]]=-1,F391=1),1,0)</f>
        <v>1</v>
      </c>
      <c r="J392" s="3">
        <f>IF(AND(Table1[[#This Row],[STATES in numeric format]]=0,F391=-1),1,0)</f>
        <v>0</v>
      </c>
      <c r="K392" s="3">
        <f>IF(AND(Table1[[#This Row],[STATES in numeric format]]=0,F391=0),1,0)</f>
        <v>0</v>
      </c>
      <c r="L392" s="3">
        <f>IF(AND(Table1[[#This Row],[STATES in numeric format]]=0,F391=1),1,0)</f>
        <v>0</v>
      </c>
      <c r="M392" s="3">
        <f>IF(AND(Table1[[#This Row],[STATES in numeric format]]=1,F391=-1),1,0)</f>
        <v>0</v>
      </c>
      <c r="N392" s="3">
        <f>IF(AND(Table1[[#This Row],[STATES in numeric format]]=1,F391=0),1,0)</f>
        <v>0</v>
      </c>
      <c r="O392" s="3">
        <f>IF(AND(Table1[[#This Row],[STATES in numeric format]]=1,F391=1),1,0)</f>
        <v>0</v>
      </c>
    </row>
    <row r="393" spans="1:15" x14ac:dyDescent="0.3">
      <c r="A393" s="1">
        <v>44404</v>
      </c>
      <c r="B393" s="18">
        <v>52578.76</v>
      </c>
      <c r="C393" s="3">
        <f>Table1[[#This Row],[Close]]-0.001*Table1[[#This Row],[Close]]</f>
        <v>52526.181240000005</v>
      </c>
      <c r="D393" s="3">
        <f>Table1[[#This Row],[Close]]+0.001*Table1[[#This Row],[Close]]</f>
        <v>52631.338759999999</v>
      </c>
      <c r="E393" s="3" t="str">
        <f>IF(Table1[[#This Row],[Close]]&gt;D392,"UP",IF(Table1[[#This Row],[Close]]&lt;C392,"Down","Constant"))</f>
        <v>Down</v>
      </c>
      <c r="F393" s="3">
        <f>IF(Table1[[#This Row],[Column1]]="Up",1,IF(Table1[[#This Row],[Column1]]="Down",-1,0))</f>
        <v>-1</v>
      </c>
      <c r="G393" s="3">
        <f>IF(AND(Table1[[#This Row],[STATES in numeric format]]=-1,F392=-1),1,0)</f>
        <v>1</v>
      </c>
      <c r="H393" s="3">
        <f>IF(AND(Table1[[#This Row],[STATES in numeric format]]=-1,F392=0),1,0)</f>
        <v>0</v>
      </c>
      <c r="I393" s="3">
        <f>IF(AND(Table1[[#This Row],[STATES in numeric format]]=-1,F392=1),1,0)</f>
        <v>0</v>
      </c>
      <c r="J393" s="3">
        <f>IF(AND(Table1[[#This Row],[STATES in numeric format]]=0,F392=-1),1,0)</f>
        <v>0</v>
      </c>
      <c r="K393" s="3">
        <f>IF(AND(Table1[[#This Row],[STATES in numeric format]]=0,F392=0),1,0)</f>
        <v>0</v>
      </c>
      <c r="L393" s="3">
        <f>IF(AND(Table1[[#This Row],[STATES in numeric format]]=0,F392=1),1,0)</f>
        <v>0</v>
      </c>
      <c r="M393" s="3">
        <f>IF(AND(Table1[[#This Row],[STATES in numeric format]]=1,F392=-1),1,0)</f>
        <v>0</v>
      </c>
      <c r="N393" s="3">
        <f>IF(AND(Table1[[#This Row],[STATES in numeric format]]=1,F392=0),1,0)</f>
        <v>0</v>
      </c>
      <c r="O393" s="3">
        <f>IF(AND(Table1[[#This Row],[STATES in numeric format]]=1,F392=1),1,0)</f>
        <v>0</v>
      </c>
    </row>
    <row r="394" spans="1:15" x14ac:dyDescent="0.3">
      <c r="A394" s="1">
        <v>44405</v>
      </c>
      <c r="B394" s="18">
        <v>52443.71</v>
      </c>
      <c r="C394" s="3">
        <f>Table1[[#This Row],[Close]]-0.001*Table1[[#This Row],[Close]]</f>
        <v>52391.26629</v>
      </c>
      <c r="D394" s="3">
        <f>Table1[[#This Row],[Close]]+0.001*Table1[[#This Row],[Close]]</f>
        <v>52496.153709999999</v>
      </c>
      <c r="E394" s="3" t="str">
        <f>IF(Table1[[#This Row],[Close]]&gt;D393,"UP",IF(Table1[[#This Row],[Close]]&lt;C393,"Down","Constant"))</f>
        <v>Down</v>
      </c>
      <c r="F394" s="3">
        <f>IF(Table1[[#This Row],[Column1]]="Up",1,IF(Table1[[#This Row],[Column1]]="Down",-1,0))</f>
        <v>-1</v>
      </c>
      <c r="G394" s="3">
        <f>IF(AND(Table1[[#This Row],[STATES in numeric format]]=-1,F393=-1),1,0)</f>
        <v>1</v>
      </c>
      <c r="H394" s="3">
        <f>IF(AND(Table1[[#This Row],[STATES in numeric format]]=-1,F393=0),1,0)</f>
        <v>0</v>
      </c>
      <c r="I394" s="3">
        <f>IF(AND(Table1[[#This Row],[STATES in numeric format]]=-1,F393=1),1,0)</f>
        <v>0</v>
      </c>
      <c r="J394" s="3">
        <f>IF(AND(Table1[[#This Row],[STATES in numeric format]]=0,F393=-1),1,0)</f>
        <v>0</v>
      </c>
      <c r="K394" s="3">
        <f>IF(AND(Table1[[#This Row],[STATES in numeric format]]=0,F393=0),1,0)</f>
        <v>0</v>
      </c>
      <c r="L394" s="3">
        <f>IF(AND(Table1[[#This Row],[STATES in numeric format]]=0,F393=1),1,0)</f>
        <v>0</v>
      </c>
      <c r="M394" s="3">
        <f>IF(AND(Table1[[#This Row],[STATES in numeric format]]=1,F393=-1),1,0)</f>
        <v>0</v>
      </c>
      <c r="N394" s="3">
        <f>IF(AND(Table1[[#This Row],[STATES in numeric format]]=1,F393=0),1,0)</f>
        <v>0</v>
      </c>
      <c r="O394" s="3">
        <f>IF(AND(Table1[[#This Row],[STATES in numeric format]]=1,F393=1),1,0)</f>
        <v>0</v>
      </c>
    </row>
    <row r="395" spans="1:15" x14ac:dyDescent="0.3">
      <c r="A395" s="1">
        <v>44406</v>
      </c>
      <c r="B395" s="18">
        <v>52653.07</v>
      </c>
      <c r="C395" s="3">
        <f>Table1[[#This Row],[Close]]-0.001*Table1[[#This Row],[Close]]</f>
        <v>52600.416929999999</v>
      </c>
      <c r="D395" s="3">
        <f>Table1[[#This Row],[Close]]+0.001*Table1[[#This Row],[Close]]</f>
        <v>52705.72307</v>
      </c>
      <c r="E395" s="3" t="str">
        <f>IF(Table1[[#This Row],[Close]]&gt;D394,"UP",IF(Table1[[#This Row],[Close]]&lt;C394,"Down","Constant"))</f>
        <v>UP</v>
      </c>
      <c r="F395" s="3">
        <f>IF(Table1[[#This Row],[Column1]]="Up",1,IF(Table1[[#This Row],[Column1]]="Down",-1,0))</f>
        <v>1</v>
      </c>
      <c r="G395" s="3">
        <f>IF(AND(Table1[[#This Row],[STATES in numeric format]]=-1,F394=-1),1,0)</f>
        <v>0</v>
      </c>
      <c r="H395" s="3">
        <f>IF(AND(Table1[[#This Row],[STATES in numeric format]]=-1,F394=0),1,0)</f>
        <v>0</v>
      </c>
      <c r="I395" s="3">
        <f>IF(AND(Table1[[#This Row],[STATES in numeric format]]=-1,F394=1),1,0)</f>
        <v>0</v>
      </c>
      <c r="J395" s="3">
        <f>IF(AND(Table1[[#This Row],[STATES in numeric format]]=0,F394=-1),1,0)</f>
        <v>0</v>
      </c>
      <c r="K395" s="3">
        <f>IF(AND(Table1[[#This Row],[STATES in numeric format]]=0,F394=0),1,0)</f>
        <v>0</v>
      </c>
      <c r="L395" s="3">
        <f>IF(AND(Table1[[#This Row],[STATES in numeric format]]=0,F394=1),1,0)</f>
        <v>0</v>
      </c>
      <c r="M395" s="3">
        <f>IF(AND(Table1[[#This Row],[STATES in numeric format]]=1,F394=-1),1,0)</f>
        <v>1</v>
      </c>
      <c r="N395" s="3">
        <f>IF(AND(Table1[[#This Row],[STATES in numeric format]]=1,F394=0),1,0)</f>
        <v>0</v>
      </c>
      <c r="O395" s="3">
        <f>IF(AND(Table1[[#This Row],[STATES in numeric format]]=1,F394=1),1,0)</f>
        <v>0</v>
      </c>
    </row>
    <row r="396" spans="1:15" x14ac:dyDescent="0.3">
      <c r="A396" s="1">
        <v>44407</v>
      </c>
      <c r="B396" s="18">
        <v>52586.84</v>
      </c>
      <c r="C396" s="3">
        <f>Table1[[#This Row],[Close]]-0.001*Table1[[#This Row],[Close]]</f>
        <v>52534.253159999993</v>
      </c>
      <c r="D396" s="3">
        <f>Table1[[#This Row],[Close]]+0.001*Table1[[#This Row],[Close]]</f>
        <v>52639.42684</v>
      </c>
      <c r="E396" s="3" t="str">
        <f>IF(Table1[[#This Row],[Close]]&gt;D395,"UP",IF(Table1[[#This Row],[Close]]&lt;C395,"Down","Constant"))</f>
        <v>Down</v>
      </c>
      <c r="F396" s="3">
        <f>IF(Table1[[#This Row],[Column1]]="Up",1,IF(Table1[[#This Row],[Column1]]="Down",-1,0))</f>
        <v>-1</v>
      </c>
      <c r="G396" s="3">
        <f>IF(AND(Table1[[#This Row],[STATES in numeric format]]=-1,F395=-1),1,0)</f>
        <v>0</v>
      </c>
      <c r="H396" s="3">
        <f>IF(AND(Table1[[#This Row],[STATES in numeric format]]=-1,F395=0),1,0)</f>
        <v>0</v>
      </c>
      <c r="I396" s="3">
        <f>IF(AND(Table1[[#This Row],[STATES in numeric format]]=-1,F395=1),1,0)</f>
        <v>1</v>
      </c>
      <c r="J396" s="3">
        <f>IF(AND(Table1[[#This Row],[STATES in numeric format]]=0,F395=-1),1,0)</f>
        <v>0</v>
      </c>
      <c r="K396" s="3">
        <f>IF(AND(Table1[[#This Row],[STATES in numeric format]]=0,F395=0),1,0)</f>
        <v>0</v>
      </c>
      <c r="L396" s="3">
        <f>IF(AND(Table1[[#This Row],[STATES in numeric format]]=0,F395=1),1,0)</f>
        <v>0</v>
      </c>
      <c r="M396" s="3">
        <f>IF(AND(Table1[[#This Row],[STATES in numeric format]]=1,F395=-1),1,0)</f>
        <v>0</v>
      </c>
      <c r="N396" s="3">
        <f>IF(AND(Table1[[#This Row],[STATES in numeric format]]=1,F395=0),1,0)</f>
        <v>0</v>
      </c>
      <c r="O396" s="3">
        <f>IF(AND(Table1[[#This Row],[STATES in numeric format]]=1,F395=1),1,0)</f>
        <v>0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1C70C-9966-4695-B923-A08128C24B70}">
  <dimension ref="A1:K152"/>
  <sheetViews>
    <sheetView workbookViewId="0">
      <selection activeCell="F10" sqref="F10"/>
    </sheetView>
  </sheetViews>
  <sheetFormatPr defaultRowHeight="14.4" x14ac:dyDescent="0.3"/>
  <cols>
    <col min="1" max="4" width="10.109375" customWidth="1"/>
    <col min="5" max="5" width="13.21875" customWidth="1"/>
    <col min="6" max="7" width="10.109375" customWidth="1"/>
  </cols>
  <sheetData>
    <row r="1" spans="1:11" x14ac:dyDescent="0.3">
      <c r="A1" s="2"/>
      <c r="B1" s="2">
        <v>-1</v>
      </c>
      <c r="C1" s="2">
        <v>0</v>
      </c>
      <c r="D1" s="2">
        <v>1</v>
      </c>
    </row>
    <row r="2" spans="1:11" x14ac:dyDescent="0.3">
      <c r="A2" s="2">
        <v>-1</v>
      </c>
      <c r="B2" s="5">
        <v>39</v>
      </c>
      <c r="C2" s="6">
        <v>3</v>
      </c>
      <c r="D2" s="7">
        <v>54</v>
      </c>
      <c r="E2">
        <v>96</v>
      </c>
      <c r="G2">
        <f ca="1">RANDBETWEEN(0,E2)</f>
        <v>49</v>
      </c>
      <c r="H2" t="str">
        <f ca="1">IF(G2&lt;=B2,"down",IF(AND(G2&gt;B2,G2&lt;(B2+C2)),"constant","up"))</f>
        <v>up</v>
      </c>
    </row>
    <row r="3" spans="1:11" x14ac:dyDescent="0.3">
      <c r="A3" s="2">
        <v>0</v>
      </c>
      <c r="B3" s="8">
        <v>6</v>
      </c>
      <c r="C3" s="9">
        <v>1</v>
      </c>
      <c r="D3" s="10">
        <v>8</v>
      </c>
      <c r="E3">
        <v>15</v>
      </c>
      <c r="G3" s="18">
        <f t="shared" ref="G3:G4" ca="1" si="0">RANDBETWEEN(0,E3)</f>
        <v>7</v>
      </c>
      <c r="H3" s="18" t="str">
        <f t="shared" ref="H3:H4" ca="1" si="1">IF(G3&lt;=B3,"down",IF(AND(G3&gt;B3,G3&lt;(B3+C3)),"constant","up"))</f>
        <v>up</v>
      </c>
    </row>
    <row r="4" spans="1:11" x14ac:dyDescent="0.3">
      <c r="A4" s="2">
        <v>1</v>
      </c>
      <c r="B4" s="11">
        <v>50</v>
      </c>
      <c r="C4" s="12">
        <v>12</v>
      </c>
      <c r="D4" s="13">
        <v>78</v>
      </c>
      <c r="E4">
        <v>140</v>
      </c>
      <c r="G4" s="18">
        <f t="shared" ca="1" si="0"/>
        <v>135</v>
      </c>
      <c r="H4" s="18" t="str">
        <f t="shared" ca="1" si="1"/>
        <v>up</v>
      </c>
    </row>
    <row r="7" spans="1:11" x14ac:dyDescent="0.3">
      <c r="A7" s="18" t="s">
        <v>5</v>
      </c>
      <c r="B7" s="18" t="s">
        <v>178</v>
      </c>
      <c r="C7" s="18" t="s">
        <v>179</v>
      </c>
      <c r="D7" s="18" t="s">
        <v>180</v>
      </c>
      <c r="E7" s="18" t="s">
        <v>181</v>
      </c>
      <c r="F7" s="18" t="s">
        <v>182</v>
      </c>
      <c r="G7" s="18" t="s">
        <v>183</v>
      </c>
      <c r="J7" t="b">
        <v>1</v>
      </c>
      <c r="K7" t="b">
        <v>0</v>
      </c>
    </row>
    <row r="8" spans="1:11" x14ac:dyDescent="0.3">
      <c r="E8" t="s">
        <v>187</v>
      </c>
      <c r="F8" t="s">
        <v>185</v>
      </c>
      <c r="I8">
        <v>117</v>
      </c>
      <c r="J8">
        <v>59</v>
      </c>
      <c r="K8">
        <f>117-59</f>
        <v>58</v>
      </c>
    </row>
    <row r="9" spans="1:11" x14ac:dyDescent="0.3">
      <c r="A9" s="28">
        <v>44196</v>
      </c>
      <c r="B9" s="29">
        <v>47751.33</v>
      </c>
      <c r="C9" s="29">
        <v>47703.578670000003</v>
      </c>
      <c r="D9" s="29">
        <v>47799.081330000001</v>
      </c>
      <c r="E9" s="29" t="s">
        <v>176</v>
      </c>
    </row>
    <row r="10" spans="1:11" x14ac:dyDescent="0.3">
      <c r="A10" s="28">
        <v>44197</v>
      </c>
      <c r="B10" s="29">
        <v>47868.98</v>
      </c>
      <c r="C10" s="29">
        <f>Table1[[#This Row],[Close]]-0.001*Table1[[#This Row],[Close]]</f>
        <v>41817.830310000005</v>
      </c>
      <c r="D10" s="29">
        <f>Table1[[#This Row],[Close]]+0.001*Table1[[#This Row],[Close]]</f>
        <v>41901.54969</v>
      </c>
      <c r="E10" s="29" t="str">
        <f>IF(Table1[[#This Row],[Close]]&gt;D9,"UP",IF(Table1[[#This Row],[Close]]&lt;C9,"Down","Constant"))</f>
        <v>Down</v>
      </c>
      <c r="F10" t="s">
        <v>175</v>
      </c>
      <c r="G10" t="b">
        <f>E10=F10</f>
        <v>0</v>
      </c>
    </row>
    <row r="11" spans="1:11" x14ac:dyDescent="0.3">
      <c r="A11" s="30">
        <v>44200</v>
      </c>
      <c r="B11" s="24">
        <v>48176.800000000003</v>
      </c>
      <c r="C11" s="31">
        <f>Table1[[#This Row],[Close]]-0.001*Table1[[#This Row],[Close]]</f>
        <v>41910.677369999998</v>
      </c>
      <c r="D11" s="31">
        <f>Table1[[#This Row],[Close]]+0.001*Table1[[#This Row],[Close]]</f>
        <v>41994.582629999997</v>
      </c>
      <c r="E11" s="31" t="str">
        <f>IF(Table1[[#This Row],[Close]]&gt;D10,"UP",IF(Table1[[#This Row],[Close]]&lt;C10,"Down","Constant"))</f>
        <v>UP</v>
      </c>
      <c r="F11" t="s">
        <v>175</v>
      </c>
      <c r="G11" s="18" t="b">
        <f t="shared" ref="G11:G74" si="2">E11=F11</f>
        <v>1</v>
      </c>
    </row>
    <row r="12" spans="1:11" x14ac:dyDescent="0.3">
      <c r="A12" s="28">
        <v>44201</v>
      </c>
      <c r="B12" s="25">
        <v>48437.78</v>
      </c>
      <c r="C12" s="29">
        <f>Table1[[#This Row],[Close]]-0.001*Table1[[#This Row],[Close]]</f>
        <v>41830.85727</v>
      </c>
      <c r="D12" s="29">
        <f>Table1[[#This Row],[Close]]+0.001*Table1[[#This Row],[Close]]</f>
        <v>41914.602730000006</v>
      </c>
      <c r="E12" s="29" t="str">
        <f>IF(Table1[[#This Row],[Close]]&gt;D11,"UP",IF(Table1[[#This Row],[Close]]&lt;C11,"Down","Constant"))</f>
        <v>Down</v>
      </c>
      <c r="F12" t="s">
        <v>174</v>
      </c>
      <c r="G12" s="18" t="b">
        <f t="shared" si="2"/>
        <v>1</v>
      </c>
    </row>
    <row r="13" spans="1:11" x14ac:dyDescent="0.3">
      <c r="A13" s="30">
        <v>44202</v>
      </c>
      <c r="B13" s="24">
        <v>48174.06</v>
      </c>
      <c r="C13" s="31">
        <f>Table1[[#This Row],[Close]]-0.001*Table1[[#This Row],[Close]]</f>
        <v>41890.627439999997</v>
      </c>
      <c r="D13" s="31">
        <f>Table1[[#This Row],[Close]]+0.001*Table1[[#This Row],[Close]]</f>
        <v>41974.492559999999</v>
      </c>
      <c r="E13" s="31" t="str">
        <f>IF(Table1[[#This Row],[Close]]&gt;D12,"UP",IF(Table1[[#This Row],[Close]]&lt;C12,"Down","Constant"))</f>
        <v>UP</v>
      </c>
      <c r="F13" t="s">
        <v>175</v>
      </c>
      <c r="G13" s="18" t="b">
        <f t="shared" si="2"/>
        <v>1</v>
      </c>
    </row>
    <row r="14" spans="1:11" x14ac:dyDescent="0.3">
      <c r="A14" s="28">
        <v>44203</v>
      </c>
      <c r="B14" s="25">
        <v>48093.32</v>
      </c>
      <c r="C14" s="29">
        <f>Table1[[#This Row],[Close]]-0.001*Table1[[#This Row],[Close]]</f>
        <v>41903.424630000001</v>
      </c>
      <c r="D14" s="29">
        <f>Table1[[#This Row],[Close]]+0.001*Table1[[#This Row],[Close]]</f>
        <v>41987.315370000004</v>
      </c>
      <c r="E14" s="29" t="str">
        <f>IF(Table1[[#This Row],[Close]]&gt;D13,"UP",IF(Table1[[#This Row],[Close]]&lt;C13,"Down","Constant"))</f>
        <v>Constant</v>
      </c>
      <c r="F14" t="s">
        <v>175</v>
      </c>
      <c r="G14" s="18" t="b">
        <f t="shared" si="2"/>
        <v>0</v>
      </c>
    </row>
    <row r="15" spans="1:11" x14ac:dyDescent="0.3">
      <c r="A15" s="30">
        <v>44204</v>
      </c>
      <c r="B15" s="24">
        <v>48782.51</v>
      </c>
      <c r="C15" s="31">
        <f>Table1[[#This Row],[Close]]-0.001*Table1[[#This Row],[Close]]</f>
        <v>41487.381090000003</v>
      </c>
      <c r="D15" s="31">
        <f>Table1[[#This Row],[Close]]+0.001*Table1[[#This Row],[Close]]</f>
        <v>41570.438910000004</v>
      </c>
      <c r="E15" s="31" t="str">
        <f>IF(Table1[[#This Row],[Close]]&gt;D14,"UP",IF(Table1[[#This Row],[Close]]&lt;C14,"Down","Constant"))</f>
        <v>Down</v>
      </c>
      <c r="F15" t="s">
        <v>174</v>
      </c>
      <c r="G15" s="18" t="b">
        <f t="shared" si="2"/>
        <v>1</v>
      </c>
    </row>
    <row r="16" spans="1:11" x14ac:dyDescent="0.3">
      <c r="A16" s="28">
        <v>44207</v>
      </c>
      <c r="B16" s="25">
        <v>49269.32</v>
      </c>
      <c r="C16" s="29">
        <f>Table1[[#This Row],[Close]]-0.001*Table1[[#This Row],[Close]]</f>
        <v>41282.486189999996</v>
      </c>
      <c r="D16" s="29">
        <f>Table1[[#This Row],[Close]]+0.001*Table1[[#This Row],[Close]]</f>
        <v>41365.133809999999</v>
      </c>
      <c r="E16" s="29" t="str">
        <f>IF(Table1[[#This Row],[Close]]&gt;D15,"UP",IF(Table1[[#This Row],[Close]]&lt;C15,"Down","Constant"))</f>
        <v>Down</v>
      </c>
      <c r="F16" t="s">
        <v>175</v>
      </c>
      <c r="G16" s="18" t="b">
        <f t="shared" si="2"/>
        <v>0</v>
      </c>
    </row>
    <row r="17" spans="1:7" x14ac:dyDescent="0.3">
      <c r="A17" s="30">
        <v>44208</v>
      </c>
      <c r="B17" s="24">
        <v>49517.11</v>
      </c>
      <c r="C17" s="31">
        <f>Table1[[#This Row],[Close]]-0.001*Table1[[#This Row],[Close]]</f>
        <v>41074.264619999994</v>
      </c>
      <c r="D17" s="31">
        <f>Table1[[#This Row],[Close]]+0.001*Table1[[#This Row],[Close]]</f>
        <v>41156.49538</v>
      </c>
      <c r="E17" s="31" t="str">
        <f>IF(Table1[[#This Row],[Close]]&gt;D16,"UP",IF(Table1[[#This Row],[Close]]&lt;C16,"Down","Constant"))</f>
        <v>Down</v>
      </c>
      <c r="F17" t="s">
        <v>175</v>
      </c>
      <c r="G17" s="18" t="b">
        <f t="shared" si="2"/>
        <v>0</v>
      </c>
    </row>
    <row r="18" spans="1:7" x14ac:dyDescent="0.3">
      <c r="A18" s="28">
        <v>44209</v>
      </c>
      <c r="B18" s="25">
        <v>49492.32</v>
      </c>
      <c r="C18" s="29">
        <f>Table1[[#This Row],[Close]]-0.001*Table1[[#This Row],[Close]]</f>
        <v>41345.013599999998</v>
      </c>
      <c r="D18" s="29">
        <f>Table1[[#This Row],[Close]]+0.001*Table1[[#This Row],[Close]]</f>
        <v>41427.786400000005</v>
      </c>
      <c r="E18" s="29" t="str">
        <f>IF(Table1[[#This Row],[Close]]&gt;D17,"UP",IF(Table1[[#This Row],[Close]]&lt;C17,"Down","Constant"))</f>
        <v>UP</v>
      </c>
      <c r="F18" t="s">
        <v>175</v>
      </c>
      <c r="G18" s="18" t="b">
        <f t="shared" si="2"/>
        <v>1</v>
      </c>
    </row>
    <row r="19" spans="1:7" x14ac:dyDescent="0.3">
      <c r="A19" s="30">
        <v>44210</v>
      </c>
      <c r="B19" s="24">
        <v>49584.160000000003</v>
      </c>
      <c r="C19" s="31">
        <f>Table1[[#This Row],[Close]]-0.001*Table1[[#This Row],[Close]]</f>
        <v>41571.576810000006</v>
      </c>
      <c r="D19" s="31">
        <f>Table1[[#This Row],[Close]]+0.001*Table1[[#This Row],[Close]]</f>
        <v>41654.803189999999</v>
      </c>
      <c r="E19" s="31" t="str">
        <f>IF(Table1[[#This Row],[Close]]&gt;D18,"UP",IF(Table1[[#This Row],[Close]]&lt;C18,"Down","Constant"))</f>
        <v>UP</v>
      </c>
      <c r="F19" t="s">
        <v>175</v>
      </c>
      <c r="G19" s="18" t="b">
        <f t="shared" si="2"/>
        <v>1</v>
      </c>
    </row>
    <row r="20" spans="1:7" x14ac:dyDescent="0.3">
      <c r="A20" s="28">
        <v>44211</v>
      </c>
      <c r="B20" s="25">
        <v>49034.67</v>
      </c>
      <c r="C20" s="29">
        <f>Table1[[#This Row],[Close]]-0.001*Table1[[#This Row],[Close]]</f>
        <v>41113.96488</v>
      </c>
      <c r="D20" s="29">
        <f>Table1[[#This Row],[Close]]+0.001*Table1[[#This Row],[Close]]</f>
        <v>41196.275120000006</v>
      </c>
      <c r="E20" s="29" t="str">
        <f>IF(Table1[[#This Row],[Close]]&gt;D19,"UP",IF(Table1[[#This Row],[Close]]&lt;C19,"Down","Constant"))</f>
        <v>Down</v>
      </c>
      <c r="F20" t="s">
        <v>175</v>
      </c>
      <c r="G20" s="18" t="b">
        <f t="shared" si="2"/>
        <v>0</v>
      </c>
    </row>
    <row r="21" spans="1:7" x14ac:dyDescent="0.3">
      <c r="A21" s="30">
        <v>44214</v>
      </c>
      <c r="B21" s="24">
        <v>48564.27</v>
      </c>
      <c r="C21" s="31">
        <f>Table1[[#This Row],[Close]]-0.001*Table1[[#This Row],[Close]]</f>
        <v>40925.89314</v>
      </c>
      <c r="D21" s="31">
        <f>Table1[[#This Row],[Close]]+0.001*Table1[[#This Row],[Close]]</f>
        <v>41007.826860000001</v>
      </c>
      <c r="E21" s="31" t="str">
        <f>IF(Table1[[#This Row],[Close]]&gt;D20,"UP",IF(Table1[[#This Row],[Close]]&lt;C20,"Down","Constant"))</f>
        <v>Down</v>
      </c>
      <c r="F21" t="s">
        <v>175</v>
      </c>
      <c r="G21" s="18" t="b">
        <f t="shared" si="2"/>
        <v>0</v>
      </c>
    </row>
    <row r="22" spans="1:7" x14ac:dyDescent="0.3">
      <c r="A22" s="28">
        <v>44215</v>
      </c>
      <c r="B22" s="25">
        <v>49398.29</v>
      </c>
      <c r="C22" s="29">
        <f>Table1[[#This Row],[Close]]-0.001*Table1[[#This Row],[Close]]</f>
        <v>41157.461340000002</v>
      </c>
      <c r="D22" s="29">
        <f>Table1[[#This Row],[Close]]+0.001*Table1[[#This Row],[Close]]</f>
        <v>41239.858660000005</v>
      </c>
      <c r="E22" s="29" t="str">
        <f>IF(Table1[[#This Row],[Close]]&gt;D21,"UP",IF(Table1[[#This Row],[Close]]&lt;C21,"Down","Constant"))</f>
        <v>UP</v>
      </c>
      <c r="F22" t="s">
        <v>176</v>
      </c>
      <c r="G22" s="18" t="b">
        <f t="shared" si="2"/>
        <v>0</v>
      </c>
    </row>
    <row r="23" spans="1:7" x14ac:dyDescent="0.3">
      <c r="A23" s="30">
        <v>44216</v>
      </c>
      <c r="B23" s="24">
        <v>49792.12</v>
      </c>
      <c r="C23" s="31">
        <f>Table1[[#This Row],[Close]]-0.001*Table1[[#This Row],[Close]]</f>
        <v>40872.906179999998</v>
      </c>
      <c r="D23" s="31">
        <f>Table1[[#This Row],[Close]]+0.001*Table1[[#This Row],[Close]]</f>
        <v>40954.733820000001</v>
      </c>
      <c r="E23" s="31" t="str">
        <f>IF(Table1[[#This Row],[Close]]&gt;D22,"UP",IF(Table1[[#This Row],[Close]]&lt;C22,"Down","Constant"))</f>
        <v>Down</v>
      </c>
      <c r="F23" t="s">
        <v>175</v>
      </c>
      <c r="G23" s="18" t="b">
        <f t="shared" si="2"/>
        <v>0</v>
      </c>
    </row>
    <row r="24" spans="1:7" x14ac:dyDescent="0.3">
      <c r="A24" s="28">
        <v>44217</v>
      </c>
      <c r="B24" s="25">
        <v>49624.76</v>
      </c>
      <c r="C24" s="29">
        <f>Table1[[#This Row],[Close]]-0.001*Table1[[#This Row],[Close]]</f>
        <v>40682.766510000001</v>
      </c>
      <c r="D24" s="29">
        <f>Table1[[#This Row],[Close]]+0.001*Table1[[#This Row],[Close]]</f>
        <v>40764.213489999995</v>
      </c>
      <c r="E24" s="29" t="str">
        <f>IF(Table1[[#This Row],[Close]]&gt;D23,"UP",IF(Table1[[#This Row],[Close]]&lt;C23,"Down","Constant"))</f>
        <v>Down</v>
      </c>
      <c r="F24" t="s">
        <v>175</v>
      </c>
      <c r="G24" s="18" t="b">
        <f t="shared" si="2"/>
        <v>0</v>
      </c>
    </row>
    <row r="25" spans="1:7" x14ac:dyDescent="0.3">
      <c r="A25" s="30">
        <v>44218</v>
      </c>
      <c r="B25" s="24">
        <v>48878.54</v>
      </c>
      <c r="C25" s="31">
        <f>Table1[[#This Row],[Close]]-0.001*Table1[[#This Row],[Close]]</f>
        <v>39695.794470000001</v>
      </c>
      <c r="D25" s="31">
        <f>Table1[[#This Row],[Close]]+0.001*Table1[[#This Row],[Close]]</f>
        <v>39775.265529999997</v>
      </c>
      <c r="E25" s="31" t="str">
        <f>IF(Table1[[#This Row],[Close]]&gt;D24,"UP",IF(Table1[[#This Row],[Close]]&lt;C24,"Down","Constant"))</f>
        <v>Down</v>
      </c>
      <c r="F25" t="s">
        <v>175</v>
      </c>
      <c r="G25" s="18" t="b">
        <f t="shared" si="2"/>
        <v>0</v>
      </c>
    </row>
    <row r="26" spans="1:7" x14ac:dyDescent="0.3">
      <c r="A26" s="28">
        <v>44221</v>
      </c>
      <c r="B26" s="25">
        <v>48347.59</v>
      </c>
      <c r="C26" s="29">
        <f>Table1[[#This Row],[Close]]-0.001*Table1[[#This Row],[Close]]</f>
        <v>39832.437689999999</v>
      </c>
      <c r="D26" s="29">
        <f>Table1[[#This Row],[Close]]+0.001*Table1[[#This Row],[Close]]</f>
        <v>39912.182309999997</v>
      </c>
      <c r="E26" s="29" t="str">
        <f>IF(Table1[[#This Row],[Close]]&gt;D25,"UP",IF(Table1[[#This Row],[Close]]&lt;C25,"Down","Constant"))</f>
        <v>UP</v>
      </c>
      <c r="F26" t="s">
        <v>174</v>
      </c>
      <c r="G26" s="18" t="b">
        <f t="shared" si="2"/>
        <v>0</v>
      </c>
    </row>
    <row r="27" spans="1:7" x14ac:dyDescent="0.3">
      <c r="A27" s="30">
        <v>44223</v>
      </c>
      <c r="B27" s="24">
        <v>47409.93</v>
      </c>
      <c r="C27" s="31">
        <f>Table1[[#This Row],[Close]]-0.001*Table1[[#This Row],[Close]]</f>
        <v>40748.590619999995</v>
      </c>
      <c r="D27" s="31">
        <f>Table1[[#This Row],[Close]]+0.001*Table1[[#This Row],[Close]]</f>
        <v>40830.169379999999</v>
      </c>
      <c r="E27" s="31" t="str">
        <f>IF(Table1[[#This Row],[Close]]&gt;D26,"UP",IF(Table1[[#This Row],[Close]]&lt;C26,"Down","Constant"))</f>
        <v>UP</v>
      </c>
      <c r="F27" t="s">
        <v>175</v>
      </c>
      <c r="G27" s="18" t="b">
        <f t="shared" si="2"/>
        <v>1</v>
      </c>
    </row>
    <row r="28" spans="1:7" x14ac:dyDescent="0.3">
      <c r="A28" s="28">
        <v>44224</v>
      </c>
      <c r="B28" s="25">
        <v>46874.36</v>
      </c>
      <c r="C28" s="29">
        <f>Table1[[#This Row],[Close]]-0.001*Table1[[#This Row],[Close]]</f>
        <v>41101.517340000006</v>
      </c>
      <c r="D28" s="29">
        <f>Table1[[#This Row],[Close]]+0.001*Table1[[#This Row],[Close]]</f>
        <v>41183.802660000001</v>
      </c>
      <c r="E28" s="29" t="str">
        <f>IF(Table1[[#This Row],[Close]]&gt;D27,"UP",IF(Table1[[#This Row],[Close]]&lt;C27,"Down","Constant"))</f>
        <v>UP</v>
      </c>
      <c r="F28" t="s">
        <v>175</v>
      </c>
      <c r="G28" s="18" t="b">
        <f t="shared" si="2"/>
        <v>1</v>
      </c>
    </row>
    <row r="29" spans="1:7" x14ac:dyDescent="0.3">
      <c r="A29" s="30">
        <v>44225</v>
      </c>
      <c r="B29" s="24">
        <v>46285.77</v>
      </c>
      <c r="C29" s="31">
        <f>Table1[[#This Row],[Close]]-0.001*Table1[[#This Row],[Close]]</f>
        <v>41264.723969999999</v>
      </c>
      <c r="D29" s="31">
        <f>Table1[[#This Row],[Close]]+0.001*Table1[[#This Row],[Close]]</f>
        <v>41347.336029999999</v>
      </c>
      <c r="E29" s="31" t="str">
        <f>IF(Table1[[#This Row],[Close]]&gt;D28,"UP",IF(Table1[[#This Row],[Close]]&lt;C28,"Down","Constant"))</f>
        <v>UP</v>
      </c>
      <c r="F29" t="s">
        <v>175</v>
      </c>
      <c r="G29" s="18" t="b">
        <f t="shared" si="2"/>
        <v>1</v>
      </c>
    </row>
    <row r="30" spans="1:7" x14ac:dyDescent="0.3">
      <c r="A30" s="28">
        <v>44228</v>
      </c>
      <c r="B30" s="25">
        <v>48600.61</v>
      </c>
      <c r="C30" s="29">
        <f>Table1[[#This Row],[Close]]-0.001*Table1[[#This Row],[Close]]</f>
        <v>41100.708149999999</v>
      </c>
      <c r="D30" s="29">
        <f>Table1[[#This Row],[Close]]+0.001*Table1[[#This Row],[Close]]</f>
        <v>41182.991849999999</v>
      </c>
      <c r="E30" s="29" t="str">
        <f>IF(Table1[[#This Row],[Close]]&gt;D29,"UP",IF(Table1[[#This Row],[Close]]&lt;C29,"Down","Constant"))</f>
        <v>Down</v>
      </c>
      <c r="F30" t="s">
        <v>175</v>
      </c>
      <c r="G30" s="18" t="b">
        <f t="shared" si="2"/>
        <v>0</v>
      </c>
    </row>
    <row r="31" spans="1:7" x14ac:dyDescent="0.3">
      <c r="A31" s="30">
        <v>44229</v>
      </c>
      <c r="B31" s="24">
        <v>49797.72</v>
      </c>
      <c r="C31" s="31">
        <f>Table1[[#This Row],[Close]]-0.001*Table1[[#This Row],[Close]]</f>
        <v>40938.640380000004</v>
      </c>
      <c r="D31" s="31">
        <f>Table1[[#This Row],[Close]]+0.001*Table1[[#This Row],[Close]]</f>
        <v>41020.599620000001</v>
      </c>
      <c r="E31" s="31" t="str">
        <f>IF(Table1[[#This Row],[Close]]&gt;D30,"UP",IF(Table1[[#This Row],[Close]]&lt;C30,"Down","Constant"))</f>
        <v>Down</v>
      </c>
      <c r="F31" t="s">
        <v>174</v>
      </c>
      <c r="G31" s="18" t="b">
        <f t="shared" si="2"/>
        <v>1</v>
      </c>
    </row>
    <row r="32" spans="1:7" x14ac:dyDescent="0.3">
      <c r="A32" s="28">
        <v>44230</v>
      </c>
      <c r="B32" s="25">
        <v>50255.75</v>
      </c>
      <c r="C32" s="29">
        <f>Table1[[#This Row],[Close]]-0.001*Table1[[#This Row],[Close]]</f>
        <v>41174.923860000003</v>
      </c>
      <c r="D32" s="29">
        <f>Table1[[#This Row],[Close]]+0.001*Table1[[#This Row],[Close]]</f>
        <v>41257.356139999996</v>
      </c>
      <c r="E32" s="29" t="str">
        <f>IF(Table1[[#This Row],[Close]]&gt;D31,"UP",IF(Table1[[#This Row],[Close]]&lt;C31,"Down","Constant"))</f>
        <v>UP</v>
      </c>
      <c r="F32" t="s">
        <v>174</v>
      </c>
      <c r="G32" s="18" t="b">
        <f t="shared" si="2"/>
        <v>0</v>
      </c>
    </row>
    <row r="33" spans="1:7" x14ac:dyDescent="0.3">
      <c r="A33" s="30">
        <v>44231</v>
      </c>
      <c r="B33" s="24">
        <v>50614.29</v>
      </c>
      <c r="C33" s="31">
        <f>Table1[[#This Row],[Close]]-0.001*Table1[[#This Row],[Close]]</f>
        <v>41524.3341</v>
      </c>
      <c r="D33" s="31">
        <f>Table1[[#This Row],[Close]]+0.001*Table1[[#This Row],[Close]]</f>
        <v>41607.465900000003</v>
      </c>
      <c r="E33" s="31" t="str">
        <f>IF(Table1[[#This Row],[Close]]&gt;D32,"UP",IF(Table1[[#This Row],[Close]]&lt;C32,"Down","Constant"))</f>
        <v>UP</v>
      </c>
      <c r="F33" t="s">
        <v>174</v>
      </c>
      <c r="G33" s="18" t="b">
        <f t="shared" si="2"/>
        <v>0</v>
      </c>
    </row>
    <row r="34" spans="1:7" x14ac:dyDescent="0.3">
      <c r="A34" s="28">
        <v>44232</v>
      </c>
      <c r="B34" s="25">
        <v>50731.63</v>
      </c>
      <c r="C34" s="29">
        <f>Table1[[#This Row],[Close]]-0.001*Table1[[#This Row],[Close]]</f>
        <v>41418.33021</v>
      </c>
      <c r="D34" s="29">
        <f>Table1[[#This Row],[Close]]+0.001*Table1[[#This Row],[Close]]</f>
        <v>41501.249790000002</v>
      </c>
      <c r="E34" s="29" t="str">
        <f>IF(Table1[[#This Row],[Close]]&gt;D33,"UP",IF(Table1[[#This Row],[Close]]&lt;C33,"Down","Constant"))</f>
        <v>Down</v>
      </c>
      <c r="F34" t="s">
        <v>175</v>
      </c>
      <c r="G34" s="18" t="b">
        <f t="shared" si="2"/>
        <v>0</v>
      </c>
    </row>
    <row r="35" spans="1:7" x14ac:dyDescent="0.3">
      <c r="A35" s="30">
        <v>44235</v>
      </c>
      <c r="B35" s="24">
        <v>51348.77</v>
      </c>
      <c r="C35" s="31">
        <f>Table1[[#This Row],[Close]]-0.001*Table1[[#This Row],[Close]]</f>
        <v>41216.482259999997</v>
      </c>
      <c r="D35" s="31">
        <f>Table1[[#This Row],[Close]]+0.001*Table1[[#This Row],[Close]]</f>
        <v>41298.997739999999</v>
      </c>
      <c r="E35" s="31" t="str">
        <f>IF(Table1[[#This Row],[Close]]&gt;D34,"UP",IF(Table1[[#This Row],[Close]]&lt;C34,"Down","Constant"))</f>
        <v>Down</v>
      </c>
      <c r="F35" t="s">
        <v>174</v>
      </c>
      <c r="G35" s="18" t="b">
        <f t="shared" si="2"/>
        <v>1</v>
      </c>
    </row>
    <row r="36" spans="1:7" x14ac:dyDescent="0.3">
      <c r="A36" s="28">
        <v>44236</v>
      </c>
      <c r="B36" s="25">
        <v>51329.08</v>
      </c>
      <c r="C36" s="29">
        <f>Table1[[#This Row],[Close]]-0.001*Table1[[#This Row],[Close]]</f>
        <v>41014.634310000001</v>
      </c>
      <c r="D36" s="29">
        <f>Table1[[#This Row],[Close]]+0.001*Table1[[#This Row],[Close]]</f>
        <v>41096.745690000003</v>
      </c>
      <c r="E36" s="29" t="str">
        <f>IF(Table1[[#This Row],[Close]]&gt;D35,"UP",IF(Table1[[#This Row],[Close]]&lt;C35,"Down","Constant"))</f>
        <v>Down</v>
      </c>
      <c r="F36" t="s">
        <v>174</v>
      </c>
      <c r="G36" s="18" t="b">
        <f t="shared" si="2"/>
        <v>1</v>
      </c>
    </row>
    <row r="37" spans="1:7" x14ac:dyDescent="0.3">
      <c r="A37" s="30">
        <v>44237</v>
      </c>
      <c r="B37" s="24">
        <v>51309.39</v>
      </c>
      <c r="C37" s="31">
        <f>Table1[[#This Row],[Close]]-0.001*Table1[[#This Row],[Close]]</f>
        <v>40853.485619999999</v>
      </c>
      <c r="D37" s="31">
        <f>Table1[[#This Row],[Close]]+0.001*Table1[[#This Row],[Close]]</f>
        <v>40935.274379999995</v>
      </c>
      <c r="E37" s="31" t="str">
        <f>IF(Table1[[#This Row],[Close]]&gt;D36,"UP",IF(Table1[[#This Row],[Close]]&lt;C36,"Down","Constant"))</f>
        <v>Down</v>
      </c>
      <c r="F37" t="s">
        <v>175</v>
      </c>
      <c r="G37" s="18" t="b">
        <f t="shared" si="2"/>
        <v>0</v>
      </c>
    </row>
    <row r="38" spans="1:7" x14ac:dyDescent="0.3">
      <c r="A38" s="28">
        <v>44238</v>
      </c>
      <c r="B38" s="25">
        <v>51531.519999999997</v>
      </c>
      <c r="C38" s="29">
        <f>Table1[[#This Row],[Close]]-0.001*Table1[[#This Row],[Close]]</f>
        <v>41281.677000000003</v>
      </c>
      <c r="D38" s="29">
        <f>Table1[[#This Row],[Close]]+0.001*Table1[[#This Row],[Close]]</f>
        <v>41364.322999999997</v>
      </c>
      <c r="E38" s="29" t="str">
        <f>IF(Table1[[#This Row],[Close]]&gt;D37,"UP",IF(Table1[[#This Row],[Close]]&lt;C37,"Down","Constant"))</f>
        <v>UP</v>
      </c>
      <c r="F38" t="s">
        <v>175</v>
      </c>
      <c r="G38" s="18" t="b">
        <f t="shared" si="2"/>
        <v>1</v>
      </c>
    </row>
    <row r="39" spans="1:7" x14ac:dyDescent="0.3">
      <c r="A39" s="30">
        <v>44239</v>
      </c>
      <c r="B39" s="24">
        <v>51544.3</v>
      </c>
      <c r="C39" s="31">
        <f>Table1[[#This Row],[Close]]-0.001*Table1[[#This Row],[Close]]</f>
        <v>41128.94988</v>
      </c>
      <c r="D39" s="31">
        <f>Table1[[#This Row],[Close]]+0.001*Table1[[#This Row],[Close]]</f>
        <v>41211.290120000005</v>
      </c>
      <c r="E39" s="31" t="str">
        <f>IF(Table1[[#This Row],[Close]]&gt;D38,"UP",IF(Table1[[#This Row],[Close]]&lt;C38,"Down","Constant"))</f>
        <v>Down</v>
      </c>
      <c r="F39" t="s">
        <v>175</v>
      </c>
      <c r="G39" s="18" t="b">
        <f t="shared" si="2"/>
        <v>0</v>
      </c>
    </row>
    <row r="40" spans="1:7" x14ac:dyDescent="0.3">
      <c r="A40" s="28">
        <v>44242</v>
      </c>
      <c r="B40" s="25">
        <v>52154.13</v>
      </c>
      <c r="C40" s="29">
        <f>Table1[[#This Row],[Close]]-0.001*Table1[[#This Row],[Close]]</f>
        <v>40322.866770000001</v>
      </c>
      <c r="D40" s="29">
        <f>Table1[[#This Row],[Close]]+0.001*Table1[[#This Row],[Close]]</f>
        <v>40403.593230000006</v>
      </c>
      <c r="E40" s="29" t="str">
        <f>IF(Table1[[#This Row],[Close]]&gt;D39,"UP",IF(Table1[[#This Row],[Close]]&lt;C39,"Down","Constant"))</f>
        <v>Down</v>
      </c>
      <c r="F40" t="s">
        <v>174</v>
      </c>
      <c r="G40" s="18" t="b">
        <f t="shared" si="2"/>
        <v>1</v>
      </c>
    </row>
    <row r="41" spans="1:7" x14ac:dyDescent="0.3">
      <c r="A41" s="30">
        <v>44243</v>
      </c>
      <c r="B41" s="24">
        <v>52104.17</v>
      </c>
      <c r="C41" s="31">
        <f>Table1[[#This Row],[Close]]-0.001*Table1[[#This Row],[Close]]</f>
        <v>40240.918799999999</v>
      </c>
      <c r="D41" s="31">
        <f>Table1[[#This Row],[Close]]+0.001*Table1[[#This Row],[Close]]</f>
        <v>40321.481199999995</v>
      </c>
      <c r="E41" s="31" t="str">
        <f>IF(Table1[[#This Row],[Close]]&gt;D40,"UP",IF(Table1[[#This Row],[Close]]&lt;C40,"Down","Constant"))</f>
        <v>Down</v>
      </c>
      <c r="F41" t="s">
        <v>175</v>
      </c>
      <c r="G41" s="18" t="b">
        <f t="shared" si="2"/>
        <v>0</v>
      </c>
    </row>
    <row r="42" spans="1:7" x14ac:dyDescent="0.3">
      <c r="A42" s="28">
        <v>44244</v>
      </c>
      <c r="B42" s="25">
        <v>51703.83</v>
      </c>
      <c r="C42" s="29">
        <f>Table1[[#This Row],[Close]]-0.001*Table1[[#This Row],[Close]]</f>
        <v>39849.071040000003</v>
      </c>
      <c r="D42" s="29">
        <f>Table1[[#This Row],[Close]]+0.001*Table1[[#This Row],[Close]]</f>
        <v>39928.848959999996</v>
      </c>
      <c r="E42" s="29" t="str">
        <f>IF(Table1[[#This Row],[Close]]&gt;D41,"UP",IF(Table1[[#This Row],[Close]]&lt;C41,"Down","Constant"))</f>
        <v>Down</v>
      </c>
      <c r="F42" t="s">
        <v>175</v>
      </c>
      <c r="G42" s="18" t="b">
        <f t="shared" si="2"/>
        <v>0</v>
      </c>
    </row>
    <row r="43" spans="1:7" x14ac:dyDescent="0.3">
      <c r="A43" s="30">
        <v>44245</v>
      </c>
      <c r="B43" s="24">
        <v>51324.69</v>
      </c>
      <c r="C43" s="31">
        <f>Table1[[#This Row],[Close]]-0.001*Table1[[#This Row],[Close]]</f>
        <v>39705.914340000003</v>
      </c>
      <c r="D43" s="31">
        <f>Table1[[#This Row],[Close]]+0.001*Table1[[#This Row],[Close]]</f>
        <v>39785.405660000004</v>
      </c>
      <c r="E43" s="31" t="str">
        <f>IF(Table1[[#This Row],[Close]]&gt;D42,"UP",IF(Table1[[#This Row],[Close]]&lt;C42,"Down","Constant"))</f>
        <v>Down</v>
      </c>
      <c r="F43" t="s">
        <v>175</v>
      </c>
      <c r="G43" s="18" t="b">
        <f t="shared" si="2"/>
        <v>0</v>
      </c>
    </row>
    <row r="44" spans="1:7" x14ac:dyDescent="0.3">
      <c r="A44" s="28">
        <v>44246</v>
      </c>
      <c r="B44" s="25">
        <v>50889.760000000002</v>
      </c>
      <c r="C44" s="29">
        <f>Table1[[#This Row],[Close]]-0.001*Table1[[#This Row],[Close]]</f>
        <v>38258.992709999999</v>
      </c>
      <c r="D44" s="29">
        <f>Table1[[#This Row],[Close]]+0.001*Table1[[#This Row],[Close]]</f>
        <v>38335.587290000003</v>
      </c>
      <c r="E44" s="29" t="str">
        <f>IF(Table1[[#This Row],[Close]]&gt;D43,"UP",IF(Table1[[#This Row],[Close]]&lt;C43,"Down","Constant"))</f>
        <v>Down</v>
      </c>
      <c r="F44" t="s">
        <v>175</v>
      </c>
      <c r="G44" s="18" t="b">
        <f t="shared" si="2"/>
        <v>0</v>
      </c>
    </row>
    <row r="45" spans="1:7" x14ac:dyDescent="0.3">
      <c r="A45" s="30">
        <v>44249</v>
      </c>
      <c r="B45" s="24">
        <v>49744.32</v>
      </c>
      <c r="C45" s="31">
        <f>Table1[[#This Row],[Close]]-0.001*Table1[[#This Row],[Close]]</f>
        <v>38105.875979999997</v>
      </c>
      <c r="D45" s="31">
        <f>Table1[[#This Row],[Close]]+0.001*Table1[[#This Row],[Close]]</f>
        <v>38182.164019999997</v>
      </c>
      <c r="E45" s="31" t="str">
        <f>IF(Table1[[#This Row],[Close]]&gt;D44,"UP",IF(Table1[[#This Row],[Close]]&lt;C44,"Down","Constant"))</f>
        <v>Down</v>
      </c>
      <c r="F45" t="s">
        <v>174</v>
      </c>
      <c r="G45" s="18" t="b">
        <f t="shared" si="2"/>
        <v>1</v>
      </c>
    </row>
    <row r="46" spans="1:7" x14ac:dyDescent="0.3">
      <c r="A46" s="28">
        <v>44250</v>
      </c>
      <c r="B46" s="25">
        <v>49751.41</v>
      </c>
      <c r="C46" s="29">
        <f>Table1[[#This Row],[Close]]-0.001*Table1[[#This Row],[Close]]</f>
        <v>38585.076300000001</v>
      </c>
      <c r="D46" s="29">
        <f>Table1[[#This Row],[Close]]+0.001*Table1[[#This Row],[Close]]</f>
        <v>38662.323699999994</v>
      </c>
      <c r="E46" s="29" t="str">
        <f>IF(Table1[[#This Row],[Close]]&gt;D45,"UP",IF(Table1[[#This Row],[Close]]&lt;C45,"Down","Constant"))</f>
        <v>UP</v>
      </c>
      <c r="F46" t="s">
        <v>175</v>
      </c>
      <c r="G46" s="18" t="b">
        <f t="shared" si="2"/>
        <v>1</v>
      </c>
    </row>
    <row r="47" spans="1:7" x14ac:dyDescent="0.3">
      <c r="A47" s="30">
        <v>44251</v>
      </c>
      <c r="B47" s="24">
        <v>50781.69</v>
      </c>
      <c r="C47" s="31">
        <f>Table1[[#This Row],[Close]]-0.001*Table1[[#This Row],[Close]]</f>
        <v>38371.070520000001</v>
      </c>
      <c r="D47" s="31">
        <f>Table1[[#This Row],[Close]]+0.001*Table1[[#This Row],[Close]]</f>
        <v>38447.889480000005</v>
      </c>
      <c r="E47" s="31" t="str">
        <f>IF(Table1[[#This Row],[Close]]&gt;D46,"UP",IF(Table1[[#This Row],[Close]]&lt;C46,"Down","Constant"))</f>
        <v>Down</v>
      </c>
      <c r="F47" t="s">
        <v>174</v>
      </c>
      <c r="G47" s="18" t="b">
        <f t="shared" si="2"/>
        <v>1</v>
      </c>
    </row>
    <row r="48" spans="1:7" x14ac:dyDescent="0.3">
      <c r="A48" s="28">
        <v>44252</v>
      </c>
      <c r="B48" s="25">
        <v>51039.31</v>
      </c>
      <c r="C48" s="29">
        <f>Table1[[#This Row],[Close]]-0.001*Table1[[#This Row],[Close]]</f>
        <v>38432.139390000004</v>
      </c>
      <c r="D48" s="29">
        <f>Table1[[#This Row],[Close]]+0.001*Table1[[#This Row],[Close]]</f>
        <v>38509.080609999997</v>
      </c>
      <c r="E48" s="29" t="str">
        <f>IF(Table1[[#This Row],[Close]]&gt;D47,"UP",IF(Table1[[#This Row],[Close]]&lt;C47,"Down","Constant"))</f>
        <v>UP</v>
      </c>
      <c r="F48" t="s">
        <v>174</v>
      </c>
      <c r="G48" s="18" t="b">
        <f t="shared" si="2"/>
        <v>0</v>
      </c>
    </row>
    <row r="49" spans="1:7" x14ac:dyDescent="0.3">
      <c r="A49" s="30">
        <v>44253</v>
      </c>
      <c r="B49" s="24">
        <v>49099.99</v>
      </c>
      <c r="C49" s="31">
        <f>Table1[[#This Row],[Close]]-0.001*Table1[[#This Row],[Close]]</f>
        <v>37539.043380000003</v>
      </c>
      <c r="D49" s="31">
        <f>Table1[[#This Row],[Close]]+0.001*Table1[[#This Row],[Close]]</f>
        <v>37614.196620000002</v>
      </c>
      <c r="E49" s="31" t="str">
        <f>IF(Table1[[#This Row],[Close]]&gt;D48,"UP",IF(Table1[[#This Row],[Close]]&lt;C48,"Down","Constant"))</f>
        <v>Down</v>
      </c>
      <c r="F49" t="s">
        <v>175</v>
      </c>
      <c r="G49" s="18" t="b">
        <f t="shared" si="2"/>
        <v>0</v>
      </c>
    </row>
    <row r="50" spans="1:7" x14ac:dyDescent="0.3">
      <c r="A50" s="28">
        <v>44256</v>
      </c>
      <c r="B50" s="25">
        <v>49849.84</v>
      </c>
      <c r="C50" s="29">
        <f>Table1[[#This Row],[Close]]-0.001*Table1[[#This Row],[Close]]</f>
        <v>35599.315049999997</v>
      </c>
      <c r="D50" s="29">
        <f>Table1[[#This Row],[Close]]+0.001*Table1[[#This Row],[Close]]</f>
        <v>35670.584949999997</v>
      </c>
      <c r="E50" s="29" t="str">
        <f>IF(Table1[[#This Row],[Close]]&gt;D49,"UP",IF(Table1[[#This Row],[Close]]&lt;C49,"Down","Constant"))</f>
        <v>Down</v>
      </c>
      <c r="F50" t="s">
        <v>174</v>
      </c>
      <c r="G50" s="18" t="b">
        <f t="shared" si="2"/>
        <v>1</v>
      </c>
    </row>
    <row r="51" spans="1:7" x14ac:dyDescent="0.3">
      <c r="A51" s="30">
        <v>44257</v>
      </c>
      <c r="B51" s="24">
        <v>50296.89</v>
      </c>
      <c r="C51" s="31">
        <f>Table1[[#This Row],[Close]]-0.001*Table1[[#This Row],[Close]]</f>
        <v>35661.702600000004</v>
      </c>
      <c r="D51" s="31">
        <f>Table1[[#This Row],[Close]]+0.001*Table1[[#This Row],[Close]]</f>
        <v>35733.097399999999</v>
      </c>
      <c r="E51" s="31" t="str">
        <f>IF(Table1[[#This Row],[Close]]&gt;D50,"UP",IF(Table1[[#This Row],[Close]]&lt;C50,"Down","Constant"))</f>
        <v>UP</v>
      </c>
      <c r="F51" t="s">
        <v>175</v>
      </c>
      <c r="G51" s="18" t="b">
        <f t="shared" si="2"/>
        <v>1</v>
      </c>
    </row>
    <row r="52" spans="1:7" x14ac:dyDescent="0.3">
      <c r="A52" s="28">
        <v>44258</v>
      </c>
      <c r="B52" s="25">
        <v>51444.65</v>
      </c>
      <c r="C52" s="29">
        <f>Table1[[#This Row],[Close]]-0.001*Table1[[#This Row],[Close]]</f>
        <v>32745.361860000001</v>
      </c>
      <c r="D52" s="29">
        <f>Table1[[#This Row],[Close]]+0.001*Table1[[#This Row],[Close]]</f>
        <v>32810.918140000002</v>
      </c>
      <c r="E52" s="29" t="str">
        <f>IF(Table1[[#This Row],[Close]]&gt;D51,"UP",IF(Table1[[#This Row],[Close]]&lt;C51,"Down","Constant"))</f>
        <v>Down</v>
      </c>
      <c r="F52" t="s">
        <v>176</v>
      </c>
      <c r="G52" s="18" t="b">
        <f t="shared" si="2"/>
        <v>0</v>
      </c>
    </row>
    <row r="53" spans="1:7" x14ac:dyDescent="0.3">
      <c r="A53" s="30">
        <v>44259</v>
      </c>
      <c r="B53" s="24">
        <v>50846.080000000002</v>
      </c>
      <c r="C53" s="31">
        <f>Table1[[#This Row],[Close]]-0.001*Table1[[#This Row],[Close]]</f>
        <v>34069.376520000005</v>
      </c>
      <c r="D53" s="31">
        <f>Table1[[#This Row],[Close]]+0.001*Table1[[#This Row],[Close]]</f>
        <v>34137.583480000001</v>
      </c>
      <c r="E53" s="31" t="str">
        <f>IF(Table1[[#This Row],[Close]]&gt;D52,"UP",IF(Table1[[#This Row],[Close]]&lt;C52,"Down","Constant"))</f>
        <v>UP</v>
      </c>
      <c r="F53" t="s">
        <v>175</v>
      </c>
      <c r="G53" s="18" t="b">
        <f t="shared" si="2"/>
        <v>1</v>
      </c>
    </row>
    <row r="54" spans="1:7" x14ac:dyDescent="0.3">
      <c r="A54" s="28">
        <v>44260</v>
      </c>
      <c r="B54" s="25">
        <v>50405.32</v>
      </c>
      <c r="C54" s="29">
        <f>Table1[[#This Row],[Close]]-0.001*Table1[[#This Row],[Close]]</f>
        <v>31358.679929999998</v>
      </c>
      <c r="D54" s="29">
        <f>Table1[[#This Row],[Close]]+0.001*Table1[[#This Row],[Close]]</f>
        <v>31421.460070000001</v>
      </c>
      <c r="E54" s="29" t="str">
        <f>IF(Table1[[#This Row],[Close]]&gt;D53,"UP",IF(Table1[[#This Row],[Close]]&lt;C53,"Down","Constant"))</f>
        <v>Down</v>
      </c>
      <c r="F54" t="s">
        <v>174</v>
      </c>
      <c r="G54" s="18" t="b">
        <f t="shared" si="2"/>
        <v>1</v>
      </c>
    </row>
    <row r="55" spans="1:7" x14ac:dyDescent="0.3">
      <c r="A55" s="30">
        <v>44263</v>
      </c>
      <c r="B55" s="24">
        <v>50441.07</v>
      </c>
      <c r="C55" s="31">
        <f>Table1[[#This Row],[Close]]-0.001*Table1[[#This Row],[Close]]</f>
        <v>30548.510910000001</v>
      </c>
      <c r="D55" s="31">
        <f>Table1[[#This Row],[Close]]+0.001*Table1[[#This Row],[Close]]</f>
        <v>30609.669089999999</v>
      </c>
      <c r="E55" s="31" t="str">
        <f>IF(Table1[[#This Row],[Close]]&gt;D54,"UP",IF(Table1[[#This Row],[Close]]&lt;C54,"Down","Constant"))</f>
        <v>Down</v>
      </c>
      <c r="F55" t="s">
        <v>175</v>
      </c>
      <c r="G55" s="18" t="b">
        <f t="shared" si="2"/>
        <v>0</v>
      </c>
    </row>
    <row r="56" spans="1:7" x14ac:dyDescent="0.3">
      <c r="A56" s="28">
        <v>44264</v>
      </c>
      <c r="B56" s="25">
        <v>51025.48</v>
      </c>
      <c r="C56" s="29">
        <f>Table1[[#This Row],[Close]]-0.001*Table1[[#This Row],[Close]]</f>
        <v>28840.640489999998</v>
      </c>
      <c r="D56" s="29">
        <f>Table1[[#This Row],[Close]]+0.001*Table1[[#This Row],[Close]]</f>
        <v>28898.379509999999</v>
      </c>
      <c r="E56" s="29" t="str">
        <f>IF(Table1[[#This Row],[Close]]&gt;D55,"UP",IF(Table1[[#This Row],[Close]]&lt;C55,"Down","Constant"))</f>
        <v>Down</v>
      </c>
      <c r="F56" t="s">
        <v>175</v>
      </c>
      <c r="G56" s="18" t="b">
        <f t="shared" si="2"/>
        <v>0</v>
      </c>
    </row>
    <row r="57" spans="1:7" x14ac:dyDescent="0.3">
      <c r="A57" s="30">
        <v>44265</v>
      </c>
      <c r="B57" s="24">
        <v>51279.51</v>
      </c>
      <c r="C57" s="31">
        <f>Table1[[#This Row],[Close]]-0.001*Table1[[#This Row],[Close]]</f>
        <v>28259.941770000001</v>
      </c>
      <c r="D57" s="31">
        <f>Table1[[#This Row],[Close]]+0.001*Table1[[#This Row],[Close]]</f>
        <v>28316.518229999998</v>
      </c>
      <c r="E57" s="31" t="str">
        <f>IF(Table1[[#This Row],[Close]]&gt;D56,"UP",IF(Table1[[#This Row],[Close]]&lt;C56,"Down","Constant"))</f>
        <v>Down</v>
      </c>
      <c r="F57" t="s">
        <v>174</v>
      </c>
      <c r="G57" s="18" t="b">
        <f t="shared" si="2"/>
        <v>1</v>
      </c>
    </row>
    <row r="58" spans="1:7" x14ac:dyDescent="0.3">
      <c r="A58" s="28">
        <v>44267</v>
      </c>
      <c r="B58" s="25">
        <v>50792.08</v>
      </c>
      <c r="C58" s="29">
        <f>Table1[[#This Row],[Close]]-0.001*Table1[[#This Row],[Close]]</f>
        <v>29886.044040000001</v>
      </c>
      <c r="D58" s="29">
        <f>Table1[[#This Row],[Close]]+0.001*Table1[[#This Row],[Close]]</f>
        <v>29945.875959999998</v>
      </c>
      <c r="E58" s="29" t="str">
        <f>IF(Table1[[#This Row],[Close]]&gt;D57,"UP",IF(Table1[[#This Row],[Close]]&lt;C57,"Down","Constant"))</f>
        <v>UP</v>
      </c>
      <c r="F58" t="s">
        <v>174</v>
      </c>
      <c r="G58" s="18" t="b">
        <f t="shared" si="2"/>
        <v>0</v>
      </c>
    </row>
    <row r="59" spans="1:7" x14ac:dyDescent="0.3">
      <c r="A59" s="30">
        <v>44270</v>
      </c>
      <c r="B59" s="24">
        <v>50395.08</v>
      </c>
      <c r="C59" s="31">
        <f>Table1[[#This Row],[Close]]-0.001*Table1[[#This Row],[Close]]</f>
        <v>25955.258760000001</v>
      </c>
      <c r="D59" s="31">
        <f>Table1[[#This Row],[Close]]+0.001*Table1[[#This Row],[Close]]</f>
        <v>26007.221240000003</v>
      </c>
      <c r="E59" s="31" t="str">
        <f>IF(Table1[[#This Row],[Close]]&gt;D58,"UP",IF(Table1[[#This Row],[Close]]&lt;C58,"Down","Constant"))</f>
        <v>Down</v>
      </c>
      <c r="F59" t="s">
        <v>174</v>
      </c>
      <c r="G59" s="18" t="b">
        <f t="shared" si="2"/>
        <v>1</v>
      </c>
    </row>
    <row r="60" spans="1:7" x14ac:dyDescent="0.3">
      <c r="A60" s="28">
        <v>44271</v>
      </c>
      <c r="B60" s="25">
        <v>50363.96</v>
      </c>
      <c r="C60" s="29">
        <f>Table1[[#This Row],[Close]]-0.001*Table1[[#This Row],[Close]]</f>
        <v>26647.355970000001</v>
      </c>
      <c r="D60" s="29">
        <f>Table1[[#This Row],[Close]]+0.001*Table1[[#This Row],[Close]]</f>
        <v>26700.704029999997</v>
      </c>
      <c r="E60" s="29" t="str">
        <f>IF(Table1[[#This Row],[Close]]&gt;D59,"UP",IF(Table1[[#This Row],[Close]]&lt;C59,"Down","Constant"))</f>
        <v>UP</v>
      </c>
      <c r="F60" t="s">
        <v>175</v>
      </c>
      <c r="G60" s="18" t="b">
        <f t="shared" si="2"/>
        <v>1</v>
      </c>
    </row>
    <row r="61" spans="1:7" x14ac:dyDescent="0.3">
      <c r="A61" s="30">
        <v>44272</v>
      </c>
      <c r="B61" s="24">
        <v>49801.62</v>
      </c>
      <c r="C61" s="31">
        <f>Table1[[#This Row],[Close]]-0.001*Table1[[#This Row],[Close]]</f>
        <v>28507.24422</v>
      </c>
      <c r="D61" s="31">
        <f>Table1[[#This Row],[Close]]+0.001*Table1[[#This Row],[Close]]</f>
        <v>28564.315779999997</v>
      </c>
      <c r="E61" s="31" t="str">
        <f>IF(Table1[[#This Row],[Close]]&gt;D60,"UP",IF(Table1[[#This Row],[Close]]&lt;C60,"Down","Constant"))</f>
        <v>UP</v>
      </c>
      <c r="F61" t="s">
        <v>175</v>
      </c>
      <c r="G61" s="18" t="b">
        <f t="shared" si="2"/>
        <v>1</v>
      </c>
    </row>
    <row r="62" spans="1:7" x14ac:dyDescent="0.3">
      <c r="A62" s="28">
        <v>44273</v>
      </c>
      <c r="B62" s="25">
        <v>49216.52</v>
      </c>
      <c r="C62" s="29">
        <f>Table1[[#This Row],[Close]]-0.001*Table1[[#This Row],[Close]]</f>
        <v>29916.823230000002</v>
      </c>
      <c r="D62" s="29">
        <f>Table1[[#This Row],[Close]]+0.001*Table1[[#This Row],[Close]]</f>
        <v>29976.716769999999</v>
      </c>
      <c r="E62" s="29" t="str">
        <f>IF(Table1[[#This Row],[Close]]&gt;D61,"UP",IF(Table1[[#This Row],[Close]]&lt;C61,"Down","Constant"))</f>
        <v>UP</v>
      </c>
      <c r="F62" t="s">
        <v>175</v>
      </c>
      <c r="G62" s="18" t="b">
        <f t="shared" si="2"/>
        <v>1</v>
      </c>
    </row>
    <row r="63" spans="1:7" x14ac:dyDescent="0.3">
      <c r="A63" s="30">
        <v>44274</v>
      </c>
      <c r="B63" s="24">
        <v>49858.239999999998</v>
      </c>
      <c r="C63" s="31">
        <f>Table1[[#This Row],[Close]]-0.001*Table1[[#This Row],[Close]]</f>
        <v>29785.774410000002</v>
      </c>
      <c r="D63" s="31">
        <f>Table1[[#This Row],[Close]]+0.001*Table1[[#This Row],[Close]]</f>
        <v>29845.405589999998</v>
      </c>
      <c r="E63" s="31" t="str">
        <f>IF(Table1[[#This Row],[Close]]&gt;D62,"UP",IF(Table1[[#This Row],[Close]]&lt;C62,"Down","Constant"))</f>
        <v>Down</v>
      </c>
      <c r="F63" t="s">
        <v>174</v>
      </c>
      <c r="G63" s="18" t="b">
        <f t="shared" si="2"/>
        <v>1</v>
      </c>
    </row>
    <row r="64" spans="1:7" x14ac:dyDescent="0.3">
      <c r="A64" s="28">
        <v>44277</v>
      </c>
      <c r="B64" s="25">
        <v>49771.29</v>
      </c>
      <c r="C64" s="29">
        <f>Table1[[#This Row],[Close]]-0.001*Table1[[#This Row],[Close]]</f>
        <v>28411.879679999998</v>
      </c>
      <c r="D64" s="29">
        <f>Table1[[#This Row],[Close]]+0.001*Table1[[#This Row],[Close]]</f>
        <v>28468.760320000001</v>
      </c>
      <c r="E64" s="29" t="str">
        <f>IF(Table1[[#This Row],[Close]]&gt;D63,"UP",IF(Table1[[#This Row],[Close]]&lt;C63,"Down","Constant"))</f>
        <v>Down</v>
      </c>
      <c r="F64" t="s">
        <v>175</v>
      </c>
      <c r="G64" s="18" t="b">
        <f t="shared" si="2"/>
        <v>0</v>
      </c>
    </row>
    <row r="65" spans="1:7" x14ac:dyDescent="0.3">
      <c r="A65" s="30">
        <v>44278</v>
      </c>
      <c r="B65" s="24">
        <v>50051.44</v>
      </c>
      <c r="C65" s="31">
        <f>Table1[[#This Row],[Close]]-0.001*Table1[[#This Row],[Close]]</f>
        <v>29439.021510000002</v>
      </c>
      <c r="D65" s="31">
        <f>Table1[[#This Row],[Close]]+0.001*Table1[[#This Row],[Close]]</f>
        <v>29497.958490000001</v>
      </c>
      <c r="E65" s="31" t="str">
        <f>IF(Table1[[#This Row],[Close]]&gt;D64,"UP",IF(Table1[[#This Row],[Close]]&lt;C64,"Down","Constant"))</f>
        <v>UP</v>
      </c>
      <c r="F65" t="s">
        <v>175</v>
      </c>
      <c r="G65" s="18" t="b">
        <f t="shared" si="2"/>
        <v>1</v>
      </c>
    </row>
    <row r="66" spans="1:7" x14ac:dyDescent="0.3">
      <c r="A66" s="28">
        <v>44279</v>
      </c>
      <c r="B66" s="25">
        <v>49180.31</v>
      </c>
      <c r="C66" s="29">
        <f>Table1[[#This Row],[Close]]-0.001*Table1[[#This Row],[Close]]</f>
        <v>28237.044690000002</v>
      </c>
      <c r="D66" s="29">
        <f>Table1[[#This Row],[Close]]+0.001*Table1[[#This Row],[Close]]</f>
        <v>28293.57531</v>
      </c>
      <c r="E66" s="29" t="str">
        <f>IF(Table1[[#This Row],[Close]]&gt;D65,"UP",IF(Table1[[#This Row],[Close]]&lt;C65,"Down","Constant"))</f>
        <v>Down</v>
      </c>
      <c r="F66" t="s">
        <v>174</v>
      </c>
      <c r="G66" s="18" t="b">
        <f t="shared" si="2"/>
        <v>1</v>
      </c>
    </row>
    <row r="67" spans="1:7" x14ac:dyDescent="0.3">
      <c r="A67" s="30">
        <v>44280</v>
      </c>
      <c r="B67" s="24">
        <v>48440.12</v>
      </c>
      <c r="C67" s="31">
        <f>Table1[[#This Row],[Close]]-0.001*Table1[[#This Row],[Close]]</f>
        <v>27563.359049999999</v>
      </c>
      <c r="D67" s="31">
        <f>Table1[[#This Row],[Close]]+0.001*Table1[[#This Row],[Close]]</f>
        <v>27618.540950000002</v>
      </c>
      <c r="E67" s="31" t="str">
        <f>IF(Table1[[#This Row],[Close]]&gt;D66,"UP",IF(Table1[[#This Row],[Close]]&lt;C66,"Down","Constant"))</f>
        <v>Down</v>
      </c>
      <c r="F67" t="s">
        <v>175</v>
      </c>
      <c r="G67" s="18" t="b">
        <f t="shared" si="2"/>
        <v>0</v>
      </c>
    </row>
    <row r="68" spans="1:7" x14ac:dyDescent="0.3">
      <c r="A68" s="28">
        <v>44281</v>
      </c>
      <c r="B68" s="25">
        <v>49008.5</v>
      </c>
      <c r="C68" s="29">
        <f>Table1[[#This Row],[Close]]-0.001*Table1[[#This Row],[Close]]</f>
        <v>30037.142789999998</v>
      </c>
      <c r="D68" s="29">
        <f>Table1[[#This Row],[Close]]+0.001*Table1[[#This Row],[Close]]</f>
        <v>30097.27721</v>
      </c>
      <c r="E68" s="29" t="str">
        <f>IF(Table1[[#This Row],[Close]]&gt;D67,"UP",IF(Table1[[#This Row],[Close]]&lt;C67,"Down","Constant"))</f>
        <v>UP</v>
      </c>
      <c r="F68" t="s">
        <v>174</v>
      </c>
      <c r="G68" s="18" t="b">
        <f t="shared" si="2"/>
        <v>0</v>
      </c>
    </row>
    <row r="69" spans="1:7" x14ac:dyDescent="0.3">
      <c r="A69" s="30">
        <v>44285</v>
      </c>
      <c r="B69" s="24">
        <v>50136.58</v>
      </c>
      <c r="C69" s="31">
        <f>Table1[[#This Row],[Close]]-0.001*Table1[[#This Row],[Close]]</f>
        <v>29864.066039999998</v>
      </c>
      <c r="D69" s="31">
        <f>Table1[[#This Row],[Close]]+0.001*Table1[[#This Row],[Close]]</f>
        <v>29923.85396</v>
      </c>
      <c r="E69" s="31" t="str">
        <f>IF(Table1[[#This Row],[Close]]&gt;D68,"UP",IF(Table1[[#This Row],[Close]]&lt;C68,"Down","Constant"))</f>
        <v>Down</v>
      </c>
      <c r="F69" t="s">
        <v>175</v>
      </c>
      <c r="G69" s="18" t="b">
        <f t="shared" si="2"/>
        <v>0</v>
      </c>
    </row>
    <row r="70" spans="1:7" x14ac:dyDescent="0.3">
      <c r="A70" s="28">
        <v>44286</v>
      </c>
      <c r="B70" s="25">
        <v>49509.15</v>
      </c>
      <c r="C70" s="29">
        <f>Table1[[#This Row],[Close]]-0.001*Table1[[#This Row],[Close]]</f>
        <v>31128.46038</v>
      </c>
      <c r="D70" s="29">
        <f>Table1[[#This Row],[Close]]+0.001*Table1[[#This Row],[Close]]</f>
        <v>31190.779619999998</v>
      </c>
      <c r="E70" s="29" t="str">
        <f>IF(Table1[[#This Row],[Close]]&gt;D69,"UP",IF(Table1[[#This Row],[Close]]&lt;C69,"Down","Constant"))</f>
        <v>UP</v>
      </c>
      <c r="F70" t="s">
        <v>175</v>
      </c>
      <c r="G70" s="18" t="b">
        <f t="shared" si="2"/>
        <v>1</v>
      </c>
    </row>
    <row r="71" spans="1:7" x14ac:dyDescent="0.3">
      <c r="A71" s="30">
        <v>44287</v>
      </c>
      <c r="B71" s="24">
        <v>50029.83</v>
      </c>
      <c r="C71" s="31">
        <f>Table1[[#This Row],[Close]]-0.001*Table1[[#This Row],[Close]]</f>
        <v>30659.329980000002</v>
      </c>
      <c r="D71" s="31">
        <f>Table1[[#This Row],[Close]]+0.001*Table1[[#This Row],[Close]]</f>
        <v>30720.710019999999</v>
      </c>
      <c r="E71" s="31" t="str">
        <f>IF(Table1[[#This Row],[Close]]&gt;D70,"UP",IF(Table1[[#This Row],[Close]]&lt;C70,"Down","Constant"))</f>
        <v>Down</v>
      </c>
      <c r="F71" t="s">
        <v>175</v>
      </c>
      <c r="G71" s="18" t="b">
        <f t="shared" si="2"/>
        <v>0</v>
      </c>
    </row>
    <row r="72" spans="1:7" x14ac:dyDescent="0.3">
      <c r="A72" s="28">
        <v>44291</v>
      </c>
      <c r="B72" s="25">
        <v>49159.32</v>
      </c>
      <c r="C72" s="29">
        <f>Table1[[#This Row],[Close]]-0.001*Table1[[#This Row],[Close]]</f>
        <v>30349.430190000003</v>
      </c>
      <c r="D72" s="29">
        <f>Table1[[#This Row],[Close]]+0.001*Table1[[#This Row],[Close]]</f>
        <v>30410.18981</v>
      </c>
      <c r="E72" s="29" t="str">
        <f>IF(Table1[[#This Row],[Close]]&gt;D71,"UP",IF(Table1[[#This Row],[Close]]&lt;C71,"Down","Constant"))</f>
        <v>Down</v>
      </c>
      <c r="F72" t="s">
        <v>174</v>
      </c>
      <c r="G72" s="18" t="b">
        <f t="shared" si="2"/>
        <v>1</v>
      </c>
    </row>
    <row r="73" spans="1:7" x14ac:dyDescent="0.3">
      <c r="A73" s="30">
        <v>44292</v>
      </c>
      <c r="B73" s="24">
        <v>49201.39</v>
      </c>
      <c r="C73" s="31">
        <f>Table1[[#This Row],[Close]]-0.001*Table1[[#This Row],[Close]]</f>
        <v>30572.007389999999</v>
      </c>
      <c r="D73" s="31">
        <f>Table1[[#This Row],[Close]]+0.001*Table1[[#This Row],[Close]]</f>
        <v>30633.212610000002</v>
      </c>
      <c r="E73" s="31" t="str">
        <f>IF(Table1[[#This Row],[Close]]&gt;D72,"UP",IF(Table1[[#This Row],[Close]]&lt;C72,"Down","Constant"))</f>
        <v>UP</v>
      </c>
      <c r="F73" t="s">
        <v>175</v>
      </c>
      <c r="G73" s="18" t="b">
        <f t="shared" si="2"/>
        <v>1</v>
      </c>
    </row>
    <row r="74" spans="1:7" x14ac:dyDescent="0.3">
      <c r="A74" s="28">
        <v>44293</v>
      </c>
      <c r="B74" s="25">
        <v>49661.760000000002</v>
      </c>
      <c r="C74" s="29">
        <f>Table1[[#This Row],[Close]]-0.001*Table1[[#This Row],[Close]]</f>
        <v>31557.131280000001</v>
      </c>
      <c r="D74" s="29">
        <f>Table1[[#This Row],[Close]]+0.001*Table1[[#This Row],[Close]]</f>
        <v>31620.308720000001</v>
      </c>
      <c r="E74" s="29" t="str">
        <f>IF(Table1[[#This Row],[Close]]&gt;D73,"UP",IF(Table1[[#This Row],[Close]]&lt;C73,"Down","Constant"))</f>
        <v>UP</v>
      </c>
      <c r="F74" t="s">
        <v>175</v>
      </c>
      <c r="G74" s="18" t="b">
        <f t="shared" si="2"/>
        <v>1</v>
      </c>
    </row>
    <row r="75" spans="1:7" x14ac:dyDescent="0.3">
      <c r="A75" s="30">
        <v>44294</v>
      </c>
      <c r="B75" s="24">
        <v>49746.21</v>
      </c>
      <c r="C75" s="31">
        <f>Table1[[#This Row],[Close]]-0.001*Table1[[#This Row],[Close]]</f>
        <v>31616.351999999999</v>
      </c>
      <c r="D75" s="31">
        <f>Table1[[#This Row],[Close]]+0.001*Table1[[#This Row],[Close]]</f>
        <v>31679.648000000001</v>
      </c>
      <c r="E75" s="31" t="str">
        <f>IF(Table1[[#This Row],[Close]]&gt;D74,"UP",IF(Table1[[#This Row],[Close]]&lt;C74,"Down","Constant"))</f>
        <v>UP</v>
      </c>
      <c r="F75" t="s">
        <v>174</v>
      </c>
      <c r="G75" s="18" t="b">
        <f t="shared" ref="G75:G126" si="3">E75=F75</f>
        <v>0</v>
      </c>
    </row>
    <row r="76" spans="1:7" x14ac:dyDescent="0.3">
      <c r="A76" s="28">
        <v>44295</v>
      </c>
      <c r="B76" s="25">
        <v>49591.32</v>
      </c>
      <c r="C76" s="29">
        <f>Table1[[#This Row],[Close]]-0.001*Table1[[#This Row],[Close]]</f>
        <v>30606.07329</v>
      </c>
      <c r="D76" s="29">
        <f>Table1[[#This Row],[Close]]+0.001*Table1[[#This Row],[Close]]</f>
        <v>30667.346709999998</v>
      </c>
      <c r="E76" s="29" t="str">
        <f>IF(Table1[[#This Row],[Close]]&gt;D75,"UP",IF(Table1[[#This Row],[Close]]&lt;C75,"Down","Constant"))</f>
        <v>Down</v>
      </c>
      <c r="F76" t="s">
        <v>175</v>
      </c>
      <c r="G76" s="18" t="b">
        <f t="shared" si="3"/>
        <v>0</v>
      </c>
    </row>
    <row r="77" spans="1:7" x14ac:dyDescent="0.3">
      <c r="A77" s="30">
        <v>44298</v>
      </c>
      <c r="B77" s="24">
        <v>47883.38</v>
      </c>
      <c r="C77" s="31">
        <f>Table1[[#This Row],[Close]]-0.001*Table1[[#This Row],[Close]]</f>
        <v>31348.170449999998</v>
      </c>
      <c r="D77" s="31">
        <f>Table1[[#This Row],[Close]]+0.001*Table1[[#This Row],[Close]]</f>
        <v>31410.929550000001</v>
      </c>
      <c r="E77" s="31" t="str">
        <f>IF(Table1[[#This Row],[Close]]&gt;D76,"UP",IF(Table1[[#This Row],[Close]]&lt;C76,"Down","Constant"))</f>
        <v>UP</v>
      </c>
      <c r="F77" t="s">
        <v>174</v>
      </c>
      <c r="G77" s="18" t="b">
        <f t="shared" si="3"/>
        <v>0</v>
      </c>
    </row>
    <row r="78" spans="1:7" x14ac:dyDescent="0.3">
      <c r="A78" s="28">
        <v>44299</v>
      </c>
      <c r="B78" s="25">
        <v>48544.06</v>
      </c>
      <c r="C78" s="29">
        <f>Table1[[#This Row],[Close]]-0.001*Table1[[#This Row],[Close]]</f>
        <v>31831.216920000003</v>
      </c>
      <c r="D78" s="29">
        <f>Table1[[#This Row],[Close]]+0.001*Table1[[#This Row],[Close]]</f>
        <v>31894.943080000001</v>
      </c>
      <c r="E78" s="29" t="str">
        <f>IF(Table1[[#This Row],[Close]]&gt;D77,"UP",IF(Table1[[#This Row],[Close]]&lt;C77,"Down","Constant"))</f>
        <v>UP</v>
      </c>
      <c r="F78" t="s">
        <v>175</v>
      </c>
      <c r="G78" s="18" t="b">
        <f t="shared" si="3"/>
        <v>1</v>
      </c>
    </row>
    <row r="79" spans="1:7" x14ac:dyDescent="0.3">
      <c r="A79" s="30">
        <v>44301</v>
      </c>
      <c r="B79" s="24">
        <v>48803.68</v>
      </c>
      <c r="C79" s="31">
        <f>Table1[[#This Row],[Close]]-0.001*Table1[[#This Row],[Close]]</f>
        <v>31295.892780000002</v>
      </c>
      <c r="D79" s="31">
        <f>Table1[[#This Row],[Close]]+0.001*Table1[[#This Row],[Close]]</f>
        <v>31358.54722</v>
      </c>
      <c r="E79" s="31" t="str">
        <f>IF(Table1[[#This Row],[Close]]&gt;D78,"UP",IF(Table1[[#This Row],[Close]]&lt;C78,"Down","Constant"))</f>
        <v>Down</v>
      </c>
      <c r="F79" t="s">
        <v>174</v>
      </c>
      <c r="G79" s="18" t="b">
        <f t="shared" si="3"/>
        <v>1</v>
      </c>
    </row>
    <row r="80" spans="1:7" x14ac:dyDescent="0.3">
      <c r="A80" s="28">
        <v>44302</v>
      </c>
      <c r="B80" s="25">
        <v>48832.03</v>
      </c>
      <c r="C80" s="29">
        <f>Table1[[#This Row],[Close]]-0.001*Table1[[#This Row],[Close]]</f>
        <v>31711.336920000002</v>
      </c>
      <c r="D80" s="29">
        <f>Table1[[#This Row],[Close]]+0.001*Table1[[#This Row],[Close]]</f>
        <v>31774.823080000002</v>
      </c>
      <c r="E80" s="29" t="str">
        <f>IF(Table1[[#This Row],[Close]]&gt;D79,"UP",IF(Table1[[#This Row],[Close]]&lt;C79,"Down","Constant"))</f>
        <v>UP</v>
      </c>
      <c r="F80" t="s">
        <v>175</v>
      </c>
      <c r="G80" s="18" t="b">
        <f t="shared" si="3"/>
        <v>1</v>
      </c>
    </row>
    <row r="81" spans="1:7" x14ac:dyDescent="0.3">
      <c r="A81" s="30">
        <v>44305</v>
      </c>
      <c r="B81" s="24">
        <v>47949.42</v>
      </c>
      <c r="C81" s="31">
        <f>Table1[[#This Row],[Close]]-0.001*Table1[[#This Row],[Close]]</f>
        <v>32082.405480000001</v>
      </c>
      <c r="D81" s="31">
        <f>Table1[[#This Row],[Close]]+0.001*Table1[[#This Row],[Close]]</f>
        <v>32146.63452</v>
      </c>
      <c r="E81" s="31" t="str">
        <f>IF(Table1[[#This Row],[Close]]&gt;D80,"UP",IF(Table1[[#This Row],[Close]]&lt;C80,"Down","Constant"))</f>
        <v>UP</v>
      </c>
      <c r="F81" t="s">
        <v>175</v>
      </c>
      <c r="G81" s="18" t="b">
        <f t="shared" si="3"/>
        <v>1</v>
      </c>
    </row>
    <row r="82" spans="1:7" x14ac:dyDescent="0.3">
      <c r="A82" s="28">
        <v>44306</v>
      </c>
      <c r="B82" s="25">
        <v>47705.8</v>
      </c>
      <c r="C82" s="29">
        <f>Table1[[#This Row],[Close]]-0.001*Table1[[#This Row],[Close]]</f>
        <v>32687.439839999999</v>
      </c>
      <c r="D82" s="29">
        <f>Table1[[#This Row],[Close]]+0.001*Table1[[#This Row],[Close]]</f>
        <v>32752.880160000001</v>
      </c>
      <c r="E82" s="29" t="str">
        <f>IF(Table1[[#This Row],[Close]]&gt;D81,"UP",IF(Table1[[#This Row],[Close]]&lt;C81,"Down","Constant"))</f>
        <v>UP</v>
      </c>
      <c r="F82" t="s">
        <v>175</v>
      </c>
      <c r="G82" s="18" t="b">
        <f t="shared" si="3"/>
        <v>1</v>
      </c>
    </row>
    <row r="83" spans="1:7" x14ac:dyDescent="0.3">
      <c r="A83" s="30">
        <v>44308</v>
      </c>
      <c r="B83" s="24">
        <v>48080.67</v>
      </c>
      <c r="C83" s="31">
        <f>Table1[[#This Row],[Close]]-0.001*Table1[[#This Row],[Close]]</f>
        <v>33683.90238</v>
      </c>
      <c r="D83" s="31">
        <f>Table1[[#This Row],[Close]]+0.001*Table1[[#This Row],[Close]]</f>
        <v>33751.337620000006</v>
      </c>
      <c r="E83" s="31" t="str">
        <f>IF(Table1[[#This Row],[Close]]&gt;D82,"UP",IF(Table1[[#This Row],[Close]]&lt;C82,"Down","Constant"))</f>
        <v>UP</v>
      </c>
      <c r="F83" t="s">
        <v>186</v>
      </c>
      <c r="G83" s="18" t="b">
        <f t="shared" si="3"/>
        <v>0</v>
      </c>
    </row>
    <row r="84" spans="1:7" x14ac:dyDescent="0.3">
      <c r="A84" s="28">
        <v>44309</v>
      </c>
      <c r="B84" s="25">
        <v>47878.45</v>
      </c>
      <c r="C84" s="29">
        <f>Table1[[#This Row],[Close]]-0.001*Table1[[#This Row],[Close]]</f>
        <v>31683.63465</v>
      </c>
      <c r="D84" s="29">
        <f>Table1[[#This Row],[Close]]+0.001*Table1[[#This Row],[Close]]</f>
        <v>31747.065349999997</v>
      </c>
      <c r="E84" s="29" t="str">
        <f>IF(Table1[[#This Row],[Close]]&gt;D83,"UP",IF(Table1[[#This Row],[Close]]&lt;C83,"Down","Constant"))</f>
        <v>Down</v>
      </c>
      <c r="F84" t="s">
        <v>175</v>
      </c>
      <c r="G84" s="18" t="b">
        <f t="shared" si="3"/>
        <v>0</v>
      </c>
    </row>
    <row r="85" spans="1:7" x14ac:dyDescent="0.3">
      <c r="A85" s="30">
        <v>44312</v>
      </c>
      <c r="B85" s="24">
        <v>48386.51</v>
      </c>
      <c r="C85" s="31">
        <f>Table1[[#This Row],[Close]]-0.001*Table1[[#This Row],[Close]]</f>
        <v>31422.056489999999</v>
      </c>
      <c r="D85" s="31">
        <f>Table1[[#This Row],[Close]]+0.001*Table1[[#This Row],[Close]]</f>
        <v>31484.963509999998</v>
      </c>
      <c r="E85" s="31" t="str">
        <f>IF(Table1[[#This Row],[Close]]&gt;D84,"UP",IF(Table1[[#This Row],[Close]]&lt;C84,"Down","Constant"))</f>
        <v>Down</v>
      </c>
      <c r="F85" t="s">
        <v>174</v>
      </c>
      <c r="G85" s="18" t="b">
        <f t="shared" si="3"/>
        <v>1</v>
      </c>
    </row>
    <row r="86" spans="1:7" x14ac:dyDescent="0.3">
      <c r="A86" s="28">
        <v>44313</v>
      </c>
      <c r="B86" s="25">
        <v>48944.14</v>
      </c>
      <c r="C86" s="29">
        <f>Table1[[#This Row],[Close]]-0.001*Table1[[#This Row],[Close]]</f>
        <v>31654.064249999999</v>
      </c>
      <c r="D86" s="29">
        <f>Table1[[#This Row],[Close]]+0.001*Table1[[#This Row],[Close]]</f>
        <v>31717.435750000001</v>
      </c>
      <c r="E86" s="29" t="str">
        <f>IF(Table1[[#This Row],[Close]]&gt;D85,"UP",IF(Table1[[#This Row],[Close]]&lt;C85,"Down","Constant"))</f>
        <v>UP</v>
      </c>
      <c r="F86" t="s">
        <v>175</v>
      </c>
      <c r="G86" s="18" t="b">
        <f t="shared" si="3"/>
        <v>1</v>
      </c>
    </row>
    <row r="87" spans="1:7" x14ac:dyDescent="0.3">
      <c r="A87" s="30">
        <v>44314</v>
      </c>
      <c r="B87" s="24">
        <v>49733.84</v>
      </c>
      <c r="C87" s="31">
        <f>Table1[[#This Row],[Close]]-0.001*Table1[[#This Row],[Close]]</f>
        <v>31411.93662</v>
      </c>
      <c r="D87" s="31">
        <f>Table1[[#This Row],[Close]]+0.001*Table1[[#This Row],[Close]]</f>
        <v>31474.823380000002</v>
      </c>
      <c r="E87" s="31" t="str">
        <f>IF(Table1[[#This Row],[Close]]&gt;D86,"UP",IF(Table1[[#This Row],[Close]]&lt;C86,"Down","Constant"))</f>
        <v>Down</v>
      </c>
      <c r="F87" t="s">
        <v>175</v>
      </c>
      <c r="G87" s="18" t="b">
        <f t="shared" si="3"/>
        <v>0</v>
      </c>
    </row>
    <row r="88" spans="1:7" x14ac:dyDescent="0.3">
      <c r="A88" s="28">
        <v>44315</v>
      </c>
      <c r="B88" s="25">
        <v>49765.94</v>
      </c>
      <c r="C88" s="29">
        <f>Table1[[#This Row],[Close]]-0.001*Table1[[#This Row],[Close]]</f>
        <v>31611.0573</v>
      </c>
      <c r="D88" s="29">
        <f>Table1[[#This Row],[Close]]+0.001*Table1[[#This Row],[Close]]</f>
        <v>31674.342700000001</v>
      </c>
      <c r="E88" s="29" t="str">
        <f>IF(Table1[[#This Row],[Close]]&gt;D87,"UP",IF(Table1[[#This Row],[Close]]&lt;C87,"Down","Constant"))</f>
        <v>UP</v>
      </c>
      <c r="F88" t="s">
        <v>175</v>
      </c>
      <c r="G88" s="18" t="b">
        <f t="shared" si="3"/>
        <v>1</v>
      </c>
    </row>
    <row r="89" spans="1:7" x14ac:dyDescent="0.3">
      <c r="A89" s="30">
        <v>44316</v>
      </c>
      <c r="B89" s="24">
        <v>48782.36</v>
      </c>
      <c r="C89" s="31">
        <f>Table1[[#This Row],[Close]]-0.001*Table1[[#This Row],[Close]]</f>
        <v>31529.658780000002</v>
      </c>
      <c r="D89" s="31">
        <f>Table1[[#This Row],[Close]]+0.001*Table1[[#This Row],[Close]]</f>
        <v>31592.781220000001</v>
      </c>
      <c r="E89" s="31" t="str">
        <f>IF(Table1[[#This Row],[Close]]&gt;D88,"UP",IF(Table1[[#This Row],[Close]]&lt;C88,"Down","Constant"))</f>
        <v>Down</v>
      </c>
      <c r="F89" t="s">
        <v>175</v>
      </c>
      <c r="G89" s="18" t="b">
        <f t="shared" si="3"/>
        <v>0</v>
      </c>
    </row>
    <row r="90" spans="1:7" x14ac:dyDescent="0.3">
      <c r="A90" s="28">
        <v>44319</v>
      </c>
      <c r="B90" s="25">
        <v>48718.52</v>
      </c>
      <c r="C90" s="29">
        <f>Table1[[#This Row],[Close]]-0.001*Table1[[#This Row],[Close]]</f>
        <v>31339.748879999999</v>
      </c>
      <c r="D90" s="29">
        <f>Table1[[#This Row],[Close]]+0.001*Table1[[#This Row],[Close]]</f>
        <v>31402.491119999999</v>
      </c>
      <c r="E90" s="29" t="str">
        <f>IF(Table1[[#This Row],[Close]]&gt;D89,"UP",IF(Table1[[#This Row],[Close]]&lt;C89,"Down","Constant"))</f>
        <v>Down</v>
      </c>
      <c r="F90" t="s">
        <v>174</v>
      </c>
      <c r="G90" s="18" t="b">
        <f t="shared" si="3"/>
        <v>1</v>
      </c>
    </row>
    <row r="91" spans="1:7" x14ac:dyDescent="0.3">
      <c r="A91" s="30">
        <v>44320</v>
      </c>
      <c r="B91" s="24">
        <v>48253.51</v>
      </c>
      <c r="C91" s="31">
        <f>Table1[[#This Row],[Close]]-0.001*Table1[[#This Row],[Close]]</f>
        <v>31976.60139</v>
      </c>
      <c r="D91" s="31">
        <f>Table1[[#This Row],[Close]]+0.001*Table1[[#This Row],[Close]]</f>
        <v>32040.618610000001</v>
      </c>
      <c r="E91" s="31" t="str">
        <f>IF(Table1[[#This Row],[Close]]&gt;D90,"UP",IF(Table1[[#This Row],[Close]]&lt;C90,"Down","Constant"))</f>
        <v>UP</v>
      </c>
      <c r="F91" t="s">
        <v>175</v>
      </c>
      <c r="G91" s="18" t="b">
        <f t="shared" si="3"/>
        <v>1</v>
      </c>
    </row>
    <row r="92" spans="1:7" x14ac:dyDescent="0.3">
      <c r="A92" s="28">
        <v>44321</v>
      </c>
      <c r="B92" s="25">
        <v>48677.55</v>
      </c>
      <c r="C92" s="29">
        <f>Table1[[#This Row],[Close]]-0.001*Table1[[#This Row],[Close]]</f>
        <v>31091.767110000001</v>
      </c>
      <c r="D92" s="29">
        <f>Table1[[#This Row],[Close]]+0.001*Table1[[#This Row],[Close]]</f>
        <v>31154.012889999998</v>
      </c>
      <c r="E92" s="29" t="str">
        <f>IF(Table1[[#This Row],[Close]]&gt;D91,"UP",IF(Table1[[#This Row],[Close]]&lt;C91,"Down","Constant"))</f>
        <v>Down</v>
      </c>
      <c r="F92" t="s">
        <v>175</v>
      </c>
      <c r="G92" s="18" t="b">
        <f t="shared" si="3"/>
        <v>0</v>
      </c>
    </row>
    <row r="93" spans="1:7" x14ac:dyDescent="0.3">
      <c r="A93" s="30">
        <v>44322</v>
      </c>
      <c r="B93" s="24">
        <v>48949.760000000002</v>
      </c>
      <c r="C93" s="31">
        <f>Table1[[#This Row],[Close]]-0.001*Table1[[#This Row],[Close]]</f>
        <v>31066.632269999998</v>
      </c>
      <c r="D93" s="31">
        <f>Table1[[#This Row],[Close]]+0.001*Table1[[#This Row],[Close]]</f>
        <v>31128.827730000001</v>
      </c>
      <c r="E93" s="31" t="str">
        <f>IF(Table1[[#This Row],[Close]]&gt;D92,"UP",IF(Table1[[#This Row],[Close]]&lt;C92,"Down","Constant"))</f>
        <v>Constant</v>
      </c>
      <c r="F93" t="s">
        <v>175</v>
      </c>
      <c r="G93" s="18" t="b">
        <f t="shared" si="3"/>
        <v>0</v>
      </c>
    </row>
    <row r="94" spans="1:7" x14ac:dyDescent="0.3">
      <c r="A94" s="28">
        <v>44323</v>
      </c>
      <c r="B94" s="25">
        <v>49206.47</v>
      </c>
      <c r="C94" s="29">
        <f>Table1[[#This Row],[Close]]-0.001*Table1[[#This Row],[Close]]</f>
        <v>29998.95102</v>
      </c>
      <c r="D94" s="29">
        <f>Table1[[#This Row],[Close]]+0.001*Table1[[#This Row],[Close]]</f>
        <v>30059.008979999999</v>
      </c>
      <c r="E94" s="29" t="str">
        <f>IF(Table1[[#This Row],[Close]]&gt;D93,"UP",IF(Table1[[#This Row],[Close]]&lt;C93,"Down","Constant"))</f>
        <v>Down</v>
      </c>
      <c r="F94" t="s">
        <v>175</v>
      </c>
      <c r="G94" s="18" t="b">
        <f t="shared" si="3"/>
        <v>0</v>
      </c>
    </row>
    <row r="95" spans="1:7" x14ac:dyDescent="0.3">
      <c r="A95" s="30">
        <v>44326</v>
      </c>
      <c r="B95" s="24">
        <v>49502.41</v>
      </c>
      <c r="C95" s="31">
        <f>Table1[[#This Row],[Close]]-0.001*Table1[[#This Row],[Close]]</f>
        <v>30165.973829999999</v>
      </c>
      <c r="D95" s="31">
        <f>Table1[[#This Row],[Close]]+0.001*Table1[[#This Row],[Close]]</f>
        <v>30226.366169999998</v>
      </c>
      <c r="E95" s="31" t="str">
        <f>IF(Table1[[#This Row],[Close]]&gt;D94,"UP",IF(Table1[[#This Row],[Close]]&lt;C94,"Down","Constant"))</f>
        <v>UP</v>
      </c>
      <c r="F95" t="s">
        <v>175</v>
      </c>
      <c r="G95" s="18" t="b">
        <f t="shared" si="3"/>
        <v>1</v>
      </c>
    </row>
    <row r="96" spans="1:7" x14ac:dyDescent="0.3">
      <c r="A96" s="28">
        <v>44327</v>
      </c>
      <c r="B96" s="25">
        <v>49161.81</v>
      </c>
      <c r="C96" s="29">
        <f>Table1[[#This Row],[Close]]-0.001*Table1[[#This Row],[Close]]</f>
        <v>30787.791390000002</v>
      </c>
      <c r="D96" s="29">
        <f>Table1[[#This Row],[Close]]+0.001*Table1[[#This Row],[Close]]</f>
        <v>30849.428609999999</v>
      </c>
      <c r="E96" s="29" t="str">
        <f>IF(Table1[[#This Row],[Close]]&gt;D95,"UP",IF(Table1[[#This Row],[Close]]&lt;C95,"Down","Constant"))</f>
        <v>UP</v>
      </c>
      <c r="F96" t="s">
        <v>174</v>
      </c>
      <c r="G96" s="18" t="b">
        <f t="shared" si="3"/>
        <v>0</v>
      </c>
    </row>
    <row r="97" spans="1:7" x14ac:dyDescent="0.3">
      <c r="A97" s="30">
        <v>44328</v>
      </c>
      <c r="B97" s="24">
        <v>48690.8</v>
      </c>
      <c r="C97" s="31">
        <f>Table1[[#This Row],[Close]]-0.001*Table1[[#This Row],[Close]]</f>
        <v>30901.967100000002</v>
      </c>
      <c r="D97" s="31">
        <f>Table1[[#This Row],[Close]]+0.001*Table1[[#This Row],[Close]]</f>
        <v>30963.832900000001</v>
      </c>
      <c r="E97" s="31" t="str">
        <f>IF(Table1[[#This Row],[Close]]&gt;D96,"UP",IF(Table1[[#This Row],[Close]]&lt;C96,"Down","Constant"))</f>
        <v>UP</v>
      </c>
      <c r="F97" t="s">
        <v>175</v>
      </c>
      <c r="G97" s="18" t="b">
        <f t="shared" si="3"/>
        <v>1</v>
      </c>
    </row>
    <row r="98" spans="1:7" x14ac:dyDescent="0.3">
      <c r="A98" s="28">
        <v>44330</v>
      </c>
      <c r="B98" s="25">
        <v>48732.55</v>
      </c>
      <c r="C98" s="29">
        <f>Table1[[#This Row],[Close]]-0.001*Table1[[#This Row],[Close]]</f>
        <v>30641.917410000002</v>
      </c>
      <c r="D98" s="29">
        <f>Table1[[#This Row],[Close]]+0.001*Table1[[#This Row],[Close]]</f>
        <v>30703.262589999998</v>
      </c>
      <c r="E98" s="29" t="str">
        <f>IF(Table1[[#This Row],[Close]]&gt;D97,"UP",IF(Table1[[#This Row],[Close]]&lt;C97,"Down","Constant"))</f>
        <v>Down</v>
      </c>
      <c r="F98" t="s">
        <v>174</v>
      </c>
      <c r="G98" s="18" t="b">
        <f t="shared" si="3"/>
        <v>1</v>
      </c>
    </row>
    <row r="99" spans="1:7" x14ac:dyDescent="0.3">
      <c r="A99" s="30">
        <v>44333</v>
      </c>
      <c r="B99" s="24">
        <v>49580.73</v>
      </c>
      <c r="C99" s="31">
        <f>Table1[[#This Row],[Close]]-0.001*Table1[[#This Row],[Close]]</f>
        <v>30578.690699999999</v>
      </c>
      <c r="D99" s="31">
        <f>Table1[[#This Row],[Close]]+0.001*Table1[[#This Row],[Close]]</f>
        <v>30639.909299999999</v>
      </c>
      <c r="E99" s="31" t="str">
        <f>IF(Table1[[#This Row],[Close]]&gt;D98,"UP",IF(Table1[[#This Row],[Close]]&lt;C98,"Down","Constant"))</f>
        <v>Down</v>
      </c>
      <c r="F99" t="s">
        <v>175</v>
      </c>
      <c r="G99" s="18" t="b">
        <f t="shared" si="3"/>
        <v>0</v>
      </c>
    </row>
    <row r="100" spans="1:7" x14ac:dyDescent="0.3">
      <c r="A100" s="28">
        <v>44334</v>
      </c>
      <c r="B100" s="25">
        <v>50193.33</v>
      </c>
      <c r="C100" s="29">
        <f>Table1[[#This Row],[Close]]-0.001*Table1[[#This Row],[Close]]</f>
        <v>31573.61478</v>
      </c>
      <c r="D100" s="29">
        <f>Table1[[#This Row],[Close]]+0.001*Table1[[#This Row],[Close]]</f>
        <v>31636.825220000002</v>
      </c>
      <c r="E100" s="29" t="str">
        <f>IF(Table1[[#This Row],[Close]]&gt;D99,"UP",IF(Table1[[#This Row],[Close]]&lt;C99,"Down","Constant"))</f>
        <v>UP</v>
      </c>
      <c r="F100" t="s">
        <v>175</v>
      </c>
      <c r="G100" s="18" t="b">
        <f t="shared" si="3"/>
        <v>1</v>
      </c>
    </row>
    <row r="101" spans="1:7" x14ac:dyDescent="0.3">
      <c r="A101" s="30">
        <v>44335</v>
      </c>
      <c r="B101" s="24">
        <v>49902.64</v>
      </c>
      <c r="C101" s="31">
        <f>Table1[[#This Row],[Close]]-0.001*Table1[[#This Row],[Close]]</f>
        <v>32168.38941</v>
      </c>
      <c r="D101" s="31">
        <f>Table1[[#This Row],[Close]]+0.001*Table1[[#This Row],[Close]]</f>
        <v>32232.790590000001</v>
      </c>
      <c r="E101" s="31" t="str">
        <f>IF(Table1[[#This Row],[Close]]&gt;D100,"UP",IF(Table1[[#This Row],[Close]]&lt;C100,"Down","Constant"))</f>
        <v>UP</v>
      </c>
      <c r="F101" t="s">
        <v>175</v>
      </c>
      <c r="G101" s="18" t="b">
        <f t="shared" si="3"/>
        <v>1</v>
      </c>
    </row>
    <row r="102" spans="1:7" x14ac:dyDescent="0.3">
      <c r="A102" s="28">
        <v>44336</v>
      </c>
      <c r="B102" s="25">
        <v>49564.86</v>
      </c>
      <c r="C102" s="29">
        <f>Table1[[#This Row],[Close]]-0.001*Table1[[#This Row],[Close]]</f>
        <v>32391.675899999998</v>
      </c>
      <c r="D102" s="29">
        <f>Table1[[#This Row],[Close]]+0.001*Table1[[#This Row],[Close]]</f>
        <v>32456.524099999999</v>
      </c>
      <c r="E102" s="29" t="str">
        <f>IF(Table1[[#This Row],[Close]]&gt;D101,"UP",IF(Table1[[#This Row],[Close]]&lt;C101,"Down","Constant"))</f>
        <v>UP</v>
      </c>
      <c r="F102" t="s">
        <v>175</v>
      </c>
      <c r="G102" s="18" t="b">
        <f t="shared" si="3"/>
        <v>1</v>
      </c>
    </row>
    <row r="103" spans="1:7" x14ac:dyDescent="0.3">
      <c r="A103" s="30">
        <v>44337</v>
      </c>
      <c r="B103" s="24">
        <v>50540.480000000003</v>
      </c>
      <c r="C103" s="31">
        <f>Table1[[#This Row],[Close]]-0.001*Table1[[#This Row],[Close]]</f>
        <v>33270.216479999995</v>
      </c>
      <c r="D103" s="31">
        <f>Table1[[#This Row],[Close]]+0.001*Table1[[#This Row],[Close]]</f>
        <v>33336.823519999998</v>
      </c>
      <c r="E103" s="31" t="str">
        <f>IF(Table1[[#This Row],[Close]]&gt;D102,"UP",IF(Table1[[#This Row],[Close]]&lt;C102,"Down","Constant"))</f>
        <v>UP</v>
      </c>
      <c r="F103" t="s">
        <v>174</v>
      </c>
      <c r="G103" s="18" t="b">
        <f t="shared" si="3"/>
        <v>0</v>
      </c>
    </row>
    <row r="104" spans="1:7" x14ac:dyDescent="0.3">
      <c r="A104" s="28">
        <v>44340</v>
      </c>
      <c r="B104" s="25">
        <v>50651.9</v>
      </c>
      <c r="C104" s="29">
        <f>Table1[[#This Row],[Close]]-0.001*Table1[[#This Row],[Close]]</f>
        <v>33791.704469999997</v>
      </c>
      <c r="D104" s="29">
        <f>Table1[[#This Row],[Close]]+0.001*Table1[[#This Row],[Close]]</f>
        <v>33859.355530000001</v>
      </c>
      <c r="E104" s="29" t="str">
        <f>IF(Table1[[#This Row],[Close]]&gt;D103,"UP",IF(Table1[[#This Row],[Close]]&lt;C103,"Down","Constant"))</f>
        <v>UP</v>
      </c>
      <c r="F104" t="s">
        <v>175</v>
      </c>
      <c r="G104" s="18" t="b">
        <f t="shared" si="3"/>
        <v>1</v>
      </c>
    </row>
    <row r="105" spans="1:7" x14ac:dyDescent="0.3">
      <c r="A105" s="30">
        <v>44341</v>
      </c>
      <c r="B105" s="24">
        <v>50637.53</v>
      </c>
      <c r="C105" s="31">
        <f>Table1[[#This Row],[Close]]-0.001*Table1[[#This Row],[Close]]</f>
        <v>34075.430460000003</v>
      </c>
      <c r="D105" s="31">
        <f>Table1[[#This Row],[Close]]+0.001*Table1[[#This Row],[Close]]</f>
        <v>34143.649539999999</v>
      </c>
      <c r="E105" s="31" t="str">
        <f>IF(Table1[[#This Row],[Close]]&gt;D104,"UP",IF(Table1[[#This Row],[Close]]&lt;C104,"Down","Constant"))</f>
        <v>UP</v>
      </c>
      <c r="F105" t="s">
        <v>175</v>
      </c>
      <c r="G105" s="18" t="b">
        <f t="shared" si="3"/>
        <v>1</v>
      </c>
    </row>
    <row r="106" spans="1:7" x14ac:dyDescent="0.3">
      <c r="A106" s="28">
        <v>44342</v>
      </c>
      <c r="B106" s="25">
        <v>51017.52</v>
      </c>
      <c r="C106" s="29">
        <f>Table1[[#This Row],[Close]]-0.001*Table1[[#This Row],[Close]]</f>
        <v>33946.719299999997</v>
      </c>
      <c r="D106" s="29">
        <f>Table1[[#This Row],[Close]]+0.001*Table1[[#This Row],[Close]]</f>
        <v>34014.680699999997</v>
      </c>
      <c r="E106" s="29" t="str">
        <f>IF(Table1[[#This Row],[Close]]&gt;D105,"UP",IF(Table1[[#This Row],[Close]]&lt;C105,"Down","Constant"))</f>
        <v>Down</v>
      </c>
      <c r="F106" t="s">
        <v>176</v>
      </c>
      <c r="G106" s="18" t="b">
        <f t="shared" si="3"/>
        <v>0</v>
      </c>
    </row>
    <row r="107" spans="1:7" x14ac:dyDescent="0.3">
      <c r="A107" s="30">
        <v>44343</v>
      </c>
      <c r="B107" s="24">
        <v>51115.22</v>
      </c>
      <c r="C107" s="31">
        <f>Table1[[#This Row],[Close]]-0.001*Table1[[#This Row],[Close]]</f>
        <v>34252.95276</v>
      </c>
      <c r="D107" s="31">
        <f>Table1[[#This Row],[Close]]+0.001*Table1[[#This Row],[Close]]</f>
        <v>34321.527239999996</v>
      </c>
      <c r="E107" s="31" t="str">
        <f>IF(Table1[[#This Row],[Close]]&gt;D106,"UP",IF(Table1[[#This Row],[Close]]&lt;C106,"Down","Constant"))</f>
        <v>UP</v>
      </c>
      <c r="F107" t="s">
        <v>174</v>
      </c>
      <c r="G107" s="18" t="b">
        <f t="shared" si="3"/>
        <v>0</v>
      </c>
    </row>
    <row r="108" spans="1:7" x14ac:dyDescent="0.3">
      <c r="A108" s="28">
        <v>44344</v>
      </c>
      <c r="B108" s="25">
        <v>51422.879999999997</v>
      </c>
      <c r="C108" s="29">
        <f>Table1[[#This Row],[Close]]-0.001*Table1[[#This Row],[Close]]</f>
        <v>34336.209419999999</v>
      </c>
      <c r="D108" s="29">
        <f>Table1[[#This Row],[Close]]+0.001*Table1[[#This Row],[Close]]</f>
        <v>34404.950580000004</v>
      </c>
      <c r="E108" s="29" t="str">
        <f>IF(Table1[[#This Row],[Close]]&gt;D107,"UP",IF(Table1[[#This Row],[Close]]&lt;C107,"Down","Constant"))</f>
        <v>UP</v>
      </c>
      <c r="F108" t="s">
        <v>175</v>
      </c>
      <c r="G108" s="18" t="b">
        <f t="shared" si="3"/>
        <v>1</v>
      </c>
    </row>
    <row r="109" spans="1:7" x14ac:dyDescent="0.3">
      <c r="A109" s="30">
        <v>44347</v>
      </c>
      <c r="B109" s="24">
        <v>51937.440000000002</v>
      </c>
      <c r="C109" s="31">
        <f>Table1[[#This Row],[Close]]-0.001*Table1[[#This Row],[Close]]</f>
        <v>33922.733310000003</v>
      </c>
      <c r="D109" s="31">
        <f>Table1[[#This Row],[Close]]+0.001*Table1[[#This Row],[Close]]</f>
        <v>33990.646690000001</v>
      </c>
      <c r="E109" s="31" t="str">
        <f>IF(Table1[[#This Row],[Close]]&gt;D108,"UP",IF(Table1[[#This Row],[Close]]&lt;C108,"Down","Constant"))</f>
        <v>Down</v>
      </c>
      <c r="F109" t="s">
        <v>175</v>
      </c>
      <c r="G109" s="18" t="b">
        <f t="shared" si="3"/>
        <v>0</v>
      </c>
    </row>
    <row r="110" spans="1:7" x14ac:dyDescent="0.3">
      <c r="A110" s="28">
        <v>44348</v>
      </c>
      <c r="B110" s="25">
        <v>51934.879999999997</v>
      </c>
      <c r="C110" s="29">
        <f>Table1[[#This Row],[Close]]-0.001*Table1[[#This Row],[Close]]</f>
        <v>34212.802950000005</v>
      </c>
      <c r="D110" s="29">
        <f>Table1[[#This Row],[Close]]+0.001*Table1[[#This Row],[Close]]</f>
        <v>34281.297050000001</v>
      </c>
      <c r="E110" s="29" t="str">
        <f>IF(Table1[[#This Row],[Close]]&gt;D109,"UP",IF(Table1[[#This Row],[Close]]&lt;C109,"Down","Constant"))</f>
        <v>UP</v>
      </c>
      <c r="F110" t="s">
        <v>174</v>
      </c>
      <c r="G110" s="18" t="b">
        <f t="shared" si="3"/>
        <v>0</v>
      </c>
    </row>
    <row r="111" spans="1:7" x14ac:dyDescent="0.3">
      <c r="A111" s="30">
        <v>44349</v>
      </c>
      <c r="B111" s="24">
        <v>51849.48</v>
      </c>
      <c r="C111" s="31">
        <f>Table1[[#This Row],[Close]]-0.001*Table1[[#This Row],[Close]]</f>
        <v>33504.831630000001</v>
      </c>
      <c r="D111" s="31">
        <f>Table1[[#This Row],[Close]]+0.001*Table1[[#This Row],[Close]]</f>
        <v>33571.908370000005</v>
      </c>
      <c r="E111" s="31" t="str">
        <f>IF(Table1[[#This Row],[Close]]&gt;D110,"UP",IF(Table1[[#This Row],[Close]]&lt;C110,"Down","Constant"))</f>
        <v>Down</v>
      </c>
      <c r="F111" t="s">
        <v>175</v>
      </c>
      <c r="G111" s="18" t="b">
        <f t="shared" si="3"/>
        <v>0</v>
      </c>
    </row>
    <row r="112" spans="1:7" x14ac:dyDescent="0.3">
      <c r="A112" s="28">
        <v>44350</v>
      </c>
      <c r="B112" s="25">
        <v>52232.43</v>
      </c>
      <c r="C112" s="29">
        <f>Table1[[#This Row],[Close]]-0.001*Table1[[#This Row],[Close]]</f>
        <v>33747.109109999998</v>
      </c>
      <c r="D112" s="29">
        <f>Table1[[#This Row],[Close]]+0.001*Table1[[#This Row],[Close]]</f>
        <v>33814.670890000001</v>
      </c>
      <c r="E112" s="29" t="str">
        <f>IF(Table1[[#This Row],[Close]]&gt;D111,"UP",IF(Table1[[#This Row],[Close]]&lt;C111,"Down","Constant"))</f>
        <v>UP</v>
      </c>
      <c r="F112" t="s">
        <v>175</v>
      </c>
      <c r="G112" s="18" t="b">
        <f t="shared" si="3"/>
        <v>1</v>
      </c>
    </row>
    <row r="113" spans="1:7" x14ac:dyDescent="0.3">
      <c r="A113" s="30">
        <v>44351</v>
      </c>
      <c r="B113" s="24">
        <v>52100.05</v>
      </c>
      <c r="C113" s="31">
        <f>Table1[[#This Row],[Close]]-0.001*Table1[[#This Row],[Close]]</f>
        <v>33195.571200000006</v>
      </c>
      <c r="D113" s="31">
        <f>Table1[[#This Row],[Close]]+0.001*Table1[[#This Row],[Close]]</f>
        <v>33262.0288</v>
      </c>
      <c r="E113" s="31" t="str">
        <f>IF(Table1[[#This Row],[Close]]&gt;D112,"UP",IF(Table1[[#This Row],[Close]]&lt;C112,"Down","Constant"))</f>
        <v>Down</v>
      </c>
      <c r="F113" t="s">
        <v>175</v>
      </c>
      <c r="G113" s="18" t="b">
        <f t="shared" si="3"/>
        <v>0</v>
      </c>
    </row>
    <row r="114" spans="1:7" x14ac:dyDescent="0.3">
      <c r="A114" s="28">
        <v>44354</v>
      </c>
      <c r="B114" s="25">
        <v>52328.51</v>
      </c>
      <c r="C114" s="29">
        <f>Table1[[#This Row],[Close]]-0.001*Table1[[#This Row],[Close]]</f>
        <v>33571.614780000004</v>
      </c>
      <c r="D114" s="29">
        <f>Table1[[#This Row],[Close]]+0.001*Table1[[#This Row],[Close]]</f>
        <v>33638.825219999999</v>
      </c>
      <c r="E114" s="29" t="str">
        <f>IF(Table1[[#This Row],[Close]]&gt;D113,"UP",IF(Table1[[#This Row],[Close]]&lt;C113,"Down","Constant"))</f>
        <v>UP</v>
      </c>
      <c r="F114" t="s">
        <v>175</v>
      </c>
      <c r="G114" s="18" t="b">
        <f t="shared" si="3"/>
        <v>1</v>
      </c>
    </row>
    <row r="115" spans="1:7" x14ac:dyDescent="0.3">
      <c r="A115" s="30">
        <v>44355</v>
      </c>
      <c r="B115" s="24">
        <v>52275.57</v>
      </c>
      <c r="C115" s="31">
        <f>Table1[[#This Row],[Close]]-0.001*Table1[[#This Row],[Close]]</f>
        <v>33474.412080000002</v>
      </c>
      <c r="D115" s="31">
        <f>Table1[[#This Row],[Close]]+0.001*Table1[[#This Row],[Close]]</f>
        <v>33541.427919999995</v>
      </c>
      <c r="E115" s="31" t="str">
        <f>IF(Table1[[#This Row],[Close]]&gt;D114,"UP",IF(Table1[[#This Row],[Close]]&lt;C114,"Down","Constant"))</f>
        <v>Down</v>
      </c>
      <c r="F115" t="s">
        <v>174</v>
      </c>
      <c r="G115" s="18" t="b">
        <f t="shared" si="3"/>
        <v>1</v>
      </c>
    </row>
    <row r="116" spans="1:7" x14ac:dyDescent="0.3">
      <c r="A116" s="28">
        <v>44356</v>
      </c>
      <c r="B116" s="25">
        <v>51941.64</v>
      </c>
      <c r="C116" s="29">
        <f>Table1[[#This Row],[Close]]-0.001*Table1[[#This Row],[Close]]</f>
        <v>34173.841950000002</v>
      </c>
      <c r="D116" s="29">
        <f>Table1[[#This Row],[Close]]+0.001*Table1[[#This Row],[Close]]</f>
        <v>34242.258050000004</v>
      </c>
      <c r="E116" s="29" t="str">
        <f>IF(Table1[[#This Row],[Close]]&gt;D115,"UP",IF(Table1[[#This Row],[Close]]&lt;C115,"Down","Constant"))</f>
        <v>UP</v>
      </c>
      <c r="F116" t="s">
        <v>175</v>
      </c>
      <c r="G116" s="18" t="b">
        <f t="shared" si="3"/>
        <v>1</v>
      </c>
    </row>
    <row r="117" spans="1:7" x14ac:dyDescent="0.3">
      <c r="A117" s="30">
        <v>44357</v>
      </c>
      <c r="B117" s="24">
        <v>52300.47</v>
      </c>
      <c r="C117" s="31">
        <f>Table1[[#This Row],[Close]]-0.001*Table1[[#This Row],[Close]]</f>
        <v>34696.998270000004</v>
      </c>
      <c r="D117" s="31">
        <f>Table1[[#This Row],[Close]]+0.001*Table1[[#This Row],[Close]]</f>
        <v>34766.461730000003</v>
      </c>
      <c r="E117" s="31" t="str">
        <f>IF(Table1[[#This Row],[Close]]&gt;D116,"UP",IF(Table1[[#This Row],[Close]]&lt;C116,"Down","Constant"))</f>
        <v>UP</v>
      </c>
      <c r="F117" t="s">
        <v>175</v>
      </c>
      <c r="G117" s="18" t="b">
        <f t="shared" si="3"/>
        <v>1</v>
      </c>
    </row>
    <row r="118" spans="1:7" x14ac:dyDescent="0.3">
      <c r="A118" s="28">
        <v>44358</v>
      </c>
      <c r="B118" s="25">
        <v>52474.76</v>
      </c>
      <c r="C118" s="29">
        <f>Table1[[#This Row],[Close]]-0.001*Table1[[#This Row],[Close]]</f>
        <v>34876.40868</v>
      </c>
      <c r="D118" s="29">
        <f>Table1[[#This Row],[Close]]+0.001*Table1[[#This Row],[Close]]</f>
        <v>34946.231319999999</v>
      </c>
      <c r="E118" s="29" t="str">
        <f>IF(Table1[[#This Row],[Close]]&gt;D117,"UP",IF(Table1[[#This Row],[Close]]&lt;C117,"Down","Constant"))</f>
        <v>UP</v>
      </c>
      <c r="F118" t="s">
        <v>174</v>
      </c>
      <c r="G118" s="18" t="b">
        <f t="shared" si="3"/>
        <v>0</v>
      </c>
    </row>
    <row r="119" spans="1:7" x14ac:dyDescent="0.3">
      <c r="A119" s="30">
        <v>44361</v>
      </c>
      <c r="B119" s="24">
        <v>52551.53</v>
      </c>
      <c r="C119" s="31">
        <f>Table1[[#This Row],[Close]]-0.001*Table1[[#This Row],[Close]]</f>
        <v>35394.99957</v>
      </c>
      <c r="D119" s="31">
        <f>Table1[[#This Row],[Close]]+0.001*Table1[[#This Row],[Close]]</f>
        <v>35465.860430000001</v>
      </c>
      <c r="E119" s="31" t="str">
        <f>IF(Table1[[#This Row],[Close]]&gt;D118,"UP",IF(Table1[[#This Row],[Close]]&lt;C118,"Down","Constant"))</f>
        <v>UP</v>
      </c>
      <c r="F119" t="s">
        <v>174</v>
      </c>
      <c r="G119" s="18" t="b">
        <f t="shared" si="3"/>
        <v>0</v>
      </c>
    </row>
    <row r="120" spans="1:7" x14ac:dyDescent="0.3">
      <c r="A120" s="28">
        <v>44362</v>
      </c>
      <c r="B120" s="25">
        <v>52773.05</v>
      </c>
      <c r="C120" s="29">
        <f>Table1[[#This Row],[Close]]-0.001*Table1[[#This Row],[Close]]</f>
        <v>34834.111020000004</v>
      </c>
      <c r="D120" s="29">
        <f>Table1[[#This Row],[Close]]+0.001*Table1[[#This Row],[Close]]</f>
        <v>34903.848980000002</v>
      </c>
      <c r="E120" s="29" t="str">
        <f>IF(Table1[[#This Row],[Close]]&gt;D119,"UP",IF(Table1[[#This Row],[Close]]&lt;C119,"Down","Constant"))</f>
        <v>Down</v>
      </c>
      <c r="F120" t="s">
        <v>175</v>
      </c>
      <c r="G120" s="18" t="b">
        <f t="shared" si="3"/>
        <v>0</v>
      </c>
    </row>
    <row r="121" spans="1:7" x14ac:dyDescent="0.3">
      <c r="A121" s="30">
        <v>44363</v>
      </c>
      <c r="B121" s="24">
        <v>52501.98</v>
      </c>
      <c r="C121" s="31">
        <f>Table1[[#This Row],[Close]]-0.001*Table1[[#This Row],[Close]]</f>
        <v>34807.257899999997</v>
      </c>
      <c r="D121" s="31">
        <f>Table1[[#This Row],[Close]]+0.001*Table1[[#This Row],[Close]]</f>
        <v>34876.9421</v>
      </c>
      <c r="E121" s="31" t="str">
        <f>IF(Table1[[#This Row],[Close]]&gt;D120,"UP",IF(Table1[[#This Row],[Close]]&lt;C120,"Down","Constant"))</f>
        <v>Constant</v>
      </c>
      <c r="F121" t="s">
        <v>174</v>
      </c>
      <c r="G121" s="18" t="b">
        <f t="shared" si="3"/>
        <v>0</v>
      </c>
    </row>
    <row r="122" spans="1:7" x14ac:dyDescent="0.3">
      <c r="A122" s="28">
        <v>44364</v>
      </c>
      <c r="B122" s="25">
        <v>52323.33</v>
      </c>
      <c r="C122" s="29">
        <f>Table1[[#This Row],[Close]]-0.001*Table1[[#This Row],[Close]]</f>
        <v>35136.098729999998</v>
      </c>
      <c r="D122" s="29">
        <f>Table1[[#This Row],[Close]]+0.001*Table1[[#This Row],[Close]]</f>
        <v>35206.441269999996</v>
      </c>
      <c r="E122" s="29" t="str">
        <f>IF(Table1[[#This Row],[Close]]&gt;D121,"UP",IF(Table1[[#This Row],[Close]]&lt;C121,"Down","Constant"))</f>
        <v>UP</v>
      </c>
      <c r="F122" t="s">
        <v>176</v>
      </c>
      <c r="G122" s="18" t="b">
        <f t="shared" si="3"/>
        <v>0</v>
      </c>
    </row>
    <row r="123" spans="1:7" x14ac:dyDescent="0.3">
      <c r="A123" s="30">
        <v>44365</v>
      </c>
      <c r="B123" s="24">
        <v>52344.45</v>
      </c>
      <c r="C123" s="31">
        <f>Table1[[#This Row],[Close]]-0.001*Table1[[#This Row],[Close]]</f>
        <v>34926.55848</v>
      </c>
      <c r="D123" s="31">
        <f>Table1[[#This Row],[Close]]+0.001*Table1[[#This Row],[Close]]</f>
        <v>34996.481519999994</v>
      </c>
      <c r="E123" s="31" t="str">
        <f>IF(Table1[[#This Row],[Close]]&gt;D122,"UP",IF(Table1[[#This Row],[Close]]&lt;C122,"Down","Constant"))</f>
        <v>Down</v>
      </c>
      <c r="F123" t="s">
        <v>175</v>
      </c>
      <c r="G123" s="18" t="b">
        <f t="shared" si="3"/>
        <v>0</v>
      </c>
    </row>
    <row r="124" spans="1:7" x14ac:dyDescent="0.3">
      <c r="A124" s="28">
        <v>44368</v>
      </c>
      <c r="B124" s="25">
        <v>52574.46</v>
      </c>
      <c r="C124" s="29">
        <f>Table1[[#This Row],[Close]]-0.001*Table1[[#This Row],[Close]]</f>
        <v>34880.8842</v>
      </c>
      <c r="D124" s="29">
        <f>Table1[[#This Row],[Close]]+0.001*Table1[[#This Row],[Close]]</f>
        <v>34950.715800000005</v>
      </c>
      <c r="E124" s="29" t="str">
        <f>IF(Table1[[#This Row],[Close]]&gt;D123,"UP",IF(Table1[[#This Row],[Close]]&lt;C123,"Down","Constant"))</f>
        <v>Down</v>
      </c>
      <c r="F124" t="s">
        <v>174</v>
      </c>
      <c r="G124" s="18" t="b">
        <f t="shared" si="3"/>
        <v>1</v>
      </c>
    </row>
    <row r="125" spans="1:7" x14ac:dyDescent="0.3">
      <c r="A125" s="30">
        <v>44369</v>
      </c>
      <c r="B125" s="24">
        <v>52588.71</v>
      </c>
      <c r="C125" s="31">
        <f>Table1[[#This Row],[Close]]-0.001*Table1[[#This Row],[Close]]</f>
        <v>35379.035550000001</v>
      </c>
      <c r="D125" s="31">
        <f>Table1[[#This Row],[Close]]+0.001*Table1[[#This Row],[Close]]</f>
        <v>35449.864449999994</v>
      </c>
      <c r="E125" s="31" t="str">
        <f>IF(Table1[[#This Row],[Close]]&gt;D124,"UP",IF(Table1[[#This Row],[Close]]&lt;C124,"Down","Constant"))</f>
        <v>UP</v>
      </c>
      <c r="F125" t="s">
        <v>175</v>
      </c>
      <c r="G125" s="18" t="b">
        <f t="shared" si="3"/>
        <v>1</v>
      </c>
    </row>
    <row r="126" spans="1:7" x14ac:dyDescent="0.3">
      <c r="A126" s="28">
        <v>44370</v>
      </c>
      <c r="B126" s="25">
        <v>52306.080000000002</v>
      </c>
      <c r="C126" s="29">
        <f>Table1[[#This Row],[Close]]-0.001*Table1[[#This Row],[Close]]</f>
        <v>35807.856299999999</v>
      </c>
      <c r="D126" s="29">
        <f>Table1[[#This Row],[Close]]+0.001*Table1[[#This Row],[Close]]</f>
        <v>35879.543699999995</v>
      </c>
      <c r="E126" s="29" t="str">
        <f>IF(Table1[[#This Row],[Close]]&gt;D125,"UP",IF(Table1[[#This Row],[Close]]&lt;C125,"Down","Constant"))</f>
        <v>UP</v>
      </c>
      <c r="F126" t="s">
        <v>174</v>
      </c>
      <c r="G126" s="18" t="b">
        <f t="shared" si="3"/>
        <v>0</v>
      </c>
    </row>
    <row r="127" spans="1:7" x14ac:dyDescent="0.3">
      <c r="A127" s="30">
        <v>44371</v>
      </c>
      <c r="B127" s="24">
        <v>52699</v>
      </c>
      <c r="C127" s="31">
        <f>Table1[[#This Row],[Close]]-0.001*Table1[[#This Row],[Close]]</f>
        <v>35985.398580000001</v>
      </c>
      <c r="D127" s="31">
        <f>Table1[[#This Row],[Close]]+0.001*Table1[[#This Row],[Close]]</f>
        <v>36057.441419999996</v>
      </c>
      <c r="E127" s="31" t="str">
        <f>IF(Table1[[#This Row],[Close]]&gt;D126,"UP",IF(Table1[[#This Row],[Close]]&lt;C126,"Down","Constant"))</f>
        <v>UP</v>
      </c>
      <c r="G127" s="18"/>
    </row>
    <row r="128" spans="1:7" x14ac:dyDescent="0.3">
      <c r="A128" s="28">
        <v>44372</v>
      </c>
      <c r="B128" s="25">
        <v>52925.04</v>
      </c>
      <c r="C128" s="29">
        <f>Table1[[#This Row],[Close]]-0.001*Table1[[#This Row],[Close]]</f>
        <v>36450.792719999998</v>
      </c>
      <c r="D128" s="29">
        <f>Table1[[#This Row],[Close]]+0.001*Table1[[#This Row],[Close]]</f>
        <v>36523.76728</v>
      </c>
      <c r="E128" s="29" t="str">
        <f>IF(Table1[[#This Row],[Close]]&gt;D127,"UP",IF(Table1[[#This Row],[Close]]&lt;C127,"Down","Constant"))</f>
        <v>UP</v>
      </c>
      <c r="G128" s="18"/>
    </row>
    <row r="129" spans="1:7" x14ac:dyDescent="0.3">
      <c r="A129" s="30">
        <v>44375</v>
      </c>
      <c r="B129" s="24">
        <v>52735.59</v>
      </c>
      <c r="C129" s="31">
        <f>Table1[[#This Row],[Close]]-0.001*Table1[[#This Row],[Close]]</f>
        <v>36637.845479999996</v>
      </c>
      <c r="D129" s="31">
        <f>Table1[[#This Row],[Close]]+0.001*Table1[[#This Row],[Close]]</f>
        <v>36711.194519999997</v>
      </c>
      <c r="E129" s="31" t="str">
        <f>IF(Table1[[#This Row],[Close]]&gt;D128,"UP",IF(Table1[[#This Row],[Close]]&lt;C128,"Down","Constant"))</f>
        <v>UP</v>
      </c>
      <c r="G129" s="18"/>
    </row>
    <row r="130" spans="1:7" x14ac:dyDescent="0.3">
      <c r="A130" s="28">
        <v>44376</v>
      </c>
      <c r="B130" s="25">
        <v>52549.66</v>
      </c>
      <c r="C130" s="29">
        <f>Table1[[#This Row],[Close]]-0.001*Table1[[#This Row],[Close]]</f>
        <v>36292.680990000001</v>
      </c>
      <c r="D130" s="29">
        <f>Table1[[#This Row],[Close]]+0.001*Table1[[#This Row],[Close]]</f>
        <v>36365.339010000003</v>
      </c>
      <c r="E130" s="29" t="str">
        <f>IF(Table1[[#This Row],[Close]]&gt;D129,"UP",IF(Table1[[#This Row],[Close]]&lt;C129,"Down","Constant"))</f>
        <v>Down</v>
      </c>
      <c r="G130" s="18"/>
    </row>
    <row r="131" spans="1:7" x14ac:dyDescent="0.3">
      <c r="A131" s="30">
        <v>44377</v>
      </c>
      <c r="B131" s="24">
        <v>52482.71</v>
      </c>
      <c r="C131" s="31">
        <f>Table1[[#This Row],[Close]]-0.001*Table1[[#This Row],[Close]]</f>
        <v>36700.952310000001</v>
      </c>
      <c r="D131" s="31">
        <f>Table1[[#This Row],[Close]]+0.001*Table1[[#This Row],[Close]]</f>
        <v>36774.427690000004</v>
      </c>
      <c r="E131" s="31" t="str">
        <f>IF(Table1[[#This Row],[Close]]&gt;D130,"UP",IF(Table1[[#This Row],[Close]]&lt;C130,"Down","Constant"))</f>
        <v>UP</v>
      </c>
      <c r="G131" s="18"/>
    </row>
    <row r="132" spans="1:7" x14ac:dyDescent="0.3">
      <c r="A132" s="28">
        <v>44378</v>
      </c>
      <c r="B132" s="25">
        <v>52318.6</v>
      </c>
      <c r="C132" s="29">
        <f>Table1[[#This Row],[Close]]-0.001*Table1[[#This Row],[Close]]</f>
        <v>36557.735670000002</v>
      </c>
      <c r="D132" s="29">
        <f>Table1[[#This Row],[Close]]+0.001*Table1[[#This Row],[Close]]</f>
        <v>36630.924330000002</v>
      </c>
      <c r="E132" s="29" t="str">
        <f>IF(Table1[[#This Row],[Close]]&gt;D131,"UP",IF(Table1[[#This Row],[Close]]&lt;C131,"Down","Constant"))</f>
        <v>Down</v>
      </c>
      <c r="G132" s="18"/>
    </row>
    <row r="133" spans="1:7" x14ac:dyDescent="0.3">
      <c r="A133" s="30">
        <v>44379</v>
      </c>
      <c r="B133" s="24">
        <v>52484.67</v>
      </c>
      <c r="C133" s="31">
        <f>Table1[[#This Row],[Close]]-0.001*Table1[[#This Row],[Close]]</f>
        <v>36656.996310000002</v>
      </c>
      <c r="D133" s="31">
        <f>Table1[[#This Row],[Close]]+0.001*Table1[[#This Row],[Close]]</f>
        <v>36730.383690000002</v>
      </c>
      <c r="E133" s="31" t="str">
        <f>IF(Table1[[#This Row],[Close]]&gt;D132,"UP",IF(Table1[[#This Row],[Close]]&lt;C132,"Down","Constant"))</f>
        <v>UP</v>
      </c>
      <c r="G133" s="18"/>
    </row>
    <row r="134" spans="1:7" x14ac:dyDescent="0.3">
      <c r="A134" s="28">
        <v>44382</v>
      </c>
      <c r="B134" s="25">
        <v>52880</v>
      </c>
      <c r="C134" s="29">
        <f>Table1[[#This Row],[Close]]-0.001*Table1[[#This Row],[Close]]</f>
        <v>35997.026939999996</v>
      </c>
      <c r="D134" s="29">
        <f>Table1[[#This Row],[Close]]+0.001*Table1[[#This Row],[Close]]</f>
        <v>36069.093059999999</v>
      </c>
      <c r="E134" s="29" t="str">
        <f>IF(Table1[[#This Row],[Close]]&gt;D133,"UP",IF(Table1[[#This Row],[Close]]&lt;C133,"Down","Constant"))</f>
        <v>Down</v>
      </c>
      <c r="G134" s="18"/>
    </row>
    <row r="135" spans="1:7" x14ac:dyDescent="0.3">
      <c r="A135" s="30">
        <v>44383</v>
      </c>
      <c r="B135" s="24">
        <v>52861.18</v>
      </c>
      <c r="C135" s="31">
        <f>Table1[[#This Row],[Close]]-0.001*Table1[[#This Row],[Close]]</f>
        <v>36015.75819</v>
      </c>
      <c r="D135" s="31">
        <f>Table1[[#This Row],[Close]]+0.001*Table1[[#This Row],[Close]]</f>
        <v>36087.861809999995</v>
      </c>
      <c r="E135" s="31" t="str">
        <f>IF(Table1[[#This Row],[Close]]&gt;D134,"UP",IF(Table1[[#This Row],[Close]]&lt;C134,"Down","Constant"))</f>
        <v>Constant</v>
      </c>
      <c r="G135" s="18"/>
    </row>
    <row r="136" spans="1:7" x14ac:dyDescent="0.3">
      <c r="A136" s="28">
        <v>44384</v>
      </c>
      <c r="B136" s="25">
        <v>53054.76</v>
      </c>
      <c r="C136" s="29">
        <f>Table1[[#This Row],[Close]]-0.001*Table1[[#This Row],[Close]]</f>
        <v>36435.208319999998</v>
      </c>
      <c r="D136" s="29">
        <f>Table1[[#This Row],[Close]]+0.001*Table1[[#This Row],[Close]]</f>
        <v>36508.151680000003</v>
      </c>
      <c r="E136" s="29" t="str">
        <f>IF(Table1[[#This Row],[Close]]&gt;D135,"UP",IF(Table1[[#This Row],[Close]]&lt;C135,"Down","Constant"))</f>
        <v>UP</v>
      </c>
      <c r="G136" s="18"/>
    </row>
    <row r="137" spans="1:7" x14ac:dyDescent="0.3">
      <c r="A137" s="30">
        <v>44385</v>
      </c>
      <c r="B137" s="24">
        <v>52568.94</v>
      </c>
      <c r="C137" s="31">
        <f>Table1[[#This Row],[Close]]-0.001*Table1[[#This Row],[Close]]</f>
        <v>36983.119859999999</v>
      </c>
      <c r="D137" s="31">
        <f>Table1[[#This Row],[Close]]+0.001*Table1[[#This Row],[Close]]</f>
        <v>37057.16014</v>
      </c>
      <c r="E137" s="31" t="str">
        <f>IF(Table1[[#This Row],[Close]]&gt;D136,"UP",IF(Table1[[#This Row],[Close]]&lt;C136,"Down","Constant"))</f>
        <v>UP</v>
      </c>
      <c r="G137" s="18"/>
    </row>
    <row r="138" spans="1:7" x14ac:dyDescent="0.3">
      <c r="A138" s="28">
        <v>44386</v>
      </c>
      <c r="B138" s="25">
        <v>52386.19</v>
      </c>
      <c r="C138" s="29">
        <f>Table1[[#This Row],[Close]]-0.001*Table1[[#This Row],[Close]]</f>
        <v>37381.57101</v>
      </c>
      <c r="D138" s="29">
        <f>Table1[[#This Row],[Close]]+0.001*Table1[[#This Row],[Close]]</f>
        <v>37456.408989999996</v>
      </c>
      <c r="E138" s="29" t="str">
        <f>IF(Table1[[#This Row],[Close]]&gt;D137,"UP",IF(Table1[[#This Row],[Close]]&lt;C137,"Down","Constant"))</f>
        <v>UP</v>
      </c>
      <c r="G138" s="18"/>
    </row>
    <row r="139" spans="1:7" x14ac:dyDescent="0.3">
      <c r="A139" s="30">
        <v>44389</v>
      </c>
      <c r="B139" s="24">
        <v>52372.69</v>
      </c>
      <c r="C139" s="31">
        <f>Table1[[#This Row],[Close]]-0.001*Table1[[#This Row],[Close]]</f>
        <v>37892.399669999999</v>
      </c>
      <c r="D139" s="31">
        <f>Table1[[#This Row],[Close]]+0.001*Table1[[#This Row],[Close]]</f>
        <v>37968.260330000005</v>
      </c>
      <c r="E139" s="31" t="str">
        <f>IF(Table1[[#This Row],[Close]]&gt;D138,"UP",IF(Table1[[#This Row],[Close]]&lt;C138,"Down","Constant"))</f>
        <v>UP</v>
      </c>
      <c r="G139" s="18"/>
    </row>
    <row r="140" spans="1:7" x14ac:dyDescent="0.3">
      <c r="A140" s="28">
        <v>44390</v>
      </c>
      <c r="B140" s="25">
        <v>52769.73</v>
      </c>
      <c r="C140" s="29">
        <f>Table1[[#This Row],[Close]]-0.001*Table1[[#This Row],[Close]]</f>
        <v>37833.648479999996</v>
      </c>
      <c r="D140" s="29">
        <f>Table1[[#This Row],[Close]]+0.001*Table1[[#This Row],[Close]]</f>
        <v>37909.391519999997</v>
      </c>
      <c r="E140" s="29" t="str">
        <f>IF(Table1[[#This Row],[Close]]&gt;D139,"UP",IF(Table1[[#This Row],[Close]]&lt;C139,"Down","Constant"))</f>
        <v>Down</v>
      </c>
      <c r="G140" s="18"/>
    </row>
    <row r="141" spans="1:7" x14ac:dyDescent="0.3">
      <c r="A141" s="30">
        <v>44391</v>
      </c>
      <c r="B141" s="24">
        <v>52904.05</v>
      </c>
      <c r="C141" s="31">
        <f>Table1[[#This Row],[Close]]-0.001*Table1[[#This Row],[Close]]</f>
        <v>38102.329530000003</v>
      </c>
      <c r="D141" s="31">
        <f>Table1[[#This Row],[Close]]+0.001*Table1[[#This Row],[Close]]</f>
        <v>38178.61047</v>
      </c>
      <c r="E141" s="31" t="str">
        <f>IF(Table1[[#This Row],[Close]]&gt;D140,"UP",IF(Table1[[#This Row],[Close]]&lt;C140,"Down","Constant"))</f>
        <v>UP</v>
      </c>
      <c r="G141" s="18"/>
    </row>
    <row r="142" spans="1:7" x14ac:dyDescent="0.3">
      <c r="A142" s="28">
        <v>44392</v>
      </c>
      <c r="B142" s="25">
        <v>53158.85</v>
      </c>
      <c r="C142" s="29">
        <f>Table1[[#This Row],[Close]]-0.001*Table1[[#This Row],[Close]]</f>
        <v>38090.771099999998</v>
      </c>
      <c r="D142" s="29">
        <f>Table1[[#This Row],[Close]]+0.001*Table1[[#This Row],[Close]]</f>
        <v>38167.028900000005</v>
      </c>
      <c r="E142" s="29" t="str">
        <f>IF(Table1[[#This Row],[Close]]&gt;D141,"UP",IF(Table1[[#This Row],[Close]]&lt;C141,"Down","Constant"))</f>
        <v>Constant</v>
      </c>
      <c r="G142" s="18"/>
    </row>
    <row r="143" spans="1:7" x14ac:dyDescent="0.3">
      <c r="A143" s="30">
        <v>44393</v>
      </c>
      <c r="B143" s="24">
        <v>53140.06</v>
      </c>
      <c r="C143" s="31">
        <f>Table1[[#This Row],[Close]]-0.001*Table1[[#This Row],[Close]]</f>
        <v>37896.795270000002</v>
      </c>
      <c r="D143" s="31">
        <f>Table1[[#This Row],[Close]]+0.001*Table1[[#This Row],[Close]]</f>
        <v>37972.664730000004</v>
      </c>
      <c r="E143" s="31" t="str">
        <f>IF(Table1[[#This Row],[Close]]&gt;D142,"UP",IF(Table1[[#This Row],[Close]]&lt;C142,"Down","Constant"))</f>
        <v>Down</v>
      </c>
      <c r="G143" s="18"/>
    </row>
    <row r="144" spans="1:7" x14ac:dyDescent="0.3">
      <c r="A144" s="28">
        <v>44396</v>
      </c>
      <c r="B144" s="25">
        <v>52553.4</v>
      </c>
      <c r="C144" s="29">
        <f>Table1[[#This Row],[Close]]-0.001*Table1[[#This Row],[Close]]</f>
        <v>38454.457049999997</v>
      </c>
      <c r="D144" s="29">
        <f>Table1[[#This Row],[Close]]+0.001*Table1[[#This Row],[Close]]</f>
        <v>38531.442949999997</v>
      </c>
      <c r="E144" s="29" t="str">
        <f>IF(Table1[[#This Row],[Close]]&gt;D143,"UP",IF(Table1[[#This Row],[Close]]&lt;C143,"Down","Constant"))</f>
        <v>UP</v>
      </c>
      <c r="G144" s="18"/>
    </row>
    <row r="145" spans="1:7" x14ac:dyDescent="0.3">
      <c r="A145" s="30">
        <v>44397</v>
      </c>
      <c r="B145" s="24">
        <v>52198.51</v>
      </c>
      <c r="C145" s="31">
        <f>Table1[[#This Row],[Close]]-0.001*Table1[[#This Row],[Close]]</f>
        <v>38033.058870000001</v>
      </c>
      <c r="D145" s="31">
        <f>Table1[[#This Row],[Close]]+0.001*Table1[[#This Row],[Close]]</f>
        <v>38109.201129999994</v>
      </c>
      <c r="E145" s="31" t="str">
        <f>IF(Table1[[#This Row],[Close]]&gt;D144,"UP",IF(Table1[[#This Row],[Close]]&lt;C144,"Down","Constant"))</f>
        <v>Down</v>
      </c>
      <c r="G145" s="18"/>
    </row>
    <row r="146" spans="1:7" x14ac:dyDescent="0.3">
      <c r="A146" s="28">
        <v>44399</v>
      </c>
      <c r="B146" s="25">
        <v>52837.21</v>
      </c>
      <c r="C146" s="29">
        <f>Table1[[#This Row],[Close]]-0.001*Table1[[#This Row],[Close]]</f>
        <v>37698.333930000001</v>
      </c>
      <c r="D146" s="29">
        <f>Table1[[#This Row],[Close]]+0.001*Table1[[#This Row],[Close]]</f>
        <v>37773.806069999999</v>
      </c>
      <c r="E146" s="29" t="str">
        <f>IF(Table1[[#This Row],[Close]]&gt;D145,"UP",IF(Table1[[#This Row],[Close]]&lt;C145,"Down","Constant"))</f>
        <v>Down</v>
      </c>
      <c r="G146" s="18"/>
    </row>
    <row r="147" spans="1:7" x14ac:dyDescent="0.3">
      <c r="A147" s="30">
        <v>44400</v>
      </c>
      <c r="B147" s="24">
        <v>52975.8</v>
      </c>
      <c r="C147" s="31">
        <f>Table1[[#This Row],[Close]]-0.001*Table1[[#This Row],[Close]]</f>
        <v>37569.283109999997</v>
      </c>
      <c r="D147" s="31">
        <f>Table1[[#This Row],[Close]]+0.001*Table1[[#This Row],[Close]]</f>
        <v>37644.496890000002</v>
      </c>
      <c r="E147" s="31" t="str">
        <f>IF(Table1[[#This Row],[Close]]&gt;D146,"UP",IF(Table1[[#This Row],[Close]]&lt;C146,"Down","Constant"))</f>
        <v>Down</v>
      </c>
      <c r="G147" s="18"/>
    </row>
    <row r="148" spans="1:7" x14ac:dyDescent="0.3">
      <c r="A148" s="28">
        <v>44403</v>
      </c>
      <c r="B148" s="25">
        <v>52852.27</v>
      </c>
      <c r="C148" s="29">
        <f>Table1[[#This Row],[Close]]-0.001*Table1[[#This Row],[Close]]</f>
        <v>36902.660400000001</v>
      </c>
      <c r="D148" s="29">
        <f>Table1[[#This Row],[Close]]+0.001*Table1[[#This Row],[Close]]</f>
        <v>36976.539599999996</v>
      </c>
      <c r="E148" s="29" t="str">
        <f>IF(Table1[[#This Row],[Close]]&gt;D147,"UP",IF(Table1[[#This Row],[Close]]&lt;C147,"Down","Constant"))</f>
        <v>Down</v>
      </c>
      <c r="G148" s="18"/>
    </row>
    <row r="149" spans="1:7" x14ac:dyDescent="0.3">
      <c r="A149" s="30">
        <v>44404</v>
      </c>
      <c r="B149" s="24">
        <v>52578.76</v>
      </c>
      <c r="C149" s="31">
        <f>Table1[[#This Row],[Close]]-0.001*Table1[[#This Row],[Close]]</f>
        <v>37650.222090000003</v>
      </c>
      <c r="D149" s="31">
        <f>Table1[[#This Row],[Close]]+0.001*Table1[[#This Row],[Close]]</f>
        <v>37725.597910000004</v>
      </c>
      <c r="E149" s="31" t="str">
        <f>IF(Table1[[#This Row],[Close]]&gt;D148,"UP",IF(Table1[[#This Row],[Close]]&lt;C148,"Down","Constant"))</f>
        <v>UP</v>
      </c>
      <c r="G149" s="18"/>
    </row>
    <row r="150" spans="1:7" x14ac:dyDescent="0.3">
      <c r="A150" s="28">
        <v>44405</v>
      </c>
      <c r="B150" s="25">
        <v>52443.71</v>
      </c>
      <c r="C150" s="29">
        <f>Table1[[#This Row],[Close]]-0.001*Table1[[#This Row],[Close]]</f>
        <v>37625.666669999999</v>
      </c>
      <c r="D150" s="29">
        <f>Table1[[#This Row],[Close]]+0.001*Table1[[#This Row],[Close]]</f>
        <v>37700.993330000005</v>
      </c>
      <c r="E150" s="29" t="str">
        <f>IF(Table1[[#This Row],[Close]]&gt;D149,"UP",IF(Table1[[#This Row],[Close]]&lt;C149,"Down","Constant"))</f>
        <v>Constant</v>
      </c>
      <c r="G150" s="18"/>
    </row>
    <row r="151" spans="1:7" x14ac:dyDescent="0.3">
      <c r="A151" s="30">
        <v>44406</v>
      </c>
      <c r="B151" s="24">
        <v>52653.07</v>
      </c>
      <c r="C151" s="31">
        <f>Table1[[#This Row],[Close]]-0.001*Table1[[#This Row],[Close]]</f>
        <v>37987.424549999996</v>
      </c>
      <c r="D151" s="31">
        <f>Table1[[#This Row],[Close]]+0.001*Table1[[#This Row],[Close]]</f>
        <v>38063.475449999998</v>
      </c>
      <c r="E151" s="31" t="str">
        <f>IF(Table1[[#This Row],[Close]]&gt;D150,"UP",IF(Table1[[#This Row],[Close]]&lt;C150,"Down","Constant"))</f>
        <v>UP</v>
      </c>
      <c r="G151" s="18"/>
    </row>
    <row r="152" spans="1:7" x14ac:dyDescent="0.3">
      <c r="A152" s="32">
        <v>44407</v>
      </c>
      <c r="B152" s="26">
        <v>52586.84</v>
      </c>
      <c r="C152" s="33">
        <f>Table1[[#This Row],[Close]]-0.001*Table1[[#This Row],[Close]]</f>
        <v>38002.529430000002</v>
      </c>
      <c r="D152" s="33">
        <f>Table1[[#This Row],[Close]]+0.001*Table1[[#This Row],[Close]]</f>
        <v>38078.610569999997</v>
      </c>
      <c r="E152" s="33" t="str">
        <f>IF(Table1[[#This Row],[Close]]&gt;D151,"UP",IF(Table1[[#This Row],[Close]]&lt;C151,"Down","Constant"))</f>
        <v>Constant</v>
      </c>
      <c r="G15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irstorder">
                <anchor moveWithCells="1" sizeWithCells="1">
                  <from>
                    <xdr:col>10</xdr:col>
                    <xdr:colOff>601980</xdr:colOff>
                    <xdr:row>1</xdr:row>
                    <xdr:rowOff>0</xdr:rowOff>
                  </from>
                  <to>
                    <xdr:col>12</xdr:col>
                    <xdr:colOff>594360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U253"/>
  <sheetViews>
    <sheetView topLeftCell="BV1" zoomScaleNormal="100" workbookViewId="0">
      <selection activeCell="CX18" sqref="CX18"/>
    </sheetView>
  </sheetViews>
  <sheetFormatPr defaultRowHeight="14.4" x14ac:dyDescent="0.3"/>
  <cols>
    <col min="1" max="1" width="9.88671875" bestFit="1" customWidth="1"/>
    <col min="3" max="3" width="12.109375" customWidth="1"/>
    <col min="4" max="4" width="12.33203125" customWidth="1"/>
    <col min="5" max="5" width="10.44140625" customWidth="1"/>
    <col min="6" max="6" width="24.6640625" customWidth="1"/>
    <col min="7" max="7" width="23.109375" customWidth="1"/>
    <col min="8" max="8" width="13.33203125" customWidth="1"/>
    <col min="9" max="9" width="13" customWidth="1"/>
    <col min="10" max="10" width="12" customWidth="1"/>
    <col min="11" max="11" width="11.88671875" customWidth="1"/>
    <col min="12" max="12" width="12.5546875" customWidth="1"/>
    <col min="13" max="13" width="9" bestFit="1" customWidth="1"/>
    <col min="14" max="14" width="11.6640625" bestFit="1" customWidth="1"/>
    <col min="15" max="15" width="11.44140625" bestFit="1" customWidth="1"/>
    <col min="16" max="16" width="9" bestFit="1" customWidth="1"/>
    <col min="17" max="17" width="11.6640625" bestFit="1" customWidth="1"/>
    <col min="18" max="18" width="12" bestFit="1" customWidth="1"/>
    <col min="19" max="19" width="9" bestFit="1" customWidth="1"/>
    <col min="20" max="20" width="12.44140625" bestFit="1" customWidth="1"/>
    <col min="21" max="21" width="12.109375" bestFit="1" customWidth="1"/>
    <col min="22" max="22" width="11" customWidth="1"/>
    <col min="23" max="23" width="12.44140625" bestFit="1" customWidth="1"/>
    <col min="24" max="24" width="12.109375" bestFit="1" customWidth="1"/>
    <col min="25" max="25" width="9.6640625" bestFit="1" customWidth="1"/>
    <col min="26" max="26" width="13.33203125" bestFit="1" customWidth="1"/>
    <col min="27" max="27" width="12.88671875" bestFit="1" customWidth="1"/>
    <col min="28" max="28" width="10.44140625" bestFit="1" customWidth="1"/>
    <col min="29" max="29" width="12.44140625" bestFit="1" customWidth="1"/>
    <col min="30" max="30" width="12.109375" bestFit="1" customWidth="1"/>
    <col min="31" max="31" width="10.33203125" customWidth="1"/>
    <col min="32" max="32" width="11" bestFit="1" customWidth="1"/>
    <col min="33" max="33" width="10.6640625" bestFit="1" customWidth="1"/>
    <col min="35" max="35" width="11" bestFit="1" customWidth="1"/>
    <col min="36" max="36" width="10.6640625" bestFit="1" customWidth="1"/>
    <col min="38" max="38" width="11" bestFit="1" customWidth="1"/>
    <col min="39" max="39" width="10.6640625" bestFit="1" customWidth="1"/>
    <col min="41" max="41" width="11" bestFit="1" customWidth="1"/>
    <col min="42" max="42" width="10.6640625" bestFit="1" customWidth="1"/>
    <col min="44" max="44" width="11" bestFit="1" customWidth="1"/>
    <col min="45" max="45" width="10.6640625" bestFit="1" customWidth="1"/>
    <col min="47" max="47" width="11" bestFit="1" customWidth="1"/>
    <col min="48" max="48" width="10.6640625" bestFit="1" customWidth="1"/>
    <col min="50" max="50" width="12.44140625" bestFit="1" customWidth="1"/>
    <col min="51" max="51" width="12.109375" bestFit="1" customWidth="1"/>
    <col min="53" max="53" width="12.44140625" bestFit="1" customWidth="1"/>
    <col min="54" max="54" width="12.109375" bestFit="1" customWidth="1"/>
    <col min="55" max="55" width="9.6640625" bestFit="1" customWidth="1"/>
    <col min="56" max="56" width="12.44140625" bestFit="1" customWidth="1"/>
    <col min="57" max="57" width="12.109375" bestFit="1" customWidth="1"/>
    <col min="58" max="58" width="9.6640625" bestFit="1" customWidth="1"/>
    <col min="59" max="59" width="11.6640625" bestFit="1" customWidth="1"/>
    <col min="60" max="60" width="11.44140625" bestFit="1" customWidth="1"/>
    <col min="61" max="61" width="9" bestFit="1" customWidth="1"/>
    <col min="62" max="62" width="11.6640625" bestFit="1" customWidth="1"/>
    <col min="63" max="63" width="11.44140625" bestFit="1" customWidth="1"/>
    <col min="64" max="64" width="9" bestFit="1" customWidth="1"/>
    <col min="65" max="65" width="11.6640625" bestFit="1" customWidth="1"/>
    <col min="66" max="66" width="11.44140625" bestFit="1" customWidth="1"/>
    <col min="77" max="77" width="11.6640625" bestFit="1" customWidth="1"/>
    <col min="78" max="78" width="11.44140625" bestFit="1" customWidth="1"/>
    <col min="79" max="79" width="9" bestFit="1" customWidth="1"/>
    <col min="80" max="80" width="11.6640625" customWidth="1"/>
    <col min="81" max="81" width="11.44140625" bestFit="1" customWidth="1"/>
    <col min="82" max="82" width="9" bestFit="1" customWidth="1"/>
    <col min="83" max="83" width="11.6640625" bestFit="1" customWidth="1"/>
    <col min="84" max="84" width="11.44140625" bestFit="1" customWidth="1"/>
    <col min="85" max="85" width="9" bestFit="1" customWidth="1"/>
    <col min="86" max="86" width="11" bestFit="1" customWidth="1"/>
    <col min="87" max="87" width="9.33203125" customWidth="1"/>
    <col min="99" max="99" width="17.109375" customWidth="1"/>
  </cols>
  <sheetData>
    <row r="1" spans="1:99" x14ac:dyDescent="0.3">
      <c r="A1" s="2" t="s">
        <v>0</v>
      </c>
      <c r="B1" s="2" t="s">
        <v>4</v>
      </c>
      <c r="C1" s="2" t="s">
        <v>9</v>
      </c>
      <c r="D1" s="2" t="s">
        <v>8</v>
      </c>
      <c r="E1" s="2" t="s">
        <v>6</v>
      </c>
      <c r="F1" s="2" t="s">
        <v>7</v>
      </c>
      <c r="G1" s="2" t="s">
        <v>46</v>
      </c>
      <c r="H1" s="16" t="s">
        <v>47</v>
      </c>
      <c r="I1" s="16" t="s">
        <v>48</v>
      </c>
      <c r="J1" s="16" t="s">
        <v>49</v>
      </c>
      <c r="K1" s="17" t="s">
        <v>50</v>
      </c>
      <c r="L1" s="17" t="s">
        <v>51</v>
      </c>
      <c r="M1" s="17" t="s">
        <v>52</v>
      </c>
      <c r="N1" s="15" t="s">
        <v>53</v>
      </c>
      <c r="O1" s="15" t="s">
        <v>54</v>
      </c>
      <c r="P1" s="15" t="s">
        <v>55</v>
      </c>
      <c r="Q1" s="16" t="s">
        <v>56</v>
      </c>
      <c r="R1" s="16" t="s">
        <v>57</v>
      </c>
      <c r="S1" s="16" t="s">
        <v>58</v>
      </c>
      <c r="T1" s="17" t="s">
        <v>59</v>
      </c>
      <c r="U1" s="17" t="s">
        <v>60</v>
      </c>
      <c r="V1" s="17" t="s">
        <v>61</v>
      </c>
      <c r="W1" s="15" t="s">
        <v>62</v>
      </c>
      <c r="X1" s="15" t="s">
        <v>63</v>
      </c>
      <c r="Y1" s="15" t="s">
        <v>64</v>
      </c>
      <c r="Z1" s="16" t="s">
        <v>65</v>
      </c>
      <c r="AA1" s="16" t="s">
        <v>66</v>
      </c>
      <c r="AB1" s="16" t="s">
        <v>67</v>
      </c>
      <c r="AC1" s="17" t="s">
        <v>68</v>
      </c>
      <c r="AD1" s="17" t="s">
        <v>69</v>
      </c>
      <c r="AE1" s="17" t="s">
        <v>70</v>
      </c>
      <c r="AF1" s="15" t="s">
        <v>71</v>
      </c>
      <c r="AG1" s="15" t="s">
        <v>72</v>
      </c>
      <c r="AH1" s="15" t="s">
        <v>73</v>
      </c>
      <c r="AI1" s="16" t="s">
        <v>74</v>
      </c>
      <c r="AJ1" s="16" t="s">
        <v>75</v>
      </c>
      <c r="AK1" s="16" t="s">
        <v>76</v>
      </c>
      <c r="AL1" s="17" t="s">
        <v>77</v>
      </c>
      <c r="AM1" s="17" t="s">
        <v>78</v>
      </c>
      <c r="AN1" s="17" t="s">
        <v>79</v>
      </c>
      <c r="AO1" s="15" t="s">
        <v>80</v>
      </c>
      <c r="AP1" s="15" t="s">
        <v>81</v>
      </c>
      <c r="AQ1" s="15" t="s">
        <v>82</v>
      </c>
      <c r="AR1" s="16" t="s">
        <v>83</v>
      </c>
      <c r="AS1" s="16" t="s">
        <v>84</v>
      </c>
      <c r="AT1" s="16" t="s">
        <v>85</v>
      </c>
      <c r="AU1" s="17" t="s">
        <v>86</v>
      </c>
      <c r="AV1" s="17" t="s">
        <v>87</v>
      </c>
      <c r="AW1" s="17" t="s">
        <v>88</v>
      </c>
      <c r="AX1" s="15" t="s">
        <v>89</v>
      </c>
      <c r="AY1" s="15" t="s">
        <v>90</v>
      </c>
      <c r="AZ1" s="15" t="s">
        <v>91</v>
      </c>
      <c r="BA1" s="16" t="s">
        <v>92</v>
      </c>
      <c r="BB1" s="16" t="s">
        <v>93</v>
      </c>
      <c r="BC1" s="16" t="s">
        <v>94</v>
      </c>
      <c r="BD1" s="17" t="s">
        <v>95</v>
      </c>
      <c r="BE1" s="17" t="s">
        <v>96</v>
      </c>
      <c r="BF1" s="17" t="s">
        <v>97</v>
      </c>
      <c r="BG1" s="15" t="s">
        <v>98</v>
      </c>
      <c r="BH1" s="15" t="s">
        <v>99</v>
      </c>
      <c r="BI1" s="15" t="s">
        <v>100</v>
      </c>
      <c r="BJ1" s="16" t="s">
        <v>101</v>
      </c>
      <c r="BK1" s="16" t="s">
        <v>102</v>
      </c>
      <c r="BL1" s="16" t="s">
        <v>103</v>
      </c>
      <c r="BM1" s="17" t="s">
        <v>104</v>
      </c>
      <c r="BN1" s="17" t="s">
        <v>105</v>
      </c>
      <c r="BO1" s="17" t="s">
        <v>106</v>
      </c>
      <c r="BP1" s="15" t="s">
        <v>107</v>
      </c>
      <c r="BQ1" s="15" t="s">
        <v>108</v>
      </c>
      <c r="BR1" s="15" t="s">
        <v>109</v>
      </c>
      <c r="BS1" s="16" t="s">
        <v>110</v>
      </c>
      <c r="BT1" s="16" t="s">
        <v>111</v>
      </c>
      <c r="BU1" s="16" t="s">
        <v>112</v>
      </c>
      <c r="BV1" s="17" t="s">
        <v>113</v>
      </c>
      <c r="BW1" s="17" t="s">
        <v>114</v>
      </c>
      <c r="BX1" s="17" t="s">
        <v>115</v>
      </c>
      <c r="BY1" s="15" t="s">
        <v>116</v>
      </c>
      <c r="BZ1" s="15" t="s">
        <v>117</v>
      </c>
      <c r="CA1" s="15" t="s">
        <v>118</v>
      </c>
      <c r="CB1" s="16" t="s">
        <v>119</v>
      </c>
      <c r="CC1" s="16" t="s">
        <v>120</v>
      </c>
      <c r="CD1" s="16" t="s">
        <v>121</v>
      </c>
      <c r="CE1" s="17" t="s">
        <v>122</v>
      </c>
      <c r="CF1" s="17" t="s">
        <v>123</v>
      </c>
      <c r="CG1" s="17" t="s">
        <v>124</v>
      </c>
      <c r="CH1" s="15" t="s">
        <v>125</v>
      </c>
      <c r="CI1" s="15" t="s">
        <v>126</v>
      </c>
      <c r="CJ1" s="15" t="s">
        <v>127</v>
      </c>
    </row>
    <row r="2" spans="1:99" x14ac:dyDescent="0.3">
      <c r="A2" s="1">
        <v>43831</v>
      </c>
      <c r="B2">
        <v>41306.019999999997</v>
      </c>
      <c r="C2">
        <f>Table1[[#This Row],[Close]]-0.001*Table1[[#This Row],[Close]]</f>
        <v>41264.713979999993</v>
      </c>
      <c r="D2">
        <f>Table1[[#This Row],[Close]]+0.001*Table1[[#This Row],[Close]]</f>
        <v>41347.32602</v>
      </c>
      <c r="E2" t="str">
        <f>IF(Table1[[#This Row],[Close]]&gt;D1,"UP",IF(Table1[[#This Row],[Close]]&lt;C1,"Down","Constant"))</f>
        <v>Down</v>
      </c>
      <c r="F2" s="3">
        <f>IF(Table1[[#This Row],[Column1]]="Up",1,IF(Table1[[#This Row],[Column1]]="Down",-1,0))</f>
        <v>-1</v>
      </c>
    </row>
    <row r="3" spans="1:99" x14ac:dyDescent="0.3">
      <c r="A3" s="1">
        <v>43832</v>
      </c>
      <c r="B3">
        <v>41464.639999999999</v>
      </c>
      <c r="C3">
        <f>Table1[[#This Row],[Close]]-0.001*Table1[[#This Row],[Close]]</f>
        <v>41423.175360000001</v>
      </c>
      <c r="D3">
        <f>Table1[[#This Row],[Close]]+0.001*Table1[[#This Row],[Close]]</f>
        <v>41506.104639999998</v>
      </c>
      <c r="E3" t="str">
        <f>IF(Table1[[#This Row],[Close]]&gt;D2,"UP",IF(Table1[[#This Row],[Close]]&lt;C2,"Down","Constant"))</f>
        <v>UP</v>
      </c>
      <c r="F3" s="3">
        <f>IF(Table1[[#This Row],[Column1]]="Up",1,IF(Table1[[#This Row],[Column1]]="Down",-1,0))</f>
        <v>1</v>
      </c>
    </row>
    <row r="4" spans="1:99" x14ac:dyDescent="0.3">
      <c r="A4" s="1">
        <v>43833</v>
      </c>
      <c r="B4">
        <v>41464.61</v>
      </c>
      <c r="C4">
        <f>Table1[[#This Row],[Close]]-0.001*Table1[[#This Row],[Close]]</f>
        <v>41423.145389999998</v>
      </c>
      <c r="D4">
        <f>Table1[[#This Row],[Close]]+0.001*Table1[[#This Row],[Close]]</f>
        <v>41506.074610000003</v>
      </c>
      <c r="E4" t="str">
        <f>IF(Table1[[#This Row],[Close]]&gt;D3,"UP",IF(Table1[[#This Row],[Close]]&lt;C3,"Down","Constant"))</f>
        <v>Constant</v>
      </c>
      <c r="F4" s="3">
        <f>IF(Table1[[#This Row],[Column1]]="Up",1,IF(Table1[[#This Row],[Column1]]="Down",-1,0))</f>
        <v>0</v>
      </c>
    </row>
    <row r="5" spans="1:99" x14ac:dyDescent="0.3">
      <c r="A5" s="1">
        <v>43836</v>
      </c>
      <c r="B5">
        <v>40676.629999999997</v>
      </c>
      <c r="C5">
        <f>Table1[[#This Row],[Close]]-0.001*Table1[[#This Row],[Close]]</f>
        <v>40635.953369999996</v>
      </c>
      <c r="D5">
        <f>Table1[[#This Row],[Close]]+0.001*Table1[[#This Row],[Close]]</f>
        <v>40717.306629999999</v>
      </c>
      <c r="E5" t="str">
        <f>IF(Table1[[#This Row],[Close]]&gt;D4,"UP",IF(Table1[[#This Row],[Close]]&lt;C4,"Down","Constant"))</f>
        <v>Down</v>
      </c>
      <c r="F5" s="3">
        <f>IF(Table1[[#This Row],[Column1]]="Up",1,IF(Table1[[#This Row],[Column1]]="Down",-1,0))</f>
        <v>-1</v>
      </c>
      <c r="G5">
        <f>IF(AND(F5=-1,F4=1,F3=-1,F2=0),1,0)</f>
        <v>0</v>
      </c>
      <c r="H5">
        <f>IF(AND(F5=-1,F4=1,F3=1,F2=1),1,0)</f>
        <v>0</v>
      </c>
      <c r="I5">
        <f>IF(AND(F5=0,F4=1,F3=1,F2=1),1,0)</f>
        <v>0</v>
      </c>
      <c r="J5">
        <f>IF(AND(F5=1,F4=1,F3=1,F2=1),1,0)</f>
        <v>0</v>
      </c>
      <c r="K5">
        <f>IF(AND(F5=-1,F4=1,F3=1,F2=-1),1,0)</f>
        <v>0</v>
      </c>
      <c r="L5">
        <f>IF(AND(F5=0,F4=1,F3=1,F2=-1),1,0)</f>
        <v>0</v>
      </c>
      <c r="M5">
        <f>IF(AND(F5=1,F4=1,F3=1,F2=-1),1,0)</f>
        <v>0</v>
      </c>
      <c r="N5">
        <f>IF(AND(F5=-1,F4=1,F3=-1,F2=1),1,0)</f>
        <v>0</v>
      </c>
      <c r="O5">
        <f>IF(AND(F5=0,F4=1,F3=-1,F2=1),1,0)</f>
        <v>0</v>
      </c>
      <c r="P5">
        <f>IF(AND(F5=1,F4=1,F3=-1,F2=1),1,0)</f>
        <v>0</v>
      </c>
      <c r="Q5">
        <f>IF(AND(F5=-1,F4=-1,F3=1,F2=1),1,0)</f>
        <v>0</v>
      </c>
      <c r="R5">
        <f>IF(AND(F5=0,F4=-1,F3=1,F2=1),1,0)</f>
        <v>0</v>
      </c>
      <c r="S5">
        <f>IF(AND(F5=1,F4=-1,F3=1,F2=1),1,0)</f>
        <v>0</v>
      </c>
      <c r="T5">
        <f>IF(AND(F5=-1,F4=1,F3=-1,F2=-1),1,0)</f>
        <v>0</v>
      </c>
      <c r="U5">
        <f>IF(AND(F5=0,F4=1,F3=-1,F2=-1),1,0)</f>
        <v>0</v>
      </c>
      <c r="V5">
        <f>IF(AND(F5=1,F4=1,F3=-1,F2=-1),1,0)</f>
        <v>0</v>
      </c>
      <c r="W5">
        <f>IF(AND(F5=-1,F4=-1,F3=-1,F2=1),1,0)</f>
        <v>0</v>
      </c>
      <c r="X5">
        <f>IF(AND(F5=0,F4=-1,F3=-1,F2=1),1,0)</f>
        <v>0</v>
      </c>
      <c r="Y5">
        <f>IF(AND(F5=1,F4=-1,F3=-1,F2=1),1,0)</f>
        <v>0</v>
      </c>
      <c r="Z5">
        <f>IF(AND(F5=-1,F4=-1,F3=-1,F2=-1),1,0)</f>
        <v>0</v>
      </c>
      <c r="AA5">
        <f>IF(AND(F5=0,F4=-1,F3=-1,F2=-1),1,0)</f>
        <v>0</v>
      </c>
      <c r="AB5">
        <f>IF(AND(F5=1,F4=-1,F3=-1,F2=-1),1,0)</f>
        <v>0</v>
      </c>
      <c r="AC5">
        <f>IF(AND(F5=-1,F4=-1,F3=1,F2=-1),1,0)</f>
        <v>0</v>
      </c>
      <c r="AD5">
        <f>IF(AND(F5=0,F4=-1,F3=1,F2=-1),1,0)</f>
        <v>0</v>
      </c>
      <c r="AE5">
        <f>IF(AND(F5=1,F4=-1,F3=1,F2=-1),1,0)</f>
        <v>0</v>
      </c>
      <c r="AF5">
        <f>IF(AND(F5=-1,F4=1,F3=1,F2=0),1,0)</f>
        <v>0</v>
      </c>
      <c r="AG5">
        <f>IF(AND(F5=0,F4=1,F3=1,F2=0),1,0)</f>
        <v>0</v>
      </c>
      <c r="AH5">
        <f>IF(AND(F5=1,F4=1,F3=1,F2=0),1,0)</f>
        <v>0</v>
      </c>
      <c r="AI5">
        <f>IF(AND(F5=-1,F4=1,F3=0,F2=1),1,0)</f>
        <v>0</v>
      </c>
      <c r="AJ5">
        <f>IF(AND(F5=0,F4=1,F3=0,F2=1),1,0)</f>
        <v>0</v>
      </c>
      <c r="AK5">
        <f>IF(AND(F5=1,F4=1,F3=0,F2=1),1,0)</f>
        <v>0</v>
      </c>
      <c r="AL5">
        <f>IF(AND(F5=-1,F4=0,F3=1,F2=1),1,0)</f>
        <v>0</v>
      </c>
      <c r="AM5">
        <f>IF(AND(F5=0,F4=0,F3=1,F2=1),1,0)</f>
        <v>0</v>
      </c>
      <c r="AN5">
        <f>IF(AND(F5=1,F4=0,F3=1,F2=1),1,0)</f>
        <v>0</v>
      </c>
      <c r="AO5">
        <f>IF(AND(F5=-1,F4=0,F3=0,F2=1),1,0)</f>
        <v>0</v>
      </c>
      <c r="AP5">
        <f>IF(AND(F5=0,F4=0,F3=0,F2=1),1,0)</f>
        <v>0</v>
      </c>
      <c r="AQ5">
        <f>IF(AND(F5=1,F4=0,F3=0,F2=1),1,0)</f>
        <v>0</v>
      </c>
      <c r="AR5">
        <f>IF(AND(F5=-1,F4=0,F3=1,F2=0),1,0)</f>
        <v>0</v>
      </c>
      <c r="AS5">
        <f>IF(AND(F5=0,F4=0,F3=1,F2=0),1,0)</f>
        <v>0</v>
      </c>
      <c r="AT5">
        <f>IF(AND(F5=1,F4=0,F3=1,F2=0),1,0)</f>
        <v>0</v>
      </c>
      <c r="AU5">
        <f>IF(AND(F5=-1,F4=1,F3=0,F2=0),1,0)</f>
        <v>0</v>
      </c>
      <c r="AV5">
        <f>IF(AND(F5=0,F4=1,F3=0,F2=0),1,0)</f>
        <v>0</v>
      </c>
      <c r="AW5">
        <f>IF(AND(F5=1,F4=1,F3=0,F2=0),1,0)</f>
        <v>0</v>
      </c>
      <c r="AX5">
        <f>IF(AND(F5=-1,F4=-1,F3=-1,F2=0),1,0)</f>
        <v>0</v>
      </c>
      <c r="AY5">
        <f>IF(AND(F5=0,F4=-1,F3=-1,F2=0),1,0)</f>
        <v>0</v>
      </c>
      <c r="AZ5">
        <f>IF(AND(F5=1,F4=-1,F3=-1,F2=0),1,0)</f>
        <v>0</v>
      </c>
      <c r="BA5">
        <f>IF(AND(F5=-1,F4=-1,F3=0,F2=-1),1,0)</f>
        <v>0</v>
      </c>
      <c r="BB5">
        <f>IF(AND(F5=0,F4=-1,F3=0,F2=-1),1,0)</f>
        <v>0</v>
      </c>
      <c r="BC5">
        <f>IF(AND(F5=1,F4=-1,F3=0,F2=-1),1,0)</f>
        <v>0</v>
      </c>
      <c r="BD5">
        <f>IF(AND(F5=-1,F4=0,F3=-1,F2=-1),1,0)</f>
        <v>0</v>
      </c>
      <c r="BE5">
        <f>IF(AND(F5=0,F4=0,F3=-1,F2=-1),1,0)</f>
        <v>0</v>
      </c>
      <c r="BF5">
        <f>IF(AND(F5=1,F4=0,F3=-1,F2=-1),1,0)</f>
        <v>0</v>
      </c>
      <c r="BG5">
        <f>IF(AND(F5=-1,F4=0,F3=1,F2=-1),1,0)</f>
        <v>1</v>
      </c>
      <c r="BH5">
        <f>IF(AND(F5=0,F4=0,F3=1,F2=-1),1,0)</f>
        <v>0</v>
      </c>
      <c r="BI5">
        <f>IF(AND(F5=1,F4=0,F3=1,F2=-1),1,0)</f>
        <v>0</v>
      </c>
      <c r="BJ5">
        <f>IF(AND(F5=-1,F4=0,F3=-1,F2=1),1,0)</f>
        <v>0</v>
      </c>
      <c r="BK5">
        <f>IF(AND(F5=0,F4=0,F3=-1,F2=1),1,0)</f>
        <v>0</v>
      </c>
      <c r="BL5">
        <f>IF(AND(F5=1,F4=0,F3=-1,F2=1),1,0)</f>
        <v>0</v>
      </c>
      <c r="BM5">
        <f>IF(AND(F5=-1,F4=1,F3=0,F2=-1),1,0)</f>
        <v>0</v>
      </c>
      <c r="BN5">
        <f>IF(AND(F5=0,F4=1,F3=0,F2=-1),1,0)</f>
        <v>0</v>
      </c>
      <c r="BO5">
        <f>IF(AND(F5=1,F4=1,F3=0,F2=-1),1,0)</f>
        <v>0</v>
      </c>
      <c r="BP5">
        <f>IF(AND(F5=-1,F4=-1,F3=0,F2=1),1,0)</f>
        <v>0</v>
      </c>
      <c r="BQ5">
        <f>IF(AND(F5=0,F4=-1,F3=0,F2=1),1,0)</f>
        <v>0</v>
      </c>
      <c r="BR5">
        <f>IF(AND(F5=1,F4=-1,F3=0,F2=1),1,0)</f>
        <v>0</v>
      </c>
      <c r="BS5">
        <f>IF(AND(F5=-1,F4=1,F3=-1,F2=0),1,0)</f>
        <v>0</v>
      </c>
      <c r="BT5">
        <f>IF(AND(F5=0,F4=1,F3=-1,F2=0),1,0)</f>
        <v>0</v>
      </c>
      <c r="BU5">
        <f>IF(AND(F5=1,F4=1,F3=-1,F2=0),1,0)</f>
        <v>0</v>
      </c>
      <c r="BV5">
        <f>IF(AND(F5=-1,F4=-1,F3=1,F2=0),1,0)</f>
        <v>0</v>
      </c>
      <c r="BW5">
        <f>IF(AND(F5=0,F4=-1,F3=1,F2=0),1,0)</f>
        <v>0</v>
      </c>
      <c r="BX5">
        <f>IF(AND(F5=1,F4=-1,F3=1,F2=0),1,0)</f>
        <v>0</v>
      </c>
      <c r="BY5">
        <f>IF(AND(F5=-1,F4=0,F3=0,F2=-1),1,0)</f>
        <v>0</v>
      </c>
      <c r="BZ5">
        <f>IF(AND(F5=0,F4=0,F3=0,F2=-1),1,0)</f>
        <v>0</v>
      </c>
      <c r="CA5">
        <f>IF(AND(F5=1,F4=0,F3=0,F2=-1),1,0)</f>
        <v>0</v>
      </c>
      <c r="CB5">
        <f>IF(AND(F5=-1,F4=0,F3=-1,F2=0),1,0)</f>
        <v>0</v>
      </c>
      <c r="CC5">
        <f>IF(AND(F5=0,F4=0,F3=-1,F2=0),1,0)</f>
        <v>0</v>
      </c>
      <c r="CD5">
        <f>IF(AND(F5=1,F4=0,F3=-1,F2=0),1,0)</f>
        <v>0</v>
      </c>
      <c r="CE5">
        <f>IF(AND(F5=-1,F4=-1,F3=0,F2=0),1,0)</f>
        <v>0</v>
      </c>
      <c r="CF5">
        <f>IF(AND(F5=0,F4=-1,F3=0,F2=0),1,0)</f>
        <v>0</v>
      </c>
      <c r="CG5">
        <f>IF(AND(F5=1,F4=-1,F3=0,F2=0),1,0)</f>
        <v>0</v>
      </c>
      <c r="CH5">
        <f>IF(AND(F5=-1,F4=0,F3=0,F2=0),1,0)</f>
        <v>0</v>
      </c>
      <c r="CI5">
        <f>IF(AND(F5=0,F4=0,F3=0,F2=0),1,0)</f>
        <v>0</v>
      </c>
      <c r="CJ5">
        <f>IF(AND(F5=1,F4=0,F3=0,F2=0),1,0)</f>
        <v>0</v>
      </c>
    </row>
    <row r="6" spans="1:99" x14ac:dyDescent="0.3">
      <c r="A6" s="1">
        <v>43837</v>
      </c>
      <c r="B6">
        <v>40869.47</v>
      </c>
      <c r="C6">
        <f>Table1[[#This Row],[Close]]-0.001*Table1[[#This Row],[Close]]</f>
        <v>40828.600530000003</v>
      </c>
      <c r="D6">
        <f>Table1[[#This Row],[Close]]+0.001*Table1[[#This Row],[Close]]</f>
        <v>40910.339469999999</v>
      </c>
      <c r="E6" t="str">
        <f>IF(Table1[[#This Row],[Close]]&gt;D5,"UP",IF(Table1[[#This Row],[Close]]&lt;C5,"Down","Constant"))</f>
        <v>UP</v>
      </c>
      <c r="F6" s="3">
        <f>IF(Table1[[#This Row],[Column1]]="Up",1,IF(Table1[[#This Row],[Column1]]="Down",-1,0))</f>
        <v>1</v>
      </c>
      <c r="G6">
        <f t="shared" ref="G6:G69" si="0">IF(AND(F6=-1,F5=1,F4=-1,F3=0),1,0)</f>
        <v>0</v>
      </c>
      <c r="H6" s="18">
        <f t="shared" ref="H6:H69" si="1">IF(AND(F6=-1,F5=1,F4=1,F3=1),1,0)</f>
        <v>0</v>
      </c>
      <c r="I6" s="18">
        <f t="shared" ref="I6:I69" si="2">IF(AND(F6=0,F5=1,F4=1,F3=1),1,0)</f>
        <v>0</v>
      </c>
      <c r="J6" s="18">
        <f t="shared" ref="J6:J69" si="3">IF(AND(F6=1,F5=1,F4=1,F3=1),1,0)</f>
        <v>0</v>
      </c>
      <c r="K6" s="18">
        <f t="shared" ref="K6:K69" si="4">IF(AND(F6=-1,F5=1,F4=1,F3=-1),1,0)</f>
        <v>0</v>
      </c>
      <c r="L6" s="18">
        <f t="shared" ref="L6:L69" si="5">IF(AND(F6=0,F5=1,F4=1,F3=-1),1,0)</f>
        <v>0</v>
      </c>
      <c r="M6" s="18">
        <f t="shared" ref="M6:M69" si="6">IF(AND(F6=1,F5=1,F4=1,F3=-1),1,0)</f>
        <v>0</v>
      </c>
      <c r="N6" s="18">
        <f t="shared" ref="N6:N69" si="7">IF(AND(F6=-1,F5=1,F4=-1,F3=1),1,0)</f>
        <v>0</v>
      </c>
      <c r="O6" s="18">
        <f t="shared" ref="O6:O69" si="8">IF(AND(F6=0,F5=1,F4=-1,F3=1),1,0)</f>
        <v>0</v>
      </c>
      <c r="P6" s="18">
        <f t="shared" ref="P6:P69" si="9">IF(AND(F6=1,F5=1,F4=-1,F3=1),1,0)</f>
        <v>0</v>
      </c>
      <c r="Q6" s="18">
        <f t="shared" ref="Q6:Q69" si="10">IF(AND(F6=-1,F5=-1,F4=1,F3=1),1,0)</f>
        <v>0</v>
      </c>
      <c r="R6" s="18">
        <f t="shared" ref="R6:R69" si="11">IF(AND(F6=0,F5=-1,F4=1,F3=1),1,0)</f>
        <v>0</v>
      </c>
      <c r="S6" s="18">
        <f t="shared" ref="S6:S69" si="12">IF(AND(F6=1,F5=-1,F4=1,F3=1),1,0)</f>
        <v>0</v>
      </c>
      <c r="T6" s="18">
        <f t="shared" ref="T6:T69" si="13">IF(AND(F6=-1,F5=1,F4=-1,F3=-1),1,0)</f>
        <v>0</v>
      </c>
      <c r="U6" s="18">
        <f t="shared" ref="U6:U69" si="14">IF(AND(F6=0,F5=1,F4=-1,F3=-1),1,0)</f>
        <v>0</v>
      </c>
      <c r="V6" s="18">
        <f t="shared" ref="V6:V69" si="15">IF(AND(F6=1,F5=1,F4=-1,F3=-1),1,0)</f>
        <v>0</v>
      </c>
      <c r="W6" s="18">
        <f t="shared" ref="W6:W69" si="16">IF(AND(F6=-1,F5=-1,F4=-1,F3=1),1,0)</f>
        <v>0</v>
      </c>
      <c r="X6" s="18">
        <f t="shared" ref="X6:X69" si="17">IF(AND(F6=0,F5=-1,F4=-1,F3=1),1,0)</f>
        <v>0</v>
      </c>
      <c r="Y6" s="18">
        <f t="shared" ref="Y6:Y69" si="18">IF(AND(F6=1,F5=-1,F4=-1,F3=1),1,0)</f>
        <v>0</v>
      </c>
      <c r="Z6" s="18">
        <f t="shared" ref="Z6:Z69" si="19">IF(AND(F6=-1,F5=-1,F4=-1,F3=-1),1,0)</f>
        <v>0</v>
      </c>
      <c r="AA6" s="18">
        <f t="shared" ref="AA6:AA69" si="20">IF(AND(F6=0,F5=-1,F4=-1,F3=-1),1,0)</f>
        <v>0</v>
      </c>
      <c r="AB6" s="18">
        <f t="shared" ref="AB6:AB69" si="21">IF(AND(F6=1,F5=-1,F4=-1,F3=-1),1,0)</f>
        <v>0</v>
      </c>
      <c r="AC6" s="18">
        <f t="shared" ref="AC6:AC69" si="22">IF(AND(F6=-1,F5=-1,F4=1,F3=-1),1,0)</f>
        <v>0</v>
      </c>
      <c r="AD6" s="18">
        <f t="shared" ref="AD6:AD69" si="23">IF(AND(F6=0,F5=-1,F4=1,F3=-1),1,0)</f>
        <v>0</v>
      </c>
      <c r="AE6" s="18">
        <f t="shared" ref="AE6:AE69" si="24">IF(AND(F6=1,F5=-1,F4=1,F3=-1),1,0)</f>
        <v>0</v>
      </c>
      <c r="AF6" s="18">
        <f t="shared" ref="AF6:AF69" si="25">IF(AND(F6=-1,F5=1,F4=1,F3=0),1,0)</f>
        <v>0</v>
      </c>
      <c r="AG6" s="18">
        <f t="shared" ref="AG6:AG69" si="26">IF(AND(F6=0,F5=1,F4=1,F3=0),1,0)</f>
        <v>0</v>
      </c>
      <c r="AH6" s="18">
        <f t="shared" ref="AH6:AH69" si="27">IF(AND(F6=1,F5=1,F4=1,F3=0),1,0)</f>
        <v>0</v>
      </c>
      <c r="AI6" s="18">
        <f t="shared" ref="AI6:AI69" si="28">IF(AND(F6=-1,F5=1,F4=0,F3=1),1,0)</f>
        <v>0</v>
      </c>
      <c r="AJ6" s="18">
        <f t="shared" ref="AJ6:AJ69" si="29">IF(AND(F6=0,F5=1,F4=0,F3=1),1,0)</f>
        <v>0</v>
      </c>
      <c r="AK6" s="18">
        <f t="shared" ref="AK6:AK69" si="30">IF(AND(F6=1,F5=1,F4=0,F3=1),1,0)</f>
        <v>0</v>
      </c>
      <c r="AL6" s="18">
        <f t="shared" ref="AL6:AL69" si="31">IF(AND(F6=-1,F5=0,F4=1,F3=1),1,0)</f>
        <v>0</v>
      </c>
      <c r="AM6" s="18">
        <f t="shared" ref="AM6:AM69" si="32">IF(AND(F6=0,F5=0,F4=1,F3=1),1,0)</f>
        <v>0</v>
      </c>
      <c r="AN6" s="18">
        <f t="shared" ref="AN6:AN69" si="33">IF(AND(F6=1,F5=0,F4=1,F3=1),1,0)</f>
        <v>0</v>
      </c>
      <c r="AO6" s="18">
        <f t="shared" ref="AO6:AO69" si="34">IF(AND(F6=-1,F5=0,F4=0,F3=1),1,0)</f>
        <v>0</v>
      </c>
      <c r="AP6" s="18">
        <f t="shared" ref="AP6:AP69" si="35">IF(AND(F6=0,F5=0,F4=0,F3=1),1,0)</f>
        <v>0</v>
      </c>
      <c r="AQ6" s="18">
        <f t="shared" ref="AQ6:AQ69" si="36">IF(AND(F6=1,F5=0,F4=0,F3=1),1,0)</f>
        <v>0</v>
      </c>
      <c r="AR6" s="18">
        <f t="shared" ref="AR6:AR69" si="37">IF(AND(F6=-1,F5=0,F4=1,F3=0),1,0)</f>
        <v>0</v>
      </c>
      <c r="AS6" s="18">
        <f t="shared" ref="AS6:AS69" si="38">IF(AND(F6=0,F5=0,F4=1,F3=0),1,0)</f>
        <v>0</v>
      </c>
      <c r="AT6" s="18">
        <f t="shared" ref="AT6:AT69" si="39">IF(AND(F6=1,F5=0,F4=1,F3=0),1,0)</f>
        <v>0</v>
      </c>
      <c r="AU6" s="18">
        <f t="shared" ref="AU6:AU69" si="40">IF(AND(F6=-1,F5=1,F4=0,F3=0),1,0)</f>
        <v>0</v>
      </c>
      <c r="AV6" s="18">
        <f t="shared" ref="AV6:AV69" si="41">IF(AND(F6=0,F5=1,F4=0,F3=0),1,0)</f>
        <v>0</v>
      </c>
      <c r="AW6" s="18">
        <f t="shared" ref="AW6:AW69" si="42">IF(AND(F6=1,F5=1,F4=0,F3=0),1,0)</f>
        <v>0</v>
      </c>
      <c r="AX6" s="18">
        <f t="shared" ref="AX6:AX69" si="43">IF(AND(F6=-1,F5=-1,F4=-1,F3=0),1,0)</f>
        <v>0</v>
      </c>
      <c r="AY6" s="18">
        <f t="shared" ref="AY6:AY69" si="44">IF(AND(F6=0,F5=-1,F4=-1,F3=0),1,0)</f>
        <v>0</v>
      </c>
      <c r="AZ6" s="18">
        <f t="shared" ref="AZ6:AZ69" si="45">IF(AND(F6=1,F5=-1,F4=-1,F3=0),1,0)</f>
        <v>0</v>
      </c>
      <c r="BA6" s="18">
        <f t="shared" ref="BA6:BA69" si="46">IF(AND(F6=-1,F5=-1,F4=0,F3=-1),1,0)</f>
        <v>0</v>
      </c>
      <c r="BB6" s="18">
        <f t="shared" ref="BB6:BB69" si="47">IF(AND(F6=0,F5=-1,F4=0,F3=-1),1,0)</f>
        <v>0</v>
      </c>
      <c r="BC6" s="18">
        <f t="shared" ref="BC6:BC69" si="48">IF(AND(F6=1,F5=-1,F4=0,F3=-1),1,0)</f>
        <v>0</v>
      </c>
      <c r="BD6" s="18">
        <f t="shared" ref="BD6:BD69" si="49">IF(AND(F6=-1,F5=0,F4=-1,F3=-1),1,0)</f>
        <v>0</v>
      </c>
      <c r="BE6" s="18">
        <f t="shared" ref="BE6:BE69" si="50">IF(AND(F6=0,F5=0,F4=-1,F3=-1),1,0)</f>
        <v>0</v>
      </c>
      <c r="BF6" s="18">
        <f t="shared" ref="BF6:BF69" si="51">IF(AND(F6=1,F5=0,F4=-1,F3=-1),1,0)</f>
        <v>0</v>
      </c>
      <c r="BG6" s="18">
        <f t="shared" ref="BG6:BG69" si="52">IF(AND(F6=-1,F5=0,F4=1,F3=-1),1,0)</f>
        <v>0</v>
      </c>
      <c r="BH6" s="18">
        <f t="shared" ref="BH6:BH69" si="53">IF(AND(F6=0,F5=0,F4=1,F3=-1),1,0)</f>
        <v>0</v>
      </c>
      <c r="BI6" s="18">
        <f t="shared" ref="BI6:BI69" si="54">IF(AND(F6=1,F5=0,F4=1,F3=-1),1,0)</f>
        <v>0</v>
      </c>
      <c r="BJ6" s="18">
        <f t="shared" ref="BJ6:BJ69" si="55">IF(AND(F6=-1,F5=0,F4=-1,F3=1),1,0)</f>
        <v>0</v>
      </c>
      <c r="BK6" s="18">
        <f t="shared" ref="BK6:BK69" si="56">IF(AND(F6=0,F5=0,F4=-1,F3=1),1,0)</f>
        <v>0</v>
      </c>
      <c r="BL6" s="18">
        <f t="shared" ref="BL6:BL69" si="57">IF(AND(F6=1,F5=0,F4=-1,F3=1),1,0)</f>
        <v>0</v>
      </c>
      <c r="BM6" s="18">
        <f t="shared" ref="BM6:BM69" si="58">IF(AND(F6=-1,F5=1,F4=0,F3=-1),1,0)</f>
        <v>0</v>
      </c>
      <c r="BN6" s="18">
        <f t="shared" ref="BN6:BN69" si="59">IF(AND(F6=0,F5=1,F4=0,F3=-1),1,0)</f>
        <v>0</v>
      </c>
      <c r="BO6" s="18">
        <f t="shared" ref="BO6:BO69" si="60">IF(AND(F6=1,F5=1,F4=0,F3=-1),1,0)</f>
        <v>0</v>
      </c>
      <c r="BP6" s="18">
        <f t="shared" ref="BP6:BP69" si="61">IF(AND(F6=-1,F5=-1,F4=0,F3=1),1,0)</f>
        <v>0</v>
      </c>
      <c r="BQ6" s="18">
        <f t="shared" ref="BQ6:BQ69" si="62">IF(AND(F6=0,F5=-1,F4=0,F3=1),1,0)</f>
        <v>0</v>
      </c>
      <c r="BR6" s="18">
        <f t="shared" ref="BR6:BR69" si="63">IF(AND(F6=1,F5=-1,F4=0,F3=1),1,0)</f>
        <v>1</v>
      </c>
      <c r="BS6" s="18">
        <f t="shared" ref="BS6:BS69" si="64">IF(AND(F6=-1,F5=1,F4=-1,F3=0),1,0)</f>
        <v>0</v>
      </c>
      <c r="BT6" s="18">
        <f t="shared" ref="BT6:BT69" si="65">IF(AND(F6=0,F5=1,F4=-1,F3=0),1,0)</f>
        <v>0</v>
      </c>
      <c r="BU6" s="18">
        <f t="shared" ref="BU6:BU69" si="66">IF(AND(F6=1,F5=1,F4=-1,F3=0),1,0)</f>
        <v>0</v>
      </c>
      <c r="BV6" s="18">
        <f t="shared" ref="BV6:BV69" si="67">IF(AND(F6=-1,F5=-1,F4=1,F3=0),1,0)</f>
        <v>0</v>
      </c>
      <c r="BW6" s="18">
        <f t="shared" ref="BW6:BW69" si="68">IF(AND(F6=0,F5=-1,F4=1,F3=0),1,0)</f>
        <v>0</v>
      </c>
      <c r="BX6" s="18">
        <f t="shared" ref="BX6:BX69" si="69">IF(AND(F6=1,F5=-1,F4=1,F3=0),1,0)</f>
        <v>0</v>
      </c>
      <c r="BY6" s="18">
        <f t="shared" ref="BY6:BY69" si="70">IF(AND(F6=-1,F5=0,F4=0,F3=-1),1,0)</f>
        <v>0</v>
      </c>
      <c r="BZ6" s="18">
        <f t="shared" ref="BZ6:BZ69" si="71">IF(AND(F6=0,F5=0,F4=0,F3=-1),1,0)</f>
        <v>0</v>
      </c>
      <c r="CA6" s="18">
        <f t="shared" ref="CA6:CA69" si="72">IF(AND(F6=1,F5=0,F4=0,F3=-1),1,0)</f>
        <v>0</v>
      </c>
      <c r="CB6" s="18">
        <f t="shared" ref="CB6:CB69" si="73">IF(AND(F6=-1,F5=0,F4=-1,F3=0),1,0)</f>
        <v>0</v>
      </c>
      <c r="CC6" s="18">
        <f t="shared" ref="CC6:CC69" si="74">IF(AND(F6=0,F5=0,F4=-1,F3=0),1,0)</f>
        <v>0</v>
      </c>
      <c r="CD6" s="18">
        <f t="shared" ref="CD6:CD69" si="75">IF(AND(F6=1,F5=0,F4=-1,F3=0),1,0)</f>
        <v>0</v>
      </c>
      <c r="CE6" s="18">
        <f t="shared" ref="CE6:CE69" si="76">IF(AND(F6=-1,F5=-1,F4=0,F3=0),1,0)</f>
        <v>0</v>
      </c>
      <c r="CF6" s="18">
        <f t="shared" ref="CF6:CF69" si="77">IF(AND(F6=0,F5=-1,F4=0,F3=0),1,0)</f>
        <v>0</v>
      </c>
      <c r="CG6" s="18">
        <f t="shared" ref="CG6:CG69" si="78">IF(AND(F6=1,F5=-1,F4=0,F3=0),1,0)</f>
        <v>0</v>
      </c>
      <c r="CH6" s="18">
        <f t="shared" ref="CH6:CH69" si="79">IF(AND(F6=-1,F5=0,F4=0,F3=0),1,0)</f>
        <v>0</v>
      </c>
      <c r="CI6" s="18">
        <f t="shared" ref="CI6:CI69" si="80">IF(AND(F6=0,F5=0,F4=0,F3=0),1,0)</f>
        <v>0</v>
      </c>
      <c r="CJ6" s="18">
        <f t="shared" ref="CJ6:CJ69" si="81">IF(AND(F6=1,F5=0,F4=0,F3=0),1,0)</f>
        <v>0</v>
      </c>
      <c r="CQ6" s="17">
        <v>-1</v>
      </c>
      <c r="CR6" s="17">
        <v>0</v>
      </c>
      <c r="CS6" s="17">
        <v>1</v>
      </c>
      <c r="CU6" s="19" t="s">
        <v>128</v>
      </c>
    </row>
    <row r="7" spans="1:99" x14ac:dyDescent="0.3">
      <c r="A7" s="1">
        <v>43838</v>
      </c>
      <c r="B7">
        <v>40817.74</v>
      </c>
      <c r="C7">
        <f>Table1[[#This Row],[Close]]-0.001*Table1[[#This Row],[Close]]</f>
        <v>40776.922259999999</v>
      </c>
      <c r="D7">
        <f>Table1[[#This Row],[Close]]+0.001*Table1[[#This Row],[Close]]</f>
        <v>40858.557739999997</v>
      </c>
      <c r="E7" t="str">
        <f>IF(Table1[[#This Row],[Close]]&gt;D6,"UP",IF(Table1[[#This Row],[Close]]&lt;C6,"Down","Constant"))</f>
        <v>Down</v>
      </c>
      <c r="F7" s="3">
        <f>IF(Table1[[#This Row],[Column1]]="Up",1,IF(Table1[[#This Row],[Column1]]="Down",-1,0))</f>
        <v>-1</v>
      </c>
      <c r="G7">
        <f t="shared" si="0"/>
        <v>1</v>
      </c>
      <c r="H7" s="18">
        <f t="shared" si="1"/>
        <v>0</v>
      </c>
      <c r="I7" s="18">
        <f t="shared" si="2"/>
        <v>0</v>
      </c>
      <c r="J7" s="18">
        <f t="shared" si="3"/>
        <v>0</v>
      </c>
      <c r="K7" s="18">
        <f t="shared" si="4"/>
        <v>0</v>
      </c>
      <c r="L7" s="18">
        <f t="shared" si="5"/>
        <v>0</v>
      </c>
      <c r="M7" s="18">
        <f t="shared" si="6"/>
        <v>0</v>
      </c>
      <c r="N7" s="18">
        <f t="shared" si="7"/>
        <v>0</v>
      </c>
      <c r="O7" s="18">
        <f t="shared" si="8"/>
        <v>0</v>
      </c>
      <c r="P7" s="18">
        <f t="shared" si="9"/>
        <v>0</v>
      </c>
      <c r="Q7" s="18">
        <f t="shared" si="10"/>
        <v>0</v>
      </c>
      <c r="R7" s="18">
        <f t="shared" si="11"/>
        <v>0</v>
      </c>
      <c r="S7" s="18">
        <f t="shared" si="12"/>
        <v>0</v>
      </c>
      <c r="T7" s="18">
        <f t="shared" si="13"/>
        <v>0</v>
      </c>
      <c r="U7" s="18">
        <f t="shared" si="14"/>
        <v>0</v>
      </c>
      <c r="V7" s="18">
        <f t="shared" si="15"/>
        <v>0</v>
      </c>
      <c r="W7" s="18">
        <f t="shared" si="16"/>
        <v>0</v>
      </c>
      <c r="X7" s="18">
        <f t="shared" si="17"/>
        <v>0</v>
      </c>
      <c r="Y7" s="18">
        <f t="shared" si="18"/>
        <v>0</v>
      </c>
      <c r="Z7" s="18">
        <f t="shared" si="19"/>
        <v>0</v>
      </c>
      <c r="AA7" s="18">
        <f t="shared" si="20"/>
        <v>0</v>
      </c>
      <c r="AB7" s="18">
        <f t="shared" si="21"/>
        <v>0</v>
      </c>
      <c r="AC7" s="18">
        <f t="shared" si="22"/>
        <v>0</v>
      </c>
      <c r="AD7" s="18">
        <f t="shared" si="23"/>
        <v>0</v>
      </c>
      <c r="AE7" s="18">
        <f t="shared" si="24"/>
        <v>0</v>
      </c>
      <c r="AF7" s="18">
        <f t="shared" si="25"/>
        <v>0</v>
      </c>
      <c r="AG7" s="18">
        <f t="shared" si="26"/>
        <v>0</v>
      </c>
      <c r="AH7" s="18">
        <f t="shared" si="27"/>
        <v>0</v>
      </c>
      <c r="AI7" s="18">
        <f t="shared" si="28"/>
        <v>0</v>
      </c>
      <c r="AJ7" s="18">
        <f t="shared" si="29"/>
        <v>0</v>
      </c>
      <c r="AK7" s="18">
        <f t="shared" si="30"/>
        <v>0</v>
      </c>
      <c r="AL7" s="18">
        <f t="shared" si="31"/>
        <v>0</v>
      </c>
      <c r="AM7" s="18">
        <f t="shared" si="32"/>
        <v>0</v>
      </c>
      <c r="AN7" s="18">
        <f t="shared" si="33"/>
        <v>0</v>
      </c>
      <c r="AO7" s="18">
        <f t="shared" si="34"/>
        <v>0</v>
      </c>
      <c r="AP7" s="18">
        <f t="shared" si="35"/>
        <v>0</v>
      </c>
      <c r="AQ7" s="18">
        <f t="shared" si="36"/>
        <v>0</v>
      </c>
      <c r="AR7" s="18">
        <f t="shared" si="37"/>
        <v>0</v>
      </c>
      <c r="AS7" s="18">
        <f t="shared" si="38"/>
        <v>0</v>
      </c>
      <c r="AT7" s="18">
        <f t="shared" si="39"/>
        <v>0</v>
      </c>
      <c r="AU7" s="18">
        <f t="shared" si="40"/>
        <v>0</v>
      </c>
      <c r="AV7" s="18">
        <f t="shared" si="41"/>
        <v>0</v>
      </c>
      <c r="AW7" s="18">
        <f t="shared" si="42"/>
        <v>0</v>
      </c>
      <c r="AX7" s="18">
        <f t="shared" si="43"/>
        <v>0</v>
      </c>
      <c r="AY7" s="18">
        <f t="shared" si="44"/>
        <v>0</v>
      </c>
      <c r="AZ7" s="18">
        <f t="shared" si="45"/>
        <v>0</v>
      </c>
      <c r="BA7" s="18">
        <f t="shared" si="46"/>
        <v>0</v>
      </c>
      <c r="BB7" s="18">
        <f t="shared" si="47"/>
        <v>0</v>
      </c>
      <c r="BC7" s="18">
        <f t="shared" si="48"/>
        <v>0</v>
      </c>
      <c r="BD7" s="18">
        <f t="shared" si="49"/>
        <v>0</v>
      </c>
      <c r="BE7" s="18">
        <f t="shared" si="50"/>
        <v>0</v>
      </c>
      <c r="BF7" s="18">
        <f t="shared" si="51"/>
        <v>0</v>
      </c>
      <c r="BG7" s="18">
        <f t="shared" si="52"/>
        <v>0</v>
      </c>
      <c r="BH7" s="18">
        <f t="shared" si="53"/>
        <v>0</v>
      </c>
      <c r="BI7" s="18">
        <f t="shared" si="54"/>
        <v>0</v>
      </c>
      <c r="BJ7" s="18">
        <f t="shared" si="55"/>
        <v>0</v>
      </c>
      <c r="BK7" s="18">
        <f t="shared" si="56"/>
        <v>0</v>
      </c>
      <c r="BL7" s="18">
        <f t="shared" si="57"/>
        <v>0</v>
      </c>
      <c r="BM7" s="18">
        <f t="shared" si="58"/>
        <v>0</v>
      </c>
      <c r="BN7" s="18">
        <f t="shared" si="59"/>
        <v>0</v>
      </c>
      <c r="BO7" s="18">
        <f t="shared" si="60"/>
        <v>0</v>
      </c>
      <c r="BP7" s="18">
        <f t="shared" si="61"/>
        <v>0</v>
      </c>
      <c r="BQ7" s="18">
        <f t="shared" si="62"/>
        <v>0</v>
      </c>
      <c r="BR7" s="18">
        <f t="shared" si="63"/>
        <v>0</v>
      </c>
      <c r="BS7" s="18">
        <f t="shared" si="64"/>
        <v>1</v>
      </c>
      <c r="BT7" s="18">
        <f t="shared" si="65"/>
        <v>0</v>
      </c>
      <c r="BU7" s="18">
        <f t="shared" si="66"/>
        <v>0</v>
      </c>
      <c r="BV7" s="18">
        <f t="shared" si="67"/>
        <v>0</v>
      </c>
      <c r="BW7" s="18">
        <f t="shared" si="68"/>
        <v>0</v>
      </c>
      <c r="BX7" s="18">
        <f t="shared" si="69"/>
        <v>0</v>
      </c>
      <c r="BY7" s="18">
        <f t="shared" si="70"/>
        <v>0</v>
      </c>
      <c r="BZ7" s="18">
        <f t="shared" si="71"/>
        <v>0</v>
      </c>
      <c r="CA7" s="18">
        <f t="shared" si="72"/>
        <v>0</v>
      </c>
      <c r="CB7" s="18">
        <f t="shared" si="73"/>
        <v>0</v>
      </c>
      <c r="CC7" s="18">
        <f t="shared" si="74"/>
        <v>0</v>
      </c>
      <c r="CD7" s="18">
        <f t="shared" si="75"/>
        <v>0</v>
      </c>
      <c r="CE7" s="18">
        <f t="shared" si="76"/>
        <v>0</v>
      </c>
      <c r="CF7" s="18">
        <f t="shared" si="77"/>
        <v>0</v>
      </c>
      <c r="CG7" s="18">
        <f t="shared" si="78"/>
        <v>0</v>
      </c>
      <c r="CH7" s="18">
        <f t="shared" si="79"/>
        <v>0</v>
      </c>
      <c r="CI7" s="18">
        <f t="shared" si="80"/>
        <v>0</v>
      </c>
      <c r="CJ7" s="18">
        <f t="shared" si="81"/>
        <v>0</v>
      </c>
      <c r="CN7" s="17">
        <v>1</v>
      </c>
      <c r="CO7" s="17">
        <v>1</v>
      </c>
      <c r="CP7" s="17">
        <v>1</v>
      </c>
      <c r="CQ7">
        <f>SUM(H5:H253)</f>
        <v>18</v>
      </c>
      <c r="CR7">
        <f>SUM(I5:I253)</f>
        <v>2</v>
      </c>
      <c r="CS7">
        <f>SUM(J5:J253)</f>
        <v>29</v>
      </c>
      <c r="CU7">
        <f>SUM(CQ7:CS7)</f>
        <v>49</v>
      </c>
    </row>
    <row r="8" spans="1:99" x14ac:dyDescent="0.3">
      <c r="A8" s="1">
        <v>43839</v>
      </c>
      <c r="B8">
        <v>41452.35</v>
      </c>
      <c r="C8">
        <f>Table1[[#This Row],[Close]]-0.001*Table1[[#This Row],[Close]]</f>
        <v>41410.897649999999</v>
      </c>
      <c r="D8">
        <f>Table1[[#This Row],[Close]]+0.001*Table1[[#This Row],[Close]]</f>
        <v>41493.802349999998</v>
      </c>
      <c r="E8" t="str">
        <f>IF(Table1[[#This Row],[Close]]&gt;D7,"UP",IF(Table1[[#This Row],[Close]]&lt;C7,"Down","Constant"))</f>
        <v>UP</v>
      </c>
      <c r="F8" s="3">
        <f>IF(Table1[[#This Row],[Column1]]="Up",1,IF(Table1[[#This Row],[Column1]]="Down",-1,0))</f>
        <v>1</v>
      </c>
      <c r="G8">
        <f t="shared" si="0"/>
        <v>0</v>
      </c>
      <c r="H8" s="18">
        <f t="shared" si="1"/>
        <v>0</v>
      </c>
      <c r="I8" s="18">
        <f t="shared" si="2"/>
        <v>0</v>
      </c>
      <c r="J8" s="18">
        <f t="shared" si="3"/>
        <v>0</v>
      </c>
      <c r="K8" s="18">
        <f t="shared" si="4"/>
        <v>0</v>
      </c>
      <c r="L8" s="18">
        <f t="shared" si="5"/>
        <v>0</v>
      </c>
      <c r="M8" s="18">
        <f t="shared" si="6"/>
        <v>0</v>
      </c>
      <c r="N8" s="18">
        <f t="shared" si="7"/>
        <v>0</v>
      </c>
      <c r="O8" s="18">
        <f t="shared" si="8"/>
        <v>0</v>
      </c>
      <c r="P8" s="18">
        <f t="shared" si="9"/>
        <v>0</v>
      </c>
      <c r="Q8" s="18">
        <f t="shared" si="10"/>
        <v>0</v>
      </c>
      <c r="R8" s="18">
        <f t="shared" si="11"/>
        <v>0</v>
      </c>
      <c r="S8" s="18">
        <f t="shared" si="12"/>
        <v>0</v>
      </c>
      <c r="T8" s="18">
        <f t="shared" si="13"/>
        <v>0</v>
      </c>
      <c r="U8" s="18">
        <f t="shared" si="14"/>
        <v>0</v>
      </c>
      <c r="V8" s="18">
        <f t="shared" si="15"/>
        <v>0</v>
      </c>
      <c r="W8" s="18">
        <f t="shared" si="16"/>
        <v>0</v>
      </c>
      <c r="X8" s="18">
        <f t="shared" si="17"/>
        <v>0</v>
      </c>
      <c r="Y8" s="18">
        <f t="shared" si="18"/>
        <v>0</v>
      </c>
      <c r="Z8" s="18">
        <f t="shared" si="19"/>
        <v>0</v>
      </c>
      <c r="AA8" s="18">
        <f t="shared" si="20"/>
        <v>0</v>
      </c>
      <c r="AB8" s="18">
        <f t="shared" si="21"/>
        <v>0</v>
      </c>
      <c r="AC8" s="18">
        <f t="shared" si="22"/>
        <v>0</v>
      </c>
      <c r="AD8" s="18">
        <f t="shared" si="23"/>
        <v>0</v>
      </c>
      <c r="AE8" s="18">
        <f t="shared" si="24"/>
        <v>1</v>
      </c>
      <c r="AF8" s="18">
        <f t="shared" si="25"/>
        <v>0</v>
      </c>
      <c r="AG8" s="18">
        <f t="shared" si="26"/>
        <v>0</v>
      </c>
      <c r="AH8" s="18">
        <f t="shared" si="27"/>
        <v>0</v>
      </c>
      <c r="AI8" s="18">
        <f t="shared" si="28"/>
        <v>0</v>
      </c>
      <c r="AJ8" s="18">
        <f t="shared" si="29"/>
        <v>0</v>
      </c>
      <c r="AK8" s="18">
        <f t="shared" si="30"/>
        <v>0</v>
      </c>
      <c r="AL8" s="18">
        <f t="shared" si="31"/>
        <v>0</v>
      </c>
      <c r="AM8" s="18">
        <f t="shared" si="32"/>
        <v>0</v>
      </c>
      <c r="AN8" s="18">
        <f t="shared" si="33"/>
        <v>0</v>
      </c>
      <c r="AO8" s="18">
        <f t="shared" si="34"/>
        <v>0</v>
      </c>
      <c r="AP8" s="18">
        <f t="shared" si="35"/>
        <v>0</v>
      </c>
      <c r="AQ8" s="18">
        <f t="shared" si="36"/>
        <v>0</v>
      </c>
      <c r="AR8" s="18">
        <f t="shared" si="37"/>
        <v>0</v>
      </c>
      <c r="AS8" s="18">
        <f t="shared" si="38"/>
        <v>0</v>
      </c>
      <c r="AT8" s="18">
        <f t="shared" si="39"/>
        <v>0</v>
      </c>
      <c r="AU8" s="18">
        <f t="shared" si="40"/>
        <v>0</v>
      </c>
      <c r="AV8" s="18">
        <f t="shared" si="41"/>
        <v>0</v>
      </c>
      <c r="AW8" s="18">
        <f t="shared" si="42"/>
        <v>0</v>
      </c>
      <c r="AX8" s="18">
        <f t="shared" si="43"/>
        <v>0</v>
      </c>
      <c r="AY8" s="18">
        <f t="shared" si="44"/>
        <v>0</v>
      </c>
      <c r="AZ8" s="18">
        <f t="shared" si="45"/>
        <v>0</v>
      </c>
      <c r="BA8" s="18">
        <f t="shared" si="46"/>
        <v>0</v>
      </c>
      <c r="BB8" s="18">
        <f t="shared" si="47"/>
        <v>0</v>
      </c>
      <c r="BC8" s="18">
        <f t="shared" si="48"/>
        <v>0</v>
      </c>
      <c r="BD8" s="18">
        <f t="shared" si="49"/>
        <v>0</v>
      </c>
      <c r="BE8" s="18">
        <f t="shared" si="50"/>
        <v>0</v>
      </c>
      <c r="BF8" s="18">
        <f t="shared" si="51"/>
        <v>0</v>
      </c>
      <c r="BG8" s="18">
        <f t="shared" si="52"/>
        <v>0</v>
      </c>
      <c r="BH8" s="18">
        <f t="shared" si="53"/>
        <v>0</v>
      </c>
      <c r="BI8" s="18">
        <f t="shared" si="54"/>
        <v>0</v>
      </c>
      <c r="BJ8" s="18">
        <f t="shared" si="55"/>
        <v>0</v>
      </c>
      <c r="BK8" s="18">
        <f t="shared" si="56"/>
        <v>0</v>
      </c>
      <c r="BL8" s="18">
        <f t="shared" si="57"/>
        <v>0</v>
      </c>
      <c r="BM8" s="18">
        <f t="shared" si="58"/>
        <v>0</v>
      </c>
      <c r="BN8" s="18">
        <f t="shared" si="59"/>
        <v>0</v>
      </c>
      <c r="BO8" s="18">
        <f t="shared" si="60"/>
        <v>0</v>
      </c>
      <c r="BP8" s="18">
        <f t="shared" si="61"/>
        <v>0</v>
      </c>
      <c r="BQ8" s="18">
        <f t="shared" si="62"/>
        <v>0</v>
      </c>
      <c r="BR8" s="18">
        <f t="shared" si="63"/>
        <v>0</v>
      </c>
      <c r="BS8" s="18">
        <f t="shared" si="64"/>
        <v>0</v>
      </c>
      <c r="BT8" s="18">
        <f t="shared" si="65"/>
        <v>0</v>
      </c>
      <c r="BU8" s="18">
        <f t="shared" si="66"/>
        <v>0</v>
      </c>
      <c r="BV8" s="18">
        <f t="shared" si="67"/>
        <v>0</v>
      </c>
      <c r="BW8" s="18">
        <f t="shared" si="68"/>
        <v>0</v>
      </c>
      <c r="BX8" s="18">
        <f t="shared" si="69"/>
        <v>0</v>
      </c>
      <c r="BY8" s="18">
        <f t="shared" si="70"/>
        <v>0</v>
      </c>
      <c r="BZ8" s="18">
        <f t="shared" si="71"/>
        <v>0</v>
      </c>
      <c r="CA8" s="18">
        <f t="shared" si="72"/>
        <v>0</v>
      </c>
      <c r="CB8" s="18">
        <f t="shared" si="73"/>
        <v>0</v>
      </c>
      <c r="CC8" s="18">
        <f t="shared" si="74"/>
        <v>0</v>
      </c>
      <c r="CD8" s="18">
        <f t="shared" si="75"/>
        <v>0</v>
      </c>
      <c r="CE8" s="18">
        <f t="shared" si="76"/>
        <v>0</v>
      </c>
      <c r="CF8" s="18">
        <f t="shared" si="77"/>
        <v>0</v>
      </c>
      <c r="CG8" s="18">
        <f t="shared" si="78"/>
        <v>0</v>
      </c>
      <c r="CH8" s="18">
        <f t="shared" si="79"/>
        <v>0</v>
      </c>
      <c r="CI8" s="18">
        <f t="shared" si="80"/>
        <v>0</v>
      </c>
      <c r="CJ8" s="18">
        <f t="shared" si="81"/>
        <v>0</v>
      </c>
      <c r="CN8" s="17">
        <v>1</v>
      </c>
      <c r="CO8" s="17">
        <v>1</v>
      </c>
      <c r="CP8" s="17">
        <v>-1</v>
      </c>
      <c r="CQ8">
        <f>SUM(K5:K253)</f>
        <v>6</v>
      </c>
      <c r="CR8">
        <f>SUM(L5:L253)</f>
        <v>2</v>
      </c>
      <c r="CS8">
        <f>SUM(M5:M253)</f>
        <v>16</v>
      </c>
      <c r="CU8" s="18">
        <f t="shared" ref="CU8:CU33" si="82">SUM(CQ8:CS8)</f>
        <v>24</v>
      </c>
    </row>
    <row r="9" spans="1:99" x14ac:dyDescent="0.3">
      <c r="A9" s="1">
        <v>43840</v>
      </c>
      <c r="B9">
        <v>41599.72</v>
      </c>
      <c r="C9">
        <f>Table1[[#This Row],[Close]]-0.001*Table1[[#This Row],[Close]]</f>
        <v>41558.120280000003</v>
      </c>
      <c r="D9">
        <f>Table1[[#This Row],[Close]]+0.001*Table1[[#This Row],[Close]]</f>
        <v>41641.31972</v>
      </c>
      <c r="E9" t="str">
        <f>IF(Table1[[#This Row],[Close]]&gt;D8,"UP",IF(Table1[[#This Row],[Close]]&lt;C8,"Down","Constant"))</f>
        <v>UP</v>
      </c>
      <c r="F9" s="3">
        <f>IF(Table1[[#This Row],[Column1]]="Up",1,IF(Table1[[#This Row],[Column1]]="Down",-1,0))</f>
        <v>1</v>
      </c>
      <c r="G9">
        <f t="shared" si="0"/>
        <v>0</v>
      </c>
      <c r="H9" s="18">
        <f t="shared" si="1"/>
        <v>0</v>
      </c>
      <c r="I9" s="18">
        <f t="shared" si="2"/>
        <v>0</v>
      </c>
      <c r="J9" s="18">
        <f t="shared" si="3"/>
        <v>0</v>
      </c>
      <c r="K9" s="18">
        <f t="shared" si="4"/>
        <v>0</v>
      </c>
      <c r="L9" s="18">
        <f t="shared" si="5"/>
        <v>0</v>
      </c>
      <c r="M9" s="18">
        <f t="shared" si="6"/>
        <v>0</v>
      </c>
      <c r="N9" s="18">
        <f t="shared" si="7"/>
        <v>0</v>
      </c>
      <c r="O9" s="18">
        <f t="shared" si="8"/>
        <v>0</v>
      </c>
      <c r="P9" s="18">
        <f t="shared" si="9"/>
        <v>1</v>
      </c>
      <c r="Q9" s="18">
        <f t="shared" si="10"/>
        <v>0</v>
      </c>
      <c r="R9" s="18">
        <f t="shared" si="11"/>
        <v>0</v>
      </c>
      <c r="S9" s="18">
        <f t="shared" si="12"/>
        <v>0</v>
      </c>
      <c r="T9" s="18">
        <f t="shared" si="13"/>
        <v>0</v>
      </c>
      <c r="U9" s="18">
        <f t="shared" si="14"/>
        <v>0</v>
      </c>
      <c r="V9" s="18">
        <f t="shared" si="15"/>
        <v>0</v>
      </c>
      <c r="W9" s="18">
        <f t="shared" si="16"/>
        <v>0</v>
      </c>
      <c r="X9" s="18">
        <f t="shared" si="17"/>
        <v>0</v>
      </c>
      <c r="Y9" s="18">
        <f t="shared" si="18"/>
        <v>0</v>
      </c>
      <c r="Z9" s="18">
        <f t="shared" si="19"/>
        <v>0</v>
      </c>
      <c r="AA9" s="18">
        <f t="shared" si="20"/>
        <v>0</v>
      </c>
      <c r="AB9" s="18">
        <f t="shared" si="21"/>
        <v>0</v>
      </c>
      <c r="AC9" s="18">
        <f t="shared" si="22"/>
        <v>0</v>
      </c>
      <c r="AD9" s="18">
        <f t="shared" si="23"/>
        <v>0</v>
      </c>
      <c r="AE9" s="18">
        <f t="shared" si="24"/>
        <v>0</v>
      </c>
      <c r="AF9" s="18">
        <f t="shared" si="25"/>
        <v>0</v>
      </c>
      <c r="AG9" s="18">
        <f t="shared" si="26"/>
        <v>0</v>
      </c>
      <c r="AH9" s="18">
        <f t="shared" si="27"/>
        <v>0</v>
      </c>
      <c r="AI9" s="18">
        <f t="shared" si="28"/>
        <v>0</v>
      </c>
      <c r="AJ9" s="18">
        <f t="shared" si="29"/>
        <v>0</v>
      </c>
      <c r="AK9" s="18">
        <f t="shared" si="30"/>
        <v>0</v>
      </c>
      <c r="AL9" s="18">
        <f t="shared" si="31"/>
        <v>0</v>
      </c>
      <c r="AM9" s="18">
        <f t="shared" si="32"/>
        <v>0</v>
      </c>
      <c r="AN9" s="18">
        <f t="shared" si="33"/>
        <v>0</v>
      </c>
      <c r="AO9" s="18">
        <f t="shared" si="34"/>
        <v>0</v>
      </c>
      <c r="AP9" s="18">
        <f t="shared" si="35"/>
        <v>0</v>
      </c>
      <c r="AQ9" s="18">
        <f t="shared" si="36"/>
        <v>0</v>
      </c>
      <c r="AR9" s="18">
        <f t="shared" si="37"/>
        <v>0</v>
      </c>
      <c r="AS9" s="18">
        <f t="shared" si="38"/>
        <v>0</v>
      </c>
      <c r="AT9" s="18">
        <f t="shared" si="39"/>
        <v>0</v>
      </c>
      <c r="AU9" s="18">
        <f t="shared" si="40"/>
        <v>0</v>
      </c>
      <c r="AV9" s="18">
        <f t="shared" si="41"/>
        <v>0</v>
      </c>
      <c r="AW9" s="18">
        <f t="shared" si="42"/>
        <v>0</v>
      </c>
      <c r="AX9" s="18">
        <f t="shared" si="43"/>
        <v>0</v>
      </c>
      <c r="AY9" s="18">
        <f t="shared" si="44"/>
        <v>0</v>
      </c>
      <c r="AZ9" s="18">
        <f t="shared" si="45"/>
        <v>0</v>
      </c>
      <c r="BA9" s="18">
        <f t="shared" si="46"/>
        <v>0</v>
      </c>
      <c r="BB9" s="18">
        <f t="shared" si="47"/>
        <v>0</v>
      </c>
      <c r="BC9" s="18">
        <f t="shared" si="48"/>
        <v>0</v>
      </c>
      <c r="BD9" s="18">
        <f t="shared" si="49"/>
        <v>0</v>
      </c>
      <c r="BE9" s="18">
        <f t="shared" si="50"/>
        <v>0</v>
      </c>
      <c r="BF9" s="18">
        <f t="shared" si="51"/>
        <v>0</v>
      </c>
      <c r="BG9" s="18">
        <f t="shared" si="52"/>
        <v>0</v>
      </c>
      <c r="BH9" s="18">
        <f t="shared" si="53"/>
        <v>0</v>
      </c>
      <c r="BI9" s="18">
        <f t="shared" si="54"/>
        <v>0</v>
      </c>
      <c r="BJ9" s="18">
        <f t="shared" si="55"/>
        <v>0</v>
      </c>
      <c r="BK9" s="18">
        <f t="shared" si="56"/>
        <v>0</v>
      </c>
      <c r="BL9" s="18">
        <f t="shared" si="57"/>
        <v>0</v>
      </c>
      <c r="BM9" s="18">
        <f t="shared" si="58"/>
        <v>0</v>
      </c>
      <c r="BN9" s="18">
        <f t="shared" si="59"/>
        <v>0</v>
      </c>
      <c r="BO9" s="18">
        <f t="shared" si="60"/>
        <v>0</v>
      </c>
      <c r="BP9" s="18">
        <f t="shared" si="61"/>
        <v>0</v>
      </c>
      <c r="BQ9" s="18">
        <f t="shared" si="62"/>
        <v>0</v>
      </c>
      <c r="BR9" s="18">
        <f t="shared" si="63"/>
        <v>0</v>
      </c>
      <c r="BS9" s="18">
        <f t="shared" si="64"/>
        <v>0</v>
      </c>
      <c r="BT9" s="18">
        <f t="shared" si="65"/>
        <v>0</v>
      </c>
      <c r="BU9" s="18">
        <f t="shared" si="66"/>
        <v>0</v>
      </c>
      <c r="BV9" s="18">
        <f t="shared" si="67"/>
        <v>0</v>
      </c>
      <c r="BW9" s="18">
        <f t="shared" si="68"/>
        <v>0</v>
      </c>
      <c r="BX9" s="18">
        <f t="shared" si="69"/>
        <v>0</v>
      </c>
      <c r="BY9" s="18">
        <f t="shared" si="70"/>
        <v>0</v>
      </c>
      <c r="BZ9" s="18">
        <f t="shared" si="71"/>
        <v>0</v>
      </c>
      <c r="CA9" s="18">
        <f t="shared" si="72"/>
        <v>0</v>
      </c>
      <c r="CB9" s="18">
        <f t="shared" si="73"/>
        <v>0</v>
      </c>
      <c r="CC9" s="18">
        <f t="shared" si="74"/>
        <v>0</v>
      </c>
      <c r="CD9" s="18">
        <f t="shared" si="75"/>
        <v>0</v>
      </c>
      <c r="CE9" s="18">
        <f t="shared" si="76"/>
        <v>0</v>
      </c>
      <c r="CF9" s="18">
        <f t="shared" si="77"/>
        <v>0</v>
      </c>
      <c r="CG9" s="18">
        <f t="shared" si="78"/>
        <v>0</v>
      </c>
      <c r="CH9" s="18">
        <f t="shared" si="79"/>
        <v>0</v>
      </c>
      <c r="CI9" s="18">
        <f t="shared" si="80"/>
        <v>0</v>
      </c>
      <c r="CJ9" s="18">
        <f t="shared" si="81"/>
        <v>0</v>
      </c>
      <c r="CN9" s="17">
        <v>1</v>
      </c>
      <c r="CO9" s="17">
        <v>-1</v>
      </c>
      <c r="CP9" s="17">
        <v>1</v>
      </c>
      <c r="CQ9">
        <f>SUM(N5:N253)</f>
        <v>12</v>
      </c>
      <c r="CR9">
        <f>SUM(O5:O253)</f>
        <v>3</v>
      </c>
      <c r="CS9">
        <f>SUM(P5:P253)</f>
        <v>13</v>
      </c>
      <c r="CU9" s="18">
        <f t="shared" si="82"/>
        <v>28</v>
      </c>
    </row>
    <row r="10" spans="1:99" x14ac:dyDescent="0.3">
      <c r="A10" s="1">
        <v>43843</v>
      </c>
      <c r="B10">
        <v>41859.69</v>
      </c>
      <c r="C10">
        <f>Table1[[#This Row],[Close]]-0.001*Table1[[#This Row],[Close]]</f>
        <v>41817.830310000005</v>
      </c>
      <c r="D10">
        <f>Table1[[#This Row],[Close]]+0.001*Table1[[#This Row],[Close]]</f>
        <v>41901.54969</v>
      </c>
      <c r="E10" t="str">
        <f>IF(Table1[[#This Row],[Close]]&gt;D9,"UP",IF(Table1[[#This Row],[Close]]&lt;C9,"Down","Constant"))</f>
        <v>UP</v>
      </c>
      <c r="F10" s="3">
        <f>IF(Table1[[#This Row],[Column1]]="Up",1,IF(Table1[[#This Row],[Column1]]="Down",-1,0))</f>
        <v>1</v>
      </c>
      <c r="G10">
        <f t="shared" si="0"/>
        <v>0</v>
      </c>
      <c r="H10" s="18">
        <f t="shared" si="1"/>
        <v>0</v>
      </c>
      <c r="I10" s="18">
        <f t="shared" si="2"/>
        <v>0</v>
      </c>
      <c r="J10" s="18">
        <f t="shared" si="3"/>
        <v>0</v>
      </c>
      <c r="K10" s="18">
        <f t="shared" si="4"/>
        <v>0</v>
      </c>
      <c r="L10" s="18">
        <f t="shared" si="5"/>
        <v>0</v>
      </c>
      <c r="M10" s="18">
        <f t="shared" si="6"/>
        <v>1</v>
      </c>
      <c r="N10" s="18">
        <f t="shared" si="7"/>
        <v>0</v>
      </c>
      <c r="O10" s="18">
        <f t="shared" si="8"/>
        <v>0</v>
      </c>
      <c r="P10" s="18">
        <f t="shared" si="9"/>
        <v>0</v>
      </c>
      <c r="Q10" s="18">
        <f t="shared" si="10"/>
        <v>0</v>
      </c>
      <c r="R10" s="18">
        <f t="shared" si="11"/>
        <v>0</v>
      </c>
      <c r="S10" s="18">
        <f t="shared" si="12"/>
        <v>0</v>
      </c>
      <c r="T10" s="18">
        <f t="shared" si="13"/>
        <v>0</v>
      </c>
      <c r="U10" s="18">
        <f t="shared" si="14"/>
        <v>0</v>
      </c>
      <c r="V10" s="18">
        <f t="shared" si="15"/>
        <v>0</v>
      </c>
      <c r="W10" s="18">
        <f t="shared" si="16"/>
        <v>0</v>
      </c>
      <c r="X10" s="18">
        <f t="shared" si="17"/>
        <v>0</v>
      </c>
      <c r="Y10" s="18">
        <f t="shared" si="18"/>
        <v>0</v>
      </c>
      <c r="Z10" s="18">
        <f t="shared" si="19"/>
        <v>0</v>
      </c>
      <c r="AA10" s="18">
        <f t="shared" si="20"/>
        <v>0</v>
      </c>
      <c r="AB10" s="18">
        <f t="shared" si="21"/>
        <v>0</v>
      </c>
      <c r="AC10" s="18">
        <f t="shared" si="22"/>
        <v>0</v>
      </c>
      <c r="AD10" s="18">
        <f t="shared" si="23"/>
        <v>0</v>
      </c>
      <c r="AE10" s="18">
        <f t="shared" si="24"/>
        <v>0</v>
      </c>
      <c r="AF10" s="18">
        <f t="shared" si="25"/>
        <v>0</v>
      </c>
      <c r="AG10" s="18">
        <f t="shared" si="26"/>
        <v>0</v>
      </c>
      <c r="AH10" s="18">
        <f t="shared" si="27"/>
        <v>0</v>
      </c>
      <c r="AI10" s="18">
        <f t="shared" si="28"/>
        <v>0</v>
      </c>
      <c r="AJ10" s="18">
        <f t="shared" si="29"/>
        <v>0</v>
      </c>
      <c r="AK10" s="18">
        <f t="shared" si="30"/>
        <v>0</v>
      </c>
      <c r="AL10" s="18">
        <f t="shared" si="31"/>
        <v>0</v>
      </c>
      <c r="AM10" s="18">
        <f t="shared" si="32"/>
        <v>0</v>
      </c>
      <c r="AN10" s="18">
        <f t="shared" si="33"/>
        <v>0</v>
      </c>
      <c r="AO10" s="18">
        <f t="shared" si="34"/>
        <v>0</v>
      </c>
      <c r="AP10" s="18">
        <f t="shared" si="35"/>
        <v>0</v>
      </c>
      <c r="AQ10" s="18">
        <f t="shared" si="36"/>
        <v>0</v>
      </c>
      <c r="AR10" s="18">
        <f t="shared" si="37"/>
        <v>0</v>
      </c>
      <c r="AS10" s="18">
        <f t="shared" si="38"/>
        <v>0</v>
      </c>
      <c r="AT10" s="18">
        <f t="shared" si="39"/>
        <v>0</v>
      </c>
      <c r="AU10" s="18">
        <f t="shared" si="40"/>
        <v>0</v>
      </c>
      <c r="AV10" s="18">
        <f t="shared" si="41"/>
        <v>0</v>
      </c>
      <c r="AW10" s="18">
        <f t="shared" si="42"/>
        <v>0</v>
      </c>
      <c r="AX10" s="18">
        <f t="shared" si="43"/>
        <v>0</v>
      </c>
      <c r="AY10" s="18">
        <f t="shared" si="44"/>
        <v>0</v>
      </c>
      <c r="AZ10" s="18">
        <f t="shared" si="45"/>
        <v>0</v>
      </c>
      <c r="BA10" s="18">
        <f t="shared" si="46"/>
        <v>0</v>
      </c>
      <c r="BB10" s="18">
        <f t="shared" si="47"/>
        <v>0</v>
      </c>
      <c r="BC10" s="18">
        <f t="shared" si="48"/>
        <v>0</v>
      </c>
      <c r="BD10" s="18">
        <f t="shared" si="49"/>
        <v>0</v>
      </c>
      <c r="BE10" s="18">
        <f t="shared" si="50"/>
        <v>0</v>
      </c>
      <c r="BF10" s="18">
        <f t="shared" si="51"/>
        <v>0</v>
      </c>
      <c r="BG10" s="18">
        <f t="shared" si="52"/>
        <v>0</v>
      </c>
      <c r="BH10" s="18">
        <f t="shared" si="53"/>
        <v>0</v>
      </c>
      <c r="BI10" s="18">
        <f t="shared" si="54"/>
        <v>0</v>
      </c>
      <c r="BJ10" s="18">
        <f t="shared" si="55"/>
        <v>0</v>
      </c>
      <c r="BK10" s="18">
        <f t="shared" si="56"/>
        <v>0</v>
      </c>
      <c r="BL10" s="18">
        <f t="shared" si="57"/>
        <v>0</v>
      </c>
      <c r="BM10" s="18">
        <f t="shared" si="58"/>
        <v>0</v>
      </c>
      <c r="BN10" s="18">
        <f t="shared" si="59"/>
        <v>0</v>
      </c>
      <c r="BO10" s="18">
        <f t="shared" si="60"/>
        <v>0</v>
      </c>
      <c r="BP10" s="18">
        <f t="shared" si="61"/>
        <v>0</v>
      </c>
      <c r="BQ10" s="18">
        <f t="shared" si="62"/>
        <v>0</v>
      </c>
      <c r="BR10" s="18">
        <f t="shared" si="63"/>
        <v>0</v>
      </c>
      <c r="BS10" s="18">
        <f t="shared" si="64"/>
        <v>0</v>
      </c>
      <c r="BT10" s="18">
        <f t="shared" si="65"/>
        <v>0</v>
      </c>
      <c r="BU10" s="18">
        <f t="shared" si="66"/>
        <v>0</v>
      </c>
      <c r="BV10" s="18">
        <f t="shared" si="67"/>
        <v>0</v>
      </c>
      <c r="BW10" s="18">
        <f t="shared" si="68"/>
        <v>0</v>
      </c>
      <c r="BX10" s="18">
        <f t="shared" si="69"/>
        <v>0</v>
      </c>
      <c r="BY10" s="18">
        <f t="shared" si="70"/>
        <v>0</v>
      </c>
      <c r="BZ10" s="18">
        <f t="shared" si="71"/>
        <v>0</v>
      </c>
      <c r="CA10" s="18">
        <f t="shared" si="72"/>
        <v>0</v>
      </c>
      <c r="CB10" s="18">
        <f t="shared" si="73"/>
        <v>0</v>
      </c>
      <c r="CC10" s="18">
        <f t="shared" si="74"/>
        <v>0</v>
      </c>
      <c r="CD10" s="18">
        <f t="shared" si="75"/>
        <v>0</v>
      </c>
      <c r="CE10" s="18">
        <f t="shared" si="76"/>
        <v>0</v>
      </c>
      <c r="CF10" s="18">
        <f t="shared" si="77"/>
        <v>0</v>
      </c>
      <c r="CG10" s="18">
        <f t="shared" si="78"/>
        <v>0</v>
      </c>
      <c r="CH10" s="18">
        <f t="shared" si="79"/>
        <v>0</v>
      </c>
      <c r="CI10" s="18">
        <f t="shared" si="80"/>
        <v>0</v>
      </c>
      <c r="CJ10" s="18">
        <f t="shared" si="81"/>
        <v>0</v>
      </c>
      <c r="CN10" s="17">
        <v>-1</v>
      </c>
      <c r="CO10" s="17">
        <v>1</v>
      </c>
      <c r="CP10" s="17">
        <v>1</v>
      </c>
      <c r="CQ10">
        <f>SUM(Q5:Q253)</f>
        <v>8</v>
      </c>
      <c r="CR10">
        <f>SUM(R5:R253)</f>
        <v>1</v>
      </c>
      <c r="CS10">
        <f>SUM(S5:S253)</f>
        <v>15</v>
      </c>
      <c r="CU10" s="18">
        <f t="shared" si="82"/>
        <v>24</v>
      </c>
    </row>
    <row r="11" spans="1:99" x14ac:dyDescent="0.3">
      <c r="A11" s="1">
        <v>43844</v>
      </c>
      <c r="B11">
        <v>41952.63</v>
      </c>
      <c r="C11">
        <f>Table1[[#This Row],[Close]]-0.001*Table1[[#This Row],[Close]]</f>
        <v>41910.677369999998</v>
      </c>
      <c r="D11">
        <f>Table1[[#This Row],[Close]]+0.001*Table1[[#This Row],[Close]]</f>
        <v>41994.582629999997</v>
      </c>
      <c r="E11" t="str">
        <f>IF(Table1[[#This Row],[Close]]&gt;D10,"UP",IF(Table1[[#This Row],[Close]]&lt;C10,"Down","Constant"))</f>
        <v>UP</v>
      </c>
      <c r="F11" s="3">
        <f>IF(Table1[[#This Row],[Column1]]="Up",1,IF(Table1[[#This Row],[Column1]]="Down",-1,0))</f>
        <v>1</v>
      </c>
      <c r="G11">
        <f t="shared" si="0"/>
        <v>0</v>
      </c>
      <c r="H11" s="18">
        <f t="shared" si="1"/>
        <v>0</v>
      </c>
      <c r="I11" s="18">
        <f t="shared" si="2"/>
        <v>0</v>
      </c>
      <c r="J11" s="18">
        <f t="shared" si="3"/>
        <v>1</v>
      </c>
      <c r="K11" s="18">
        <f t="shared" si="4"/>
        <v>0</v>
      </c>
      <c r="L11" s="18">
        <f t="shared" si="5"/>
        <v>0</v>
      </c>
      <c r="M11" s="18">
        <f t="shared" si="6"/>
        <v>0</v>
      </c>
      <c r="N11" s="18">
        <f t="shared" si="7"/>
        <v>0</v>
      </c>
      <c r="O11" s="18">
        <f t="shared" si="8"/>
        <v>0</v>
      </c>
      <c r="P11" s="18">
        <f t="shared" si="9"/>
        <v>0</v>
      </c>
      <c r="Q11" s="18">
        <f t="shared" si="10"/>
        <v>0</v>
      </c>
      <c r="R11" s="18">
        <f t="shared" si="11"/>
        <v>0</v>
      </c>
      <c r="S11" s="18">
        <f t="shared" si="12"/>
        <v>0</v>
      </c>
      <c r="T11" s="18">
        <f t="shared" si="13"/>
        <v>0</v>
      </c>
      <c r="U11" s="18">
        <f t="shared" si="14"/>
        <v>0</v>
      </c>
      <c r="V11" s="18">
        <f t="shared" si="15"/>
        <v>0</v>
      </c>
      <c r="W11" s="18">
        <f t="shared" si="16"/>
        <v>0</v>
      </c>
      <c r="X11" s="18">
        <f t="shared" si="17"/>
        <v>0</v>
      </c>
      <c r="Y11" s="18">
        <f t="shared" si="18"/>
        <v>0</v>
      </c>
      <c r="Z11" s="18">
        <f t="shared" si="19"/>
        <v>0</v>
      </c>
      <c r="AA11" s="18">
        <f t="shared" si="20"/>
        <v>0</v>
      </c>
      <c r="AB11" s="18">
        <f t="shared" si="21"/>
        <v>0</v>
      </c>
      <c r="AC11" s="18">
        <f t="shared" si="22"/>
        <v>0</v>
      </c>
      <c r="AD11" s="18">
        <f t="shared" si="23"/>
        <v>0</v>
      </c>
      <c r="AE11" s="18">
        <f t="shared" si="24"/>
        <v>0</v>
      </c>
      <c r="AF11" s="18">
        <f t="shared" si="25"/>
        <v>0</v>
      </c>
      <c r="AG11" s="18">
        <f t="shared" si="26"/>
        <v>0</v>
      </c>
      <c r="AH11" s="18">
        <f t="shared" si="27"/>
        <v>0</v>
      </c>
      <c r="AI11" s="18">
        <f t="shared" si="28"/>
        <v>0</v>
      </c>
      <c r="AJ11" s="18">
        <f t="shared" si="29"/>
        <v>0</v>
      </c>
      <c r="AK11" s="18">
        <f t="shared" si="30"/>
        <v>0</v>
      </c>
      <c r="AL11" s="18">
        <f t="shared" si="31"/>
        <v>0</v>
      </c>
      <c r="AM11" s="18">
        <f t="shared" si="32"/>
        <v>0</v>
      </c>
      <c r="AN11" s="18">
        <f t="shared" si="33"/>
        <v>0</v>
      </c>
      <c r="AO11" s="18">
        <f t="shared" si="34"/>
        <v>0</v>
      </c>
      <c r="AP11" s="18">
        <f t="shared" si="35"/>
        <v>0</v>
      </c>
      <c r="AQ11" s="18">
        <f t="shared" si="36"/>
        <v>0</v>
      </c>
      <c r="AR11" s="18">
        <f t="shared" si="37"/>
        <v>0</v>
      </c>
      <c r="AS11" s="18">
        <f t="shared" si="38"/>
        <v>0</v>
      </c>
      <c r="AT11" s="18">
        <f t="shared" si="39"/>
        <v>0</v>
      </c>
      <c r="AU11" s="18">
        <f t="shared" si="40"/>
        <v>0</v>
      </c>
      <c r="AV11" s="18">
        <f t="shared" si="41"/>
        <v>0</v>
      </c>
      <c r="AW11" s="18">
        <f t="shared" si="42"/>
        <v>0</v>
      </c>
      <c r="AX11" s="18">
        <f t="shared" si="43"/>
        <v>0</v>
      </c>
      <c r="AY11" s="18">
        <f t="shared" si="44"/>
        <v>0</v>
      </c>
      <c r="AZ11" s="18">
        <f t="shared" si="45"/>
        <v>0</v>
      </c>
      <c r="BA11" s="18">
        <f t="shared" si="46"/>
        <v>0</v>
      </c>
      <c r="BB11" s="18">
        <f t="shared" si="47"/>
        <v>0</v>
      </c>
      <c r="BC11" s="18">
        <f t="shared" si="48"/>
        <v>0</v>
      </c>
      <c r="BD11" s="18">
        <f t="shared" si="49"/>
        <v>0</v>
      </c>
      <c r="BE11" s="18">
        <f t="shared" si="50"/>
        <v>0</v>
      </c>
      <c r="BF11" s="18">
        <f t="shared" si="51"/>
        <v>0</v>
      </c>
      <c r="BG11" s="18">
        <f t="shared" si="52"/>
        <v>0</v>
      </c>
      <c r="BH11" s="18">
        <f t="shared" si="53"/>
        <v>0</v>
      </c>
      <c r="BI11" s="18">
        <f t="shared" si="54"/>
        <v>0</v>
      </c>
      <c r="BJ11" s="18">
        <f t="shared" si="55"/>
        <v>0</v>
      </c>
      <c r="BK11" s="18">
        <f t="shared" si="56"/>
        <v>0</v>
      </c>
      <c r="BL11" s="18">
        <f t="shared" si="57"/>
        <v>0</v>
      </c>
      <c r="BM11" s="18">
        <f t="shared" si="58"/>
        <v>0</v>
      </c>
      <c r="BN11" s="18">
        <f t="shared" si="59"/>
        <v>0</v>
      </c>
      <c r="BO11" s="18">
        <f t="shared" si="60"/>
        <v>0</v>
      </c>
      <c r="BP11" s="18">
        <f t="shared" si="61"/>
        <v>0</v>
      </c>
      <c r="BQ11" s="18">
        <f t="shared" si="62"/>
        <v>0</v>
      </c>
      <c r="BR11" s="18">
        <f t="shared" si="63"/>
        <v>0</v>
      </c>
      <c r="BS11" s="18">
        <f t="shared" si="64"/>
        <v>0</v>
      </c>
      <c r="BT11" s="18">
        <f t="shared" si="65"/>
        <v>0</v>
      </c>
      <c r="BU11" s="18">
        <f t="shared" si="66"/>
        <v>0</v>
      </c>
      <c r="BV11" s="18">
        <f t="shared" si="67"/>
        <v>0</v>
      </c>
      <c r="BW11" s="18">
        <f t="shared" si="68"/>
        <v>0</v>
      </c>
      <c r="BX11" s="18">
        <f t="shared" si="69"/>
        <v>0</v>
      </c>
      <c r="BY11" s="18">
        <f t="shared" si="70"/>
        <v>0</v>
      </c>
      <c r="BZ11" s="18">
        <f t="shared" si="71"/>
        <v>0</v>
      </c>
      <c r="CA11" s="18">
        <f t="shared" si="72"/>
        <v>0</v>
      </c>
      <c r="CB11" s="18">
        <f t="shared" si="73"/>
        <v>0</v>
      </c>
      <c r="CC11" s="18">
        <f t="shared" si="74"/>
        <v>0</v>
      </c>
      <c r="CD11" s="18">
        <f t="shared" si="75"/>
        <v>0</v>
      </c>
      <c r="CE11" s="18">
        <f t="shared" si="76"/>
        <v>0</v>
      </c>
      <c r="CF11" s="18">
        <f t="shared" si="77"/>
        <v>0</v>
      </c>
      <c r="CG11" s="18">
        <f t="shared" si="78"/>
        <v>0</v>
      </c>
      <c r="CH11" s="18">
        <f t="shared" si="79"/>
        <v>0</v>
      </c>
      <c r="CI11" s="18">
        <f t="shared" si="80"/>
        <v>0</v>
      </c>
      <c r="CJ11" s="18">
        <f t="shared" si="81"/>
        <v>0</v>
      </c>
      <c r="CN11" s="17">
        <v>1</v>
      </c>
      <c r="CO11" s="17">
        <v>-1</v>
      </c>
      <c r="CP11" s="17">
        <v>-1</v>
      </c>
      <c r="CQ11">
        <f>SUM(T5:T253)</f>
        <v>10</v>
      </c>
      <c r="CR11">
        <f>SUM(U5:U253)</f>
        <v>2</v>
      </c>
      <c r="CS11">
        <f>SUM(V5:V253)</f>
        <v>9</v>
      </c>
      <c r="CU11" s="18">
        <f t="shared" si="82"/>
        <v>21</v>
      </c>
    </row>
    <row r="12" spans="1:99" x14ac:dyDescent="0.3">
      <c r="A12" s="1">
        <v>43845</v>
      </c>
      <c r="B12">
        <v>41872.730000000003</v>
      </c>
      <c r="C12">
        <f>Table1[[#This Row],[Close]]-0.001*Table1[[#This Row],[Close]]</f>
        <v>41830.85727</v>
      </c>
      <c r="D12">
        <f>Table1[[#This Row],[Close]]+0.001*Table1[[#This Row],[Close]]</f>
        <v>41914.602730000006</v>
      </c>
      <c r="E12" t="str">
        <f>IF(Table1[[#This Row],[Close]]&gt;D11,"UP",IF(Table1[[#This Row],[Close]]&lt;C11,"Down","Constant"))</f>
        <v>Down</v>
      </c>
      <c r="F12" s="3">
        <f>IF(Table1[[#This Row],[Column1]]="Up",1,IF(Table1[[#This Row],[Column1]]="Down",-1,0))</f>
        <v>-1</v>
      </c>
      <c r="G12">
        <f t="shared" si="0"/>
        <v>0</v>
      </c>
      <c r="H12" s="18">
        <f t="shared" si="1"/>
        <v>1</v>
      </c>
      <c r="I12" s="18">
        <f t="shared" si="2"/>
        <v>0</v>
      </c>
      <c r="J12" s="18">
        <f t="shared" si="3"/>
        <v>0</v>
      </c>
      <c r="K12" s="18">
        <f t="shared" si="4"/>
        <v>0</v>
      </c>
      <c r="L12" s="18">
        <f t="shared" si="5"/>
        <v>0</v>
      </c>
      <c r="M12" s="18">
        <f t="shared" si="6"/>
        <v>0</v>
      </c>
      <c r="N12" s="18">
        <f t="shared" si="7"/>
        <v>0</v>
      </c>
      <c r="O12" s="18">
        <f t="shared" si="8"/>
        <v>0</v>
      </c>
      <c r="P12" s="18">
        <f t="shared" si="9"/>
        <v>0</v>
      </c>
      <c r="Q12" s="18">
        <f t="shared" si="10"/>
        <v>0</v>
      </c>
      <c r="R12" s="18">
        <f t="shared" si="11"/>
        <v>0</v>
      </c>
      <c r="S12" s="18">
        <f t="shared" si="12"/>
        <v>0</v>
      </c>
      <c r="T12" s="18">
        <f t="shared" si="13"/>
        <v>0</v>
      </c>
      <c r="U12" s="18">
        <f t="shared" si="14"/>
        <v>0</v>
      </c>
      <c r="V12" s="18">
        <f t="shared" si="15"/>
        <v>0</v>
      </c>
      <c r="W12" s="18">
        <f t="shared" si="16"/>
        <v>0</v>
      </c>
      <c r="X12" s="18">
        <f t="shared" si="17"/>
        <v>0</v>
      </c>
      <c r="Y12" s="18">
        <f t="shared" si="18"/>
        <v>0</v>
      </c>
      <c r="Z12" s="18">
        <f t="shared" si="19"/>
        <v>0</v>
      </c>
      <c r="AA12" s="18">
        <f t="shared" si="20"/>
        <v>0</v>
      </c>
      <c r="AB12" s="18">
        <f t="shared" si="21"/>
        <v>0</v>
      </c>
      <c r="AC12" s="18">
        <f t="shared" si="22"/>
        <v>0</v>
      </c>
      <c r="AD12" s="18">
        <f t="shared" si="23"/>
        <v>0</v>
      </c>
      <c r="AE12" s="18">
        <f t="shared" si="24"/>
        <v>0</v>
      </c>
      <c r="AF12" s="18">
        <f t="shared" si="25"/>
        <v>0</v>
      </c>
      <c r="AG12" s="18">
        <f t="shared" si="26"/>
        <v>0</v>
      </c>
      <c r="AH12" s="18">
        <f t="shared" si="27"/>
        <v>0</v>
      </c>
      <c r="AI12" s="18">
        <f t="shared" si="28"/>
        <v>0</v>
      </c>
      <c r="AJ12" s="18">
        <f t="shared" si="29"/>
        <v>0</v>
      </c>
      <c r="AK12" s="18">
        <f t="shared" si="30"/>
        <v>0</v>
      </c>
      <c r="AL12" s="18">
        <f t="shared" si="31"/>
        <v>0</v>
      </c>
      <c r="AM12" s="18">
        <f t="shared" si="32"/>
        <v>0</v>
      </c>
      <c r="AN12" s="18">
        <f t="shared" si="33"/>
        <v>0</v>
      </c>
      <c r="AO12" s="18">
        <f t="shared" si="34"/>
        <v>0</v>
      </c>
      <c r="AP12" s="18">
        <f t="shared" si="35"/>
        <v>0</v>
      </c>
      <c r="AQ12" s="18">
        <f t="shared" si="36"/>
        <v>0</v>
      </c>
      <c r="AR12" s="18">
        <f t="shared" si="37"/>
        <v>0</v>
      </c>
      <c r="AS12" s="18">
        <f t="shared" si="38"/>
        <v>0</v>
      </c>
      <c r="AT12" s="18">
        <f t="shared" si="39"/>
        <v>0</v>
      </c>
      <c r="AU12" s="18">
        <f t="shared" si="40"/>
        <v>0</v>
      </c>
      <c r="AV12" s="18">
        <f t="shared" si="41"/>
        <v>0</v>
      </c>
      <c r="AW12" s="18">
        <f t="shared" si="42"/>
        <v>0</v>
      </c>
      <c r="AX12" s="18">
        <f t="shared" si="43"/>
        <v>0</v>
      </c>
      <c r="AY12" s="18">
        <f t="shared" si="44"/>
        <v>0</v>
      </c>
      <c r="AZ12" s="18">
        <f t="shared" si="45"/>
        <v>0</v>
      </c>
      <c r="BA12" s="18">
        <f t="shared" si="46"/>
        <v>0</v>
      </c>
      <c r="BB12" s="18">
        <f t="shared" si="47"/>
        <v>0</v>
      </c>
      <c r="BC12" s="18">
        <f t="shared" si="48"/>
        <v>0</v>
      </c>
      <c r="BD12" s="18">
        <f t="shared" si="49"/>
        <v>0</v>
      </c>
      <c r="BE12" s="18">
        <f t="shared" si="50"/>
        <v>0</v>
      </c>
      <c r="BF12" s="18">
        <f t="shared" si="51"/>
        <v>0</v>
      </c>
      <c r="BG12" s="18">
        <f t="shared" si="52"/>
        <v>0</v>
      </c>
      <c r="BH12" s="18">
        <f t="shared" si="53"/>
        <v>0</v>
      </c>
      <c r="BI12" s="18">
        <f t="shared" si="54"/>
        <v>0</v>
      </c>
      <c r="BJ12" s="18">
        <f t="shared" si="55"/>
        <v>0</v>
      </c>
      <c r="BK12" s="18">
        <f t="shared" si="56"/>
        <v>0</v>
      </c>
      <c r="BL12" s="18">
        <f t="shared" si="57"/>
        <v>0</v>
      </c>
      <c r="BM12" s="18">
        <f t="shared" si="58"/>
        <v>0</v>
      </c>
      <c r="BN12" s="18">
        <f t="shared" si="59"/>
        <v>0</v>
      </c>
      <c r="BO12" s="18">
        <f t="shared" si="60"/>
        <v>0</v>
      </c>
      <c r="BP12" s="18">
        <f t="shared" si="61"/>
        <v>0</v>
      </c>
      <c r="BQ12" s="18">
        <f t="shared" si="62"/>
        <v>0</v>
      </c>
      <c r="BR12" s="18">
        <f t="shared" si="63"/>
        <v>0</v>
      </c>
      <c r="BS12" s="18">
        <f t="shared" si="64"/>
        <v>0</v>
      </c>
      <c r="BT12" s="18">
        <f t="shared" si="65"/>
        <v>0</v>
      </c>
      <c r="BU12" s="18">
        <f t="shared" si="66"/>
        <v>0</v>
      </c>
      <c r="BV12" s="18">
        <f t="shared" si="67"/>
        <v>0</v>
      </c>
      <c r="BW12" s="18">
        <f t="shared" si="68"/>
        <v>0</v>
      </c>
      <c r="BX12" s="18">
        <f t="shared" si="69"/>
        <v>0</v>
      </c>
      <c r="BY12" s="18">
        <f t="shared" si="70"/>
        <v>0</v>
      </c>
      <c r="BZ12" s="18">
        <f t="shared" si="71"/>
        <v>0</v>
      </c>
      <c r="CA12" s="18">
        <f t="shared" si="72"/>
        <v>0</v>
      </c>
      <c r="CB12" s="18">
        <f t="shared" si="73"/>
        <v>0</v>
      </c>
      <c r="CC12" s="18">
        <f t="shared" si="74"/>
        <v>0</v>
      </c>
      <c r="CD12" s="18">
        <f t="shared" si="75"/>
        <v>0</v>
      </c>
      <c r="CE12" s="18">
        <f t="shared" si="76"/>
        <v>0</v>
      </c>
      <c r="CF12" s="18">
        <f t="shared" si="77"/>
        <v>0</v>
      </c>
      <c r="CG12" s="18">
        <f t="shared" si="78"/>
        <v>0</v>
      </c>
      <c r="CH12" s="18">
        <f t="shared" si="79"/>
        <v>0</v>
      </c>
      <c r="CI12" s="18">
        <f t="shared" si="80"/>
        <v>0</v>
      </c>
      <c r="CJ12" s="18">
        <f t="shared" si="81"/>
        <v>0</v>
      </c>
      <c r="CN12" s="17">
        <v>-1</v>
      </c>
      <c r="CO12" s="17">
        <v>-1</v>
      </c>
      <c r="CP12" s="17">
        <v>1</v>
      </c>
      <c r="CQ12">
        <f>SUM(W5:W253)</f>
        <v>7</v>
      </c>
      <c r="CR12">
        <f>SUM(X5:X253)</f>
        <v>0</v>
      </c>
      <c r="CS12">
        <f>SUM(Y5:Y253)</f>
        <v>12</v>
      </c>
      <c r="CU12" s="18">
        <f t="shared" si="82"/>
        <v>19</v>
      </c>
    </row>
    <row r="13" spans="1:99" x14ac:dyDescent="0.3">
      <c r="A13" s="1">
        <v>43846</v>
      </c>
      <c r="B13">
        <v>41932.559999999998</v>
      </c>
      <c r="C13">
        <f>Table1[[#This Row],[Close]]-0.001*Table1[[#This Row],[Close]]</f>
        <v>41890.627439999997</v>
      </c>
      <c r="D13">
        <f>Table1[[#This Row],[Close]]+0.001*Table1[[#This Row],[Close]]</f>
        <v>41974.492559999999</v>
      </c>
      <c r="E13" t="str">
        <f>IF(Table1[[#This Row],[Close]]&gt;D12,"UP",IF(Table1[[#This Row],[Close]]&lt;C12,"Down","Constant"))</f>
        <v>UP</v>
      </c>
      <c r="F13" s="3">
        <f>IF(Table1[[#This Row],[Column1]]="Up",1,IF(Table1[[#This Row],[Column1]]="Down",-1,0))</f>
        <v>1</v>
      </c>
      <c r="G13">
        <f t="shared" si="0"/>
        <v>0</v>
      </c>
      <c r="H13" s="18">
        <f t="shared" si="1"/>
        <v>0</v>
      </c>
      <c r="I13" s="18">
        <f t="shared" si="2"/>
        <v>0</v>
      </c>
      <c r="J13" s="18">
        <f t="shared" si="3"/>
        <v>0</v>
      </c>
      <c r="K13" s="18">
        <f t="shared" si="4"/>
        <v>0</v>
      </c>
      <c r="L13" s="18">
        <f t="shared" si="5"/>
        <v>0</v>
      </c>
      <c r="M13" s="18">
        <f t="shared" si="6"/>
        <v>0</v>
      </c>
      <c r="N13" s="18">
        <f t="shared" si="7"/>
        <v>0</v>
      </c>
      <c r="O13" s="18">
        <f t="shared" si="8"/>
        <v>0</v>
      </c>
      <c r="P13" s="18">
        <f t="shared" si="9"/>
        <v>0</v>
      </c>
      <c r="Q13" s="18">
        <f t="shared" si="10"/>
        <v>0</v>
      </c>
      <c r="R13" s="18">
        <f t="shared" si="11"/>
        <v>0</v>
      </c>
      <c r="S13" s="18">
        <f t="shared" si="12"/>
        <v>1</v>
      </c>
      <c r="T13" s="18">
        <f t="shared" si="13"/>
        <v>0</v>
      </c>
      <c r="U13" s="18">
        <f t="shared" si="14"/>
        <v>0</v>
      </c>
      <c r="V13" s="18">
        <f t="shared" si="15"/>
        <v>0</v>
      </c>
      <c r="W13" s="18">
        <f t="shared" si="16"/>
        <v>0</v>
      </c>
      <c r="X13" s="18">
        <f t="shared" si="17"/>
        <v>0</v>
      </c>
      <c r="Y13" s="18">
        <f t="shared" si="18"/>
        <v>0</v>
      </c>
      <c r="Z13" s="18">
        <f t="shared" si="19"/>
        <v>0</v>
      </c>
      <c r="AA13" s="18">
        <f t="shared" si="20"/>
        <v>0</v>
      </c>
      <c r="AB13" s="18">
        <f t="shared" si="21"/>
        <v>0</v>
      </c>
      <c r="AC13" s="18">
        <f t="shared" si="22"/>
        <v>0</v>
      </c>
      <c r="AD13" s="18">
        <f t="shared" si="23"/>
        <v>0</v>
      </c>
      <c r="AE13" s="18">
        <f t="shared" si="24"/>
        <v>0</v>
      </c>
      <c r="AF13" s="18">
        <f t="shared" si="25"/>
        <v>0</v>
      </c>
      <c r="AG13" s="18">
        <f t="shared" si="26"/>
        <v>0</v>
      </c>
      <c r="AH13" s="18">
        <f t="shared" si="27"/>
        <v>0</v>
      </c>
      <c r="AI13" s="18">
        <f t="shared" si="28"/>
        <v>0</v>
      </c>
      <c r="AJ13" s="18">
        <f t="shared" si="29"/>
        <v>0</v>
      </c>
      <c r="AK13" s="18">
        <f t="shared" si="30"/>
        <v>0</v>
      </c>
      <c r="AL13" s="18">
        <f t="shared" si="31"/>
        <v>0</v>
      </c>
      <c r="AM13" s="18">
        <f t="shared" si="32"/>
        <v>0</v>
      </c>
      <c r="AN13" s="18">
        <f t="shared" si="33"/>
        <v>0</v>
      </c>
      <c r="AO13" s="18">
        <f t="shared" si="34"/>
        <v>0</v>
      </c>
      <c r="AP13" s="18">
        <f t="shared" si="35"/>
        <v>0</v>
      </c>
      <c r="AQ13" s="18">
        <f t="shared" si="36"/>
        <v>0</v>
      </c>
      <c r="AR13" s="18">
        <f t="shared" si="37"/>
        <v>0</v>
      </c>
      <c r="AS13" s="18">
        <f t="shared" si="38"/>
        <v>0</v>
      </c>
      <c r="AT13" s="18">
        <f t="shared" si="39"/>
        <v>0</v>
      </c>
      <c r="AU13" s="18">
        <f t="shared" si="40"/>
        <v>0</v>
      </c>
      <c r="AV13" s="18">
        <f t="shared" si="41"/>
        <v>0</v>
      </c>
      <c r="AW13" s="18">
        <f t="shared" si="42"/>
        <v>0</v>
      </c>
      <c r="AX13" s="18">
        <f t="shared" si="43"/>
        <v>0</v>
      </c>
      <c r="AY13" s="18">
        <f t="shared" si="44"/>
        <v>0</v>
      </c>
      <c r="AZ13" s="18">
        <f t="shared" si="45"/>
        <v>0</v>
      </c>
      <c r="BA13" s="18">
        <f t="shared" si="46"/>
        <v>0</v>
      </c>
      <c r="BB13" s="18">
        <f t="shared" si="47"/>
        <v>0</v>
      </c>
      <c r="BC13" s="18">
        <f t="shared" si="48"/>
        <v>0</v>
      </c>
      <c r="BD13" s="18">
        <f t="shared" si="49"/>
        <v>0</v>
      </c>
      <c r="BE13" s="18">
        <f t="shared" si="50"/>
        <v>0</v>
      </c>
      <c r="BF13" s="18">
        <f t="shared" si="51"/>
        <v>0</v>
      </c>
      <c r="BG13" s="18">
        <f t="shared" si="52"/>
        <v>0</v>
      </c>
      <c r="BH13" s="18">
        <f t="shared" si="53"/>
        <v>0</v>
      </c>
      <c r="BI13" s="18">
        <f t="shared" si="54"/>
        <v>0</v>
      </c>
      <c r="BJ13" s="18">
        <f t="shared" si="55"/>
        <v>0</v>
      </c>
      <c r="BK13" s="18">
        <f t="shared" si="56"/>
        <v>0</v>
      </c>
      <c r="BL13" s="18">
        <f t="shared" si="57"/>
        <v>0</v>
      </c>
      <c r="BM13" s="18">
        <f t="shared" si="58"/>
        <v>0</v>
      </c>
      <c r="BN13" s="18">
        <f t="shared" si="59"/>
        <v>0</v>
      </c>
      <c r="BO13" s="18">
        <f t="shared" si="60"/>
        <v>0</v>
      </c>
      <c r="BP13" s="18">
        <f t="shared" si="61"/>
        <v>0</v>
      </c>
      <c r="BQ13" s="18">
        <f t="shared" si="62"/>
        <v>0</v>
      </c>
      <c r="BR13" s="18">
        <f t="shared" si="63"/>
        <v>0</v>
      </c>
      <c r="BS13" s="18">
        <f t="shared" si="64"/>
        <v>0</v>
      </c>
      <c r="BT13" s="18">
        <f t="shared" si="65"/>
        <v>0</v>
      </c>
      <c r="BU13" s="18">
        <f t="shared" si="66"/>
        <v>0</v>
      </c>
      <c r="BV13" s="18">
        <f t="shared" si="67"/>
        <v>0</v>
      </c>
      <c r="BW13" s="18">
        <f t="shared" si="68"/>
        <v>0</v>
      </c>
      <c r="BX13" s="18">
        <f t="shared" si="69"/>
        <v>0</v>
      </c>
      <c r="BY13" s="18">
        <f t="shared" si="70"/>
        <v>0</v>
      </c>
      <c r="BZ13" s="18">
        <f t="shared" si="71"/>
        <v>0</v>
      </c>
      <c r="CA13" s="18">
        <f t="shared" si="72"/>
        <v>0</v>
      </c>
      <c r="CB13" s="18">
        <f t="shared" si="73"/>
        <v>0</v>
      </c>
      <c r="CC13" s="18">
        <f t="shared" si="74"/>
        <v>0</v>
      </c>
      <c r="CD13" s="18">
        <f t="shared" si="75"/>
        <v>0</v>
      </c>
      <c r="CE13" s="18">
        <f t="shared" si="76"/>
        <v>0</v>
      </c>
      <c r="CF13" s="18">
        <f t="shared" si="77"/>
        <v>0</v>
      </c>
      <c r="CG13" s="18">
        <f t="shared" si="78"/>
        <v>0</v>
      </c>
      <c r="CH13" s="18">
        <f t="shared" si="79"/>
        <v>0</v>
      </c>
      <c r="CI13" s="18">
        <f t="shared" si="80"/>
        <v>0</v>
      </c>
      <c r="CJ13" s="18">
        <f t="shared" si="81"/>
        <v>0</v>
      </c>
      <c r="CN13" s="17">
        <v>-1</v>
      </c>
      <c r="CO13" s="17">
        <v>-1</v>
      </c>
      <c r="CP13" s="17">
        <v>-1</v>
      </c>
      <c r="CQ13">
        <f>SUM(Z5:Z253)</f>
        <v>10</v>
      </c>
      <c r="CR13">
        <f>SUM(AA5:AA253)</f>
        <v>0</v>
      </c>
      <c r="CS13">
        <f>SUM(AB5:AB253)</f>
        <v>8</v>
      </c>
      <c r="CU13" s="18">
        <f t="shared" si="82"/>
        <v>18</v>
      </c>
    </row>
    <row r="14" spans="1:99" x14ac:dyDescent="0.3">
      <c r="A14" s="1">
        <v>43847</v>
      </c>
      <c r="B14">
        <v>41945.37</v>
      </c>
      <c r="C14">
        <f>Table1[[#This Row],[Close]]-0.001*Table1[[#This Row],[Close]]</f>
        <v>41903.424630000001</v>
      </c>
      <c r="D14">
        <f>Table1[[#This Row],[Close]]+0.001*Table1[[#This Row],[Close]]</f>
        <v>41987.315370000004</v>
      </c>
      <c r="E14" t="str">
        <f>IF(Table1[[#This Row],[Close]]&gt;D13,"UP",IF(Table1[[#This Row],[Close]]&lt;C13,"Down","Constant"))</f>
        <v>Constant</v>
      </c>
      <c r="F14" s="3">
        <f>IF(Table1[[#This Row],[Column1]]="Up",1,IF(Table1[[#This Row],[Column1]]="Down",-1,0))</f>
        <v>0</v>
      </c>
      <c r="G14">
        <f t="shared" si="0"/>
        <v>0</v>
      </c>
      <c r="H14" s="18">
        <f t="shared" si="1"/>
        <v>0</v>
      </c>
      <c r="I14" s="18">
        <f t="shared" si="2"/>
        <v>0</v>
      </c>
      <c r="J14" s="18">
        <f t="shared" si="3"/>
        <v>0</v>
      </c>
      <c r="K14" s="18">
        <f t="shared" si="4"/>
        <v>0</v>
      </c>
      <c r="L14" s="18">
        <f t="shared" si="5"/>
        <v>0</v>
      </c>
      <c r="M14" s="18">
        <f t="shared" si="6"/>
        <v>0</v>
      </c>
      <c r="N14" s="18">
        <f t="shared" si="7"/>
        <v>0</v>
      </c>
      <c r="O14" s="18">
        <f t="shared" si="8"/>
        <v>1</v>
      </c>
      <c r="P14" s="18">
        <f t="shared" si="9"/>
        <v>0</v>
      </c>
      <c r="Q14" s="18">
        <f t="shared" si="10"/>
        <v>0</v>
      </c>
      <c r="R14" s="18">
        <f t="shared" si="11"/>
        <v>0</v>
      </c>
      <c r="S14" s="18">
        <f t="shared" si="12"/>
        <v>0</v>
      </c>
      <c r="T14" s="18">
        <f t="shared" si="13"/>
        <v>0</v>
      </c>
      <c r="U14" s="18">
        <f t="shared" si="14"/>
        <v>0</v>
      </c>
      <c r="V14" s="18">
        <f t="shared" si="15"/>
        <v>0</v>
      </c>
      <c r="W14" s="18">
        <f t="shared" si="16"/>
        <v>0</v>
      </c>
      <c r="X14" s="18">
        <f t="shared" si="17"/>
        <v>0</v>
      </c>
      <c r="Y14" s="18">
        <f t="shared" si="18"/>
        <v>0</v>
      </c>
      <c r="Z14" s="18">
        <f t="shared" si="19"/>
        <v>0</v>
      </c>
      <c r="AA14" s="18">
        <f t="shared" si="20"/>
        <v>0</v>
      </c>
      <c r="AB14" s="18">
        <f t="shared" si="21"/>
        <v>0</v>
      </c>
      <c r="AC14" s="18">
        <f t="shared" si="22"/>
        <v>0</v>
      </c>
      <c r="AD14" s="18">
        <f t="shared" si="23"/>
        <v>0</v>
      </c>
      <c r="AE14" s="18">
        <f t="shared" si="24"/>
        <v>0</v>
      </c>
      <c r="AF14" s="18">
        <f t="shared" si="25"/>
        <v>0</v>
      </c>
      <c r="AG14" s="18">
        <f t="shared" si="26"/>
        <v>0</v>
      </c>
      <c r="AH14" s="18">
        <f t="shared" si="27"/>
        <v>0</v>
      </c>
      <c r="AI14" s="18">
        <f t="shared" si="28"/>
        <v>0</v>
      </c>
      <c r="AJ14" s="18">
        <f t="shared" si="29"/>
        <v>0</v>
      </c>
      <c r="AK14" s="18">
        <f t="shared" si="30"/>
        <v>0</v>
      </c>
      <c r="AL14" s="18">
        <f t="shared" si="31"/>
        <v>0</v>
      </c>
      <c r="AM14" s="18">
        <f t="shared" si="32"/>
        <v>0</v>
      </c>
      <c r="AN14" s="18">
        <f t="shared" si="33"/>
        <v>0</v>
      </c>
      <c r="AO14" s="18">
        <f t="shared" si="34"/>
        <v>0</v>
      </c>
      <c r="AP14" s="18">
        <f t="shared" si="35"/>
        <v>0</v>
      </c>
      <c r="AQ14" s="18">
        <f t="shared" si="36"/>
        <v>0</v>
      </c>
      <c r="AR14" s="18">
        <f t="shared" si="37"/>
        <v>0</v>
      </c>
      <c r="AS14" s="18">
        <f t="shared" si="38"/>
        <v>0</v>
      </c>
      <c r="AT14" s="18">
        <f t="shared" si="39"/>
        <v>0</v>
      </c>
      <c r="AU14" s="18">
        <f t="shared" si="40"/>
        <v>0</v>
      </c>
      <c r="AV14" s="18">
        <f t="shared" si="41"/>
        <v>0</v>
      </c>
      <c r="AW14" s="18">
        <f t="shared" si="42"/>
        <v>0</v>
      </c>
      <c r="AX14" s="18">
        <f t="shared" si="43"/>
        <v>0</v>
      </c>
      <c r="AY14" s="18">
        <f t="shared" si="44"/>
        <v>0</v>
      </c>
      <c r="AZ14" s="18">
        <f t="shared" si="45"/>
        <v>0</v>
      </c>
      <c r="BA14" s="18">
        <f t="shared" si="46"/>
        <v>0</v>
      </c>
      <c r="BB14" s="18">
        <f t="shared" si="47"/>
        <v>0</v>
      </c>
      <c r="BC14" s="18">
        <f t="shared" si="48"/>
        <v>0</v>
      </c>
      <c r="BD14" s="18">
        <f t="shared" si="49"/>
        <v>0</v>
      </c>
      <c r="BE14" s="18">
        <f t="shared" si="50"/>
        <v>0</v>
      </c>
      <c r="BF14" s="18">
        <f t="shared" si="51"/>
        <v>0</v>
      </c>
      <c r="BG14" s="18">
        <f t="shared" si="52"/>
        <v>0</v>
      </c>
      <c r="BH14" s="18">
        <f t="shared" si="53"/>
        <v>0</v>
      </c>
      <c r="BI14" s="18">
        <f t="shared" si="54"/>
        <v>0</v>
      </c>
      <c r="BJ14" s="18">
        <f t="shared" si="55"/>
        <v>0</v>
      </c>
      <c r="BK14" s="18">
        <f t="shared" si="56"/>
        <v>0</v>
      </c>
      <c r="BL14" s="18">
        <f t="shared" si="57"/>
        <v>0</v>
      </c>
      <c r="BM14" s="18">
        <f t="shared" si="58"/>
        <v>0</v>
      </c>
      <c r="BN14" s="18">
        <f t="shared" si="59"/>
        <v>0</v>
      </c>
      <c r="BO14" s="18">
        <f t="shared" si="60"/>
        <v>0</v>
      </c>
      <c r="BP14" s="18">
        <f t="shared" si="61"/>
        <v>0</v>
      </c>
      <c r="BQ14" s="18">
        <f t="shared" si="62"/>
        <v>0</v>
      </c>
      <c r="BR14" s="18">
        <f t="shared" si="63"/>
        <v>0</v>
      </c>
      <c r="BS14" s="18">
        <f t="shared" si="64"/>
        <v>0</v>
      </c>
      <c r="BT14" s="18">
        <f t="shared" si="65"/>
        <v>0</v>
      </c>
      <c r="BU14" s="18">
        <f t="shared" si="66"/>
        <v>0</v>
      </c>
      <c r="BV14" s="18">
        <f t="shared" si="67"/>
        <v>0</v>
      </c>
      <c r="BW14" s="18">
        <f t="shared" si="68"/>
        <v>0</v>
      </c>
      <c r="BX14" s="18">
        <f t="shared" si="69"/>
        <v>0</v>
      </c>
      <c r="BY14" s="18">
        <f t="shared" si="70"/>
        <v>0</v>
      </c>
      <c r="BZ14" s="18">
        <f t="shared" si="71"/>
        <v>0</v>
      </c>
      <c r="CA14" s="18">
        <f t="shared" si="72"/>
        <v>0</v>
      </c>
      <c r="CB14" s="18">
        <f t="shared" si="73"/>
        <v>0</v>
      </c>
      <c r="CC14" s="18">
        <f t="shared" si="74"/>
        <v>0</v>
      </c>
      <c r="CD14" s="18">
        <f t="shared" si="75"/>
        <v>0</v>
      </c>
      <c r="CE14" s="18">
        <f t="shared" si="76"/>
        <v>0</v>
      </c>
      <c r="CF14" s="18">
        <f t="shared" si="77"/>
        <v>0</v>
      </c>
      <c r="CG14" s="18">
        <f t="shared" si="78"/>
        <v>0</v>
      </c>
      <c r="CH14" s="18">
        <f t="shared" si="79"/>
        <v>0</v>
      </c>
      <c r="CI14" s="18">
        <f t="shared" si="80"/>
        <v>0</v>
      </c>
      <c r="CJ14" s="18">
        <f t="shared" si="81"/>
        <v>0</v>
      </c>
      <c r="CN14" s="17">
        <v>-1</v>
      </c>
      <c r="CO14" s="17">
        <v>1</v>
      </c>
      <c r="CP14" s="17">
        <v>-1</v>
      </c>
      <c r="CQ14">
        <f>SUM(AC5:AC253)</f>
        <v>10</v>
      </c>
      <c r="CR14">
        <f>SUM(AD5:AD253)</f>
        <v>2</v>
      </c>
      <c r="CS14">
        <f>SUM(AE5:AE253)</f>
        <v>12</v>
      </c>
      <c r="CU14" s="18">
        <f t="shared" si="82"/>
        <v>24</v>
      </c>
    </row>
    <row r="15" spans="1:99" x14ac:dyDescent="0.3">
      <c r="A15" s="1">
        <v>43850</v>
      </c>
      <c r="B15">
        <v>41528.910000000003</v>
      </c>
      <c r="C15">
        <f>Table1[[#This Row],[Close]]-0.001*Table1[[#This Row],[Close]]</f>
        <v>41487.381090000003</v>
      </c>
      <c r="D15">
        <f>Table1[[#This Row],[Close]]+0.001*Table1[[#This Row],[Close]]</f>
        <v>41570.438910000004</v>
      </c>
      <c r="E15" t="str">
        <f>IF(Table1[[#This Row],[Close]]&gt;D14,"UP",IF(Table1[[#This Row],[Close]]&lt;C14,"Down","Constant"))</f>
        <v>Down</v>
      </c>
      <c r="F15" s="3">
        <f>IF(Table1[[#This Row],[Column1]]="Up",1,IF(Table1[[#This Row],[Column1]]="Down",-1,0))</f>
        <v>-1</v>
      </c>
      <c r="G15">
        <f t="shared" si="0"/>
        <v>0</v>
      </c>
      <c r="H15" s="18">
        <f t="shared" si="1"/>
        <v>0</v>
      </c>
      <c r="I15" s="18">
        <f t="shared" si="2"/>
        <v>0</v>
      </c>
      <c r="J15" s="18">
        <f t="shared" si="3"/>
        <v>0</v>
      </c>
      <c r="K15" s="18">
        <f t="shared" si="4"/>
        <v>0</v>
      </c>
      <c r="L15" s="18">
        <f t="shared" si="5"/>
        <v>0</v>
      </c>
      <c r="M15" s="18">
        <f t="shared" si="6"/>
        <v>0</v>
      </c>
      <c r="N15" s="18">
        <f t="shared" si="7"/>
        <v>0</v>
      </c>
      <c r="O15" s="18">
        <f t="shared" si="8"/>
        <v>0</v>
      </c>
      <c r="P15" s="18">
        <f t="shared" si="9"/>
        <v>0</v>
      </c>
      <c r="Q15" s="18">
        <f t="shared" si="10"/>
        <v>0</v>
      </c>
      <c r="R15" s="18">
        <f t="shared" si="11"/>
        <v>0</v>
      </c>
      <c r="S15" s="18">
        <f t="shared" si="12"/>
        <v>0</v>
      </c>
      <c r="T15" s="18">
        <f t="shared" si="13"/>
        <v>0</v>
      </c>
      <c r="U15" s="18">
        <f t="shared" si="14"/>
        <v>0</v>
      </c>
      <c r="V15" s="18">
        <f t="shared" si="15"/>
        <v>0</v>
      </c>
      <c r="W15" s="18">
        <f t="shared" si="16"/>
        <v>0</v>
      </c>
      <c r="X15" s="18">
        <f t="shared" si="17"/>
        <v>0</v>
      </c>
      <c r="Y15" s="18">
        <f t="shared" si="18"/>
        <v>0</v>
      </c>
      <c r="Z15" s="18">
        <f t="shared" si="19"/>
        <v>0</v>
      </c>
      <c r="AA15" s="18">
        <f t="shared" si="20"/>
        <v>0</v>
      </c>
      <c r="AB15" s="18">
        <f t="shared" si="21"/>
        <v>0</v>
      </c>
      <c r="AC15" s="18">
        <f t="shared" si="22"/>
        <v>0</v>
      </c>
      <c r="AD15" s="18">
        <f t="shared" si="23"/>
        <v>0</v>
      </c>
      <c r="AE15" s="18">
        <f t="shared" si="24"/>
        <v>0</v>
      </c>
      <c r="AF15" s="18">
        <f t="shared" si="25"/>
        <v>0</v>
      </c>
      <c r="AG15" s="18">
        <f t="shared" si="26"/>
        <v>0</v>
      </c>
      <c r="AH15" s="18">
        <f t="shared" si="27"/>
        <v>0</v>
      </c>
      <c r="AI15" s="18">
        <f t="shared" si="28"/>
        <v>0</v>
      </c>
      <c r="AJ15" s="18">
        <f t="shared" si="29"/>
        <v>0</v>
      </c>
      <c r="AK15" s="18">
        <f t="shared" si="30"/>
        <v>0</v>
      </c>
      <c r="AL15" s="18">
        <f t="shared" si="31"/>
        <v>0</v>
      </c>
      <c r="AM15" s="18">
        <f t="shared" si="32"/>
        <v>0</v>
      </c>
      <c r="AN15" s="18">
        <f t="shared" si="33"/>
        <v>0</v>
      </c>
      <c r="AO15" s="18">
        <f t="shared" si="34"/>
        <v>0</v>
      </c>
      <c r="AP15" s="18">
        <f t="shared" si="35"/>
        <v>0</v>
      </c>
      <c r="AQ15" s="18">
        <f t="shared" si="36"/>
        <v>0</v>
      </c>
      <c r="AR15" s="18">
        <f t="shared" si="37"/>
        <v>0</v>
      </c>
      <c r="AS15" s="18">
        <f t="shared" si="38"/>
        <v>0</v>
      </c>
      <c r="AT15" s="18">
        <f t="shared" si="39"/>
        <v>0</v>
      </c>
      <c r="AU15" s="18">
        <f t="shared" si="40"/>
        <v>0</v>
      </c>
      <c r="AV15" s="18">
        <f t="shared" si="41"/>
        <v>0</v>
      </c>
      <c r="AW15" s="18">
        <f t="shared" si="42"/>
        <v>0</v>
      </c>
      <c r="AX15" s="18">
        <f t="shared" si="43"/>
        <v>0</v>
      </c>
      <c r="AY15" s="18">
        <f t="shared" si="44"/>
        <v>0</v>
      </c>
      <c r="AZ15" s="18">
        <f t="shared" si="45"/>
        <v>0</v>
      </c>
      <c r="BA15" s="18">
        <f t="shared" si="46"/>
        <v>0</v>
      </c>
      <c r="BB15" s="18">
        <f t="shared" si="47"/>
        <v>0</v>
      </c>
      <c r="BC15" s="18">
        <f t="shared" si="48"/>
        <v>0</v>
      </c>
      <c r="BD15" s="18">
        <f t="shared" si="49"/>
        <v>0</v>
      </c>
      <c r="BE15" s="18">
        <f t="shared" si="50"/>
        <v>0</v>
      </c>
      <c r="BF15" s="18">
        <f t="shared" si="51"/>
        <v>0</v>
      </c>
      <c r="BG15" s="18">
        <f t="shared" si="52"/>
        <v>1</v>
      </c>
      <c r="BH15" s="18">
        <f t="shared" si="53"/>
        <v>0</v>
      </c>
      <c r="BI15" s="18">
        <f t="shared" si="54"/>
        <v>0</v>
      </c>
      <c r="BJ15" s="18">
        <f t="shared" si="55"/>
        <v>0</v>
      </c>
      <c r="BK15" s="18">
        <f t="shared" si="56"/>
        <v>0</v>
      </c>
      <c r="BL15" s="18">
        <f t="shared" si="57"/>
        <v>0</v>
      </c>
      <c r="BM15" s="18">
        <f t="shared" si="58"/>
        <v>0</v>
      </c>
      <c r="BN15" s="18">
        <f t="shared" si="59"/>
        <v>0</v>
      </c>
      <c r="BO15" s="18">
        <f t="shared" si="60"/>
        <v>0</v>
      </c>
      <c r="BP15" s="18">
        <f t="shared" si="61"/>
        <v>0</v>
      </c>
      <c r="BQ15" s="18">
        <f t="shared" si="62"/>
        <v>0</v>
      </c>
      <c r="BR15" s="18">
        <f t="shared" si="63"/>
        <v>0</v>
      </c>
      <c r="BS15" s="18">
        <f t="shared" si="64"/>
        <v>0</v>
      </c>
      <c r="BT15" s="18">
        <f t="shared" si="65"/>
        <v>0</v>
      </c>
      <c r="BU15" s="18">
        <f t="shared" si="66"/>
        <v>0</v>
      </c>
      <c r="BV15" s="18">
        <f t="shared" si="67"/>
        <v>0</v>
      </c>
      <c r="BW15" s="18">
        <f t="shared" si="68"/>
        <v>0</v>
      </c>
      <c r="BX15" s="18">
        <f t="shared" si="69"/>
        <v>0</v>
      </c>
      <c r="BY15" s="18">
        <f t="shared" si="70"/>
        <v>0</v>
      </c>
      <c r="BZ15" s="18">
        <f t="shared" si="71"/>
        <v>0</v>
      </c>
      <c r="CA15" s="18">
        <f t="shared" si="72"/>
        <v>0</v>
      </c>
      <c r="CB15" s="18">
        <f t="shared" si="73"/>
        <v>0</v>
      </c>
      <c r="CC15" s="18">
        <f t="shared" si="74"/>
        <v>0</v>
      </c>
      <c r="CD15" s="18">
        <f t="shared" si="75"/>
        <v>0</v>
      </c>
      <c r="CE15" s="18">
        <f t="shared" si="76"/>
        <v>0</v>
      </c>
      <c r="CF15" s="18">
        <f t="shared" si="77"/>
        <v>0</v>
      </c>
      <c r="CG15" s="18">
        <f t="shared" si="78"/>
        <v>0</v>
      </c>
      <c r="CH15" s="18">
        <f t="shared" si="79"/>
        <v>0</v>
      </c>
      <c r="CI15" s="18">
        <f t="shared" si="80"/>
        <v>0</v>
      </c>
      <c r="CJ15" s="18">
        <f t="shared" si="81"/>
        <v>0</v>
      </c>
      <c r="CN15" s="17">
        <v>1</v>
      </c>
      <c r="CO15" s="17">
        <v>1</v>
      </c>
      <c r="CP15" s="17">
        <v>0</v>
      </c>
      <c r="CQ15">
        <f>SUM(AF5:AF253)</f>
        <v>0</v>
      </c>
      <c r="CR15">
        <f>SUM(AG5:AG253)</f>
        <v>1</v>
      </c>
      <c r="CS15">
        <f>SUM(AH5:AH253)</f>
        <v>4</v>
      </c>
      <c r="CU15" s="18">
        <f t="shared" si="82"/>
        <v>5</v>
      </c>
    </row>
    <row r="16" spans="1:99" x14ac:dyDescent="0.3">
      <c r="A16" s="1">
        <v>43851</v>
      </c>
      <c r="B16">
        <v>41323.81</v>
      </c>
      <c r="C16">
        <f>Table1[[#This Row],[Close]]-0.001*Table1[[#This Row],[Close]]</f>
        <v>41282.486189999996</v>
      </c>
      <c r="D16">
        <f>Table1[[#This Row],[Close]]+0.001*Table1[[#This Row],[Close]]</f>
        <v>41365.133809999999</v>
      </c>
      <c r="E16" t="str">
        <f>IF(Table1[[#This Row],[Close]]&gt;D15,"UP",IF(Table1[[#This Row],[Close]]&lt;C15,"Down","Constant"))</f>
        <v>Down</v>
      </c>
      <c r="F16" s="3">
        <f>IF(Table1[[#This Row],[Column1]]="Up",1,IF(Table1[[#This Row],[Column1]]="Down",-1,0))</f>
        <v>-1</v>
      </c>
      <c r="G16">
        <f t="shared" si="0"/>
        <v>0</v>
      </c>
      <c r="H16" s="18">
        <f t="shared" si="1"/>
        <v>0</v>
      </c>
      <c r="I16" s="18">
        <f t="shared" si="2"/>
        <v>0</v>
      </c>
      <c r="J16" s="18">
        <f t="shared" si="3"/>
        <v>0</v>
      </c>
      <c r="K16" s="18">
        <f t="shared" si="4"/>
        <v>0</v>
      </c>
      <c r="L16" s="18">
        <f t="shared" si="5"/>
        <v>0</v>
      </c>
      <c r="M16" s="18">
        <f t="shared" si="6"/>
        <v>0</v>
      </c>
      <c r="N16" s="18">
        <f t="shared" si="7"/>
        <v>0</v>
      </c>
      <c r="O16" s="18">
        <f t="shared" si="8"/>
        <v>0</v>
      </c>
      <c r="P16" s="18">
        <f t="shared" si="9"/>
        <v>0</v>
      </c>
      <c r="Q16" s="18">
        <f t="shared" si="10"/>
        <v>0</v>
      </c>
      <c r="R16" s="18">
        <f t="shared" si="11"/>
        <v>0</v>
      </c>
      <c r="S16" s="18">
        <f t="shared" si="12"/>
        <v>0</v>
      </c>
      <c r="T16" s="18">
        <f t="shared" si="13"/>
        <v>0</v>
      </c>
      <c r="U16" s="18">
        <f t="shared" si="14"/>
        <v>0</v>
      </c>
      <c r="V16" s="18">
        <f t="shared" si="15"/>
        <v>0</v>
      </c>
      <c r="W16" s="18">
        <f t="shared" si="16"/>
        <v>0</v>
      </c>
      <c r="X16" s="18">
        <f t="shared" si="17"/>
        <v>0</v>
      </c>
      <c r="Y16" s="18">
        <f t="shared" si="18"/>
        <v>0</v>
      </c>
      <c r="Z16" s="18">
        <f t="shared" si="19"/>
        <v>0</v>
      </c>
      <c r="AA16" s="18">
        <f t="shared" si="20"/>
        <v>0</v>
      </c>
      <c r="AB16" s="18">
        <f t="shared" si="21"/>
        <v>0</v>
      </c>
      <c r="AC16" s="18">
        <f t="shared" si="22"/>
        <v>0</v>
      </c>
      <c r="AD16" s="18">
        <f t="shared" si="23"/>
        <v>0</v>
      </c>
      <c r="AE16" s="18">
        <f t="shared" si="24"/>
        <v>0</v>
      </c>
      <c r="AF16" s="18">
        <f t="shared" si="25"/>
        <v>0</v>
      </c>
      <c r="AG16" s="18">
        <f t="shared" si="26"/>
        <v>0</v>
      </c>
      <c r="AH16" s="18">
        <f t="shared" si="27"/>
        <v>0</v>
      </c>
      <c r="AI16" s="18">
        <f t="shared" si="28"/>
        <v>0</v>
      </c>
      <c r="AJ16" s="18">
        <f t="shared" si="29"/>
        <v>0</v>
      </c>
      <c r="AK16" s="18">
        <f t="shared" si="30"/>
        <v>0</v>
      </c>
      <c r="AL16" s="18">
        <f t="shared" si="31"/>
        <v>0</v>
      </c>
      <c r="AM16" s="18">
        <f t="shared" si="32"/>
        <v>0</v>
      </c>
      <c r="AN16" s="18">
        <f t="shared" si="33"/>
        <v>0</v>
      </c>
      <c r="AO16" s="18">
        <f t="shared" si="34"/>
        <v>0</v>
      </c>
      <c r="AP16" s="18">
        <f t="shared" si="35"/>
        <v>0</v>
      </c>
      <c r="AQ16" s="18">
        <f t="shared" si="36"/>
        <v>0</v>
      </c>
      <c r="AR16" s="18">
        <f t="shared" si="37"/>
        <v>0</v>
      </c>
      <c r="AS16" s="18">
        <f t="shared" si="38"/>
        <v>0</v>
      </c>
      <c r="AT16" s="18">
        <f t="shared" si="39"/>
        <v>0</v>
      </c>
      <c r="AU16" s="18">
        <f t="shared" si="40"/>
        <v>0</v>
      </c>
      <c r="AV16" s="18">
        <f t="shared" si="41"/>
        <v>0</v>
      </c>
      <c r="AW16" s="18">
        <f t="shared" si="42"/>
        <v>0</v>
      </c>
      <c r="AX16" s="18">
        <f t="shared" si="43"/>
        <v>0</v>
      </c>
      <c r="AY16" s="18">
        <f t="shared" si="44"/>
        <v>0</v>
      </c>
      <c r="AZ16" s="18">
        <f t="shared" si="45"/>
        <v>0</v>
      </c>
      <c r="BA16" s="18">
        <f t="shared" si="46"/>
        <v>0</v>
      </c>
      <c r="BB16" s="18">
        <f t="shared" si="47"/>
        <v>0</v>
      </c>
      <c r="BC16" s="18">
        <f t="shared" si="48"/>
        <v>0</v>
      </c>
      <c r="BD16" s="18">
        <f t="shared" si="49"/>
        <v>0</v>
      </c>
      <c r="BE16" s="18">
        <f t="shared" si="50"/>
        <v>0</v>
      </c>
      <c r="BF16" s="18">
        <f t="shared" si="51"/>
        <v>0</v>
      </c>
      <c r="BG16" s="18">
        <f t="shared" si="52"/>
        <v>0</v>
      </c>
      <c r="BH16" s="18">
        <f t="shared" si="53"/>
        <v>0</v>
      </c>
      <c r="BI16" s="18">
        <f t="shared" si="54"/>
        <v>0</v>
      </c>
      <c r="BJ16" s="18">
        <f t="shared" si="55"/>
        <v>0</v>
      </c>
      <c r="BK16" s="18">
        <f t="shared" si="56"/>
        <v>0</v>
      </c>
      <c r="BL16" s="18">
        <f t="shared" si="57"/>
        <v>0</v>
      </c>
      <c r="BM16" s="18">
        <f t="shared" si="58"/>
        <v>0</v>
      </c>
      <c r="BN16" s="18">
        <f t="shared" si="59"/>
        <v>0</v>
      </c>
      <c r="BO16" s="18">
        <f t="shared" si="60"/>
        <v>0</v>
      </c>
      <c r="BP16" s="18">
        <f t="shared" si="61"/>
        <v>1</v>
      </c>
      <c r="BQ16" s="18">
        <f t="shared" si="62"/>
        <v>0</v>
      </c>
      <c r="BR16" s="18">
        <f t="shared" si="63"/>
        <v>0</v>
      </c>
      <c r="BS16" s="18">
        <f t="shared" si="64"/>
        <v>0</v>
      </c>
      <c r="BT16" s="18">
        <f t="shared" si="65"/>
        <v>0</v>
      </c>
      <c r="BU16" s="18">
        <f t="shared" si="66"/>
        <v>0</v>
      </c>
      <c r="BV16" s="18">
        <f t="shared" si="67"/>
        <v>0</v>
      </c>
      <c r="BW16" s="18">
        <f t="shared" si="68"/>
        <v>0</v>
      </c>
      <c r="BX16" s="18">
        <f t="shared" si="69"/>
        <v>0</v>
      </c>
      <c r="BY16" s="18">
        <f t="shared" si="70"/>
        <v>0</v>
      </c>
      <c r="BZ16" s="18">
        <f t="shared" si="71"/>
        <v>0</v>
      </c>
      <c r="CA16" s="18">
        <f t="shared" si="72"/>
        <v>0</v>
      </c>
      <c r="CB16" s="18">
        <f t="shared" si="73"/>
        <v>0</v>
      </c>
      <c r="CC16" s="18">
        <f t="shared" si="74"/>
        <v>0</v>
      </c>
      <c r="CD16" s="18">
        <f t="shared" si="75"/>
        <v>0</v>
      </c>
      <c r="CE16" s="18">
        <f t="shared" si="76"/>
        <v>0</v>
      </c>
      <c r="CF16" s="18">
        <f t="shared" si="77"/>
        <v>0</v>
      </c>
      <c r="CG16" s="18">
        <f t="shared" si="78"/>
        <v>0</v>
      </c>
      <c r="CH16" s="18">
        <f t="shared" si="79"/>
        <v>0</v>
      </c>
      <c r="CI16" s="18">
        <f t="shared" si="80"/>
        <v>0</v>
      </c>
      <c r="CJ16" s="18">
        <f t="shared" si="81"/>
        <v>0</v>
      </c>
      <c r="CN16" s="17">
        <v>1</v>
      </c>
      <c r="CO16" s="17">
        <v>0</v>
      </c>
      <c r="CP16" s="17">
        <v>1</v>
      </c>
      <c r="CQ16">
        <f>SUM(AI5:AI253)</f>
        <v>1</v>
      </c>
      <c r="CR16">
        <f>SUM(AJ5:AJ253)</f>
        <v>1</v>
      </c>
      <c r="CS16">
        <f>SUM(AK5:AK253)</f>
        <v>3</v>
      </c>
      <c r="CU16" s="18">
        <f t="shared" si="82"/>
        <v>5</v>
      </c>
    </row>
    <row r="17" spans="1:99" x14ac:dyDescent="0.3">
      <c r="A17" s="1">
        <v>43852</v>
      </c>
      <c r="B17">
        <v>41115.379999999997</v>
      </c>
      <c r="C17">
        <f>Table1[[#This Row],[Close]]-0.001*Table1[[#This Row],[Close]]</f>
        <v>41074.264619999994</v>
      </c>
      <c r="D17">
        <f>Table1[[#This Row],[Close]]+0.001*Table1[[#This Row],[Close]]</f>
        <v>41156.49538</v>
      </c>
      <c r="E17" t="str">
        <f>IF(Table1[[#This Row],[Close]]&gt;D16,"UP",IF(Table1[[#This Row],[Close]]&lt;C16,"Down","Constant"))</f>
        <v>Down</v>
      </c>
      <c r="F17" s="3">
        <f>IF(Table1[[#This Row],[Column1]]="Up",1,IF(Table1[[#This Row],[Column1]]="Down",-1,0))</f>
        <v>-1</v>
      </c>
      <c r="G17">
        <f t="shared" si="0"/>
        <v>0</v>
      </c>
      <c r="H17" s="18">
        <f t="shared" si="1"/>
        <v>0</v>
      </c>
      <c r="I17" s="18">
        <f t="shared" si="2"/>
        <v>0</v>
      </c>
      <c r="J17" s="18">
        <f t="shared" si="3"/>
        <v>0</v>
      </c>
      <c r="K17" s="18">
        <f t="shared" si="4"/>
        <v>0</v>
      </c>
      <c r="L17" s="18">
        <f t="shared" si="5"/>
        <v>0</v>
      </c>
      <c r="M17" s="18">
        <f t="shared" si="6"/>
        <v>0</v>
      </c>
      <c r="N17" s="18">
        <f t="shared" si="7"/>
        <v>0</v>
      </c>
      <c r="O17" s="18">
        <f t="shared" si="8"/>
        <v>0</v>
      </c>
      <c r="P17" s="18">
        <f t="shared" si="9"/>
        <v>0</v>
      </c>
      <c r="Q17" s="18">
        <f t="shared" si="10"/>
        <v>0</v>
      </c>
      <c r="R17" s="18">
        <f t="shared" si="11"/>
        <v>0</v>
      </c>
      <c r="S17" s="18">
        <f t="shared" si="12"/>
        <v>0</v>
      </c>
      <c r="T17" s="18">
        <f t="shared" si="13"/>
        <v>0</v>
      </c>
      <c r="U17" s="18">
        <f t="shared" si="14"/>
        <v>0</v>
      </c>
      <c r="V17" s="18">
        <f t="shared" si="15"/>
        <v>0</v>
      </c>
      <c r="W17" s="18">
        <f t="shared" si="16"/>
        <v>0</v>
      </c>
      <c r="X17" s="18">
        <f t="shared" si="17"/>
        <v>0</v>
      </c>
      <c r="Y17" s="18">
        <f t="shared" si="18"/>
        <v>0</v>
      </c>
      <c r="Z17" s="18">
        <f t="shared" si="19"/>
        <v>0</v>
      </c>
      <c r="AA17" s="18">
        <f t="shared" si="20"/>
        <v>0</v>
      </c>
      <c r="AB17" s="18">
        <f t="shared" si="21"/>
        <v>0</v>
      </c>
      <c r="AC17" s="18">
        <f t="shared" si="22"/>
        <v>0</v>
      </c>
      <c r="AD17" s="18">
        <f t="shared" si="23"/>
        <v>0</v>
      </c>
      <c r="AE17" s="18">
        <f t="shared" si="24"/>
        <v>0</v>
      </c>
      <c r="AF17" s="18">
        <f t="shared" si="25"/>
        <v>0</v>
      </c>
      <c r="AG17" s="18">
        <f t="shared" si="26"/>
        <v>0</v>
      </c>
      <c r="AH17" s="18">
        <f t="shared" si="27"/>
        <v>0</v>
      </c>
      <c r="AI17" s="18">
        <f t="shared" si="28"/>
        <v>0</v>
      </c>
      <c r="AJ17" s="18">
        <f t="shared" si="29"/>
        <v>0</v>
      </c>
      <c r="AK17" s="18">
        <f t="shared" si="30"/>
        <v>0</v>
      </c>
      <c r="AL17" s="18">
        <f t="shared" si="31"/>
        <v>0</v>
      </c>
      <c r="AM17" s="18">
        <f t="shared" si="32"/>
        <v>0</v>
      </c>
      <c r="AN17" s="18">
        <f t="shared" si="33"/>
        <v>0</v>
      </c>
      <c r="AO17" s="18">
        <f t="shared" si="34"/>
        <v>0</v>
      </c>
      <c r="AP17" s="18">
        <f t="shared" si="35"/>
        <v>0</v>
      </c>
      <c r="AQ17" s="18">
        <f t="shared" si="36"/>
        <v>0</v>
      </c>
      <c r="AR17" s="18">
        <f t="shared" si="37"/>
        <v>0</v>
      </c>
      <c r="AS17" s="18">
        <f t="shared" si="38"/>
        <v>0</v>
      </c>
      <c r="AT17" s="18">
        <f t="shared" si="39"/>
        <v>0</v>
      </c>
      <c r="AU17" s="18">
        <f t="shared" si="40"/>
        <v>0</v>
      </c>
      <c r="AV17" s="18">
        <f t="shared" si="41"/>
        <v>0</v>
      </c>
      <c r="AW17" s="18">
        <f t="shared" si="42"/>
        <v>0</v>
      </c>
      <c r="AX17" s="18">
        <f t="shared" si="43"/>
        <v>1</v>
      </c>
      <c r="AY17" s="18">
        <f t="shared" si="44"/>
        <v>0</v>
      </c>
      <c r="AZ17" s="18">
        <f t="shared" si="45"/>
        <v>0</v>
      </c>
      <c r="BA17" s="18">
        <f t="shared" si="46"/>
        <v>0</v>
      </c>
      <c r="BB17" s="18">
        <f t="shared" si="47"/>
        <v>0</v>
      </c>
      <c r="BC17" s="18">
        <f t="shared" si="48"/>
        <v>0</v>
      </c>
      <c r="BD17" s="18">
        <f t="shared" si="49"/>
        <v>0</v>
      </c>
      <c r="BE17" s="18">
        <f t="shared" si="50"/>
        <v>0</v>
      </c>
      <c r="BF17" s="18">
        <f t="shared" si="51"/>
        <v>0</v>
      </c>
      <c r="BG17" s="18">
        <f t="shared" si="52"/>
        <v>0</v>
      </c>
      <c r="BH17" s="18">
        <f t="shared" si="53"/>
        <v>0</v>
      </c>
      <c r="BI17" s="18">
        <f t="shared" si="54"/>
        <v>0</v>
      </c>
      <c r="BJ17" s="18">
        <f t="shared" si="55"/>
        <v>0</v>
      </c>
      <c r="BK17" s="18">
        <f t="shared" si="56"/>
        <v>0</v>
      </c>
      <c r="BL17" s="18">
        <f t="shared" si="57"/>
        <v>0</v>
      </c>
      <c r="BM17" s="18">
        <f t="shared" si="58"/>
        <v>0</v>
      </c>
      <c r="BN17" s="18">
        <f t="shared" si="59"/>
        <v>0</v>
      </c>
      <c r="BO17" s="18">
        <f t="shared" si="60"/>
        <v>0</v>
      </c>
      <c r="BP17" s="18">
        <f t="shared" si="61"/>
        <v>0</v>
      </c>
      <c r="BQ17" s="18">
        <f t="shared" si="62"/>
        <v>0</v>
      </c>
      <c r="BR17" s="18">
        <f t="shared" si="63"/>
        <v>0</v>
      </c>
      <c r="BS17" s="18">
        <f t="shared" si="64"/>
        <v>0</v>
      </c>
      <c r="BT17" s="18">
        <f t="shared" si="65"/>
        <v>0</v>
      </c>
      <c r="BU17" s="18">
        <f t="shared" si="66"/>
        <v>0</v>
      </c>
      <c r="BV17" s="18">
        <f t="shared" si="67"/>
        <v>0</v>
      </c>
      <c r="BW17" s="18">
        <f t="shared" si="68"/>
        <v>0</v>
      </c>
      <c r="BX17" s="18">
        <f t="shared" si="69"/>
        <v>0</v>
      </c>
      <c r="BY17" s="18">
        <f t="shared" si="70"/>
        <v>0</v>
      </c>
      <c r="BZ17" s="18">
        <f t="shared" si="71"/>
        <v>0</v>
      </c>
      <c r="CA17" s="18">
        <f t="shared" si="72"/>
        <v>0</v>
      </c>
      <c r="CB17" s="18">
        <f t="shared" si="73"/>
        <v>0</v>
      </c>
      <c r="CC17" s="18">
        <f t="shared" si="74"/>
        <v>0</v>
      </c>
      <c r="CD17" s="18">
        <f t="shared" si="75"/>
        <v>0</v>
      </c>
      <c r="CE17" s="18">
        <f t="shared" si="76"/>
        <v>0</v>
      </c>
      <c r="CF17" s="18">
        <f t="shared" si="77"/>
        <v>0</v>
      </c>
      <c r="CG17" s="18">
        <f t="shared" si="78"/>
        <v>0</v>
      </c>
      <c r="CH17" s="18">
        <f t="shared" si="79"/>
        <v>0</v>
      </c>
      <c r="CI17" s="18">
        <f t="shared" si="80"/>
        <v>0</v>
      </c>
      <c r="CJ17" s="18">
        <f t="shared" si="81"/>
        <v>0</v>
      </c>
      <c r="CN17" s="17">
        <v>0</v>
      </c>
      <c r="CO17" s="17">
        <v>1</v>
      </c>
      <c r="CP17" s="17">
        <v>1</v>
      </c>
      <c r="CQ17">
        <f>SUM(AL5:AL253)</f>
        <v>1</v>
      </c>
      <c r="CR17">
        <f>SUM(AM5:AM253)</f>
        <v>0</v>
      </c>
      <c r="CS17">
        <f>SUM(AN5:AN253)</f>
        <v>3</v>
      </c>
      <c r="CU17" s="18">
        <f t="shared" si="82"/>
        <v>4</v>
      </c>
    </row>
    <row r="18" spans="1:99" x14ac:dyDescent="0.3">
      <c r="A18" s="1">
        <v>43853</v>
      </c>
      <c r="B18">
        <v>41386.400000000001</v>
      </c>
      <c r="C18">
        <f>Table1[[#This Row],[Close]]-0.001*Table1[[#This Row],[Close]]</f>
        <v>41345.013599999998</v>
      </c>
      <c r="D18">
        <f>Table1[[#This Row],[Close]]+0.001*Table1[[#This Row],[Close]]</f>
        <v>41427.786400000005</v>
      </c>
      <c r="E18" t="str">
        <f>IF(Table1[[#This Row],[Close]]&gt;D17,"UP",IF(Table1[[#This Row],[Close]]&lt;C17,"Down","Constant"))</f>
        <v>UP</v>
      </c>
      <c r="F18" s="3">
        <f>IF(Table1[[#This Row],[Column1]]="Up",1,IF(Table1[[#This Row],[Column1]]="Down",-1,0))</f>
        <v>1</v>
      </c>
      <c r="G18">
        <f t="shared" si="0"/>
        <v>0</v>
      </c>
      <c r="H18" s="18">
        <f t="shared" si="1"/>
        <v>0</v>
      </c>
      <c r="I18" s="18">
        <f t="shared" si="2"/>
        <v>0</v>
      </c>
      <c r="J18" s="18">
        <f t="shared" si="3"/>
        <v>0</v>
      </c>
      <c r="K18" s="18">
        <f t="shared" si="4"/>
        <v>0</v>
      </c>
      <c r="L18" s="18">
        <f t="shared" si="5"/>
        <v>0</v>
      </c>
      <c r="M18" s="18">
        <f t="shared" si="6"/>
        <v>0</v>
      </c>
      <c r="N18" s="18">
        <f t="shared" si="7"/>
        <v>0</v>
      </c>
      <c r="O18" s="18">
        <f t="shared" si="8"/>
        <v>0</v>
      </c>
      <c r="P18" s="18">
        <f t="shared" si="9"/>
        <v>0</v>
      </c>
      <c r="Q18" s="18">
        <f t="shared" si="10"/>
        <v>0</v>
      </c>
      <c r="R18" s="18">
        <f t="shared" si="11"/>
        <v>0</v>
      </c>
      <c r="S18" s="18">
        <f t="shared" si="12"/>
        <v>0</v>
      </c>
      <c r="T18" s="18">
        <f t="shared" si="13"/>
        <v>0</v>
      </c>
      <c r="U18" s="18">
        <f t="shared" si="14"/>
        <v>0</v>
      </c>
      <c r="V18" s="18">
        <f t="shared" si="15"/>
        <v>0</v>
      </c>
      <c r="W18" s="18">
        <f t="shared" si="16"/>
        <v>0</v>
      </c>
      <c r="X18" s="18">
        <f t="shared" si="17"/>
        <v>0</v>
      </c>
      <c r="Y18" s="18">
        <f t="shared" si="18"/>
        <v>0</v>
      </c>
      <c r="Z18" s="18">
        <f t="shared" si="19"/>
        <v>0</v>
      </c>
      <c r="AA18" s="18">
        <f t="shared" si="20"/>
        <v>0</v>
      </c>
      <c r="AB18" s="18">
        <f t="shared" si="21"/>
        <v>1</v>
      </c>
      <c r="AC18" s="18">
        <f t="shared" si="22"/>
        <v>0</v>
      </c>
      <c r="AD18" s="18">
        <f t="shared" si="23"/>
        <v>0</v>
      </c>
      <c r="AE18" s="18">
        <f t="shared" si="24"/>
        <v>0</v>
      </c>
      <c r="AF18" s="18">
        <f t="shared" si="25"/>
        <v>0</v>
      </c>
      <c r="AG18" s="18">
        <f t="shared" si="26"/>
        <v>0</v>
      </c>
      <c r="AH18" s="18">
        <f t="shared" si="27"/>
        <v>0</v>
      </c>
      <c r="AI18" s="18">
        <f t="shared" si="28"/>
        <v>0</v>
      </c>
      <c r="AJ18" s="18">
        <f t="shared" si="29"/>
        <v>0</v>
      </c>
      <c r="AK18" s="18">
        <f t="shared" si="30"/>
        <v>0</v>
      </c>
      <c r="AL18" s="18">
        <f t="shared" si="31"/>
        <v>0</v>
      </c>
      <c r="AM18" s="18">
        <f t="shared" si="32"/>
        <v>0</v>
      </c>
      <c r="AN18" s="18">
        <f t="shared" si="33"/>
        <v>0</v>
      </c>
      <c r="AO18" s="18">
        <f t="shared" si="34"/>
        <v>0</v>
      </c>
      <c r="AP18" s="18">
        <f t="shared" si="35"/>
        <v>0</v>
      </c>
      <c r="AQ18" s="18">
        <f t="shared" si="36"/>
        <v>0</v>
      </c>
      <c r="AR18" s="18">
        <f t="shared" si="37"/>
        <v>0</v>
      </c>
      <c r="AS18" s="18">
        <f t="shared" si="38"/>
        <v>0</v>
      </c>
      <c r="AT18" s="18">
        <f t="shared" si="39"/>
        <v>0</v>
      </c>
      <c r="AU18" s="18">
        <f t="shared" si="40"/>
        <v>0</v>
      </c>
      <c r="AV18" s="18">
        <f t="shared" si="41"/>
        <v>0</v>
      </c>
      <c r="AW18" s="18">
        <f t="shared" si="42"/>
        <v>0</v>
      </c>
      <c r="AX18" s="18">
        <f t="shared" si="43"/>
        <v>0</v>
      </c>
      <c r="AY18" s="18">
        <f t="shared" si="44"/>
        <v>0</v>
      </c>
      <c r="AZ18" s="18">
        <f t="shared" si="45"/>
        <v>0</v>
      </c>
      <c r="BA18" s="18">
        <f t="shared" si="46"/>
        <v>0</v>
      </c>
      <c r="BB18" s="18">
        <f t="shared" si="47"/>
        <v>0</v>
      </c>
      <c r="BC18" s="18">
        <f t="shared" si="48"/>
        <v>0</v>
      </c>
      <c r="BD18" s="18">
        <f t="shared" si="49"/>
        <v>0</v>
      </c>
      <c r="BE18" s="18">
        <f t="shared" si="50"/>
        <v>0</v>
      </c>
      <c r="BF18" s="18">
        <f t="shared" si="51"/>
        <v>0</v>
      </c>
      <c r="BG18" s="18">
        <f t="shared" si="52"/>
        <v>0</v>
      </c>
      <c r="BH18" s="18">
        <f t="shared" si="53"/>
        <v>0</v>
      </c>
      <c r="BI18" s="18">
        <f t="shared" si="54"/>
        <v>0</v>
      </c>
      <c r="BJ18" s="18">
        <f t="shared" si="55"/>
        <v>0</v>
      </c>
      <c r="BK18" s="18">
        <f t="shared" si="56"/>
        <v>0</v>
      </c>
      <c r="BL18" s="18">
        <f t="shared" si="57"/>
        <v>0</v>
      </c>
      <c r="BM18" s="18">
        <f t="shared" si="58"/>
        <v>0</v>
      </c>
      <c r="BN18" s="18">
        <f t="shared" si="59"/>
        <v>0</v>
      </c>
      <c r="BO18" s="18">
        <f t="shared" si="60"/>
        <v>0</v>
      </c>
      <c r="BP18" s="18">
        <f t="shared" si="61"/>
        <v>0</v>
      </c>
      <c r="BQ18" s="18">
        <f t="shared" si="62"/>
        <v>0</v>
      </c>
      <c r="BR18" s="18">
        <f t="shared" si="63"/>
        <v>0</v>
      </c>
      <c r="BS18" s="18">
        <f t="shared" si="64"/>
        <v>0</v>
      </c>
      <c r="BT18" s="18">
        <f t="shared" si="65"/>
        <v>0</v>
      </c>
      <c r="BU18" s="18">
        <f t="shared" si="66"/>
        <v>0</v>
      </c>
      <c r="BV18" s="18">
        <f t="shared" si="67"/>
        <v>0</v>
      </c>
      <c r="BW18" s="18">
        <f t="shared" si="68"/>
        <v>0</v>
      </c>
      <c r="BX18" s="18">
        <f t="shared" si="69"/>
        <v>0</v>
      </c>
      <c r="BY18" s="18">
        <f t="shared" si="70"/>
        <v>0</v>
      </c>
      <c r="BZ18" s="18">
        <f t="shared" si="71"/>
        <v>0</v>
      </c>
      <c r="CA18" s="18">
        <f t="shared" si="72"/>
        <v>0</v>
      </c>
      <c r="CB18" s="18">
        <f t="shared" si="73"/>
        <v>0</v>
      </c>
      <c r="CC18" s="18">
        <f t="shared" si="74"/>
        <v>0</v>
      </c>
      <c r="CD18" s="18">
        <f t="shared" si="75"/>
        <v>0</v>
      </c>
      <c r="CE18" s="18">
        <f t="shared" si="76"/>
        <v>0</v>
      </c>
      <c r="CF18" s="18">
        <f t="shared" si="77"/>
        <v>0</v>
      </c>
      <c r="CG18" s="18">
        <f t="shared" si="78"/>
        <v>0</v>
      </c>
      <c r="CH18" s="18">
        <f t="shared" si="79"/>
        <v>0</v>
      </c>
      <c r="CI18" s="18">
        <f t="shared" si="80"/>
        <v>0</v>
      </c>
      <c r="CJ18" s="18">
        <f t="shared" si="81"/>
        <v>0</v>
      </c>
      <c r="CN18" s="17">
        <v>0</v>
      </c>
      <c r="CO18" s="17">
        <v>0</v>
      </c>
      <c r="CP18" s="17">
        <v>1</v>
      </c>
      <c r="CQ18">
        <f>SUM(AO5:AO253)</f>
        <v>0</v>
      </c>
      <c r="CR18" s="18">
        <f t="shared" ref="CR18:CS18" si="83">SUM(AP5:AP253)</f>
        <v>0</v>
      </c>
      <c r="CS18" s="18">
        <f t="shared" si="83"/>
        <v>1</v>
      </c>
      <c r="CU18" s="18">
        <f t="shared" si="82"/>
        <v>1</v>
      </c>
    </row>
    <row r="19" spans="1:99" x14ac:dyDescent="0.3">
      <c r="A19" s="1">
        <v>43854</v>
      </c>
      <c r="B19">
        <v>41613.19</v>
      </c>
      <c r="C19">
        <f>Table1[[#This Row],[Close]]-0.001*Table1[[#This Row],[Close]]</f>
        <v>41571.576810000006</v>
      </c>
      <c r="D19">
        <f>Table1[[#This Row],[Close]]+0.001*Table1[[#This Row],[Close]]</f>
        <v>41654.803189999999</v>
      </c>
      <c r="E19" t="str">
        <f>IF(Table1[[#This Row],[Close]]&gt;D18,"UP",IF(Table1[[#This Row],[Close]]&lt;C18,"Down","Constant"))</f>
        <v>UP</v>
      </c>
      <c r="F19" s="3">
        <f>IF(Table1[[#This Row],[Column1]]="Up",1,IF(Table1[[#This Row],[Column1]]="Down",-1,0))</f>
        <v>1</v>
      </c>
      <c r="G19">
        <f t="shared" si="0"/>
        <v>0</v>
      </c>
      <c r="H19" s="18">
        <f t="shared" si="1"/>
        <v>0</v>
      </c>
      <c r="I19" s="18">
        <f t="shared" si="2"/>
        <v>0</v>
      </c>
      <c r="J19" s="18">
        <f t="shared" si="3"/>
        <v>0</v>
      </c>
      <c r="K19" s="18">
        <f t="shared" si="4"/>
        <v>0</v>
      </c>
      <c r="L19" s="18">
        <f t="shared" si="5"/>
        <v>0</v>
      </c>
      <c r="M19" s="18">
        <f t="shared" si="6"/>
        <v>0</v>
      </c>
      <c r="N19" s="18">
        <f t="shared" si="7"/>
        <v>0</v>
      </c>
      <c r="O19" s="18">
        <f t="shared" si="8"/>
        <v>0</v>
      </c>
      <c r="P19" s="18">
        <f t="shared" si="9"/>
        <v>0</v>
      </c>
      <c r="Q19" s="18">
        <f t="shared" si="10"/>
        <v>0</v>
      </c>
      <c r="R19" s="18">
        <f t="shared" si="11"/>
        <v>0</v>
      </c>
      <c r="S19" s="18">
        <f t="shared" si="12"/>
        <v>0</v>
      </c>
      <c r="T19" s="18">
        <f t="shared" si="13"/>
        <v>0</v>
      </c>
      <c r="U19" s="18">
        <f t="shared" si="14"/>
        <v>0</v>
      </c>
      <c r="V19" s="18">
        <f t="shared" si="15"/>
        <v>1</v>
      </c>
      <c r="W19" s="18">
        <f t="shared" si="16"/>
        <v>0</v>
      </c>
      <c r="X19" s="18">
        <f t="shared" si="17"/>
        <v>0</v>
      </c>
      <c r="Y19" s="18">
        <f t="shared" si="18"/>
        <v>0</v>
      </c>
      <c r="Z19" s="18">
        <f t="shared" si="19"/>
        <v>0</v>
      </c>
      <c r="AA19" s="18">
        <f t="shared" si="20"/>
        <v>0</v>
      </c>
      <c r="AB19" s="18">
        <f t="shared" si="21"/>
        <v>0</v>
      </c>
      <c r="AC19" s="18">
        <f t="shared" si="22"/>
        <v>0</v>
      </c>
      <c r="AD19" s="18">
        <f t="shared" si="23"/>
        <v>0</v>
      </c>
      <c r="AE19" s="18">
        <f t="shared" si="24"/>
        <v>0</v>
      </c>
      <c r="AF19" s="18">
        <f t="shared" si="25"/>
        <v>0</v>
      </c>
      <c r="AG19" s="18">
        <f t="shared" si="26"/>
        <v>0</v>
      </c>
      <c r="AH19" s="18">
        <f t="shared" si="27"/>
        <v>0</v>
      </c>
      <c r="AI19" s="18">
        <f t="shared" si="28"/>
        <v>0</v>
      </c>
      <c r="AJ19" s="18">
        <f t="shared" si="29"/>
        <v>0</v>
      </c>
      <c r="AK19" s="18">
        <f t="shared" si="30"/>
        <v>0</v>
      </c>
      <c r="AL19" s="18">
        <f t="shared" si="31"/>
        <v>0</v>
      </c>
      <c r="AM19" s="18">
        <f t="shared" si="32"/>
        <v>0</v>
      </c>
      <c r="AN19" s="18">
        <f t="shared" si="33"/>
        <v>0</v>
      </c>
      <c r="AO19" s="18">
        <f t="shared" si="34"/>
        <v>0</v>
      </c>
      <c r="AP19" s="18">
        <f t="shared" si="35"/>
        <v>0</v>
      </c>
      <c r="AQ19" s="18">
        <f t="shared" si="36"/>
        <v>0</v>
      </c>
      <c r="AR19" s="18">
        <f t="shared" si="37"/>
        <v>0</v>
      </c>
      <c r="AS19" s="18">
        <f t="shared" si="38"/>
        <v>0</v>
      </c>
      <c r="AT19" s="18">
        <f t="shared" si="39"/>
        <v>0</v>
      </c>
      <c r="AU19" s="18">
        <f t="shared" si="40"/>
        <v>0</v>
      </c>
      <c r="AV19" s="18">
        <f t="shared" si="41"/>
        <v>0</v>
      </c>
      <c r="AW19" s="18">
        <f t="shared" si="42"/>
        <v>0</v>
      </c>
      <c r="AX19" s="18">
        <f t="shared" si="43"/>
        <v>0</v>
      </c>
      <c r="AY19" s="18">
        <f t="shared" si="44"/>
        <v>0</v>
      </c>
      <c r="AZ19" s="18">
        <f t="shared" si="45"/>
        <v>0</v>
      </c>
      <c r="BA19" s="18">
        <f t="shared" si="46"/>
        <v>0</v>
      </c>
      <c r="BB19" s="18">
        <f t="shared" si="47"/>
        <v>0</v>
      </c>
      <c r="BC19" s="18">
        <f t="shared" si="48"/>
        <v>0</v>
      </c>
      <c r="BD19" s="18">
        <f t="shared" si="49"/>
        <v>0</v>
      </c>
      <c r="BE19" s="18">
        <f t="shared" si="50"/>
        <v>0</v>
      </c>
      <c r="BF19" s="18">
        <f t="shared" si="51"/>
        <v>0</v>
      </c>
      <c r="BG19" s="18">
        <f t="shared" si="52"/>
        <v>0</v>
      </c>
      <c r="BH19" s="18">
        <f t="shared" si="53"/>
        <v>0</v>
      </c>
      <c r="BI19" s="18">
        <f t="shared" si="54"/>
        <v>0</v>
      </c>
      <c r="BJ19" s="18">
        <f t="shared" si="55"/>
        <v>0</v>
      </c>
      <c r="BK19" s="18">
        <f t="shared" si="56"/>
        <v>0</v>
      </c>
      <c r="BL19" s="18">
        <f t="shared" si="57"/>
        <v>0</v>
      </c>
      <c r="BM19" s="18">
        <f t="shared" si="58"/>
        <v>0</v>
      </c>
      <c r="BN19" s="18">
        <f t="shared" si="59"/>
        <v>0</v>
      </c>
      <c r="BO19" s="18">
        <f t="shared" si="60"/>
        <v>0</v>
      </c>
      <c r="BP19" s="18">
        <f t="shared" si="61"/>
        <v>0</v>
      </c>
      <c r="BQ19" s="18">
        <f t="shared" si="62"/>
        <v>0</v>
      </c>
      <c r="BR19" s="18">
        <f t="shared" si="63"/>
        <v>0</v>
      </c>
      <c r="BS19" s="18">
        <f t="shared" si="64"/>
        <v>0</v>
      </c>
      <c r="BT19" s="18">
        <f t="shared" si="65"/>
        <v>0</v>
      </c>
      <c r="BU19" s="18">
        <f t="shared" si="66"/>
        <v>0</v>
      </c>
      <c r="BV19" s="18">
        <f t="shared" si="67"/>
        <v>0</v>
      </c>
      <c r="BW19" s="18">
        <f t="shared" si="68"/>
        <v>0</v>
      </c>
      <c r="BX19" s="18">
        <f t="shared" si="69"/>
        <v>0</v>
      </c>
      <c r="BY19" s="18">
        <f t="shared" si="70"/>
        <v>0</v>
      </c>
      <c r="BZ19" s="18">
        <f t="shared" si="71"/>
        <v>0</v>
      </c>
      <c r="CA19" s="18">
        <f t="shared" si="72"/>
        <v>0</v>
      </c>
      <c r="CB19" s="18">
        <f t="shared" si="73"/>
        <v>0</v>
      </c>
      <c r="CC19" s="18">
        <f t="shared" si="74"/>
        <v>0</v>
      </c>
      <c r="CD19" s="18">
        <f t="shared" si="75"/>
        <v>0</v>
      </c>
      <c r="CE19" s="18">
        <f t="shared" si="76"/>
        <v>0</v>
      </c>
      <c r="CF19" s="18">
        <f t="shared" si="77"/>
        <v>0</v>
      </c>
      <c r="CG19" s="18">
        <f t="shared" si="78"/>
        <v>0</v>
      </c>
      <c r="CH19" s="18">
        <f t="shared" si="79"/>
        <v>0</v>
      </c>
      <c r="CI19" s="18">
        <f t="shared" si="80"/>
        <v>0</v>
      </c>
      <c r="CJ19" s="18">
        <f t="shared" si="81"/>
        <v>0</v>
      </c>
      <c r="CN19" s="17">
        <v>0</v>
      </c>
      <c r="CO19" s="17">
        <v>1</v>
      </c>
      <c r="CP19" s="17">
        <v>0</v>
      </c>
      <c r="CQ19">
        <f>SUM(AR5:AR253)</f>
        <v>0</v>
      </c>
      <c r="CR19" s="18">
        <f t="shared" ref="CR19:CS19" si="84">SUM(AS5:AS253)</f>
        <v>0</v>
      </c>
      <c r="CS19" s="18">
        <f t="shared" si="84"/>
        <v>1</v>
      </c>
      <c r="CU19" s="18">
        <f t="shared" si="82"/>
        <v>1</v>
      </c>
    </row>
    <row r="20" spans="1:99" x14ac:dyDescent="0.3">
      <c r="A20" s="1">
        <v>43857</v>
      </c>
      <c r="B20">
        <v>41155.120000000003</v>
      </c>
      <c r="C20">
        <f>Table1[[#This Row],[Close]]-0.001*Table1[[#This Row],[Close]]</f>
        <v>41113.96488</v>
      </c>
      <c r="D20">
        <f>Table1[[#This Row],[Close]]+0.001*Table1[[#This Row],[Close]]</f>
        <v>41196.275120000006</v>
      </c>
      <c r="E20" t="str">
        <f>IF(Table1[[#This Row],[Close]]&gt;D19,"UP",IF(Table1[[#This Row],[Close]]&lt;C19,"Down","Constant"))</f>
        <v>Down</v>
      </c>
      <c r="F20" s="3">
        <f>IF(Table1[[#This Row],[Column1]]="Up",1,IF(Table1[[#This Row],[Column1]]="Down",-1,0))</f>
        <v>-1</v>
      </c>
      <c r="G20">
        <f t="shared" si="0"/>
        <v>0</v>
      </c>
      <c r="H20" s="18">
        <f t="shared" si="1"/>
        <v>0</v>
      </c>
      <c r="I20" s="18">
        <f t="shared" si="2"/>
        <v>0</v>
      </c>
      <c r="J20" s="18">
        <f t="shared" si="3"/>
        <v>0</v>
      </c>
      <c r="K20" s="18">
        <f t="shared" si="4"/>
        <v>1</v>
      </c>
      <c r="L20" s="18">
        <f t="shared" si="5"/>
        <v>0</v>
      </c>
      <c r="M20" s="18">
        <f t="shared" si="6"/>
        <v>0</v>
      </c>
      <c r="N20" s="18">
        <f t="shared" si="7"/>
        <v>0</v>
      </c>
      <c r="O20" s="18">
        <f t="shared" si="8"/>
        <v>0</v>
      </c>
      <c r="P20" s="18">
        <f t="shared" si="9"/>
        <v>0</v>
      </c>
      <c r="Q20" s="18">
        <f t="shared" si="10"/>
        <v>0</v>
      </c>
      <c r="R20" s="18">
        <f t="shared" si="11"/>
        <v>0</v>
      </c>
      <c r="S20" s="18">
        <f t="shared" si="12"/>
        <v>0</v>
      </c>
      <c r="T20" s="18">
        <f t="shared" si="13"/>
        <v>0</v>
      </c>
      <c r="U20" s="18">
        <f t="shared" si="14"/>
        <v>0</v>
      </c>
      <c r="V20" s="18">
        <f t="shared" si="15"/>
        <v>0</v>
      </c>
      <c r="W20" s="18">
        <f t="shared" si="16"/>
        <v>0</v>
      </c>
      <c r="X20" s="18">
        <f t="shared" si="17"/>
        <v>0</v>
      </c>
      <c r="Y20" s="18">
        <f t="shared" si="18"/>
        <v>0</v>
      </c>
      <c r="Z20" s="18">
        <f t="shared" si="19"/>
        <v>0</v>
      </c>
      <c r="AA20" s="18">
        <f t="shared" si="20"/>
        <v>0</v>
      </c>
      <c r="AB20" s="18">
        <f t="shared" si="21"/>
        <v>0</v>
      </c>
      <c r="AC20" s="18">
        <f t="shared" si="22"/>
        <v>0</v>
      </c>
      <c r="AD20" s="18">
        <f t="shared" si="23"/>
        <v>0</v>
      </c>
      <c r="AE20" s="18">
        <f t="shared" si="24"/>
        <v>0</v>
      </c>
      <c r="AF20" s="18">
        <f t="shared" si="25"/>
        <v>0</v>
      </c>
      <c r="AG20" s="18">
        <f t="shared" si="26"/>
        <v>0</v>
      </c>
      <c r="AH20" s="18">
        <f t="shared" si="27"/>
        <v>0</v>
      </c>
      <c r="AI20" s="18">
        <f t="shared" si="28"/>
        <v>0</v>
      </c>
      <c r="AJ20" s="18">
        <f t="shared" si="29"/>
        <v>0</v>
      </c>
      <c r="AK20" s="18">
        <f t="shared" si="30"/>
        <v>0</v>
      </c>
      <c r="AL20" s="18">
        <f t="shared" si="31"/>
        <v>0</v>
      </c>
      <c r="AM20" s="18">
        <f t="shared" si="32"/>
        <v>0</v>
      </c>
      <c r="AN20" s="18">
        <f t="shared" si="33"/>
        <v>0</v>
      </c>
      <c r="AO20" s="18">
        <f t="shared" si="34"/>
        <v>0</v>
      </c>
      <c r="AP20" s="18">
        <f t="shared" si="35"/>
        <v>0</v>
      </c>
      <c r="AQ20" s="18">
        <f t="shared" si="36"/>
        <v>0</v>
      </c>
      <c r="AR20" s="18">
        <f t="shared" si="37"/>
        <v>0</v>
      </c>
      <c r="AS20" s="18">
        <f t="shared" si="38"/>
        <v>0</v>
      </c>
      <c r="AT20" s="18">
        <f t="shared" si="39"/>
        <v>0</v>
      </c>
      <c r="AU20" s="18">
        <f t="shared" si="40"/>
        <v>0</v>
      </c>
      <c r="AV20" s="18">
        <f t="shared" si="41"/>
        <v>0</v>
      </c>
      <c r="AW20" s="18">
        <f t="shared" si="42"/>
        <v>0</v>
      </c>
      <c r="AX20" s="18">
        <f t="shared" si="43"/>
        <v>0</v>
      </c>
      <c r="AY20" s="18">
        <f t="shared" si="44"/>
        <v>0</v>
      </c>
      <c r="AZ20" s="18">
        <f t="shared" si="45"/>
        <v>0</v>
      </c>
      <c r="BA20" s="18">
        <f t="shared" si="46"/>
        <v>0</v>
      </c>
      <c r="BB20" s="18">
        <f t="shared" si="47"/>
        <v>0</v>
      </c>
      <c r="BC20" s="18">
        <f t="shared" si="48"/>
        <v>0</v>
      </c>
      <c r="BD20" s="18">
        <f t="shared" si="49"/>
        <v>0</v>
      </c>
      <c r="BE20" s="18">
        <f t="shared" si="50"/>
        <v>0</v>
      </c>
      <c r="BF20" s="18">
        <f t="shared" si="51"/>
        <v>0</v>
      </c>
      <c r="BG20" s="18">
        <f t="shared" si="52"/>
        <v>0</v>
      </c>
      <c r="BH20" s="18">
        <f t="shared" si="53"/>
        <v>0</v>
      </c>
      <c r="BI20" s="18">
        <f t="shared" si="54"/>
        <v>0</v>
      </c>
      <c r="BJ20" s="18">
        <f t="shared" si="55"/>
        <v>0</v>
      </c>
      <c r="BK20" s="18">
        <f t="shared" si="56"/>
        <v>0</v>
      </c>
      <c r="BL20" s="18">
        <f t="shared" si="57"/>
        <v>0</v>
      </c>
      <c r="BM20" s="18">
        <f t="shared" si="58"/>
        <v>0</v>
      </c>
      <c r="BN20" s="18">
        <f t="shared" si="59"/>
        <v>0</v>
      </c>
      <c r="BO20" s="18">
        <f t="shared" si="60"/>
        <v>0</v>
      </c>
      <c r="BP20" s="18">
        <f t="shared" si="61"/>
        <v>0</v>
      </c>
      <c r="BQ20" s="18">
        <f t="shared" si="62"/>
        <v>0</v>
      </c>
      <c r="BR20" s="18">
        <f t="shared" si="63"/>
        <v>0</v>
      </c>
      <c r="BS20" s="18">
        <f t="shared" si="64"/>
        <v>0</v>
      </c>
      <c r="BT20" s="18">
        <f t="shared" si="65"/>
        <v>0</v>
      </c>
      <c r="BU20" s="18">
        <f t="shared" si="66"/>
        <v>0</v>
      </c>
      <c r="BV20" s="18">
        <f t="shared" si="67"/>
        <v>0</v>
      </c>
      <c r="BW20" s="18">
        <f t="shared" si="68"/>
        <v>0</v>
      </c>
      <c r="BX20" s="18">
        <f t="shared" si="69"/>
        <v>0</v>
      </c>
      <c r="BY20" s="18">
        <f t="shared" si="70"/>
        <v>0</v>
      </c>
      <c r="BZ20" s="18">
        <f t="shared" si="71"/>
        <v>0</v>
      </c>
      <c r="CA20" s="18">
        <f t="shared" si="72"/>
        <v>0</v>
      </c>
      <c r="CB20" s="18">
        <f t="shared" si="73"/>
        <v>0</v>
      </c>
      <c r="CC20" s="18">
        <f t="shared" si="74"/>
        <v>0</v>
      </c>
      <c r="CD20" s="18">
        <f t="shared" si="75"/>
        <v>0</v>
      </c>
      <c r="CE20" s="18">
        <f t="shared" si="76"/>
        <v>0</v>
      </c>
      <c r="CF20" s="18">
        <f t="shared" si="77"/>
        <v>0</v>
      </c>
      <c r="CG20" s="18">
        <f t="shared" si="78"/>
        <v>0</v>
      </c>
      <c r="CH20" s="18">
        <f t="shared" si="79"/>
        <v>0</v>
      </c>
      <c r="CI20" s="18">
        <f t="shared" si="80"/>
        <v>0</v>
      </c>
      <c r="CJ20" s="18">
        <f t="shared" si="81"/>
        <v>0</v>
      </c>
      <c r="CN20" s="17">
        <v>1</v>
      </c>
      <c r="CO20" s="17">
        <v>0</v>
      </c>
      <c r="CP20" s="17">
        <v>0</v>
      </c>
      <c r="CQ20">
        <f>SUM(AU5:AU253)</f>
        <v>0</v>
      </c>
      <c r="CR20" s="18">
        <f t="shared" ref="CR20:CS20" si="85">SUM(AV5:AV253)</f>
        <v>0</v>
      </c>
      <c r="CS20" s="18">
        <f t="shared" si="85"/>
        <v>1</v>
      </c>
      <c r="CU20" s="18">
        <f t="shared" si="82"/>
        <v>1</v>
      </c>
    </row>
    <row r="21" spans="1:99" x14ac:dyDescent="0.3">
      <c r="A21" s="1">
        <v>43858</v>
      </c>
      <c r="B21">
        <v>40966.86</v>
      </c>
      <c r="C21">
        <f>Table1[[#This Row],[Close]]-0.001*Table1[[#This Row],[Close]]</f>
        <v>40925.89314</v>
      </c>
      <c r="D21">
        <f>Table1[[#This Row],[Close]]+0.001*Table1[[#This Row],[Close]]</f>
        <v>41007.826860000001</v>
      </c>
      <c r="E21" t="str">
        <f>IF(Table1[[#This Row],[Close]]&gt;D20,"UP",IF(Table1[[#This Row],[Close]]&lt;C20,"Down","Constant"))</f>
        <v>Down</v>
      </c>
      <c r="F21" s="3">
        <f>IF(Table1[[#This Row],[Column1]]="Up",1,IF(Table1[[#This Row],[Column1]]="Down",-1,0))</f>
        <v>-1</v>
      </c>
      <c r="G21">
        <f t="shared" si="0"/>
        <v>0</v>
      </c>
      <c r="H21" s="18">
        <f t="shared" si="1"/>
        <v>0</v>
      </c>
      <c r="I21" s="18">
        <f t="shared" si="2"/>
        <v>0</v>
      </c>
      <c r="J21" s="18">
        <f t="shared" si="3"/>
        <v>0</v>
      </c>
      <c r="K21" s="18">
        <f t="shared" si="4"/>
        <v>0</v>
      </c>
      <c r="L21" s="18">
        <f t="shared" si="5"/>
        <v>0</v>
      </c>
      <c r="M21" s="18">
        <f t="shared" si="6"/>
        <v>0</v>
      </c>
      <c r="N21" s="18">
        <f t="shared" si="7"/>
        <v>0</v>
      </c>
      <c r="O21" s="18">
        <f t="shared" si="8"/>
        <v>0</v>
      </c>
      <c r="P21" s="18">
        <f t="shared" si="9"/>
        <v>0</v>
      </c>
      <c r="Q21" s="18">
        <f t="shared" si="10"/>
        <v>1</v>
      </c>
      <c r="R21" s="18">
        <f t="shared" si="11"/>
        <v>0</v>
      </c>
      <c r="S21" s="18">
        <f t="shared" si="12"/>
        <v>0</v>
      </c>
      <c r="T21" s="18">
        <f t="shared" si="13"/>
        <v>0</v>
      </c>
      <c r="U21" s="18">
        <f t="shared" si="14"/>
        <v>0</v>
      </c>
      <c r="V21" s="18">
        <f t="shared" si="15"/>
        <v>0</v>
      </c>
      <c r="W21" s="18">
        <f t="shared" si="16"/>
        <v>0</v>
      </c>
      <c r="X21" s="18">
        <f t="shared" si="17"/>
        <v>0</v>
      </c>
      <c r="Y21" s="18">
        <f t="shared" si="18"/>
        <v>0</v>
      </c>
      <c r="Z21" s="18">
        <f t="shared" si="19"/>
        <v>0</v>
      </c>
      <c r="AA21" s="18">
        <f t="shared" si="20"/>
        <v>0</v>
      </c>
      <c r="AB21" s="18">
        <f t="shared" si="21"/>
        <v>0</v>
      </c>
      <c r="AC21" s="18">
        <f t="shared" si="22"/>
        <v>0</v>
      </c>
      <c r="AD21" s="18">
        <f t="shared" si="23"/>
        <v>0</v>
      </c>
      <c r="AE21" s="18">
        <f t="shared" si="24"/>
        <v>0</v>
      </c>
      <c r="AF21" s="18">
        <f t="shared" si="25"/>
        <v>0</v>
      </c>
      <c r="AG21" s="18">
        <f t="shared" si="26"/>
        <v>0</v>
      </c>
      <c r="AH21" s="18">
        <f t="shared" si="27"/>
        <v>0</v>
      </c>
      <c r="AI21" s="18">
        <f t="shared" si="28"/>
        <v>0</v>
      </c>
      <c r="AJ21" s="18">
        <f t="shared" si="29"/>
        <v>0</v>
      </c>
      <c r="AK21" s="18">
        <f t="shared" si="30"/>
        <v>0</v>
      </c>
      <c r="AL21" s="18">
        <f t="shared" si="31"/>
        <v>0</v>
      </c>
      <c r="AM21" s="18">
        <f t="shared" si="32"/>
        <v>0</v>
      </c>
      <c r="AN21" s="18">
        <f t="shared" si="33"/>
        <v>0</v>
      </c>
      <c r="AO21" s="18">
        <f t="shared" si="34"/>
        <v>0</v>
      </c>
      <c r="AP21" s="18">
        <f t="shared" si="35"/>
        <v>0</v>
      </c>
      <c r="AQ21" s="18">
        <f t="shared" si="36"/>
        <v>0</v>
      </c>
      <c r="AR21" s="18">
        <f t="shared" si="37"/>
        <v>0</v>
      </c>
      <c r="AS21" s="18">
        <f t="shared" si="38"/>
        <v>0</v>
      </c>
      <c r="AT21" s="18">
        <f t="shared" si="39"/>
        <v>0</v>
      </c>
      <c r="AU21" s="18">
        <f t="shared" si="40"/>
        <v>0</v>
      </c>
      <c r="AV21" s="18">
        <f t="shared" si="41"/>
        <v>0</v>
      </c>
      <c r="AW21" s="18">
        <f t="shared" si="42"/>
        <v>0</v>
      </c>
      <c r="AX21" s="18">
        <f t="shared" si="43"/>
        <v>0</v>
      </c>
      <c r="AY21" s="18">
        <f t="shared" si="44"/>
        <v>0</v>
      </c>
      <c r="AZ21" s="18">
        <f t="shared" si="45"/>
        <v>0</v>
      </c>
      <c r="BA21" s="18">
        <f t="shared" si="46"/>
        <v>0</v>
      </c>
      <c r="BB21" s="18">
        <f t="shared" si="47"/>
        <v>0</v>
      </c>
      <c r="BC21" s="18">
        <f t="shared" si="48"/>
        <v>0</v>
      </c>
      <c r="BD21" s="18">
        <f t="shared" si="49"/>
        <v>0</v>
      </c>
      <c r="BE21" s="18">
        <f t="shared" si="50"/>
        <v>0</v>
      </c>
      <c r="BF21" s="18">
        <f t="shared" si="51"/>
        <v>0</v>
      </c>
      <c r="BG21" s="18">
        <f t="shared" si="52"/>
        <v>0</v>
      </c>
      <c r="BH21" s="18">
        <f t="shared" si="53"/>
        <v>0</v>
      </c>
      <c r="BI21" s="18">
        <f t="shared" si="54"/>
        <v>0</v>
      </c>
      <c r="BJ21" s="18">
        <f t="shared" si="55"/>
        <v>0</v>
      </c>
      <c r="BK21" s="18">
        <f t="shared" si="56"/>
        <v>0</v>
      </c>
      <c r="BL21" s="18">
        <f t="shared" si="57"/>
        <v>0</v>
      </c>
      <c r="BM21" s="18">
        <f t="shared" si="58"/>
        <v>0</v>
      </c>
      <c r="BN21" s="18">
        <f t="shared" si="59"/>
        <v>0</v>
      </c>
      <c r="BO21" s="18">
        <f t="shared" si="60"/>
        <v>0</v>
      </c>
      <c r="BP21" s="18">
        <f t="shared" si="61"/>
        <v>0</v>
      </c>
      <c r="BQ21" s="18">
        <f t="shared" si="62"/>
        <v>0</v>
      </c>
      <c r="BR21" s="18">
        <f t="shared" si="63"/>
        <v>0</v>
      </c>
      <c r="BS21" s="18">
        <f t="shared" si="64"/>
        <v>0</v>
      </c>
      <c r="BT21" s="18">
        <f t="shared" si="65"/>
        <v>0</v>
      </c>
      <c r="BU21" s="18">
        <f t="shared" si="66"/>
        <v>0</v>
      </c>
      <c r="BV21" s="18">
        <f t="shared" si="67"/>
        <v>0</v>
      </c>
      <c r="BW21" s="18">
        <f t="shared" si="68"/>
        <v>0</v>
      </c>
      <c r="BX21" s="18">
        <f t="shared" si="69"/>
        <v>0</v>
      </c>
      <c r="BY21" s="18">
        <f t="shared" si="70"/>
        <v>0</v>
      </c>
      <c r="BZ21" s="18">
        <f t="shared" si="71"/>
        <v>0</v>
      </c>
      <c r="CA21" s="18">
        <f t="shared" si="72"/>
        <v>0</v>
      </c>
      <c r="CB21" s="18">
        <f t="shared" si="73"/>
        <v>0</v>
      </c>
      <c r="CC21" s="18">
        <f t="shared" si="74"/>
        <v>0</v>
      </c>
      <c r="CD21" s="18">
        <f t="shared" si="75"/>
        <v>0</v>
      </c>
      <c r="CE21" s="18">
        <f t="shared" si="76"/>
        <v>0</v>
      </c>
      <c r="CF21" s="18">
        <f t="shared" si="77"/>
        <v>0</v>
      </c>
      <c r="CG21" s="18">
        <f t="shared" si="78"/>
        <v>0</v>
      </c>
      <c r="CH21" s="18">
        <f t="shared" si="79"/>
        <v>0</v>
      </c>
      <c r="CI21" s="18">
        <f t="shared" si="80"/>
        <v>0</v>
      </c>
      <c r="CJ21" s="18">
        <f t="shared" si="81"/>
        <v>0</v>
      </c>
      <c r="CN21" s="17">
        <v>-1</v>
      </c>
      <c r="CO21" s="17">
        <v>-1</v>
      </c>
      <c r="CP21" s="17">
        <v>0</v>
      </c>
      <c r="CQ21">
        <f>SUM(AX5:AX253)</f>
        <v>1</v>
      </c>
      <c r="CR21" s="18">
        <f t="shared" ref="CR21:CS21" si="86">SUM(AY5:AY253)</f>
        <v>0</v>
      </c>
      <c r="CS21" s="18">
        <f t="shared" si="86"/>
        <v>1</v>
      </c>
      <c r="CU21" s="18">
        <f t="shared" si="82"/>
        <v>2</v>
      </c>
    </row>
    <row r="22" spans="1:99" x14ac:dyDescent="0.3">
      <c r="A22" s="1">
        <v>43859</v>
      </c>
      <c r="B22">
        <v>41198.660000000003</v>
      </c>
      <c r="C22">
        <f>Table1[[#This Row],[Close]]-0.001*Table1[[#This Row],[Close]]</f>
        <v>41157.461340000002</v>
      </c>
      <c r="D22">
        <f>Table1[[#This Row],[Close]]+0.001*Table1[[#This Row],[Close]]</f>
        <v>41239.858660000005</v>
      </c>
      <c r="E22" t="str">
        <f>IF(Table1[[#This Row],[Close]]&gt;D21,"UP",IF(Table1[[#This Row],[Close]]&lt;C21,"Down","Constant"))</f>
        <v>UP</v>
      </c>
      <c r="F22" s="3">
        <f>IF(Table1[[#This Row],[Column1]]="Up",1,IF(Table1[[#This Row],[Column1]]="Down",-1,0))</f>
        <v>1</v>
      </c>
      <c r="G22">
        <f t="shared" si="0"/>
        <v>0</v>
      </c>
      <c r="H22" s="18">
        <f t="shared" si="1"/>
        <v>0</v>
      </c>
      <c r="I22" s="18">
        <f t="shared" si="2"/>
        <v>0</v>
      </c>
      <c r="J22" s="18">
        <f t="shared" si="3"/>
        <v>0</v>
      </c>
      <c r="K22" s="18">
        <f t="shared" si="4"/>
        <v>0</v>
      </c>
      <c r="L22" s="18">
        <f t="shared" si="5"/>
        <v>0</v>
      </c>
      <c r="M22" s="18">
        <f t="shared" si="6"/>
        <v>0</v>
      </c>
      <c r="N22" s="18">
        <f t="shared" si="7"/>
        <v>0</v>
      </c>
      <c r="O22" s="18">
        <f t="shared" si="8"/>
        <v>0</v>
      </c>
      <c r="P22" s="18">
        <f t="shared" si="9"/>
        <v>0</v>
      </c>
      <c r="Q22" s="18">
        <f t="shared" si="10"/>
        <v>0</v>
      </c>
      <c r="R22" s="18">
        <f t="shared" si="11"/>
        <v>0</v>
      </c>
      <c r="S22" s="18">
        <f t="shared" si="12"/>
        <v>0</v>
      </c>
      <c r="T22" s="18">
        <f t="shared" si="13"/>
        <v>0</v>
      </c>
      <c r="U22" s="18">
        <f t="shared" si="14"/>
        <v>0</v>
      </c>
      <c r="V22" s="18">
        <f t="shared" si="15"/>
        <v>0</v>
      </c>
      <c r="W22" s="18">
        <f t="shared" si="16"/>
        <v>0</v>
      </c>
      <c r="X22" s="18">
        <f t="shared" si="17"/>
        <v>0</v>
      </c>
      <c r="Y22" s="18">
        <f t="shared" si="18"/>
        <v>1</v>
      </c>
      <c r="Z22" s="18">
        <f t="shared" si="19"/>
        <v>0</v>
      </c>
      <c r="AA22" s="18">
        <f t="shared" si="20"/>
        <v>0</v>
      </c>
      <c r="AB22" s="18">
        <f t="shared" si="21"/>
        <v>0</v>
      </c>
      <c r="AC22" s="18">
        <f t="shared" si="22"/>
        <v>0</v>
      </c>
      <c r="AD22" s="18">
        <f t="shared" si="23"/>
        <v>0</v>
      </c>
      <c r="AE22" s="18">
        <f t="shared" si="24"/>
        <v>0</v>
      </c>
      <c r="AF22" s="18">
        <f t="shared" si="25"/>
        <v>0</v>
      </c>
      <c r="AG22" s="18">
        <f t="shared" si="26"/>
        <v>0</v>
      </c>
      <c r="AH22" s="18">
        <f t="shared" si="27"/>
        <v>0</v>
      </c>
      <c r="AI22" s="18">
        <f t="shared" si="28"/>
        <v>0</v>
      </c>
      <c r="AJ22" s="18">
        <f t="shared" si="29"/>
        <v>0</v>
      </c>
      <c r="AK22" s="18">
        <f t="shared" si="30"/>
        <v>0</v>
      </c>
      <c r="AL22" s="18">
        <f t="shared" si="31"/>
        <v>0</v>
      </c>
      <c r="AM22" s="18">
        <f t="shared" si="32"/>
        <v>0</v>
      </c>
      <c r="AN22" s="18">
        <f t="shared" si="33"/>
        <v>0</v>
      </c>
      <c r="AO22" s="18">
        <f t="shared" si="34"/>
        <v>0</v>
      </c>
      <c r="AP22" s="18">
        <f t="shared" si="35"/>
        <v>0</v>
      </c>
      <c r="AQ22" s="18">
        <f t="shared" si="36"/>
        <v>0</v>
      </c>
      <c r="AR22" s="18">
        <f t="shared" si="37"/>
        <v>0</v>
      </c>
      <c r="AS22" s="18">
        <f t="shared" si="38"/>
        <v>0</v>
      </c>
      <c r="AT22" s="18">
        <f t="shared" si="39"/>
        <v>0</v>
      </c>
      <c r="AU22" s="18">
        <f t="shared" si="40"/>
        <v>0</v>
      </c>
      <c r="AV22" s="18">
        <f t="shared" si="41"/>
        <v>0</v>
      </c>
      <c r="AW22" s="18">
        <f t="shared" si="42"/>
        <v>0</v>
      </c>
      <c r="AX22" s="18">
        <f t="shared" si="43"/>
        <v>0</v>
      </c>
      <c r="AY22" s="18">
        <f t="shared" si="44"/>
        <v>0</v>
      </c>
      <c r="AZ22" s="18">
        <f t="shared" si="45"/>
        <v>0</v>
      </c>
      <c r="BA22" s="18">
        <f t="shared" si="46"/>
        <v>0</v>
      </c>
      <c r="BB22" s="18">
        <f t="shared" si="47"/>
        <v>0</v>
      </c>
      <c r="BC22" s="18">
        <f t="shared" si="48"/>
        <v>0</v>
      </c>
      <c r="BD22" s="18">
        <f t="shared" si="49"/>
        <v>0</v>
      </c>
      <c r="BE22" s="18">
        <f t="shared" si="50"/>
        <v>0</v>
      </c>
      <c r="BF22" s="18">
        <f t="shared" si="51"/>
        <v>0</v>
      </c>
      <c r="BG22" s="18">
        <f t="shared" si="52"/>
        <v>0</v>
      </c>
      <c r="BH22" s="18">
        <f t="shared" si="53"/>
        <v>0</v>
      </c>
      <c r="BI22" s="18">
        <f t="shared" si="54"/>
        <v>0</v>
      </c>
      <c r="BJ22" s="18">
        <f t="shared" si="55"/>
        <v>0</v>
      </c>
      <c r="BK22" s="18">
        <f t="shared" si="56"/>
        <v>0</v>
      </c>
      <c r="BL22" s="18">
        <f t="shared" si="57"/>
        <v>0</v>
      </c>
      <c r="BM22" s="18">
        <f t="shared" si="58"/>
        <v>0</v>
      </c>
      <c r="BN22" s="18">
        <f t="shared" si="59"/>
        <v>0</v>
      </c>
      <c r="BO22" s="18">
        <f t="shared" si="60"/>
        <v>0</v>
      </c>
      <c r="BP22" s="18">
        <f t="shared" si="61"/>
        <v>0</v>
      </c>
      <c r="BQ22" s="18">
        <f t="shared" si="62"/>
        <v>0</v>
      </c>
      <c r="BR22" s="18">
        <f t="shared" si="63"/>
        <v>0</v>
      </c>
      <c r="BS22" s="18">
        <f t="shared" si="64"/>
        <v>0</v>
      </c>
      <c r="BT22" s="18">
        <f t="shared" si="65"/>
        <v>0</v>
      </c>
      <c r="BU22" s="18">
        <f t="shared" si="66"/>
        <v>0</v>
      </c>
      <c r="BV22" s="18">
        <f t="shared" si="67"/>
        <v>0</v>
      </c>
      <c r="BW22" s="18">
        <f t="shared" si="68"/>
        <v>0</v>
      </c>
      <c r="BX22" s="18">
        <f t="shared" si="69"/>
        <v>0</v>
      </c>
      <c r="BY22" s="18">
        <f t="shared" si="70"/>
        <v>0</v>
      </c>
      <c r="BZ22" s="18">
        <f t="shared" si="71"/>
        <v>0</v>
      </c>
      <c r="CA22" s="18">
        <f t="shared" si="72"/>
        <v>0</v>
      </c>
      <c r="CB22" s="18">
        <f t="shared" si="73"/>
        <v>0</v>
      </c>
      <c r="CC22" s="18">
        <f t="shared" si="74"/>
        <v>0</v>
      </c>
      <c r="CD22" s="18">
        <f t="shared" si="75"/>
        <v>0</v>
      </c>
      <c r="CE22" s="18">
        <f t="shared" si="76"/>
        <v>0</v>
      </c>
      <c r="CF22" s="18">
        <f t="shared" si="77"/>
        <v>0</v>
      </c>
      <c r="CG22" s="18">
        <f t="shared" si="78"/>
        <v>0</v>
      </c>
      <c r="CH22" s="18">
        <f t="shared" si="79"/>
        <v>0</v>
      </c>
      <c r="CI22" s="18">
        <f t="shared" si="80"/>
        <v>0</v>
      </c>
      <c r="CJ22" s="18">
        <f t="shared" si="81"/>
        <v>0</v>
      </c>
      <c r="CN22" s="17">
        <v>-1</v>
      </c>
      <c r="CO22" s="17">
        <v>0</v>
      </c>
      <c r="CP22" s="17">
        <v>-1</v>
      </c>
      <c r="CQ22">
        <f>SUM(BA5:BA253)</f>
        <v>0</v>
      </c>
      <c r="CR22" s="18">
        <f t="shared" ref="CR22:CS22" si="87">SUM(BB5:BB253)</f>
        <v>0</v>
      </c>
      <c r="CS22" s="18">
        <f t="shared" si="87"/>
        <v>1</v>
      </c>
      <c r="CU22" s="18">
        <f t="shared" si="82"/>
        <v>1</v>
      </c>
    </row>
    <row r="23" spans="1:99" x14ac:dyDescent="0.3">
      <c r="A23" s="1">
        <v>43860</v>
      </c>
      <c r="B23">
        <v>40913.82</v>
      </c>
      <c r="C23">
        <f>Table1[[#This Row],[Close]]-0.001*Table1[[#This Row],[Close]]</f>
        <v>40872.906179999998</v>
      </c>
      <c r="D23">
        <f>Table1[[#This Row],[Close]]+0.001*Table1[[#This Row],[Close]]</f>
        <v>40954.733820000001</v>
      </c>
      <c r="E23" t="str">
        <f>IF(Table1[[#This Row],[Close]]&gt;D22,"UP",IF(Table1[[#This Row],[Close]]&lt;C22,"Down","Constant"))</f>
        <v>Down</v>
      </c>
      <c r="F23" s="3">
        <f>IF(Table1[[#This Row],[Column1]]="Up",1,IF(Table1[[#This Row],[Column1]]="Down",-1,0))</f>
        <v>-1</v>
      </c>
      <c r="G23">
        <f t="shared" si="0"/>
        <v>0</v>
      </c>
      <c r="H23" s="18">
        <f t="shared" si="1"/>
        <v>0</v>
      </c>
      <c r="I23" s="18">
        <f t="shared" si="2"/>
        <v>0</v>
      </c>
      <c r="J23" s="18">
        <f t="shared" si="3"/>
        <v>0</v>
      </c>
      <c r="K23" s="18">
        <f t="shared" si="4"/>
        <v>0</v>
      </c>
      <c r="L23" s="18">
        <f t="shared" si="5"/>
        <v>0</v>
      </c>
      <c r="M23" s="18">
        <f t="shared" si="6"/>
        <v>0</v>
      </c>
      <c r="N23" s="18">
        <f t="shared" si="7"/>
        <v>0</v>
      </c>
      <c r="O23" s="18">
        <f t="shared" si="8"/>
        <v>0</v>
      </c>
      <c r="P23" s="18">
        <f t="shared" si="9"/>
        <v>0</v>
      </c>
      <c r="Q23" s="18">
        <f t="shared" si="10"/>
        <v>0</v>
      </c>
      <c r="R23" s="18">
        <f t="shared" si="11"/>
        <v>0</v>
      </c>
      <c r="S23" s="18">
        <f t="shared" si="12"/>
        <v>0</v>
      </c>
      <c r="T23" s="18">
        <f t="shared" si="13"/>
        <v>1</v>
      </c>
      <c r="U23" s="18">
        <f t="shared" si="14"/>
        <v>0</v>
      </c>
      <c r="V23" s="18">
        <f t="shared" si="15"/>
        <v>0</v>
      </c>
      <c r="W23" s="18">
        <f t="shared" si="16"/>
        <v>0</v>
      </c>
      <c r="X23" s="18">
        <f t="shared" si="17"/>
        <v>0</v>
      </c>
      <c r="Y23" s="18">
        <f t="shared" si="18"/>
        <v>0</v>
      </c>
      <c r="Z23" s="18">
        <f t="shared" si="19"/>
        <v>0</v>
      </c>
      <c r="AA23" s="18">
        <f t="shared" si="20"/>
        <v>0</v>
      </c>
      <c r="AB23" s="18">
        <f t="shared" si="21"/>
        <v>0</v>
      </c>
      <c r="AC23" s="18">
        <f t="shared" si="22"/>
        <v>0</v>
      </c>
      <c r="AD23" s="18">
        <f t="shared" si="23"/>
        <v>0</v>
      </c>
      <c r="AE23" s="18">
        <f t="shared" si="24"/>
        <v>0</v>
      </c>
      <c r="AF23" s="18">
        <f t="shared" si="25"/>
        <v>0</v>
      </c>
      <c r="AG23" s="18">
        <f t="shared" si="26"/>
        <v>0</v>
      </c>
      <c r="AH23" s="18">
        <f t="shared" si="27"/>
        <v>0</v>
      </c>
      <c r="AI23" s="18">
        <f t="shared" si="28"/>
        <v>0</v>
      </c>
      <c r="AJ23" s="18">
        <f t="shared" si="29"/>
        <v>0</v>
      </c>
      <c r="AK23" s="18">
        <f t="shared" si="30"/>
        <v>0</v>
      </c>
      <c r="AL23" s="18">
        <f t="shared" si="31"/>
        <v>0</v>
      </c>
      <c r="AM23" s="18">
        <f t="shared" si="32"/>
        <v>0</v>
      </c>
      <c r="AN23" s="18">
        <f t="shared" si="33"/>
        <v>0</v>
      </c>
      <c r="AO23" s="18">
        <f t="shared" si="34"/>
        <v>0</v>
      </c>
      <c r="AP23" s="18">
        <f t="shared" si="35"/>
        <v>0</v>
      </c>
      <c r="AQ23" s="18">
        <f t="shared" si="36"/>
        <v>0</v>
      </c>
      <c r="AR23" s="18">
        <f t="shared" si="37"/>
        <v>0</v>
      </c>
      <c r="AS23" s="18">
        <f t="shared" si="38"/>
        <v>0</v>
      </c>
      <c r="AT23" s="18">
        <f t="shared" si="39"/>
        <v>0</v>
      </c>
      <c r="AU23" s="18">
        <f t="shared" si="40"/>
        <v>0</v>
      </c>
      <c r="AV23" s="18">
        <f t="shared" si="41"/>
        <v>0</v>
      </c>
      <c r="AW23" s="18">
        <f t="shared" si="42"/>
        <v>0</v>
      </c>
      <c r="AX23" s="18">
        <f t="shared" si="43"/>
        <v>0</v>
      </c>
      <c r="AY23" s="18">
        <f t="shared" si="44"/>
        <v>0</v>
      </c>
      <c r="AZ23" s="18">
        <f t="shared" si="45"/>
        <v>0</v>
      </c>
      <c r="BA23" s="18">
        <f t="shared" si="46"/>
        <v>0</v>
      </c>
      <c r="BB23" s="18">
        <f t="shared" si="47"/>
        <v>0</v>
      </c>
      <c r="BC23" s="18">
        <f t="shared" si="48"/>
        <v>0</v>
      </c>
      <c r="BD23" s="18">
        <f t="shared" si="49"/>
        <v>0</v>
      </c>
      <c r="BE23" s="18">
        <f t="shared" si="50"/>
        <v>0</v>
      </c>
      <c r="BF23" s="18">
        <f t="shared" si="51"/>
        <v>0</v>
      </c>
      <c r="BG23" s="18">
        <f t="shared" si="52"/>
        <v>0</v>
      </c>
      <c r="BH23" s="18">
        <f t="shared" si="53"/>
        <v>0</v>
      </c>
      <c r="BI23" s="18">
        <f t="shared" si="54"/>
        <v>0</v>
      </c>
      <c r="BJ23" s="18">
        <f t="shared" si="55"/>
        <v>0</v>
      </c>
      <c r="BK23" s="18">
        <f t="shared" si="56"/>
        <v>0</v>
      </c>
      <c r="BL23" s="18">
        <f t="shared" si="57"/>
        <v>0</v>
      </c>
      <c r="BM23" s="18">
        <f t="shared" si="58"/>
        <v>0</v>
      </c>
      <c r="BN23" s="18">
        <f t="shared" si="59"/>
        <v>0</v>
      </c>
      <c r="BO23" s="18">
        <f t="shared" si="60"/>
        <v>0</v>
      </c>
      <c r="BP23" s="18">
        <f t="shared" si="61"/>
        <v>0</v>
      </c>
      <c r="BQ23" s="18">
        <f t="shared" si="62"/>
        <v>0</v>
      </c>
      <c r="BR23" s="18">
        <f t="shared" si="63"/>
        <v>0</v>
      </c>
      <c r="BS23" s="18">
        <f t="shared" si="64"/>
        <v>0</v>
      </c>
      <c r="BT23" s="18">
        <f t="shared" si="65"/>
        <v>0</v>
      </c>
      <c r="BU23" s="18">
        <f t="shared" si="66"/>
        <v>0</v>
      </c>
      <c r="BV23" s="18">
        <f t="shared" si="67"/>
        <v>0</v>
      </c>
      <c r="BW23" s="18">
        <f t="shared" si="68"/>
        <v>0</v>
      </c>
      <c r="BX23" s="18">
        <f t="shared" si="69"/>
        <v>0</v>
      </c>
      <c r="BY23" s="18">
        <f t="shared" si="70"/>
        <v>0</v>
      </c>
      <c r="BZ23" s="18">
        <f t="shared" si="71"/>
        <v>0</v>
      </c>
      <c r="CA23" s="18">
        <f t="shared" si="72"/>
        <v>0</v>
      </c>
      <c r="CB23" s="18">
        <f t="shared" si="73"/>
        <v>0</v>
      </c>
      <c r="CC23" s="18">
        <f t="shared" si="74"/>
        <v>0</v>
      </c>
      <c r="CD23" s="18">
        <f t="shared" si="75"/>
        <v>0</v>
      </c>
      <c r="CE23" s="18">
        <f t="shared" si="76"/>
        <v>0</v>
      </c>
      <c r="CF23" s="18">
        <f t="shared" si="77"/>
        <v>0</v>
      </c>
      <c r="CG23" s="18">
        <f t="shared" si="78"/>
        <v>0</v>
      </c>
      <c r="CH23" s="18">
        <f t="shared" si="79"/>
        <v>0</v>
      </c>
      <c r="CI23" s="18">
        <f t="shared" si="80"/>
        <v>0</v>
      </c>
      <c r="CJ23" s="18">
        <f t="shared" si="81"/>
        <v>0</v>
      </c>
      <c r="CN23" s="17">
        <v>0</v>
      </c>
      <c r="CO23" s="17">
        <v>-1</v>
      </c>
      <c r="CP23" s="17">
        <v>-1</v>
      </c>
      <c r="CQ23">
        <f>SUM(BD5:BD253)</f>
        <v>0</v>
      </c>
      <c r="CR23" s="18">
        <f t="shared" ref="CR23:CS23" si="88">SUM(BE5:BE253)</f>
        <v>0</v>
      </c>
      <c r="CS23" s="18">
        <f t="shared" si="88"/>
        <v>0</v>
      </c>
      <c r="CU23" s="18">
        <f t="shared" si="82"/>
        <v>0</v>
      </c>
    </row>
    <row r="24" spans="1:99" x14ac:dyDescent="0.3">
      <c r="A24" s="1">
        <v>43861</v>
      </c>
      <c r="B24">
        <v>40723.49</v>
      </c>
      <c r="C24">
        <f>Table1[[#This Row],[Close]]-0.001*Table1[[#This Row],[Close]]</f>
        <v>40682.766510000001</v>
      </c>
      <c r="D24">
        <f>Table1[[#This Row],[Close]]+0.001*Table1[[#This Row],[Close]]</f>
        <v>40764.213489999995</v>
      </c>
      <c r="E24" t="str">
        <f>IF(Table1[[#This Row],[Close]]&gt;D23,"UP",IF(Table1[[#This Row],[Close]]&lt;C23,"Down","Constant"))</f>
        <v>Down</v>
      </c>
      <c r="F24" s="3">
        <f>IF(Table1[[#This Row],[Column1]]="Up",1,IF(Table1[[#This Row],[Column1]]="Down",-1,0))</f>
        <v>-1</v>
      </c>
      <c r="G24">
        <f t="shared" si="0"/>
        <v>0</v>
      </c>
      <c r="H24" s="18">
        <f t="shared" si="1"/>
        <v>0</v>
      </c>
      <c r="I24" s="18">
        <f t="shared" si="2"/>
        <v>0</v>
      </c>
      <c r="J24" s="18">
        <f t="shared" si="3"/>
        <v>0</v>
      </c>
      <c r="K24" s="18">
        <f t="shared" si="4"/>
        <v>0</v>
      </c>
      <c r="L24" s="18">
        <f t="shared" si="5"/>
        <v>0</v>
      </c>
      <c r="M24" s="18">
        <f t="shared" si="6"/>
        <v>0</v>
      </c>
      <c r="N24" s="18">
        <f t="shared" si="7"/>
        <v>0</v>
      </c>
      <c r="O24" s="18">
        <f t="shared" si="8"/>
        <v>0</v>
      </c>
      <c r="P24" s="18">
        <f t="shared" si="9"/>
        <v>0</v>
      </c>
      <c r="Q24" s="18">
        <f t="shared" si="10"/>
        <v>0</v>
      </c>
      <c r="R24" s="18">
        <f t="shared" si="11"/>
        <v>0</v>
      </c>
      <c r="S24" s="18">
        <f t="shared" si="12"/>
        <v>0</v>
      </c>
      <c r="T24" s="18">
        <f t="shared" si="13"/>
        <v>0</v>
      </c>
      <c r="U24" s="18">
        <f t="shared" si="14"/>
        <v>0</v>
      </c>
      <c r="V24" s="18">
        <f t="shared" si="15"/>
        <v>0</v>
      </c>
      <c r="W24" s="18">
        <f t="shared" si="16"/>
        <v>0</v>
      </c>
      <c r="X24" s="18">
        <f t="shared" si="17"/>
        <v>0</v>
      </c>
      <c r="Y24" s="18">
        <f t="shared" si="18"/>
        <v>0</v>
      </c>
      <c r="Z24" s="18">
        <f t="shared" si="19"/>
        <v>0</v>
      </c>
      <c r="AA24" s="18">
        <f t="shared" si="20"/>
        <v>0</v>
      </c>
      <c r="AB24" s="18">
        <f t="shared" si="21"/>
        <v>0</v>
      </c>
      <c r="AC24" s="18">
        <f t="shared" si="22"/>
        <v>1</v>
      </c>
      <c r="AD24" s="18">
        <f t="shared" si="23"/>
        <v>0</v>
      </c>
      <c r="AE24" s="18">
        <f t="shared" si="24"/>
        <v>0</v>
      </c>
      <c r="AF24" s="18">
        <f t="shared" si="25"/>
        <v>0</v>
      </c>
      <c r="AG24" s="18">
        <f t="shared" si="26"/>
        <v>0</v>
      </c>
      <c r="AH24" s="18">
        <f t="shared" si="27"/>
        <v>0</v>
      </c>
      <c r="AI24" s="18">
        <f t="shared" si="28"/>
        <v>0</v>
      </c>
      <c r="AJ24" s="18">
        <f t="shared" si="29"/>
        <v>0</v>
      </c>
      <c r="AK24" s="18">
        <f t="shared" si="30"/>
        <v>0</v>
      </c>
      <c r="AL24" s="18">
        <f t="shared" si="31"/>
        <v>0</v>
      </c>
      <c r="AM24" s="18">
        <f t="shared" si="32"/>
        <v>0</v>
      </c>
      <c r="AN24" s="18">
        <f t="shared" si="33"/>
        <v>0</v>
      </c>
      <c r="AO24" s="18">
        <f t="shared" si="34"/>
        <v>0</v>
      </c>
      <c r="AP24" s="18">
        <f t="shared" si="35"/>
        <v>0</v>
      </c>
      <c r="AQ24" s="18">
        <f t="shared" si="36"/>
        <v>0</v>
      </c>
      <c r="AR24" s="18">
        <f t="shared" si="37"/>
        <v>0</v>
      </c>
      <c r="AS24" s="18">
        <f t="shared" si="38"/>
        <v>0</v>
      </c>
      <c r="AT24" s="18">
        <f t="shared" si="39"/>
        <v>0</v>
      </c>
      <c r="AU24" s="18">
        <f t="shared" si="40"/>
        <v>0</v>
      </c>
      <c r="AV24" s="18">
        <f t="shared" si="41"/>
        <v>0</v>
      </c>
      <c r="AW24" s="18">
        <f t="shared" si="42"/>
        <v>0</v>
      </c>
      <c r="AX24" s="18">
        <f t="shared" si="43"/>
        <v>0</v>
      </c>
      <c r="AY24" s="18">
        <f t="shared" si="44"/>
        <v>0</v>
      </c>
      <c r="AZ24" s="18">
        <f t="shared" si="45"/>
        <v>0</v>
      </c>
      <c r="BA24" s="18">
        <f t="shared" si="46"/>
        <v>0</v>
      </c>
      <c r="BB24" s="18">
        <f t="shared" si="47"/>
        <v>0</v>
      </c>
      <c r="BC24" s="18">
        <f t="shared" si="48"/>
        <v>0</v>
      </c>
      <c r="BD24" s="18">
        <f t="shared" si="49"/>
        <v>0</v>
      </c>
      <c r="BE24" s="18">
        <f t="shared" si="50"/>
        <v>0</v>
      </c>
      <c r="BF24" s="18">
        <f t="shared" si="51"/>
        <v>0</v>
      </c>
      <c r="BG24" s="18">
        <f t="shared" si="52"/>
        <v>0</v>
      </c>
      <c r="BH24" s="18">
        <f t="shared" si="53"/>
        <v>0</v>
      </c>
      <c r="BI24" s="18">
        <f t="shared" si="54"/>
        <v>0</v>
      </c>
      <c r="BJ24" s="18">
        <f t="shared" si="55"/>
        <v>0</v>
      </c>
      <c r="BK24" s="18">
        <f t="shared" si="56"/>
        <v>0</v>
      </c>
      <c r="BL24" s="18">
        <f t="shared" si="57"/>
        <v>0</v>
      </c>
      <c r="BM24" s="18">
        <f t="shared" si="58"/>
        <v>0</v>
      </c>
      <c r="BN24" s="18">
        <f t="shared" si="59"/>
        <v>0</v>
      </c>
      <c r="BO24" s="18">
        <f t="shared" si="60"/>
        <v>0</v>
      </c>
      <c r="BP24" s="18">
        <f t="shared" si="61"/>
        <v>0</v>
      </c>
      <c r="BQ24" s="18">
        <f t="shared" si="62"/>
        <v>0</v>
      </c>
      <c r="BR24" s="18">
        <f t="shared" si="63"/>
        <v>0</v>
      </c>
      <c r="BS24" s="18">
        <f t="shared" si="64"/>
        <v>0</v>
      </c>
      <c r="BT24" s="18">
        <f t="shared" si="65"/>
        <v>0</v>
      </c>
      <c r="BU24" s="18">
        <f t="shared" si="66"/>
        <v>0</v>
      </c>
      <c r="BV24" s="18">
        <f t="shared" si="67"/>
        <v>0</v>
      </c>
      <c r="BW24" s="18">
        <f t="shared" si="68"/>
        <v>0</v>
      </c>
      <c r="BX24" s="18">
        <f t="shared" si="69"/>
        <v>0</v>
      </c>
      <c r="BY24" s="18">
        <f t="shared" si="70"/>
        <v>0</v>
      </c>
      <c r="BZ24" s="18">
        <f t="shared" si="71"/>
        <v>0</v>
      </c>
      <c r="CA24" s="18">
        <f t="shared" si="72"/>
        <v>0</v>
      </c>
      <c r="CB24" s="18">
        <f t="shared" si="73"/>
        <v>0</v>
      </c>
      <c r="CC24" s="18">
        <f t="shared" si="74"/>
        <v>0</v>
      </c>
      <c r="CD24" s="18">
        <f t="shared" si="75"/>
        <v>0</v>
      </c>
      <c r="CE24" s="18">
        <f t="shared" si="76"/>
        <v>0</v>
      </c>
      <c r="CF24" s="18">
        <f t="shared" si="77"/>
        <v>0</v>
      </c>
      <c r="CG24" s="18">
        <f t="shared" si="78"/>
        <v>0</v>
      </c>
      <c r="CH24" s="18">
        <f t="shared" si="79"/>
        <v>0</v>
      </c>
      <c r="CI24" s="18">
        <f t="shared" si="80"/>
        <v>0</v>
      </c>
      <c r="CJ24" s="18">
        <f t="shared" si="81"/>
        <v>0</v>
      </c>
      <c r="CN24" s="17">
        <v>0</v>
      </c>
      <c r="CO24" s="17">
        <v>1</v>
      </c>
      <c r="CP24" s="17">
        <v>-1</v>
      </c>
      <c r="CQ24">
        <f>SUM(BG5:BG253)</f>
        <v>4</v>
      </c>
      <c r="CR24" s="18">
        <f t="shared" ref="CR24:CS24" si="89">SUM(BH5:BH253)</f>
        <v>1</v>
      </c>
      <c r="CS24" s="18">
        <f t="shared" si="89"/>
        <v>1</v>
      </c>
      <c r="CU24" s="18">
        <f t="shared" si="82"/>
        <v>6</v>
      </c>
    </row>
    <row r="25" spans="1:99" x14ac:dyDescent="0.3">
      <c r="A25" s="1">
        <v>43862</v>
      </c>
      <c r="B25">
        <v>39735.53</v>
      </c>
      <c r="C25">
        <f>Table1[[#This Row],[Close]]-0.001*Table1[[#This Row],[Close]]</f>
        <v>39695.794470000001</v>
      </c>
      <c r="D25">
        <f>Table1[[#This Row],[Close]]+0.001*Table1[[#This Row],[Close]]</f>
        <v>39775.265529999997</v>
      </c>
      <c r="E25" t="str">
        <f>IF(Table1[[#This Row],[Close]]&gt;D24,"UP",IF(Table1[[#This Row],[Close]]&lt;C24,"Down","Constant"))</f>
        <v>Down</v>
      </c>
      <c r="F25" s="3">
        <f>IF(Table1[[#This Row],[Column1]]="Up",1,IF(Table1[[#This Row],[Column1]]="Down",-1,0))</f>
        <v>-1</v>
      </c>
      <c r="G25">
        <f t="shared" si="0"/>
        <v>0</v>
      </c>
      <c r="H25" s="18">
        <f t="shared" si="1"/>
        <v>0</v>
      </c>
      <c r="I25" s="18">
        <f t="shared" si="2"/>
        <v>0</v>
      </c>
      <c r="J25" s="18">
        <f t="shared" si="3"/>
        <v>0</v>
      </c>
      <c r="K25" s="18">
        <f t="shared" si="4"/>
        <v>0</v>
      </c>
      <c r="L25" s="18">
        <f t="shared" si="5"/>
        <v>0</v>
      </c>
      <c r="M25" s="18">
        <f t="shared" si="6"/>
        <v>0</v>
      </c>
      <c r="N25" s="18">
        <f t="shared" si="7"/>
        <v>0</v>
      </c>
      <c r="O25" s="18">
        <f t="shared" si="8"/>
        <v>0</v>
      </c>
      <c r="P25" s="18">
        <f t="shared" si="9"/>
        <v>0</v>
      </c>
      <c r="Q25" s="18">
        <f t="shared" si="10"/>
        <v>0</v>
      </c>
      <c r="R25" s="18">
        <f t="shared" si="11"/>
        <v>0</v>
      </c>
      <c r="S25" s="18">
        <f t="shared" si="12"/>
        <v>0</v>
      </c>
      <c r="T25" s="18">
        <f t="shared" si="13"/>
        <v>0</v>
      </c>
      <c r="U25" s="18">
        <f t="shared" si="14"/>
        <v>0</v>
      </c>
      <c r="V25" s="18">
        <f t="shared" si="15"/>
        <v>0</v>
      </c>
      <c r="W25" s="18">
        <f t="shared" si="16"/>
        <v>1</v>
      </c>
      <c r="X25" s="18">
        <f t="shared" si="17"/>
        <v>0</v>
      </c>
      <c r="Y25" s="18">
        <f t="shared" si="18"/>
        <v>0</v>
      </c>
      <c r="Z25" s="18">
        <f t="shared" si="19"/>
        <v>0</v>
      </c>
      <c r="AA25" s="18">
        <f t="shared" si="20"/>
        <v>0</v>
      </c>
      <c r="AB25" s="18">
        <f t="shared" si="21"/>
        <v>0</v>
      </c>
      <c r="AC25" s="18">
        <f t="shared" si="22"/>
        <v>0</v>
      </c>
      <c r="AD25" s="18">
        <f t="shared" si="23"/>
        <v>0</v>
      </c>
      <c r="AE25" s="18">
        <f t="shared" si="24"/>
        <v>0</v>
      </c>
      <c r="AF25" s="18">
        <f t="shared" si="25"/>
        <v>0</v>
      </c>
      <c r="AG25" s="18">
        <f t="shared" si="26"/>
        <v>0</v>
      </c>
      <c r="AH25" s="18">
        <f t="shared" si="27"/>
        <v>0</v>
      </c>
      <c r="AI25" s="18">
        <f t="shared" si="28"/>
        <v>0</v>
      </c>
      <c r="AJ25" s="18">
        <f t="shared" si="29"/>
        <v>0</v>
      </c>
      <c r="AK25" s="18">
        <f t="shared" si="30"/>
        <v>0</v>
      </c>
      <c r="AL25" s="18">
        <f t="shared" si="31"/>
        <v>0</v>
      </c>
      <c r="AM25" s="18">
        <f t="shared" si="32"/>
        <v>0</v>
      </c>
      <c r="AN25" s="18">
        <f t="shared" si="33"/>
        <v>0</v>
      </c>
      <c r="AO25" s="18">
        <f t="shared" si="34"/>
        <v>0</v>
      </c>
      <c r="AP25" s="18">
        <f t="shared" si="35"/>
        <v>0</v>
      </c>
      <c r="AQ25" s="18">
        <f t="shared" si="36"/>
        <v>0</v>
      </c>
      <c r="AR25" s="18">
        <f t="shared" si="37"/>
        <v>0</v>
      </c>
      <c r="AS25" s="18">
        <f t="shared" si="38"/>
        <v>0</v>
      </c>
      <c r="AT25" s="18">
        <f t="shared" si="39"/>
        <v>0</v>
      </c>
      <c r="AU25" s="18">
        <f t="shared" si="40"/>
        <v>0</v>
      </c>
      <c r="AV25" s="18">
        <f t="shared" si="41"/>
        <v>0</v>
      </c>
      <c r="AW25" s="18">
        <f t="shared" si="42"/>
        <v>0</v>
      </c>
      <c r="AX25" s="18">
        <f t="shared" si="43"/>
        <v>0</v>
      </c>
      <c r="AY25" s="18">
        <f t="shared" si="44"/>
        <v>0</v>
      </c>
      <c r="AZ25" s="18">
        <f t="shared" si="45"/>
        <v>0</v>
      </c>
      <c r="BA25" s="18">
        <f t="shared" si="46"/>
        <v>0</v>
      </c>
      <c r="BB25" s="18">
        <f t="shared" si="47"/>
        <v>0</v>
      </c>
      <c r="BC25" s="18">
        <f t="shared" si="48"/>
        <v>0</v>
      </c>
      <c r="BD25" s="18">
        <f t="shared" si="49"/>
        <v>0</v>
      </c>
      <c r="BE25" s="18">
        <f t="shared" si="50"/>
        <v>0</v>
      </c>
      <c r="BF25" s="18">
        <f t="shared" si="51"/>
        <v>0</v>
      </c>
      <c r="BG25" s="18">
        <f t="shared" si="52"/>
        <v>0</v>
      </c>
      <c r="BH25" s="18">
        <f t="shared" si="53"/>
        <v>0</v>
      </c>
      <c r="BI25" s="18">
        <f t="shared" si="54"/>
        <v>0</v>
      </c>
      <c r="BJ25" s="18">
        <f t="shared" si="55"/>
        <v>0</v>
      </c>
      <c r="BK25" s="18">
        <f t="shared" si="56"/>
        <v>0</v>
      </c>
      <c r="BL25" s="18">
        <f t="shared" si="57"/>
        <v>0</v>
      </c>
      <c r="BM25" s="18">
        <f t="shared" si="58"/>
        <v>0</v>
      </c>
      <c r="BN25" s="18">
        <f t="shared" si="59"/>
        <v>0</v>
      </c>
      <c r="BO25" s="18">
        <f t="shared" si="60"/>
        <v>0</v>
      </c>
      <c r="BP25" s="18">
        <f t="shared" si="61"/>
        <v>0</v>
      </c>
      <c r="BQ25" s="18">
        <f t="shared" si="62"/>
        <v>0</v>
      </c>
      <c r="BR25" s="18">
        <f t="shared" si="63"/>
        <v>0</v>
      </c>
      <c r="BS25" s="18">
        <f t="shared" si="64"/>
        <v>0</v>
      </c>
      <c r="BT25" s="18">
        <f t="shared" si="65"/>
        <v>0</v>
      </c>
      <c r="BU25" s="18">
        <f t="shared" si="66"/>
        <v>0</v>
      </c>
      <c r="BV25" s="18">
        <f t="shared" si="67"/>
        <v>0</v>
      </c>
      <c r="BW25" s="18">
        <f t="shared" si="68"/>
        <v>0</v>
      </c>
      <c r="BX25" s="18">
        <f t="shared" si="69"/>
        <v>0</v>
      </c>
      <c r="BY25" s="18">
        <f t="shared" si="70"/>
        <v>0</v>
      </c>
      <c r="BZ25" s="18">
        <f t="shared" si="71"/>
        <v>0</v>
      </c>
      <c r="CA25" s="18">
        <f t="shared" si="72"/>
        <v>0</v>
      </c>
      <c r="CB25" s="18">
        <f t="shared" si="73"/>
        <v>0</v>
      </c>
      <c r="CC25" s="18">
        <f t="shared" si="74"/>
        <v>0</v>
      </c>
      <c r="CD25" s="18">
        <f t="shared" si="75"/>
        <v>0</v>
      </c>
      <c r="CE25" s="18">
        <f t="shared" si="76"/>
        <v>0</v>
      </c>
      <c r="CF25" s="18">
        <f t="shared" si="77"/>
        <v>0</v>
      </c>
      <c r="CG25" s="18">
        <f t="shared" si="78"/>
        <v>0</v>
      </c>
      <c r="CH25" s="18">
        <f t="shared" si="79"/>
        <v>0</v>
      </c>
      <c r="CI25" s="18">
        <f t="shared" si="80"/>
        <v>0</v>
      </c>
      <c r="CJ25" s="18">
        <f t="shared" si="81"/>
        <v>0</v>
      </c>
      <c r="CN25" s="17">
        <v>0</v>
      </c>
      <c r="CO25" s="17">
        <v>-1</v>
      </c>
      <c r="CP25" s="17">
        <v>1</v>
      </c>
      <c r="CQ25">
        <f>SUM(BJ5:BJ253)</f>
        <v>1</v>
      </c>
      <c r="CR25" s="18">
        <f t="shared" ref="CR25:CS25" si="90">SUM(BK5:BK253)</f>
        <v>0</v>
      </c>
      <c r="CS25" s="18">
        <f t="shared" si="90"/>
        <v>2</v>
      </c>
      <c r="CU25" s="18">
        <f t="shared" si="82"/>
        <v>3</v>
      </c>
    </row>
    <row r="26" spans="1:99" x14ac:dyDescent="0.3">
      <c r="A26" s="1">
        <v>43864</v>
      </c>
      <c r="B26">
        <v>39872.31</v>
      </c>
      <c r="C26">
        <f>Table1[[#This Row],[Close]]-0.001*Table1[[#This Row],[Close]]</f>
        <v>39832.437689999999</v>
      </c>
      <c r="D26">
        <f>Table1[[#This Row],[Close]]+0.001*Table1[[#This Row],[Close]]</f>
        <v>39912.182309999997</v>
      </c>
      <c r="E26" t="str">
        <f>IF(Table1[[#This Row],[Close]]&gt;D25,"UP",IF(Table1[[#This Row],[Close]]&lt;C25,"Down","Constant"))</f>
        <v>UP</v>
      </c>
      <c r="F26" s="3">
        <f>IF(Table1[[#This Row],[Column1]]="Up",1,IF(Table1[[#This Row],[Column1]]="Down",-1,0))</f>
        <v>1</v>
      </c>
      <c r="G26">
        <f t="shared" si="0"/>
        <v>0</v>
      </c>
      <c r="H26" s="18">
        <f t="shared" si="1"/>
        <v>0</v>
      </c>
      <c r="I26" s="18">
        <f t="shared" si="2"/>
        <v>0</v>
      </c>
      <c r="J26" s="18">
        <f t="shared" si="3"/>
        <v>0</v>
      </c>
      <c r="K26" s="18">
        <f t="shared" si="4"/>
        <v>0</v>
      </c>
      <c r="L26" s="18">
        <f t="shared" si="5"/>
        <v>0</v>
      </c>
      <c r="M26" s="18">
        <f t="shared" si="6"/>
        <v>0</v>
      </c>
      <c r="N26" s="18">
        <f t="shared" si="7"/>
        <v>0</v>
      </c>
      <c r="O26" s="18">
        <f t="shared" si="8"/>
        <v>0</v>
      </c>
      <c r="P26" s="18">
        <f t="shared" si="9"/>
        <v>0</v>
      </c>
      <c r="Q26" s="18">
        <f t="shared" si="10"/>
        <v>0</v>
      </c>
      <c r="R26" s="18">
        <f t="shared" si="11"/>
        <v>0</v>
      </c>
      <c r="S26" s="18">
        <f t="shared" si="12"/>
        <v>0</v>
      </c>
      <c r="T26" s="18">
        <f t="shared" si="13"/>
        <v>0</v>
      </c>
      <c r="U26" s="18">
        <f t="shared" si="14"/>
        <v>0</v>
      </c>
      <c r="V26" s="18">
        <f t="shared" si="15"/>
        <v>0</v>
      </c>
      <c r="W26" s="18">
        <f t="shared" si="16"/>
        <v>0</v>
      </c>
      <c r="X26" s="18">
        <f t="shared" si="17"/>
        <v>0</v>
      </c>
      <c r="Y26" s="18">
        <f t="shared" si="18"/>
        <v>0</v>
      </c>
      <c r="Z26" s="18">
        <f t="shared" si="19"/>
        <v>0</v>
      </c>
      <c r="AA26" s="18">
        <f t="shared" si="20"/>
        <v>0</v>
      </c>
      <c r="AB26" s="18">
        <f t="shared" si="21"/>
        <v>1</v>
      </c>
      <c r="AC26" s="18">
        <f t="shared" si="22"/>
        <v>0</v>
      </c>
      <c r="AD26" s="18">
        <f t="shared" si="23"/>
        <v>0</v>
      </c>
      <c r="AE26" s="18">
        <f t="shared" si="24"/>
        <v>0</v>
      </c>
      <c r="AF26" s="18">
        <f t="shared" si="25"/>
        <v>0</v>
      </c>
      <c r="AG26" s="18">
        <f t="shared" si="26"/>
        <v>0</v>
      </c>
      <c r="AH26" s="18">
        <f t="shared" si="27"/>
        <v>0</v>
      </c>
      <c r="AI26" s="18">
        <f t="shared" si="28"/>
        <v>0</v>
      </c>
      <c r="AJ26" s="18">
        <f t="shared" si="29"/>
        <v>0</v>
      </c>
      <c r="AK26" s="18">
        <f t="shared" si="30"/>
        <v>0</v>
      </c>
      <c r="AL26" s="18">
        <f t="shared" si="31"/>
        <v>0</v>
      </c>
      <c r="AM26" s="18">
        <f t="shared" si="32"/>
        <v>0</v>
      </c>
      <c r="AN26" s="18">
        <f t="shared" si="33"/>
        <v>0</v>
      </c>
      <c r="AO26" s="18">
        <f t="shared" si="34"/>
        <v>0</v>
      </c>
      <c r="AP26" s="18">
        <f t="shared" si="35"/>
        <v>0</v>
      </c>
      <c r="AQ26" s="18">
        <f t="shared" si="36"/>
        <v>0</v>
      </c>
      <c r="AR26" s="18">
        <f t="shared" si="37"/>
        <v>0</v>
      </c>
      <c r="AS26" s="18">
        <f t="shared" si="38"/>
        <v>0</v>
      </c>
      <c r="AT26" s="18">
        <f t="shared" si="39"/>
        <v>0</v>
      </c>
      <c r="AU26" s="18">
        <f t="shared" si="40"/>
        <v>0</v>
      </c>
      <c r="AV26" s="18">
        <f t="shared" si="41"/>
        <v>0</v>
      </c>
      <c r="AW26" s="18">
        <f t="shared" si="42"/>
        <v>0</v>
      </c>
      <c r="AX26" s="18">
        <f t="shared" si="43"/>
        <v>0</v>
      </c>
      <c r="AY26" s="18">
        <f t="shared" si="44"/>
        <v>0</v>
      </c>
      <c r="AZ26" s="18">
        <f t="shared" si="45"/>
        <v>0</v>
      </c>
      <c r="BA26" s="18">
        <f t="shared" si="46"/>
        <v>0</v>
      </c>
      <c r="BB26" s="18">
        <f t="shared" si="47"/>
        <v>0</v>
      </c>
      <c r="BC26" s="18">
        <f t="shared" si="48"/>
        <v>0</v>
      </c>
      <c r="BD26" s="18">
        <f t="shared" si="49"/>
        <v>0</v>
      </c>
      <c r="BE26" s="18">
        <f t="shared" si="50"/>
        <v>0</v>
      </c>
      <c r="BF26" s="18">
        <f t="shared" si="51"/>
        <v>0</v>
      </c>
      <c r="BG26" s="18">
        <f t="shared" si="52"/>
        <v>0</v>
      </c>
      <c r="BH26" s="18">
        <f t="shared" si="53"/>
        <v>0</v>
      </c>
      <c r="BI26" s="18">
        <f t="shared" si="54"/>
        <v>0</v>
      </c>
      <c r="BJ26" s="18">
        <f t="shared" si="55"/>
        <v>0</v>
      </c>
      <c r="BK26" s="18">
        <f t="shared" si="56"/>
        <v>0</v>
      </c>
      <c r="BL26" s="18">
        <f t="shared" si="57"/>
        <v>0</v>
      </c>
      <c r="BM26" s="18">
        <f t="shared" si="58"/>
        <v>0</v>
      </c>
      <c r="BN26" s="18">
        <f t="shared" si="59"/>
        <v>0</v>
      </c>
      <c r="BO26" s="18">
        <f t="shared" si="60"/>
        <v>0</v>
      </c>
      <c r="BP26" s="18">
        <f t="shared" si="61"/>
        <v>0</v>
      </c>
      <c r="BQ26" s="18">
        <f t="shared" si="62"/>
        <v>0</v>
      </c>
      <c r="BR26" s="18">
        <f t="shared" si="63"/>
        <v>0</v>
      </c>
      <c r="BS26" s="18">
        <f t="shared" si="64"/>
        <v>0</v>
      </c>
      <c r="BT26" s="18">
        <f t="shared" si="65"/>
        <v>0</v>
      </c>
      <c r="BU26" s="18">
        <f t="shared" si="66"/>
        <v>0</v>
      </c>
      <c r="BV26" s="18">
        <f t="shared" si="67"/>
        <v>0</v>
      </c>
      <c r="BW26" s="18">
        <f t="shared" si="68"/>
        <v>0</v>
      </c>
      <c r="BX26" s="18">
        <f t="shared" si="69"/>
        <v>0</v>
      </c>
      <c r="BY26" s="18">
        <f t="shared" si="70"/>
        <v>0</v>
      </c>
      <c r="BZ26" s="18">
        <f t="shared" si="71"/>
        <v>0</v>
      </c>
      <c r="CA26" s="18">
        <f t="shared" si="72"/>
        <v>0</v>
      </c>
      <c r="CB26" s="18">
        <f t="shared" si="73"/>
        <v>0</v>
      </c>
      <c r="CC26" s="18">
        <f t="shared" si="74"/>
        <v>0</v>
      </c>
      <c r="CD26" s="18">
        <f t="shared" si="75"/>
        <v>0</v>
      </c>
      <c r="CE26" s="18">
        <f t="shared" si="76"/>
        <v>0</v>
      </c>
      <c r="CF26" s="18">
        <f t="shared" si="77"/>
        <v>0</v>
      </c>
      <c r="CG26" s="18">
        <f t="shared" si="78"/>
        <v>0</v>
      </c>
      <c r="CH26" s="18">
        <f t="shared" si="79"/>
        <v>0</v>
      </c>
      <c r="CI26" s="18">
        <f t="shared" si="80"/>
        <v>0</v>
      </c>
      <c r="CJ26" s="18">
        <f t="shared" si="81"/>
        <v>0</v>
      </c>
      <c r="CN26" s="17">
        <v>1</v>
      </c>
      <c r="CO26" s="17">
        <v>0</v>
      </c>
      <c r="CP26" s="17">
        <v>-1</v>
      </c>
      <c r="CQ26">
        <f>SUM(BM5:BM253)</f>
        <v>1</v>
      </c>
      <c r="CR26" s="18">
        <f t="shared" ref="CR26:CS26" si="91">SUM(BN5:BN253)</f>
        <v>0</v>
      </c>
      <c r="CS26" s="18">
        <f t="shared" si="91"/>
        <v>1</v>
      </c>
      <c r="CU26" s="18">
        <f t="shared" si="82"/>
        <v>2</v>
      </c>
    </row>
    <row r="27" spans="1:99" x14ac:dyDescent="0.3">
      <c r="A27" s="1">
        <v>43865</v>
      </c>
      <c r="B27">
        <v>40789.379999999997</v>
      </c>
      <c r="C27">
        <f>Table1[[#This Row],[Close]]-0.001*Table1[[#This Row],[Close]]</f>
        <v>40748.590619999995</v>
      </c>
      <c r="D27">
        <f>Table1[[#This Row],[Close]]+0.001*Table1[[#This Row],[Close]]</f>
        <v>40830.169379999999</v>
      </c>
      <c r="E27" t="str">
        <f>IF(Table1[[#This Row],[Close]]&gt;D26,"UP",IF(Table1[[#This Row],[Close]]&lt;C26,"Down","Constant"))</f>
        <v>UP</v>
      </c>
      <c r="F27" s="3">
        <f>IF(Table1[[#This Row],[Column1]]="Up",1,IF(Table1[[#This Row],[Column1]]="Down",-1,0))</f>
        <v>1</v>
      </c>
      <c r="G27">
        <f t="shared" si="0"/>
        <v>0</v>
      </c>
      <c r="H27" s="18">
        <f t="shared" si="1"/>
        <v>0</v>
      </c>
      <c r="I27" s="18">
        <f t="shared" si="2"/>
        <v>0</v>
      </c>
      <c r="J27" s="18">
        <f t="shared" si="3"/>
        <v>0</v>
      </c>
      <c r="K27" s="18">
        <f t="shared" si="4"/>
        <v>0</v>
      </c>
      <c r="L27" s="18">
        <f t="shared" si="5"/>
        <v>0</v>
      </c>
      <c r="M27" s="18">
        <f t="shared" si="6"/>
        <v>0</v>
      </c>
      <c r="N27" s="18">
        <f t="shared" si="7"/>
        <v>0</v>
      </c>
      <c r="O27" s="18">
        <f t="shared" si="8"/>
        <v>0</v>
      </c>
      <c r="P27" s="18">
        <f t="shared" si="9"/>
        <v>0</v>
      </c>
      <c r="Q27" s="18">
        <f t="shared" si="10"/>
        <v>0</v>
      </c>
      <c r="R27" s="18">
        <f t="shared" si="11"/>
        <v>0</v>
      </c>
      <c r="S27" s="18">
        <f t="shared" si="12"/>
        <v>0</v>
      </c>
      <c r="T27" s="18">
        <f t="shared" si="13"/>
        <v>0</v>
      </c>
      <c r="U27" s="18">
        <f t="shared" si="14"/>
        <v>0</v>
      </c>
      <c r="V27" s="18">
        <f t="shared" si="15"/>
        <v>1</v>
      </c>
      <c r="W27" s="18">
        <f t="shared" si="16"/>
        <v>0</v>
      </c>
      <c r="X27" s="18">
        <f t="shared" si="17"/>
        <v>0</v>
      </c>
      <c r="Y27" s="18">
        <f t="shared" si="18"/>
        <v>0</v>
      </c>
      <c r="Z27" s="18">
        <f t="shared" si="19"/>
        <v>0</v>
      </c>
      <c r="AA27" s="18">
        <f t="shared" si="20"/>
        <v>0</v>
      </c>
      <c r="AB27" s="18">
        <f t="shared" si="21"/>
        <v>0</v>
      </c>
      <c r="AC27" s="18">
        <f t="shared" si="22"/>
        <v>0</v>
      </c>
      <c r="AD27" s="18">
        <f t="shared" si="23"/>
        <v>0</v>
      </c>
      <c r="AE27" s="18">
        <f t="shared" si="24"/>
        <v>0</v>
      </c>
      <c r="AF27" s="18">
        <f t="shared" si="25"/>
        <v>0</v>
      </c>
      <c r="AG27" s="18">
        <f t="shared" si="26"/>
        <v>0</v>
      </c>
      <c r="AH27" s="18">
        <f t="shared" si="27"/>
        <v>0</v>
      </c>
      <c r="AI27" s="18">
        <f t="shared" si="28"/>
        <v>0</v>
      </c>
      <c r="AJ27" s="18">
        <f t="shared" si="29"/>
        <v>0</v>
      </c>
      <c r="AK27" s="18">
        <f t="shared" si="30"/>
        <v>0</v>
      </c>
      <c r="AL27" s="18">
        <f t="shared" si="31"/>
        <v>0</v>
      </c>
      <c r="AM27" s="18">
        <f t="shared" si="32"/>
        <v>0</v>
      </c>
      <c r="AN27" s="18">
        <f t="shared" si="33"/>
        <v>0</v>
      </c>
      <c r="AO27" s="18">
        <f t="shared" si="34"/>
        <v>0</v>
      </c>
      <c r="AP27" s="18">
        <f t="shared" si="35"/>
        <v>0</v>
      </c>
      <c r="AQ27" s="18">
        <f t="shared" si="36"/>
        <v>0</v>
      </c>
      <c r="AR27" s="18">
        <f t="shared" si="37"/>
        <v>0</v>
      </c>
      <c r="AS27" s="18">
        <f t="shared" si="38"/>
        <v>0</v>
      </c>
      <c r="AT27" s="18">
        <f t="shared" si="39"/>
        <v>0</v>
      </c>
      <c r="AU27" s="18">
        <f t="shared" si="40"/>
        <v>0</v>
      </c>
      <c r="AV27" s="18">
        <f t="shared" si="41"/>
        <v>0</v>
      </c>
      <c r="AW27" s="18">
        <f t="shared" si="42"/>
        <v>0</v>
      </c>
      <c r="AX27" s="18">
        <f t="shared" si="43"/>
        <v>0</v>
      </c>
      <c r="AY27" s="18">
        <f t="shared" si="44"/>
        <v>0</v>
      </c>
      <c r="AZ27" s="18">
        <f t="shared" si="45"/>
        <v>0</v>
      </c>
      <c r="BA27" s="18">
        <f t="shared" si="46"/>
        <v>0</v>
      </c>
      <c r="BB27" s="18">
        <f t="shared" si="47"/>
        <v>0</v>
      </c>
      <c r="BC27" s="18">
        <f t="shared" si="48"/>
        <v>0</v>
      </c>
      <c r="BD27" s="18">
        <f t="shared" si="49"/>
        <v>0</v>
      </c>
      <c r="BE27" s="18">
        <f t="shared" si="50"/>
        <v>0</v>
      </c>
      <c r="BF27" s="18">
        <f t="shared" si="51"/>
        <v>0</v>
      </c>
      <c r="BG27" s="18">
        <f t="shared" si="52"/>
        <v>0</v>
      </c>
      <c r="BH27" s="18">
        <f t="shared" si="53"/>
        <v>0</v>
      </c>
      <c r="BI27" s="18">
        <f t="shared" si="54"/>
        <v>0</v>
      </c>
      <c r="BJ27" s="18">
        <f t="shared" si="55"/>
        <v>0</v>
      </c>
      <c r="BK27" s="18">
        <f t="shared" si="56"/>
        <v>0</v>
      </c>
      <c r="BL27" s="18">
        <f t="shared" si="57"/>
        <v>0</v>
      </c>
      <c r="BM27" s="18">
        <f t="shared" si="58"/>
        <v>0</v>
      </c>
      <c r="BN27" s="18">
        <f t="shared" si="59"/>
        <v>0</v>
      </c>
      <c r="BO27" s="18">
        <f t="shared" si="60"/>
        <v>0</v>
      </c>
      <c r="BP27" s="18">
        <f t="shared" si="61"/>
        <v>0</v>
      </c>
      <c r="BQ27" s="18">
        <f t="shared" si="62"/>
        <v>0</v>
      </c>
      <c r="BR27" s="18">
        <f t="shared" si="63"/>
        <v>0</v>
      </c>
      <c r="BS27" s="18">
        <f t="shared" si="64"/>
        <v>0</v>
      </c>
      <c r="BT27" s="18">
        <f t="shared" si="65"/>
        <v>0</v>
      </c>
      <c r="BU27" s="18">
        <f t="shared" si="66"/>
        <v>0</v>
      </c>
      <c r="BV27" s="18">
        <f t="shared" si="67"/>
        <v>0</v>
      </c>
      <c r="BW27" s="18">
        <f t="shared" si="68"/>
        <v>0</v>
      </c>
      <c r="BX27" s="18">
        <f t="shared" si="69"/>
        <v>0</v>
      </c>
      <c r="BY27" s="18">
        <f t="shared" si="70"/>
        <v>0</v>
      </c>
      <c r="BZ27" s="18">
        <f t="shared" si="71"/>
        <v>0</v>
      </c>
      <c r="CA27" s="18">
        <f t="shared" si="72"/>
        <v>0</v>
      </c>
      <c r="CB27" s="18">
        <f t="shared" si="73"/>
        <v>0</v>
      </c>
      <c r="CC27" s="18">
        <f t="shared" si="74"/>
        <v>0</v>
      </c>
      <c r="CD27" s="18">
        <f t="shared" si="75"/>
        <v>0</v>
      </c>
      <c r="CE27" s="18">
        <f t="shared" si="76"/>
        <v>0</v>
      </c>
      <c r="CF27" s="18">
        <f t="shared" si="77"/>
        <v>0</v>
      </c>
      <c r="CG27" s="18">
        <f t="shared" si="78"/>
        <v>0</v>
      </c>
      <c r="CH27" s="18">
        <f t="shared" si="79"/>
        <v>0</v>
      </c>
      <c r="CI27" s="18">
        <f t="shared" si="80"/>
        <v>0</v>
      </c>
      <c r="CJ27" s="18">
        <f t="shared" si="81"/>
        <v>0</v>
      </c>
      <c r="CN27" s="17">
        <v>-1</v>
      </c>
      <c r="CO27" s="17">
        <v>0</v>
      </c>
      <c r="CP27" s="17">
        <v>1</v>
      </c>
      <c r="CQ27">
        <f>SUM(BP5:BP253)</f>
        <v>2</v>
      </c>
      <c r="CR27" s="18">
        <f t="shared" ref="CR27:CS27" si="92">SUM(BQ5:BQ253)</f>
        <v>0</v>
      </c>
      <c r="CS27" s="18">
        <f t="shared" si="92"/>
        <v>3</v>
      </c>
      <c r="CU27" s="18">
        <f t="shared" si="82"/>
        <v>5</v>
      </c>
    </row>
    <row r="28" spans="1:99" x14ac:dyDescent="0.3">
      <c r="A28" s="1">
        <v>43866</v>
      </c>
      <c r="B28">
        <v>41142.660000000003</v>
      </c>
      <c r="C28">
        <f>Table1[[#This Row],[Close]]-0.001*Table1[[#This Row],[Close]]</f>
        <v>41101.517340000006</v>
      </c>
      <c r="D28">
        <f>Table1[[#This Row],[Close]]+0.001*Table1[[#This Row],[Close]]</f>
        <v>41183.802660000001</v>
      </c>
      <c r="E28" t="str">
        <f>IF(Table1[[#This Row],[Close]]&gt;D27,"UP",IF(Table1[[#This Row],[Close]]&lt;C27,"Down","Constant"))</f>
        <v>UP</v>
      </c>
      <c r="F28" s="3">
        <f>IF(Table1[[#This Row],[Column1]]="Up",1,IF(Table1[[#This Row],[Column1]]="Down",-1,0))</f>
        <v>1</v>
      </c>
      <c r="G28">
        <f t="shared" si="0"/>
        <v>0</v>
      </c>
      <c r="H28" s="18">
        <f t="shared" si="1"/>
        <v>0</v>
      </c>
      <c r="I28" s="18">
        <f t="shared" si="2"/>
        <v>0</v>
      </c>
      <c r="J28" s="18">
        <f t="shared" si="3"/>
        <v>0</v>
      </c>
      <c r="K28" s="18">
        <f t="shared" si="4"/>
        <v>0</v>
      </c>
      <c r="L28" s="18">
        <f t="shared" si="5"/>
        <v>0</v>
      </c>
      <c r="M28" s="18">
        <f t="shared" si="6"/>
        <v>1</v>
      </c>
      <c r="N28" s="18">
        <f t="shared" si="7"/>
        <v>0</v>
      </c>
      <c r="O28" s="18">
        <f t="shared" si="8"/>
        <v>0</v>
      </c>
      <c r="P28" s="18">
        <f t="shared" si="9"/>
        <v>0</v>
      </c>
      <c r="Q28" s="18">
        <f t="shared" si="10"/>
        <v>0</v>
      </c>
      <c r="R28" s="18">
        <f t="shared" si="11"/>
        <v>0</v>
      </c>
      <c r="S28" s="18">
        <f t="shared" si="12"/>
        <v>0</v>
      </c>
      <c r="T28" s="18">
        <f t="shared" si="13"/>
        <v>0</v>
      </c>
      <c r="U28" s="18">
        <f t="shared" si="14"/>
        <v>0</v>
      </c>
      <c r="V28" s="18">
        <f t="shared" si="15"/>
        <v>0</v>
      </c>
      <c r="W28" s="18">
        <f t="shared" si="16"/>
        <v>0</v>
      </c>
      <c r="X28" s="18">
        <f t="shared" si="17"/>
        <v>0</v>
      </c>
      <c r="Y28" s="18">
        <f t="shared" si="18"/>
        <v>0</v>
      </c>
      <c r="Z28" s="18">
        <f t="shared" si="19"/>
        <v>0</v>
      </c>
      <c r="AA28" s="18">
        <f t="shared" si="20"/>
        <v>0</v>
      </c>
      <c r="AB28" s="18">
        <f t="shared" si="21"/>
        <v>0</v>
      </c>
      <c r="AC28" s="18">
        <f t="shared" si="22"/>
        <v>0</v>
      </c>
      <c r="AD28" s="18">
        <f t="shared" si="23"/>
        <v>0</v>
      </c>
      <c r="AE28" s="18">
        <f t="shared" si="24"/>
        <v>0</v>
      </c>
      <c r="AF28" s="18">
        <f t="shared" si="25"/>
        <v>0</v>
      </c>
      <c r="AG28" s="18">
        <f t="shared" si="26"/>
        <v>0</v>
      </c>
      <c r="AH28" s="18">
        <f t="shared" si="27"/>
        <v>0</v>
      </c>
      <c r="AI28" s="18">
        <f t="shared" si="28"/>
        <v>0</v>
      </c>
      <c r="AJ28" s="18">
        <f t="shared" si="29"/>
        <v>0</v>
      </c>
      <c r="AK28" s="18">
        <f t="shared" si="30"/>
        <v>0</v>
      </c>
      <c r="AL28" s="18">
        <f t="shared" si="31"/>
        <v>0</v>
      </c>
      <c r="AM28" s="18">
        <f t="shared" si="32"/>
        <v>0</v>
      </c>
      <c r="AN28" s="18">
        <f t="shared" si="33"/>
        <v>0</v>
      </c>
      <c r="AO28" s="18">
        <f t="shared" si="34"/>
        <v>0</v>
      </c>
      <c r="AP28" s="18">
        <f t="shared" si="35"/>
        <v>0</v>
      </c>
      <c r="AQ28" s="18">
        <f t="shared" si="36"/>
        <v>0</v>
      </c>
      <c r="AR28" s="18">
        <f t="shared" si="37"/>
        <v>0</v>
      </c>
      <c r="AS28" s="18">
        <f t="shared" si="38"/>
        <v>0</v>
      </c>
      <c r="AT28" s="18">
        <f t="shared" si="39"/>
        <v>0</v>
      </c>
      <c r="AU28" s="18">
        <f t="shared" si="40"/>
        <v>0</v>
      </c>
      <c r="AV28" s="18">
        <f t="shared" si="41"/>
        <v>0</v>
      </c>
      <c r="AW28" s="18">
        <f t="shared" si="42"/>
        <v>0</v>
      </c>
      <c r="AX28" s="18">
        <f t="shared" si="43"/>
        <v>0</v>
      </c>
      <c r="AY28" s="18">
        <f t="shared" si="44"/>
        <v>0</v>
      </c>
      <c r="AZ28" s="18">
        <f t="shared" si="45"/>
        <v>0</v>
      </c>
      <c r="BA28" s="18">
        <f t="shared" si="46"/>
        <v>0</v>
      </c>
      <c r="BB28" s="18">
        <f t="shared" si="47"/>
        <v>0</v>
      </c>
      <c r="BC28" s="18">
        <f t="shared" si="48"/>
        <v>0</v>
      </c>
      <c r="BD28" s="18">
        <f t="shared" si="49"/>
        <v>0</v>
      </c>
      <c r="BE28" s="18">
        <f t="shared" si="50"/>
        <v>0</v>
      </c>
      <c r="BF28" s="18">
        <f t="shared" si="51"/>
        <v>0</v>
      </c>
      <c r="BG28" s="18">
        <f t="shared" si="52"/>
        <v>0</v>
      </c>
      <c r="BH28" s="18">
        <f t="shared" si="53"/>
        <v>0</v>
      </c>
      <c r="BI28" s="18">
        <f t="shared" si="54"/>
        <v>0</v>
      </c>
      <c r="BJ28" s="18">
        <f t="shared" si="55"/>
        <v>0</v>
      </c>
      <c r="BK28" s="18">
        <f t="shared" si="56"/>
        <v>0</v>
      </c>
      <c r="BL28" s="18">
        <f t="shared" si="57"/>
        <v>0</v>
      </c>
      <c r="BM28" s="18">
        <f t="shared" si="58"/>
        <v>0</v>
      </c>
      <c r="BN28" s="18">
        <f t="shared" si="59"/>
        <v>0</v>
      </c>
      <c r="BO28" s="18">
        <f t="shared" si="60"/>
        <v>0</v>
      </c>
      <c r="BP28" s="18">
        <f t="shared" si="61"/>
        <v>0</v>
      </c>
      <c r="BQ28" s="18">
        <f t="shared" si="62"/>
        <v>0</v>
      </c>
      <c r="BR28" s="18">
        <f t="shared" si="63"/>
        <v>0</v>
      </c>
      <c r="BS28" s="18">
        <f t="shared" si="64"/>
        <v>0</v>
      </c>
      <c r="BT28" s="18">
        <f t="shared" si="65"/>
        <v>0</v>
      </c>
      <c r="BU28" s="18">
        <f t="shared" si="66"/>
        <v>0</v>
      </c>
      <c r="BV28" s="18">
        <f t="shared" si="67"/>
        <v>0</v>
      </c>
      <c r="BW28" s="18">
        <f t="shared" si="68"/>
        <v>0</v>
      </c>
      <c r="BX28" s="18">
        <f t="shared" si="69"/>
        <v>0</v>
      </c>
      <c r="BY28" s="18">
        <f t="shared" si="70"/>
        <v>0</v>
      </c>
      <c r="BZ28" s="18">
        <f t="shared" si="71"/>
        <v>0</v>
      </c>
      <c r="CA28" s="18">
        <f t="shared" si="72"/>
        <v>0</v>
      </c>
      <c r="CB28" s="18">
        <f t="shared" si="73"/>
        <v>0</v>
      </c>
      <c r="CC28" s="18">
        <f t="shared" si="74"/>
        <v>0</v>
      </c>
      <c r="CD28" s="18">
        <f t="shared" si="75"/>
        <v>0</v>
      </c>
      <c r="CE28" s="18">
        <f t="shared" si="76"/>
        <v>0</v>
      </c>
      <c r="CF28" s="18">
        <f t="shared" si="77"/>
        <v>0</v>
      </c>
      <c r="CG28" s="18">
        <f t="shared" si="78"/>
        <v>0</v>
      </c>
      <c r="CH28" s="18">
        <f t="shared" si="79"/>
        <v>0</v>
      </c>
      <c r="CI28" s="18">
        <f t="shared" si="80"/>
        <v>0</v>
      </c>
      <c r="CJ28" s="18">
        <f t="shared" si="81"/>
        <v>0</v>
      </c>
      <c r="CN28" s="17">
        <v>1</v>
      </c>
      <c r="CO28" s="17">
        <v>-1</v>
      </c>
      <c r="CP28" s="17">
        <v>0</v>
      </c>
      <c r="CQ28">
        <f>SUM(BS5:BS253)</f>
        <v>2</v>
      </c>
      <c r="CR28" s="18">
        <f t="shared" ref="CR28:CS28" si="93">SUM(BT5:BT253)</f>
        <v>0</v>
      </c>
      <c r="CS28" s="18">
        <f t="shared" si="93"/>
        <v>2</v>
      </c>
      <c r="CU28" s="18">
        <f t="shared" si="82"/>
        <v>4</v>
      </c>
    </row>
    <row r="29" spans="1:99" x14ac:dyDescent="0.3">
      <c r="A29" s="1">
        <v>43867</v>
      </c>
      <c r="B29">
        <v>41306.03</v>
      </c>
      <c r="C29">
        <f>Table1[[#This Row],[Close]]-0.001*Table1[[#This Row],[Close]]</f>
        <v>41264.723969999999</v>
      </c>
      <c r="D29">
        <f>Table1[[#This Row],[Close]]+0.001*Table1[[#This Row],[Close]]</f>
        <v>41347.336029999999</v>
      </c>
      <c r="E29" t="str">
        <f>IF(Table1[[#This Row],[Close]]&gt;D28,"UP",IF(Table1[[#This Row],[Close]]&lt;C28,"Down","Constant"))</f>
        <v>UP</v>
      </c>
      <c r="F29" s="3">
        <f>IF(Table1[[#This Row],[Column1]]="Up",1,IF(Table1[[#This Row],[Column1]]="Down",-1,0))</f>
        <v>1</v>
      </c>
      <c r="G29">
        <f t="shared" si="0"/>
        <v>0</v>
      </c>
      <c r="H29" s="18">
        <f t="shared" si="1"/>
        <v>0</v>
      </c>
      <c r="I29" s="18">
        <f t="shared" si="2"/>
        <v>0</v>
      </c>
      <c r="J29" s="18">
        <f t="shared" si="3"/>
        <v>1</v>
      </c>
      <c r="K29" s="18">
        <f t="shared" si="4"/>
        <v>0</v>
      </c>
      <c r="L29" s="18">
        <f t="shared" si="5"/>
        <v>0</v>
      </c>
      <c r="M29" s="18">
        <f t="shared" si="6"/>
        <v>0</v>
      </c>
      <c r="N29" s="18">
        <f t="shared" si="7"/>
        <v>0</v>
      </c>
      <c r="O29" s="18">
        <f t="shared" si="8"/>
        <v>0</v>
      </c>
      <c r="P29" s="18">
        <f t="shared" si="9"/>
        <v>0</v>
      </c>
      <c r="Q29" s="18">
        <f t="shared" si="10"/>
        <v>0</v>
      </c>
      <c r="R29" s="18">
        <f t="shared" si="11"/>
        <v>0</v>
      </c>
      <c r="S29" s="18">
        <f t="shared" si="12"/>
        <v>0</v>
      </c>
      <c r="T29" s="18">
        <f t="shared" si="13"/>
        <v>0</v>
      </c>
      <c r="U29" s="18">
        <f t="shared" si="14"/>
        <v>0</v>
      </c>
      <c r="V29" s="18">
        <f t="shared" si="15"/>
        <v>0</v>
      </c>
      <c r="W29" s="18">
        <f t="shared" si="16"/>
        <v>0</v>
      </c>
      <c r="X29" s="18">
        <f t="shared" si="17"/>
        <v>0</v>
      </c>
      <c r="Y29" s="18">
        <f t="shared" si="18"/>
        <v>0</v>
      </c>
      <c r="Z29" s="18">
        <f t="shared" si="19"/>
        <v>0</v>
      </c>
      <c r="AA29" s="18">
        <f t="shared" si="20"/>
        <v>0</v>
      </c>
      <c r="AB29" s="18">
        <f t="shared" si="21"/>
        <v>0</v>
      </c>
      <c r="AC29" s="18">
        <f t="shared" si="22"/>
        <v>0</v>
      </c>
      <c r="AD29" s="18">
        <f t="shared" si="23"/>
        <v>0</v>
      </c>
      <c r="AE29" s="18">
        <f t="shared" si="24"/>
        <v>0</v>
      </c>
      <c r="AF29" s="18">
        <f t="shared" si="25"/>
        <v>0</v>
      </c>
      <c r="AG29" s="18">
        <f t="shared" si="26"/>
        <v>0</v>
      </c>
      <c r="AH29" s="18">
        <f t="shared" si="27"/>
        <v>0</v>
      </c>
      <c r="AI29" s="18">
        <f t="shared" si="28"/>
        <v>0</v>
      </c>
      <c r="AJ29" s="18">
        <f t="shared" si="29"/>
        <v>0</v>
      </c>
      <c r="AK29" s="18">
        <f t="shared" si="30"/>
        <v>0</v>
      </c>
      <c r="AL29" s="18">
        <f t="shared" si="31"/>
        <v>0</v>
      </c>
      <c r="AM29" s="18">
        <f t="shared" si="32"/>
        <v>0</v>
      </c>
      <c r="AN29" s="18">
        <f t="shared" si="33"/>
        <v>0</v>
      </c>
      <c r="AO29" s="18">
        <f t="shared" si="34"/>
        <v>0</v>
      </c>
      <c r="AP29" s="18">
        <f t="shared" si="35"/>
        <v>0</v>
      </c>
      <c r="AQ29" s="18">
        <f t="shared" si="36"/>
        <v>0</v>
      </c>
      <c r="AR29" s="18">
        <f t="shared" si="37"/>
        <v>0</v>
      </c>
      <c r="AS29" s="18">
        <f t="shared" si="38"/>
        <v>0</v>
      </c>
      <c r="AT29" s="18">
        <f t="shared" si="39"/>
        <v>0</v>
      </c>
      <c r="AU29" s="18">
        <f t="shared" si="40"/>
        <v>0</v>
      </c>
      <c r="AV29" s="18">
        <f t="shared" si="41"/>
        <v>0</v>
      </c>
      <c r="AW29" s="18">
        <f t="shared" si="42"/>
        <v>0</v>
      </c>
      <c r="AX29" s="18">
        <f t="shared" si="43"/>
        <v>0</v>
      </c>
      <c r="AY29" s="18">
        <f t="shared" si="44"/>
        <v>0</v>
      </c>
      <c r="AZ29" s="18">
        <f t="shared" si="45"/>
        <v>0</v>
      </c>
      <c r="BA29" s="18">
        <f t="shared" si="46"/>
        <v>0</v>
      </c>
      <c r="BB29" s="18">
        <f t="shared" si="47"/>
        <v>0</v>
      </c>
      <c r="BC29" s="18">
        <f t="shared" si="48"/>
        <v>0</v>
      </c>
      <c r="BD29" s="18">
        <f t="shared" si="49"/>
        <v>0</v>
      </c>
      <c r="BE29" s="18">
        <f t="shared" si="50"/>
        <v>0</v>
      </c>
      <c r="BF29" s="18">
        <f t="shared" si="51"/>
        <v>0</v>
      </c>
      <c r="BG29" s="18">
        <f t="shared" si="52"/>
        <v>0</v>
      </c>
      <c r="BH29" s="18">
        <f t="shared" si="53"/>
        <v>0</v>
      </c>
      <c r="BI29" s="18">
        <f t="shared" si="54"/>
        <v>0</v>
      </c>
      <c r="BJ29" s="18">
        <f t="shared" si="55"/>
        <v>0</v>
      </c>
      <c r="BK29" s="18">
        <f t="shared" si="56"/>
        <v>0</v>
      </c>
      <c r="BL29" s="18">
        <f t="shared" si="57"/>
        <v>0</v>
      </c>
      <c r="BM29" s="18">
        <f t="shared" si="58"/>
        <v>0</v>
      </c>
      <c r="BN29" s="18">
        <f t="shared" si="59"/>
        <v>0</v>
      </c>
      <c r="BO29" s="18">
        <f t="shared" si="60"/>
        <v>0</v>
      </c>
      <c r="BP29" s="18">
        <f t="shared" si="61"/>
        <v>0</v>
      </c>
      <c r="BQ29" s="18">
        <f t="shared" si="62"/>
        <v>0</v>
      </c>
      <c r="BR29" s="18">
        <f t="shared" si="63"/>
        <v>0</v>
      </c>
      <c r="BS29" s="18">
        <f t="shared" si="64"/>
        <v>0</v>
      </c>
      <c r="BT29" s="18">
        <f t="shared" si="65"/>
        <v>0</v>
      </c>
      <c r="BU29" s="18">
        <f t="shared" si="66"/>
        <v>0</v>
      </c>
      <c r="BV29" s="18">
        <f t="shared" si="67"/>
        <v>0</v>
      </c>
      <c r="BW29" s="18">
        <f t="shared" si="68"/>
        <v>0</v>
      </c>
      <c r="BX29" s="18">
        <f t="shared" si="69"/>
        <v>0</v>
      </c>
      <c r="BY29" s="18">
        <f t="shared" si="70"/>
        <v>0</v>
      </c>
      <c r="BZ29" s="18">
        <f t="shared" si="71"/>
        <v>0</v>
      </c>
      <c r="CA29" s="18">
        <f t="shared" si="72"/>
        <v>0</v>
      </c>
      <c r="CB29" s="18">
        <f t="shared" si="73"/>
        <v>0</v>
      </c>
      <c r="CC29" s="18">
        <f t="shared" si="74"/>
        <v>0</v>
      </c>
      <c r="CD29" s="18">
        <f t="shared" si="75"/>
        <v>0</v>
      </c>
      <c r="CE29" s="18">
        <f t="shared" si="76"/>
        <v>0</v>
      </c>
      <c r="CF29" s="18">
        <f t="shared" si="77"/>
        <v>0</v>
      </c>
      <c r="CG29" s="18">
        <f t="shared" si="78"/>
        <v>0</v>
      </c>
      <c r="CH29" s="18">
        <f t="shared" si="79"/>
        <v>0</v>
      </c>
      <c r="CI29" s="18">
        <f t="shared" si="80"/>
        <v>0</v>
      </c>
      <c r="CJ29" s="18">
        <f t="shared" si="81"/>
        <v>0</v>
      </c>
      <c r="CN29" s="17">
        <v>-1</v>
      </c>
      <c r="CO29" s="17">
        <v>1</v>
      </c>
      <c r="CP29" s="17">
        <v>0</v>
      </c>
      <c r="CQ29">
        <f>SUM(BV5:BV253)</f>
        <v>1</v>
      </c>
      <c r="CR29" s="18">
        <f t="shared" ref="CR29:CS29" si="94">SUM(BW5:BW253)</f>
        <v>0</v>
      </c>
      <c r="CS29" s="18">
        <f t="shared" si="94"/>
        <v>1</v>
      </c>
      <c r="CU29" s="18">
        <f t="shared" si="82"/>
        <v>2</v>
      </c>
    </row>
    <row r="30" spans="1:99" x14ac:dyDescent="0.3">
      <c r="A30" s="1">
        <v>43868</v>
      </c>
      <c r="B30">
        <v>41141.85</v>
      </c>
      <c r="C30">
        <f>Table1[[#This Row],[Close]]-0.001*Table1[[#This Row],[Close]]</f>
        <v>41100.708149999999</v>
      </c>
      <c r="D30">
        <f>Table1[[#This Row],[Close]]+0.001*Table1[[#This Row],[Close]]</f>
        <v>41182.991849999999</v>
      </c>
      <c r="E30" t="str">
        <f>IF(Table1[[#This Row],[Close]]&gt;D29,"UP",IF(Table1[[#This Row],[Close]]&lt;C29,"Down","Constant"))</f>
        <v>Down</v>
      </c>
      <c r="F30" s="3">
        <f>IF(Table1[[#This Row],[Column1]]="Up",1,IF(Table1[[#This Row],[Column1]]="Down",-1,0))</f>
        <v>-1</v>
      </c>
      <c r="G30">
        <f t="shared" si="0"/>
        <v>0</v>
      </c>
      <c r="H30" s="18">
        <f t="shared" si="1"/>
        <v>1</v>
      </c>
      <c r="I30" s="18">
        <f t="shared" si="2"/>
        <v>0</v>
      </c>
      <c r="J30" s="18">
        <f t="shared" si="3"/>
        <v>0</v>
      </c>
      <c r="K30" s="18">
        <f t="shared" si="4"/>
        <v>0</v>
      </c>
      <c r="L30" s="18">
        <f t="shared" si="5"/>
        <v>0</v>
      </c>
      <c r="M30" s="18">
        <f t="shared" si="6"/>
        <v>0</v>
      </c>
      <c r="N30" s="18">
        <f t="shared" si="7"/>
        <v>0</v>
      </c>
      <c r="O30" s="18">
        <f t="shared" si="8"/>
        <v>0</v>
      </c>
      <c r="P30" s="18">
        <f t="shared" si="9"/>
        <v>0</v>
      </c>
      <c r="Q30" s="18">
        <f t="shared" si="10"/>
        <v>0</v>
      </c>
      <c r="R30" s="18">
        <f t="shared" si="11"/>
        <v>0</v>
      </c>
      <c r="S30" s="18">
        <f t="shared" si="12"/>
        <v>0</v>
      </c>
      <c r="T30" s="18">
        <f t="shared" si="13"/>
        <v>0</v>
      </c>
      <c r="U30" s="18">
        <f t="shared" si="14"/>
        <v>0</v>
      </c>
      <c r="V30" s="18">
        <f t="shared" si="15"/>
        <v>0</v>
      </c>
      <c r="W30" s="18">
        <f t="shared" si="16"/>
        <v>0</v>
      </c>
      <c r="X30" s="18">
        <f t="shared" si="17"/>
        <v>0</v>
      </c>
      <c r="Y30" s="18">
        <f t="shared" si="18"/>
        <v>0</v>
      </c>
      <c r="Z30" s="18">
        <f t="shared" si="19"/>
        <v>0</v>
      </c>
      <c r="AA30" s="18">
        <f t="shared" si="20"/>
        <v>0</v>
      </c>
      <c r="AB30" s="18">
        <f t="shared" si="21"/>
        <v>0</v>
      </c>
      <c r="AC30" s="18">
        <f t="shared" si="22"/>
        <v>0</v>
      </c>
      <c r="AD30" s="18">
        <f t="shared" si="23"/>
        <v>0</v>
      </c>
      <c r="AE30" s="18">
        <f t="shared" si="24"/>
        <v>0</v>
      </c>
      <c r="AF30" s="18">
        <f t="shared" si="25"/>
        <v>0</v>
      </c>
      <c r="AG30" s="18">
        <f t="shared" si="26"/>
        <v>0</v>
      </c>
      <c r="AH30" s="18">
        <f t="shared" si="27"/>
        <v>0</v>
      </c>
      <c r="AI30" s="18">
        <f t="shared" si="28"/>
        <v>0</v>
      </c>
      <c r="AJ30" s="18">
        <f t="shared" si="29"/>
        <v>0</v>
      </c>
      <c r="AK30" s="18">
        <f t="shared" si="30"/>
        <v>0</v>
      </c>
      <c r="AL30" s="18">
        <f t="shared" si="31"/>
        <v>0</v>
      </c>
      <c r="AM30" s="18">
        <f t="shared" si="32"/>
        <v>0</v>
      </c>
      <c r="AN30" s="18">
        <f t="shared" si="33"/>
        <v>0</v>
      </c>
      <c r="AO30" s="18">
        <f t="shared" si="34"/>
        <v>0</v>
      </c>
      <c r="AP30" s="18">
        <f t="shared" si="35"/>
        <v>0</v>
      </c>
      <c r="AQ30" s="18">
        <f t="shared" si="36"/>
        <v>0</v>
      </c>
      <c r="AR30" s="18">
        <f t="shared" si="37"/>
        <v>0</v>
      </c>
      <c r="AS30" s="18">
        <f t="shared" si="38"/>
        <v>0</v>
      </c>
      <c r="AT30" s="18">
        <f t="shared" si="39"/>
        <v>0</v>
      </c>
      <c r="AU30" s="18">
        <f t="shared" si="40"/>
        <v>0</v>
      </c>
      <c r="AV30" s="18">
        <f t="shared" si="41"/>
        <v>0</v>
      </c>
      <c r="AW30" s="18">
        <f t="shared" si="42"/>
        <v>0</v>
      </c>
      <c r="AX30" s="18">
        <f t="shared" si="43"/>
        <v>0</v>
      </c>
      <c r="AY30" s="18">
        <f t="shared" si="44"/>
        <v>0</v>
      </c>
      <c r="AZ30" s="18">
        <f t="shared" si="45"/>
        <v>0</v>
      </c>
      <c r="BA30" s="18">
        <f t="shared" si="46"/>
        <v>0</v>
      </c>
      <c r="BB30" s="18">
        <f t="shared" si="47"/>
        <v>0</v>
      </c>
      <c r="BC30" s="18">
        <f t="shared" si="48"/>
        <v>0</v>
      </c>
      <c r="BD30" s="18">
        <f t="shared" si="49"/>
        <v>0</v>
      </c>
      <c r="BE30" s="18">
        <f t="shared" si="50"/>
        <v>0</v>
      </c>
      <c r="BF30" s="18">
        <f t="shared" si="51"/>
        <v>0</v>
      </c>
      <c r="BG30" s="18">
        <f t="shared" si="52"/>
        <v>0</v>
      </c>
      <c r="BH30" s="18">
        <f t="shared" si="53"/>
        <v>0</v>
      </c>
      <c r="BI30" s="18">
        <f t="shared" si="54"/>
        <v>0</v>
      </c>
      <c r="BJ30" s="18">
        <f t="shared" si="55"/>
        <v>0</v>
      </c>
      <c r="BK30" s="18">
        <f t="shared" si="56"/>
        <v>0</v>
      </c>
      <c r="BL30" s="18">
        <f t="shared" si="57"/>
        <v>0</v>
      </c>
      <c r="BM30" s="18">
        <f t="shared" si="58"/>
        <v>0</v>
      </c>
      <c r="BN30" s="18">
        <f t="shared" si="59"/>
        <v>0</v>
      </c>
      <c r="BO30" s="18">
        <f t="shared" si="60"/>
        <v>0</v>
      </c>
      <c r="BP30" s="18">
        <f t="shared" si="61"/>
        <v>0</v>
      </c>
      <c r="BQ30" s="18">
        <f t="shared" si="62"/>
        <v>0</v>
      </c>
      <c r="BR30" s="18">
        <f t="shared" si="63"/>
        <v>0</v>
      </c>
      <c r="BS30" s="18">
        <f t="shared" si="64"/>
        <v>0</v>
      </c>
      <c r="BT30" s="18">
        <f t="shared" si="65"/>
        <v>0</v>
      </c>
      <c r="BU30" s="18">
        <f t="shared" si="66"/>
        <v>0</v>
      </c>
      <c r="BV30" s="18">
        <f t="shared" si="67"/>
        <v>0</v>
      </c>
      <c r="BW30" s="18">
        <f t="shared" si="68"/>
        <v>0</v>
      </c>
      <c r="BX30" s="18">
        <f t="shared" si="69"/>
        <v>0</v>
      </c>
      <c r="BY30" s="18">
        <f t="shared" si="70"/>
        <v>0</v>
      </c>
      <c r="BZ30" s="18">
        <f t="shared" si="71"/>
        <v>0</v>
      </c>
      <c r="CA30" s="18">
        <f t="shared" si="72"/>
        <v>0</v>
      </c>
      <c r="CB30" s="18">
        <f t="shared" si="73"/>
        <v>0</v>
      </c>
      <c r="CC30" s="18">
        <f t="shared" si="74"/>
        <v>0</v>
      </c>
      <c r="CD30" s="18">
        <f t="shared" si="75"/>
        <v>0</v>
      </c>
      <c r="CE30" s="18">
        <f t="shared" si="76"/>
        <v>0</v>
      </c>
      <c r="CF30" s="18">
        <f t="shared" si="77"/>
        <v>0</v>
      </c>
      <c r="CG30" s="18">
        <f t="shared" si="78"/>
        <v>0</v>
      </c>
      <c r="CH30" s="18">
        <f t="shared" si="79"/>
        <v>0</v>
      </c>
      <c r="CI30" s="18">
        <f t="shared" si="80"/>
        <v>0</v>
      </c>
      <c r="CJ30" s="18">
        <f t="shared" si="81"/>
        <v>0</v>
      </c>
      <c r="CN30" s="17">
        <v>0</v>
      </c>
      <c r="CO30" s="17">
        <v>0</v>
      </c>
      <c r="CP30" s="17">
        <v>-1</v>
      </c>
      <c r="CQ30">
        <f>SUM(BY5:BY253)</f>
        <v>0</v>
      </c>
      <c r="CR30" s="18">
        <f t="shared" ref="CR30:CS30" si="95">SUM(BZ5:BZ253)</f>
        <v>0</v>
      </c>
      <c r="CS30" s="18">
        <f t="shared" si="95"/>
        <v>0</v>
      </c>
      <c r="CU30" s="18">
        <f t="shared" si="82"/>
        <v>0</v>
      </c>
    </row>
    <row r="31" spans="1:99" x14ac:dyDescent="0.3">
      <c r="A31" s="1">
        <v>43871</v>
      </c>
      <c r="B31">
        <v>40979.620000000003</v>
      </c>
      <c r="C31">
        <f>Table1[[#This Row],[Close]]-0.001*Table1[[#This Row],[Close]]</f>
        <v>40938.640380000004</v>
      </c>
      <c r="D31">
        <f>Table1[[#This Row],[Close]]+0.001*Table1[[#This Row],[Close]]</f>
        <v>41020.599620000001</v>
      </c>
      <c r="E31" t="str">
        <f>IF(Table1[[#This Row],[Close]]&gt;D30,"UP",IF(Table1[[#This Row],[Close]]&lt;C30,"Down","Constant"))</f>
        <v>Down</v>
      </c>
      <c r="F31" s="3">
        <f>IF(Table1[[#This Row],[Column1]]="Up",1,IF(Table1[[#This Row],[Column1]]="Down",-1,0))</f>
        <v>-1</v>
      </c>
      <c r="G31">
        <f t="shared" si="0"/>
        <v>0</v>
      </c>
      <c r="H31" s="18">
        <f t="shared" si="1"/>
        <v>0</v>
      </c>
      <c r="I31" s="18">
        <f t="shared" si="2"/>
        <v>0</v>
      </c>
      <c r="J31" s="18">
        <f t="shared" si="3"/>
        <v>0</v>
      </c>
      <c r="K31" s="18">
        <f t="shared" si="4"/>
        <v>0</v>
      </c>
      <c r="L31" s="18">
        <f t="shared" si="5"/>
        <v>0</v>
      </c>
      <c r="M31" s="18">
        <f t="shared" si="6"/>
        <v>0</v>
      </c>
      <c r="N31" s="18">
        <f t="shared" si="7"/>
        <v>0</v>
      </c>
      <c r="O31" s="18">
        <f t="shared" si="8"/>
        <v>0</v>
      </c>
      <c r="P31" s="18">
        <f t="shared" si="9"/>
        <v>0</v>
      </c>
      <c r="Q31" s="18">
        <f t="shared" si="10"/>
        <v>1</v>
      </c>
      <c r="R31" s="18">
        <f t="shared" si="11"/>
        <v>0</v>
      </c>
      <c r="S31" s="18">
        <f t="shared" si="12"/>
        <v>0</v>
      </c>
      <c r="T31" s="18">
        <f t="shared" si="13"/>
        <v>0</v>
      </c>
      <c r="U31" s="18">
        <f t="shared" si="14"/>
        <v>0</v>
      </c>
      <c r="V31" s="18">
        <f t="shared" si="15"/>
        <v>0</v>
      </c>
      <c r="W31" s="18">
        <f t="shared" si="16"/>
        <v>0</v>
      </c>
      <c r="X31" s="18">
        <f t="shared" si="17"/>
        <v>0</v>
      </c>
      <c r="Y31" s="18">
        <f t="shared" si="18"/>
        <v>0</v>
      </c>
      <c r="Z31" s="18">
        <f t="shared" si="19"/>
        <v>0</v>
      </c>
      <c r="AA31" s="18">
        <f t="shared" si="20"/>
        <v>0</v>
      </c>
      <c r="AB31" s="18">
        <f t="shared" si="21"/>
        <v>0</v>
      </c>
      <c r="AC31" s="18">
        <f t="shared" si="22"/>
        <v>0</v>
      </c>
      <c r="AD31" s="18">
        <f t="shared" si="23"/>
        <v>0</v>
      </c>
      <c r="AE31" s="18">
        <f t="shared" si="24"/>
        <v>0</v>
      </c>
      <c r="AF31" s="18">
        <f t="shared" si="25"/>
        <v>0</v>
      </c>
      <c r="AG31" s="18">
        <f t="shared" si="26"/>
        <v>0</v>
      </c>
      <c r="AH31" s="18">
        <f t="shared" si="27"/>
        <v>0</v>
      </c>
      <c r="AI31" s="18">
        <f t="shared" si="28"/>
        <v>0</v>
      </c>
      <c r="AJ31" s="18">
        <f t="shared" si="29"/>
        <v>0</v>
      </c>
      <c r="AK31" s="18">
        <f t="shared" si="30"/>
        <v>0</v>
      </c>
      <c r="AL31" s="18">
        <f t="shared" si="31"/>
        <v>0</v>
      </c>
      <c r="AM31" s="18">
        <f t="shared" si="32"/>
        <v>0</v>
      </c>
      <c r="AN31" s="18">
        <f t="shared" si="33"/>
        <v>0</v>
      </c>
      <c r="AO31" s="18">
        <f t="shared" si="34"/>
        <v>0</v>
      </c>
      <c r="AP31" s="18">
        <f t="shared" si="35"/>
        <v>0</v>
      </c>
      <c r="AQ31" s="18">
        <f t="shared" si="36"/>
        <v>0</v>
      </c>
      <c r="AR31" s="18">
        <f t="shared" si="37"/>
        <v>0</v>
      </c>
      <c r="AS31" s="18">
        <f t="shared" si="38"/>
        <v>0</v>
      </c>
      <c r="AT31" s="18">
        <f t="shared" si="39"/>
        <v>0</v>
      </c>
      <c r="AU31" s="18">
        <f t="shared" si="40"/>
        <v>0</v>
      </c>
      <c r="AV31" s="18">
        <f t="shared" si="41"/>
        <v>0</v>
      </c>
      <c r="AW31" s="18">
        <f t="shared" si="42"/>
        <v>0</v>
      </c>
      <c r="AX31" s="18">
        <f t="shared" si="43"/>
        <v>0</v>
      </c>
      <c r="AY31" s="18">
        <f t="shared" si="44"/>
        <v>0</v>
      </c>
      <c r="AZ31" s="18">
        <f t="shared" si="45"/>
        <v>0</v>
      </c>
      <c r="BA31" s="18">
        <f t="shared" si="46"/>
        <v>0</v>
      </c>
      <c r="BB31" s="18">
        <f t="shared" si="47"/>
        <v>0</v>
      </c>
      <c r="BC31" s="18">
        <f t="shared" si="48"/>
        <v>0</v>
      </c>
      <c r="BD31" s="18">
        <f t="shared" si="49"/>
        <v>0</v>
      </c>
      <c r="BE31" s="18">
        <f t="shared" si="50"/>
        <v>0</v>
      </c>
      <c r="BF31" s="18">
        <f t="shared" si="51"/>
        <v>0</v>
      </c>
      <c r="BG31" s="18">
        <f t="shared" si="52"/>
        <v>0</v>
      </c>
      <c r="BH31" s="18">
        <f t="shared" si="53"/>
        <v>0</v>
      </c>
      <c r="BI31" s="18">
        <f t="shared" si="54"/>
        <v>0</v>
      </c>
      <c r="BJ31" s="18">
        <f t="shared" si="55"/>
        <v>0</v>
      </c>
      <c r="BK31" s="18">
        <f t="shared" si="56"/>
        <v>0</v>
      </c>
      <c r="BL31" s="18">
        <f t="shared" si="57"/>
        <v>0</v>
      </c>
      <c r="BM31" s="18">
        <f t="shared" si="58"/>
        <v>0</v>
      </c>
      <c r="BN31" s="18">
        <f t="shared" si="59"/>
        <v>0</v>
      </c>
      <c r="BO31" s="18">
        <f t="shared" si="60"/>
        <v>0</v>
      </c>
      <c r="BP31" s="18">
        <f t="shared" si="61"/>
        <v>0</v>
      </c>
      <c r="BQ31" s="18">
        <f t="shared" si="62"/>
        <v>0</v>
      </c>
      <c r="BR31" s="18">
        <f t="shared" si="63"/>
        <v>0</v>
      </c>
      <c r="BS31" s="18">
        <f t="shared" si="64"/>
        <v>0</v>
      </c>
      <c r="BT31" s="18">
        <f t="shared" si="65"/>
        <v>0</v>
      </c>
      <c r="BU31" s="18">
        <f t="shared" si="66"/>
        <v>0</v>
      </c>
      <c r="BV31" s="18">
        <f t="shared" si="67"/>
        <v>0</v>
      </c>
      <c r="BW31" s="18">
        <f t="shared" si="68"/>
        <v>0</v>
      </c>
      <c r="BX31" s="18">
        <f t="shared" si="69"/>
        <v>0</v>
      </c>
      <c r="BY31" s="18">
        <f t="shared" si="70"/>
        <v>0</v>
      </c>
      <c r="BZ31" s="18">
        <f t="shared" si="71"/>
        <v>0</v>
      </c>
      <c r="CA31" s="18">
        <f t="shared" si="72"/>
        <v>0</v>
      </c>
      <c r="CB31" s="18">
        <f t="shared" si="73"/>
        <v>0</v>
      </c>
      <c r="CC31" s="18">
        <f t="shared" si="74"/>
        <v>0</v>
      </c>
      <c r="CD31" s="18">
        <f t="shared" si="75"/>
        <v>0</v>
      </c>
      <c r="CE31" s="18">
        <f t="shared" si="76"/>
        <v>0</v>
      </c>
      <c r="CF31" s="18">
        <f t="shared" si="77"/>
        <v>0</v>
      </c>
      <c r="CG31" s="18">
        <f t="shared" si="78"/>
        <v>0</v>
      </c>
      <c r="CH31" s="18">
        <f t="shared" si="79"/>
        <v>0</v>
      </c>
      <c r="CI31" s="18">
        <f t="shared" si="80"/>
        <v>0</v>
      </c>
      <c r="CJ31" s="18">
        <f t="shared" si="81"/>
        <v>0</v>
      </c>
      <c r="CN31" s="17">
        <v>0</v>
      </c>
      <c r="CO31" s="17">
        <v>-1</v>
      </c>
      <c r="CP31" s="17">
        <v>0</v>
      </c>
      <c r="CQ31">
        <f>SUM(CB5:CB253)</f>
        <v>0</v>
      </c>
      <c r="CR31" s="18">
        <f t="shared" ref="CR31:CS31" si="96">SUM(CC5:CC253)</f>
        <v>0</v>
      </c>
      <c r="CS31" s="18">
        <f t="shared" si="96"/>
        <v>0</v>
      </c>
      <c r="CU31" s="18">
        <f t="shared" si="82"/>
        <v>0</v>
      </c>
    </row>
    <row r="32" spans="1:99" x14ac:dyDescent="0.3">
      <c r="A32" s="1">
        <v>43872</v>
      </c>
      <c r="B32">
        <v>41216.14</v>
      </c>
      <c r="C32">
        <f>Table1[[#This Row],[Close]]-0.001*Table1[[#This Row],[Close]]</f>
        <v>41174.923860000003</v>
      </c>
      <c r="D32">
        <f>Table1[[#This Row],[Close]]+0.001*Table1[[#This Row],[Close]]</f>
        <v>41257.356139999996</v>
      </c>
      <c r="E32" t="str">
        <f>IF(Table1[[#This Row],[Close]]&gt;D31,"UP",IF(Table1[[#This Row],[Close]]&lt;C31,"Down","Constant"))</f>
        <v>UP</v>
      </c>
      <c r="F32" s="3">
        <f>IF(Table1[[#This Row],[Column1]]="Up",1,IF(Table1[[#This Row],[Column1]]="Down",-1,0))</f>
        <v>1</v>
      </c>
      <c r="G32">
        <f t="shared" si="0"/>
        <v>0</v>
      </c>
      <c r="H32" s="18">
        <f t="shared" si="1"/>
        <v>0</v>
      </c>
      <c r="I32" s="18">
        <f t="shared" si="2"/>
        <v>0</v>
      </c>
      <c r="J32" s="18">
        <f t="shared" si="3"/>
        <v>0</v>
      </c>
      <c r="K32" s="18">
        <f t="shared" si="4"/>
        <v>0</v>
      </c>
      <c r="L32" s="18">
        <f t="shared" si="5"/>
        <v>0</v>
      </c>
      <c r="M32" s="18">
        <f t="shared" si="6"/>
        <v>0</v>
      </c>
      <c r="N32" s="18">
        <f t="shared" si="7"/>
        <v>0</v>
      </c>
      <c r="O32" s="18">
        <f t="shared" si="8"/>
        <v>0</v>
      </c>
      <c r="P32" s="18">
        <f t="shared" si="9"/>
        <v>0</v>
      </c>
      <c r="Q32" s="18">
        <f t="shared" si="10"/>
        <v>0</v>
      </c>
      <c r="R32" s="18">
        <f t="shared" si="11"/>
        <v>0</v>
      </c>
      <c r="S32" s="18">
        <f t="shared" si="12"/>
        <v>0</v>
      </c>
      <c r="T32" s="18">
        <f t="shared" si="13"/>
        <v>0</v>
      </c>
      <c r="U32" s="18">
        <f t="shared" si="14"/>
        <v>0</v>
      </c>
      <c r="V32" s="18">
        <f t="shared" si="15"/>
        <v>0</v>
      </c>
      <c r="W32" s="18">
        <f t="shared" si="16"/>
        <v>0</v>
      </c>
      <c r="X32" s="18">
        <f t="shared" si="17"/>
        <v>0</v>
      </c>
      <c r="Y32" s="18">
        <f t="shared" si="18"/>
        <v>1</v>
      </c>
      <c r="Z32" s="18">
        <f t="shared" si="19"/>
        <v>0</v>
      </c>
      <c r="AA32" s="18">
        <f t="shared" si="20"/>
        <v>0</v>
      </c>
      <c r="AB32" s="18">
        <f t="shared" si="21"/>
        <v>0</v>
      </c>
      <c r="AC32" s="18">
        <f t="shared" si="22"/>
        <v>0</v>
      </c>
      <c r="AD32" s="18">
        <f t="shared" si="23"/>
        <v>0</v>
      </c>
      <c r="AE32" s="18">
        <f t="shared" si="24"/>
        <v>0</v>
      </c>
      <c r="AF32" s="18">
        <f t="shared" si="25"/>
        <v>0</v>
      </c>
      <c r="AG32" s="18">
        <f t="shared" si="26"/>
        <v>0</v>
      </c>
      <c r="AH32" s="18">
        <f t="shared" si="27"/>
        <v>0</v>
      </c>
      <c r="AI32" s="18">
        <f t="shared" si="28"/>
        <v>0</v>
      </c>
      <c r="AJ32" s="18">
        <f t="shared" si="29"/>
        <v>0</v>
      </c>
      <c r="AK32" s="18">
        <f t="shared" si="30"/>
        <v>0</v>
      </c>
      <c r="AL32" s="18">
        <f t="shared" si="31"/>
        <v>0</v>
      </c>
      <c r="AM32" s="18">
        <f t="shared" si="32"/>
        <v>0</v>
      </c>
      <c r="AN32" s="18">
        <f t="shared" si="33"/>
        <v>0</v>
      </c>
      <c r="AO32" s="18">
        <f t="shared" si="34"/>
        <v>0</v>
      </c>
      <c r="AP32" s="18">
        <f t="shared" si="35"/>
        <v>0</v>
      </c>
      <c r="AQ32" s="18">
        <f t="shared" si="36"/>
        <v>0</v>
      </c>
      <c r="AR32" s="18">
        <f t="shared" si="37"/>
        <v>0</v>
      </c>
      <c r="AS32" s="18">
        <f t="shared" si="38"/>
        <v>0</v>
      </c>
      <c r="AT32" s="18">
        <f t="shared" si="39"/>
        <v>0</v>
      </c>
      <c r="AU32" s="18">
        <f t="shared" si="40"/>
        <v>0</v>
      </c>
      <c r="AV32" s="18">
        <f t="shared" si="41"/>
        <v>0</v>
      </c>
      <c r="AW32" s="18">
        <f t="shared" si="42"/>
        <v>0</v>
      </c>
      <c r="AX32" s="18">
        <f t="shared" si="43"/>
        <v>0</v>
      </c>
      <c r="AY32" s="18">
        <f t="shared" si="44"/>
        <v>0</v>
      </c>
      <c r="AZ32" s="18">
        <f t="shared" si="45"/>
        <v>0</v>
      </c>
      <c r="BA32" s="18">
        <f t="shared" si="46"/>
        <v>0</v>
      </c>
      <c r="BB32" s="18">
        <f t="shared" si="47"/>
        <v>0</v>
      </c>
      <c r="BC32" s="18">
        <f t="shared" si="48"/>
        <v>0</v>
      </c>
      <c r="BD32" s="18">
        <f t="shared" si="49"/>
        <v>0</v>
      </c>
      <c r="BE32" s="18">
        <f t="shared" si="50"/>
        <v>0</v>
      </c>
      <c r="BF32" s="18">
        <f t="shared" si="51"/>
        <v>0</v>
      </c>
      <c r="BG32" s="18">
        <f t="shared" si="52"/>
        <v>0</v>
      </c>
      <c r="BH32" s="18">
        <f t="shared" si="53"/>
        <v>0</v>
      </c>
      <c r="BI32" s="18">
        <f t="shared" si="54"/>
        <v>0</v>
      </c>
      <c r="BJ32" s="18">
        <f t="shared" si="55"/>
        <v>0</v>
      </c>
      <c r="BK32" s="18">
        <f t="shared" si="56"/>
        <v>0</v>
      </c>
      <c r="BL32" s="18">
        <f t="shared" si="57"/>
        <v>0</v>
      </c>
      <c r="BM32" s="18">
        <f t="shared" si="58"/>
        <v>0</v>
      </c>
      <c r="BN32" s="18">
        <f t="shared" si="59"/>
        <v>0</v>
      </c>
      <c r="BO32" s="18">
        <f t="shared" si="60"/>
        <v>0</v>
      </c>
      <c r="BP32" s="18">
        <f t="shared" si="61"/>
        <v>0</v>
      </c>
      <c r="BQ32" s="18">
        <f t="shared" si="62"/>
        <v>0</v>
      </c>
      <c r="BR32" s="18">
        <f t="shared" si="63"/>
        <v>0</v>
      </c>
      <c r="BS32" s="18">
        <f t="shared" si="64"/>
        <v>0</v>
      </c>
      <c r="BT32" s="18">
        <f t="shared" si="65"/>
        <v>0</v>
      </c>
      <c r="BU32" s="18">
        <f t="shared" si="66"/>
        <v>0</v>
      </c>
      <c r="BV32" s="18">
        <f t="shared" si="67"/>
        <v>0</v>
      </c>
      <c r="BW32" s="18">
        <f t="shared" si="68"/>
        <v>0</v>
      </c>
      <c r="BX32" s="18">
        <f t="shared" si="69"/>
        <v>0</v>
      </c>
      <c r="BY32" s="18">
        <f t="shared" si="70"/>
        <v>0</v>
      </c>
      <c r="BZ32" s="18">
        <f t="shared" si="71"/>
        <v>0</v>
      </c>
      <c r="CA32" s="18">
        <f t="shared" si="72"/>
        <v>0</v>
      </c>
      <c r="CB32" s="18">
        <f t="shared" si="73"/>
        <v>0</v>
      </c>
      <c r="CC32" s="18">
        <f t="shared" si="74"/>
        <v>0</v>
      </c>
      <c r="CD32" s="18">
        <f t="shared" si="75"/>
        <v>0</v>
      </c>
      <c r="CE32" s="18">
        <f t="shared" si="76"/>
        <v>0</v>
      </c>
      <c r="CF32" s="18">
        <f t="shared" si="77"/>
        <v>0</v>
      </c>
      <c r="CG32" s="18">
        <f t="shared" si="78"/>
        <v>0</v>
      </c>
      <c r="CH32" s="18">
        <f t="shared" si="79"/>
        <v>0</v>
      </c>
      <c r="CI32" s="18">
        <f t="shared" si="80"/>
        <v>0</v>
      </c>
      <c r="CJ32" s="18">
        <f t="shared" si="81"/>
        <v>0</v>
      </c>
      <c r="CN32" s="17">
        <v>-1</v>
      </c>
      <c r="CO32" s="17">
        <v>0</v>
      </c>
      <c r="CP32" s="17">
        <v>0</v>
      </c>
      <c r="CQ32">
        <f>SUM(CE5:CE253)</f>
        <v>0</v>
      </c>
      <c r="CR32" s="18">
        <f t="shared" ref="CR32:CS32" si="97">SUM(CF5:CF253)</f>
        <v>0</v>
      </c>
      <c r="CS32" s="18">
        <f t="shared" si="97"/>
        <v>0</v>
      </c>
      <c r="CU32" s="18">
        <f t="shared" si="82"/>
        <v>0</v>
      </c>
    </row>
    <row r="33" spans="1:99" x14ac:dyDescent="0.3">
      <c r="A33" s="1">
        <v>43873</v>
      </c>
      <c r="B33">
        <v>41565.9</v>
      </c>
      <c r="C33">
        <f>Table1[[#This Row],[Close]]-0.001*Table1[[#This Row],[Close]]</f>
        <v>41524.3341</v>
      </c>
      <c r="D33">
        <f>Table1[[#This Row],[Close]]+0.001*Table1[[#This Row],[Close]]</f>
        <v>41607.465900000003</v>
      </c>
      <c r="E33" t="str">
        <f>IF(Table1[[#This Row],[Close]]&gt;D32,"UP",IF(Table1[[#This Row],[Close]]&lt;C32,"Down","Constant"))</f>
        <v>UP</v>
      </c>
      <c r="F33" s="3">
        <f>IF(Table1[[#This Row],[Column1]]="Up",1,IF(Table1[[#This Row],[Column1]]="Down",-1,0))</f>
        <v>1</v>
      </c>
      <c r="G33">
        <f t="shared" si="0"/>
        <v>0</v>
      </c>
      <c r="H33" s="18">
        <f t="shared" si="1"/>
        <v>0</v>
      </c>
      <c r="I33" s="18">
        <f t="shared" si="2"/>
        <v>0</v>
      </c>
      <c r="J33" s="18">
        <f t="shared" si="3"/>
        <v>0</v>
      </c>
      <c r="K33" s="18">
        <f t="shared" si="4"/>
        <v>0</v>
      </c>
      <c r="L33" s="18">
        <f t="shared" si="5"/>
        <v>0</v>
      </c>
      <c r="M33" s="18">
        <f t="shared" si="6"/>
        <v>0</v>
      </c>
      <c r="N33" s="18">
        <f t="shared" si="7"/>
        <v>0</v>
      </c>
      <c r="O33" s="18">
        <f t="shared" si="8"/>
        <v>0</v>
      </c>
      <c r="P33" s="18">
        <f t="shared" si="9"/>
        <v>0</v>
      </c>
      <c r="Q33" s="18">
        <f t="shared" si="10"/>
        <v>0</v>
      </c>
      <c r="R33" s="18">
        <f t="shared" si="11"/>
        <v>0</v>
      </c>
      <c r="S33" s="18">
        <f t="shared" si="12"/>
        <v>0</v>
      </c>
      <c r="T33" s="18">
        <f t="shared" si="13"/>
        <v>0</v>
      </c>
      <c r="U33" s="18">
        <f t="shared" si="14"/>
        <v>0</v>
      </c>
      <c r="V33" s="18">
        <f t="shared" si="15"/>
        <v>1</v>
      </c>
      <c r="W33" s="18">
        <f t="shared" si="16"/>
        <v>0</v>
      </c>
      <c r="X33" s="18">
        <f t="shared" si="17"/>
        <v>0</v>
      </c>
      <c r="Y33" s="18">
        <f t="shared" si="18"/>
        <v>0</v>
      </c>
      <c r="Z33" s="18">
        <f t="shared" si="19"/>
        <v>0</v>
      </c>
      <c r="AA33" s="18">
        <f t="shared" si="20"/>
        <v>0</v>
      </c>
      <c r="AB33" s="18">
        <f t="shared" si="21"/>
        <v>0</v>
      </c>
      <c r="AC33" s="18">
        <f t="shared" si="22"/>
        <v>0</v>
      </c>
      <c r="AD33" s="18">
        <f t="shared" si="23"/>
        <v>0</v>
      </c>
      <c r="AE33" s="18">
        <f t="shared" si="24"/>
        <v>0</v>
      </c>
      <c r="AF33" s="18">
        <f t="shared" si="25"/>
        <v>0</v>
      </c>
      <c r="AG33" s="18">
        <f t="shared" si="26"/>
        <v>0</v>
      </c>
      <c r="AH33" s="18">
        <f t="shared" si="27"/>
        <v>0</v>
      </c>
      <c r="AI33" s="18">
        <f t="shared" si="28"/>
        <v>0</v>
      </c>
      <c r="AJ33" s="18">
        <f t="shared" si="29"/>
        <v>0</v>
      </c>
      <c r="AK33" s="18">
        <f t="shared" si="30"/>
        <v>0</v>
      </c>
      <c r="AL33" s="18">
        <f t="shared" si="31"/>
        <v>0</v>
      </c>
      <c r="AM33" s="18">
        <f t="shared" si="32"/>
        <v>0</v>
      </c>
      <c r="AN33" s="18">
        <f t="shared" si="33"/>
        <v>0</v>
      </c>
      <c r="AO33" s="18">
        <f t="shared" si="34"/>
        <v>0</v>
      </c>
      <c r="AP33" s="18">
        <f t="shared" si="35"/>
        <v>0</v>
      </c>
      <c r="AQ33" s="18">
        <f t="shared" si="36"/>
        <v>0</v>
      </c>
      <c r="AR33" s="18">
        <f t="shared" si="37"/>
        <v>0</v>
      </c>
      <c r="AS33" s="18">
        <f t="shared" si="38"/>
        <v>0</v>
      </c>
      <c r="AT33" s="18">
        <f t="shared" si="39"/>
        <v>0</v>
      </c>
      <c r="AU33" s="18">
        <f t="shared" si="40"/>
        <v>0</v>
      </c>
      <c r="AV33" s="18">
        <f t="shared" si="41"/>
        <v>0</v>
      </c>
      <c r="AW33" s="18">
        <f t="shared" si="42"/>
        <v>0</v>
      </c>
      <c r="AX33" s="18">
        <f t="shared" si="43"/>
        <v>0</v>
      </c>
      <c r="AY33" s="18">
        <f t="shared" si="44"/>
        <v>0</v>
      </c>
      <c r="AZ33" s="18">
        <f t="shared" si="45"/>
        <v>0</v>
      </c>
      <c r="BA33" s="18">
        <f t="shared" si="46"/>
        <v>0</v>
      </c>
      <c r="BB33" s="18">
        <f t="shared" si="47"/>
        <v>0</v>
      </c>
      <c r="BC33" s="18">
        <f t="shared" si="48"/>
        <v>0</v>
      </c>
      <c r="BD33" s="18">
        <f t="shared" si="49"/>
        <v>0</v>
      </c>
      <c r="BE33" s="18">
        <f t="shared" si="50"/>
        <v>0</v>
      </c>
      <c r="BF33" s="18">
        <f t="shared" si="51"/>
        <v>0</v>
      </c>
      <c r="BG33" s="18">
        <f t="shared" si="52"/>
        <v>0</v>
      </c>
      <c r="BH33" s="18">
        <f t="shared" si="53"/>
        <v>0</v>
      </c>
      <c r="BI33" s="18">
        <f t="shared" si="54"/>
        <v>0</v>
      </c>
      <c r="BJ33" s="18">
        <f t="shared" si="55"/>
        <v>0</v>
      </c>
      <c r="BK33" s="18">
        <f t="shared" si="56"/>
        <v>0</v>
      </c>
      <c r="BL33" s="18">
        <f t="shared" si="57"/>
        <v>0</v>
      </c>
      <c r="BM33" s="18">
        <f t="shared" si="58"/>
        <v>0</v>
      </c>
      <c r="BN33" s="18">
        <f t="shared" si="59"/>
        <v>0</v>
      </c>
      <c r="BO33" s="18">
        <f t="shared" si="60"/>
        <v>0</v>
      </c>
      <c r="BP33" s="18">
        <f t="shared" si="61"/>
        <v>0</v>
      </c>
      <c r="BQ33" s="18">
        <f t="shared" si="62"/>
        <v>0</v>
      </c>
      <c r="BR33" s="18">
        <f t="shared" si="63"/>
        <v>0</v>
      </c>
      <c r="BS33" s="18">
        <f t="shared" si="64"/>
        <v>0</v>
      </c>
      <c r="BT33" s="18">
        <f t="shared" si="65"/>
        <v>0</v>
      </c>
      <c r="BU33" s="18">
        <f t="shared" si="66"/>
        <v>0</v>
      </c>
      <c r="BV33" s="18">
        <f t="shared" si="67"/>
        <v>0</v>
      </c>
      <c r="BW33" s="18">
        <f t="shared" si="68"/>
        <v>0</v>
      </c>
      <c r="BX33" s="18">
        <f t="shared" si="69"/>
        <v>0</v>
      </c>
      <c r="BY33" s="18">
        <f t="shared" si="70"/>
        <v>0</v>
      </c>
      <c r="BZ33" s="18">
        <f t="shared" si="71"/>
        <v>0</v>
      </c>
      <c r="CA33" s="18">
        <f t="shared" si="72"/>
        <v>0</v>
      </c>
      <c r="CB33" s="18">
        <f t="shared" si="73"/>
        <v>0</v>
      </c>
      <c r="CC33" s="18">
        <f t="shared" si="74"/>
        <v>0</v>
      </c>
      <c r="CD33" s="18">
        <f t="shared" si="75"/>
        <v>0</v>
      </c>
      <c r="CE33" s="18">
        <f t="shared" si="76"/>
        <v>0</v>
      </c>
      <c r="CF33" s="18">
        <f t="shared" si="77"/>
        <v>0</v>
      </c>
      <c r="CG33" s="18">
        <f t="shared" si="78"/>
        <v>0</v>
      </c>
      <c r="CH33" s="18">
        <f t="shared" si="79"/>
        <v>0</v>
      </c>
      <c r="CI33" s="18">
        <f t="shared" si="80"/>
        <v>0</v>
      </c>
      <c r="CJ33" s="18">
        <f t="shared" si="81"/>
        <v>0</v>
      </c>
      <c r="CN33" s="17">
        <v>0</v>
      </c>
      <c r="CO33" s="17">
        <v>0</v>
      </c>
      <c r="CP33" s="17">
        <v>0</v>
      </c>
      <c r="CQ33">
        <f>SUM(CH5:CH253)</f>
        <v>0</v>
      </c>
      <c r="CR33" s="18">
        <f t="shared" ref="CR33:CS33" si="98">SUM(CI5:CI253)</f>
        <v>0</v>
      </c>
      <c r="CS33" s="18">
        <f t="shared" si="98"/>
        <v>0</v>
      </c>
      <c r="CU33" s="18">
        <f t="shared" si="82"/>
        <v>0</v>
      </c>
    </row>
    <row r="34" spans="1:99" x14ac:dyDescent="0.3">
      <c r="A34" s="1">
        <v>43874</v>
      </c>
      <c r="B34">
        <v>41459.79</v>
      </c>
      <c r="C34">
        <f>Table1[[#This Row],[Close]]-0.001*Table1[[#This Row],[Close]]</f>
        <v>41418.33021</v>
      </c>
      <c r="D34">
        <f>Table1[[#This Row],[Close]]+0.001*Table1[[#This Row],[Close]]</f>
        <v>41501.249790000002</v>
      </c>
      <c r="E34" t="str">
        <f>IF(Table1[[#This Row],[Close]]&gt;D33,"UP",IF(Table1[[#This Row],[Close]]&lt;C33,"Down","Constant"))</f>
        <v>Down</v>
      </c>
      <c r="F34" s="3">
        <f>IF(Table1[[#This Row],[Column1]]="Up",1,IF(Table1[[#This Row],[Column1]]="Down",-1,0))</f>
        <v>-1</v>
      </c>
      <c r="G34">
        <f t="shared" si="0"/>
        <v>0</v>
      </c>
      <c r="H34" s="18">
        <f t="shared" si="1"/>
        <v>0</v>
      </c>
      <c r="I34" s="18">
        <f t="shared" si="2"/>
        <v>0</v>
      </c>
      <c r="J34" s="18">
        <f t="shared" si="3"/>
        <v>0</v>
      </c>
      <c r="K34" s="18">
        <f t="shared" si="4"/>
        <v>1</v>
      </c>
      <c r="L34" s="18">
        <f t="shared" si="5"/>
        <v>0</v>
      </c>
      <c r="M34" s="18">
        <f t="shared" si="6"/>
        <v>0</v>
      </c>
      <c r="N34" s="18">
        <f t="shared" si="7"/>
        <v>0</v>
      </c>
      <c r="O34" s="18">
        <f t="shared" si="8"/>
        <v>0</v>
      </c>
      <c r="P34" s="18">
        <f t="shared" si="9"/>
        <v>0</v>
      </c>
      <c r="Q34" s="18">
        <f t="shared" si="10"/>
        <v>0</v>
      </c>
      <c r="R34" s="18">
        <f t="shared" si="11"/>
        <v>0</v>
      </c>
      <c r="S34" s="18">
        <f t="shared" si="12"/>
        <v>0</v>
      </c>
      <c r="T34" s="18">
        <f t="shared" si="13"/>
        <v>0</v>
      </c>
      <c r="U34" s="18">
        <f t="shared" si="14"/>
        <v>0</v>
      </c>
      <c r="V34" s="18">
        <f t="shared" si="15"/>
        <v>0</v>
      </c>
      <c r="W34" s="18">
        <f t="shared" si="16"/>
        <v>0</v>
      </c>
      <c r="X34" s="18">
        <f t="shared" si="17"/>
        <v>0</v>
      </c>
      <c r="Y34" s="18">
        <f t="shared" si="18"/>
        <v>0</v>
      </c>
      <c r="Z34" s="18">
        <f t="shared" si="19"/>
        <v>0</v>
      </c>
      <c r="AA34" s="18">
        <f t="shared" si="20"/>
        <v>0</v>
      </c>
      <c r="AB34" s="18">
        <f t="shared" si="21"/>
        <v>0</v>
      </c>
      <c r="AC34" s="18">
        <f t="shared" si="22"/>
        <v>0</v>
      </c>
      <c r="AD34" s="18">
        <f t="shared" si="23"/>
        <v>0</v>
      </c>
      <c r="AE34" s="18">
        <f t="shared" si="24"/>
        <v>0</v>
      </c>
      <c r="AF34" s="18">
        <f t="shared" si="25"/>
        <v>0</v>
      </c>
      <c r="AG34" s="18">
        <f t="shared" si="26"/>
        <v>0</v>
      </c>
      <c r="AH34" s="18">
        <f t="shared" si="27"/>
        <v>0</v>
      </c>
      <c r="AI34" s="18">
        <f t="shared" si="28"/>
        <v>0</v>
      </c>
      <c r="AJ34" s="18">
        <f t="shared" si="29"/>
        <v>0</v>
      </c>
      <c r="AK34" s="18">
        <f t="shared" si="30"/>
        <v>0</v>
      </c>
      <c r="AL34" s="18">
        <f t="shared" si="31"/>
        <v>0</v>
      </c>
      <c r="AM34" s="18">
        <f t="shared" si="32"/>
        <v>0</v>
      </c>
      <c r="AN34" s="18">
        <f t="shared" si="33"/>
        <v>0</v>
      </c>
      <c r="AO34" s="18">
        <f t="shared" si="34"/>
        <v>0</v>
      </c>
      <c r="AP34" s="18">
        <f t="shared" si="35"/>
        <v>0</v>
      </c>
      <c r="AQ34" s="18">
        <f t="shared" si="36"/>
        <v>0</v>
      </c>
      <c r="AR34" s="18">
        <f t="shared" si="37"/>
        <v>0</v>
      </c>
      <c r="AS34" s="18">
        <f t="shared" si="38"/>
        <v>0</v>
      </c>
      <c r="AT34" s="18">
        <f t="shared" si="39"/>
        <v>0</v>
      </c>
      <c r="AU34" s="18">
        <f t="shared" si="40"/>
        <v>0</v>
      </c>
      <c r="AV34" s="18">
        <f t="shared" si="41"/>
        <v>0</v>
      </c>
      <c r="AW34" s="18">
        <f t="shared" si="42"/>
        <v>0</v>
      </c>
      <c r="AX34" s="18">
        <f t="shared" si="43"/>
        <v>0</v>
      </c>
      <c r="AY34" s="18">
        <f t="shared" si="44"/>
        <v>0</v>
      </c>
      <c r="AZ34" s="18">
        <f t="shared" si="45"/>
        <v>0</v>
      </c>
      <c r="BA34" s="18">
        <f t="shared" si="46"/>
        <v>0</v>
      </c>
      <c r="BB34" s="18">
        <f t="shared" si="47"/>
        <v>0</v>
      </c>
      <c r="BC34" s="18">
        <f t="shared" si="48"/>
        <v>0</v>
      </c>
      <c r="BD34" s="18">
        <f t="shared" si="49"/>
        <v>0</v>
      </c>
      <c r="BE34" s="18">
        <f t="shared" si="50"/>
        <v>0</v>
      </c>
      <c r="BF34" s="18">
        <f t="shared" si="51"/>
        <v>0</v>
      </c>
      <c r="BG34" s="18">
        <f t="shared" si="52"/>
        <v>0</v>
      </c>
      <c r="BH34" s="18">
        <f t="shared" si="53"/>
        <v>0</v>
      </c>
      <c r="BI34" s="18">
        <f t="shared" si="54"/>
        <v>0</v>
      </c>
      <c r="BJ34" s="18">
        <f t="shared" si="55"/>
        <v>0</v>
      </c>
      <c r="BK34" s="18">
        <f t="shared" si="56"/>
        <v>0</v>
      </c>
      <c r="BL34" s="18">
        <f t="shared" si="57"/>
        <v>0</v>
      </c>
      <c r="BM34" s="18">
        <f t="shared" si="58"/>
        <v>0</v>
      </c>
      <c r="BN34" s="18">
        <f t="shared" si="59"/>
        <v>0</v>
      </c>
      <c r="BO34" s="18">
        <f t="shared" si="60"/>
        <v>0</v>
      </c>
      <c r="BP34" s="18">
        <f t="shared" si="61"/>
        <v>0</v>
      </c>
      <c r="BQ34" s="18">
        <f t="shared" si="62"/>
        <v>0</v>
      </c>
      <c r="BR34" s="18">
        <f t="shared" si="63"/>
        <v>0</v>
      </c>
      <c r="BS34" s="18">
        <f t="shared" si="64"/>
        <v>0</v>
      </c>
      <c r="BT34" s="18">
        <f t="shared" si="65"/>
        <v>0</v>
      </c>
      <c r="BU34" s="18">
        <f t="shared" si="66"/>
        <v>0</v>
      </c>
      <c r="BV34" s="18">
        <f t="shared" si="67"/>
        <v>0</v>
      </c>
      <c r="BW34" s="18">
        <f t="shared" si="68"/>
        <v>0</v>
      </c>
      <c r="BX34" s="18">
        <f t="shared" si="69"/>
        <v>0</v>
      </c>
      <c r="BY34" s="18">
        <f t="shared" si="70"/>
        <v>0</v>
      </c>
      <c r="BZ34" s="18">
        <f t="shared" si="71"/>
        <v>0</v>
      </c>
      <c r="CA34" s="18">
        <f t="shared" si="72"/>
        <v>0</v>
      </c>
      <c r="CB34" s="18">
        <f t="shared" si="73"/>
        <v>0</v>
      </c>
      <c r="CC34" s="18">
        <f t="shared" si="74"/>
        <v>0</v>
      </c>
      <c r="CD34" s="18">
        <f t="shared" si="75"/>
        <v>0</v>
      </c>
      <c r="CE34" s="18">
        <f t="shared" si="76"/>
        <v>0</v>
      </c>
      <c r="CF34" s="18">
        <f t="shared" si="77"/>
        <v>0</v>
      </c>
      <c r="CG34" s="18">
        <f t="shared" si="78"/>
        <v>0</v>
      </c>
      <c r="CH34" s="18">
        <f t="shared" si="79"/>
        <v>0</v>
      </c>
      <c r="CI34" s="18">
        <f t="shared" si="80"/>
        <v>0</v>
      </c>
      <c r="CJ34" s="18">
        <f t="shared" si="81"/>
        <v>0</v>
      </c>
      <c r="CT34" s="19" t="s">
        <v>129</v>
      </c>
      <c r="CU34" s="19">
        <f>SUM(CU7:CU33)</f>
        <v>249</v>
      </c>
    </row>
    <row r="35" spans="1:99" x14ac:dyDescent="0.3">
      <c r="A35" s="1">
        <v>43875</v>
      </c>
      <c r="B35">
        <v>41257.74</v>
      </c>
      <c r="C35">
        <f>Table1[[#This Row],[Close]]-0.001*Table1[[#This Row],[Close]]</f>
        <v>41216.482259999997</v>
      </c>
      <c r="D35">
        <f>Table1[[#This Row],[Close]]+0.001*Table1[[#This Row],[Close]]</f>
        <v>41298.997739999999</v>
      </c>
      <c r="E35" t="str">
        <f>IF(Table1[[#This Row],[Close]]&gt;D34,"UP",IF(Table1[[#This Row],[Close]]&lt;C34,"Down","Constant"))</f>
        <v>Down</v>
      </c>
      <c r="F35" s="3">
        <f>IF(Table1[[#This Row],[Column1]]="Up",1,IF(Table1[[#This Row],[Column1]]="Down",-1,0))</f>
        <v>-1</v>
      </c>
      <c r="G35">
        <f t="shared" si="0"/>
        <v>0</v>
      </c>
      <c r="H35" s="18">
        <f t="shared" si="1"/>
        <v>0</v>
      </c>
      <c r="I35" s="18">
        <f t="shared" si="2"/>
        <v>0</v>
      </c>
      <c r="J35" s="18">
        <f t="shared" si="3"/>
        <v>0</v>
      </c>
      <c r="K35" s="18">
        <f t="shared" si="4"/>
        <v>0</v>
      </c>
      <c r="L35" s="18">
        <f t="shared" si="5"/>
        <v>0</v>
      </c>
      <c r="M35" s="18">
        <f t="shared" si="6"/>
        <v>0</v>
      </c>
      <c r="N35" s="18">
        <f t="shared" si="7"/>
        <v>0</v>
      </c>
      <c r="O35" s="18">
        <f t="shared" si="8"/>
        <v>0</v>
      </c>
      <c r="P35" s="18">
        <f t="shared" si="9"/>
        <v>0</v>
      </c>
      <c r="Q35" s="18">
        <f t="shared" si="10"/>
        <v>1</v>
      </c>
      <c r="R35" s="18">
        <f t="shared" si="11"/>
        <v>0</v>
      </c>
      <c r="S35" s="18">
        <f t="shared" si="12"/>
        <v>0</v>
      </c>
      <c r="T35" s="18">
        <f t="shared" si="13"/>
        <v>0</v>
      </c>
      <c r="U35" s="18">
        <f t="shared" si="14"/>
        <v>0</v>
      </c>
      <c r="V35" s="18">
        <f t="shared" si="15"/>
        <v>0</v>
      </c>
      <c r="W35" s="18">
        <f t="shared" si="16"/>
        <v>0</v>
      </c>
      <c r="X35" s="18">
        <f t="shared" si="17"/>
        <v>0</v>
      </c>
      <c r="Y35" s="18">
        <f t="shared" si="18"/>
        <v>0</v>
      </c>
      <c r="Z35" s="18">
        <f t="shared" si="19"/>
        <v>0</v>
      </c>
      <c r="AA35" s="18">
        <f t="shared" si="20"/>
        <v>0</v>
      </c>
      <c r="AB35" s="18">
        <f t="shared" si="21"/>
        <v>0</v>
      </c>
      <c r="AC35" s="18">
        <f t="shared" si="22"/>
        <v>0</v>
      </c>
      <c r="AD35" s="18">
        <f t="shared" si="23"/>
        <v>0</v>
      </c>
      <c r="AE35" s="18">
        <f t="shared" si="24"/>
        <v>0</v>
      </c>
      <c r="AF35" s="18">
        <f t="shared" si="25"/>
        <v>0</v>
      </c>
      <c r="AG35" s="18">
        <f t="shared" si="26"/>
        <v>0</v>
      </c>
      <c r="AH35" s="18">
        <f t="shared" si="27"/>
        <v>0</v>
      </c>
      <c r="AI35" s="18">
        <f t="shared" si="28"/>
        <v>0</v>
      </c>
      <c r="AJ35" s="18">
        <f t="shared" si="29"/>
        <v>0</v>
      </c>
      <c r="AK35" s="18">
        <f t="shared" si="30"/>
        <v>0</v>
      </c>
      <c r="AL35" s="18">
        <f t="shared" si="31"/>
        <v>0</v>
      </c>
      <c r="AM35" s="18">
        <f t="shared" si="32"/>
        <v>0</v>
      </c>
      <c r="AN35" s="18">
        <f t="shared" si="33"/>
        <v>0</v>
      </c>
      <c r="AO35" s="18">
        <f t="shared" si="34"/>
        <v>0</v>
      </c>
      <c r="AP35" s="18">
        <f t="shared" si="35"/>
        <v>0</v>
      </c>
      <c r="AQ35" s="18">
        <f t="shared" si="36"/>
        <v>0</v>
      </c>
      <c r="AR35" s="18">
        <f t="shared" si="37"/>
        <v>0</v>
      </c>
      <c r="AS35" s="18">
        <f t="shared" si="38"/>
        <v>0</v>
      </c>
      <c r="AT35" s="18">
        <f t="shared" si="39"/>
        <v>0</v>
      </c>
      <c r="AU35" s="18">
        <f t="shared" si="40"/>
        <v>0</v>
      </c>
      <c r="AV35" s="18">
        <f t="shared" si="41"/>
        <v>0</v>
      </c>
      <c r="AW35" s="18">
        <f t="shared" si="42"/>
        <v>0</v>
      </c>
      <c r="AX35" s="18">
        <f t="shared" si="43"/>
        <v>0</v>
      </c>
      <c r="AY35" s="18">
        <f t="shared" si="44"/>
        <v>0</v>
      </c>
      <c r="AZ35" s="18">
        <f t="shared" si="45"/>
        <v>0</v>
      </c>
      <c r="BA35" s="18">
        <f t="shared" si="46"/>
        <v>0</v>
      </c>
      <c r="BB35" s="18">
        <f t="shared" si="47"/>
        <v>0</v>
      </c>
      <c r="BC35" s="18">
        <f t="shared" si="48"/>
        <v>0</v>
      </c>
      <c r="BD35" s="18">
        <f t="shared" si="49"/>
        <v>0</v>
      </c>
      <c r="BE35" s="18">
        <f t="shared" si="50"/>
        <v>0</v>
      </c>
      <c r="BF35" s="18">
        <f t="shared" si="51"/>
        <v>0</v>
      </c>
      <c r="BG35" s="18">
        <f t="shared" si="52"/>
        <v>0</v>
      </c>
      <c r="BH35" s="18">
        <f t="shared" si="53"/>
        <v>0</v>
      </c>
      <c r="BI35" s="18">
        <f t="shared" si="54"/>
        <v>0</v>
      </c>
      <c r="BJ35" s="18">
        <f t="shared" si="55"/>
        <v>0</v>
      </c>
      <c r="BK35" s="18">
        <f t="shared" si="56"/>
        <v>0</v>
      </c>
      <c r="BL35" s="18">
        <f t="shared" si="57"/>
        <v>0</v>
      </c>
      <c r="BM35" s="18">
        <f t="shared" si="58"/>
        <v>0</v>
      </c>
      <c r="BN35" s="18">
        <f t="shared" si="59"/>
        <v>0</v>
      </c>
      <c r="BO35" s="18">
        <f t="shared" si="60"/>
        <v>0</v>
      </c>
      <c r="BP35" s="18">
        <f t="shared" si="61"/>
        <v>0</v>
      </c>
      <c r="BQ35" s="18">
        <f t="shared" si="62"/>
        <v>0</v>
      </c>
      <c r="BR35" s="18">
        <f t="shared" si="63"/>
        <v>0</v>
      </c>
      <c r="BS35" s="18">
        <f t="shared" si="64"/>
        <v>0</v>
      </c>
      <c r="BT35" s="18">
        <f t="shared" si="65"/>
        <v>0</v>
      </c>
      <c r="BU35" s="18">
        <f t="shared" si="66"/>
        <v>0</v>
      </c>
      <c r="BV35" s="18">
        <f t="shared" si="67"/>
        <v>0</v>
      </c>
      <c r="BW35" s="18">
        <f t="shared" si="68"/>
        <v>0</v>
      </c>
      <c r="BX35" s="18">
        <f t="shared" si="69"/>
        <v>0</v>
      </c>
      <c r="BY35" s="18">
        <f t="shared" si="70"/>
        <v>0</v>
      </c>
      <c r="BZ35" s="18">
        <f t="shared" si="71"/>
        <v>0</v>
      </c>
      <c r="CA35" s="18">
        <f t="shared" si="72"/>
        <v>0</v>
      </c>
      <c r="CB35" s="18">
        <f t="shared" si="73"/>
        <v>0</v>
      </c>
      <c r="CC35" s="18">
        <f t="shared" si="74"/>
        <v>0</v>
      </c>
      <c r="CD35" s="18">
        <f t="shared" si="75"/>
        <v>0</v>
      </c>
      <c r="CE35" s="18">
        <f t="shared" si="76"/>
        <v>0</v>
      </c>
      <c r="CF35" s="18">
        <f t="shared" si="77"/>
        <v>0</v>
      </c>
      <c r="CG35" s="18">
        <f t="shared" si="78"/>
        <v>0</v>
      </c>
      <c r="CH35" s="18">
        <f t="shared" si="79"/>
        <v>0</v>
      </c>
      <c r="CI35" s="18">
        <f t="shared" si="80"/>
        <v>0</v>
      </c>
      <c r="CJ35" s="18">
        <f t="shared" si="81"/>
        <v>0</v>
      </c>
    </row>
    <row r="36" spans="1:99" x14ac:dyDescent="0.3">
      <c r="A36" s="1">
        <v>43878</v>
      </c>
      <c r="B36">
        <v>41055.69</v>
      </c>
      <c r="C36">
        <f>Table1[[#This Row],[Close]]-0.001*Table1[[#This Row],[Close]]</f>
        <v>41014.634310000001</v>
      </c>
      <c r="D36">
        <f>Table1[[#This Row],[Close]]+0.001*Table1[[#This Row],[Close]]</f>
        <v>41096.745690000003</v>
      </c>
      <c r="E36" t="str">
        <f>IF(Table1[[#This Row],[Close]]&gt;D35,"UP",IF(Table1[[#This Row],[Close]]&lt;C35,"Down","Constant"))</f>
        <v>Down</v>
      </c>
      <c r="F36" s="3">
        <f>IF(Table1[[#This Row],[Column1]]="Up",1,IF(Table1[[#This Row],[Column1]]="Down",-1,0))</f>
        <v>-1</v>
      </c>
      <c r="G36">
        <f t="shared" si="0"/>
        <v>0</v>
      </c>
      <c r="H36" s="18">
        <f t="shared" si="1"/>
        <v>0</v>
      </c>
      <c r="I36" s="18">
        <f t="shared" si="2"/>
        <v>0</v>
      </c>
      <c r="J36" s="18">
        <f t="shared" si="3"/>
        <v>0</v>
      </c>
      <c r="K36" s="18">
        <f t="shared" si="4"/>
        <v>0</v>
      </c>
      <c r="L36" s="18">
        <f t="shared" si="5"/>
        <v>0</v>
      </c>
      <c r="M36" s="18">
        <f t="shared" si="6"/>
        <v>0</v>
      </c>
      <c r="N36" s="18">
        <f t="shared" si="7"/>
        <v>0</v>
      </c>
      <c r="O36" s="18">
        <f t="shared" si="8"/>
        <v>0</v>
      </c>
      <c r="P36" s="18">
        <f t="shared" si="9"/>
        <v>0</v>
      </c>
      <c r="Q36" s="18">
        <f t="shared" si="10"/>
        <v>0</v>
      </c>
      <c r="R36" s="18">
        <f t="shared" si="11"/>
        <v>0</v>
      </c>
      <c r="S36" s="18">
        <f t="shared" si="12"/>
        <v>0</v>
      </c>
      <c r="T36" s="18">
        <f t="shared" si="13"/>
        <v>0</v>
      </c>
      <c r="U36" s="18">
        <f t="shared" si="14"/>
        <v>0</v>
      </c>
      <c r="V36" s="18">
        <f t="shared" si="15"/>
        <v>0</v>
      </c>
      <c r="W36" s="18">
        <f t="shared" si="16"/>
        <v>1</v>
      </c>
      <c r="X36" s="18">
        <f t="shared" si="17"/>
        <v>0</v>
      </c>
      <c r="Y36" s="18">
        <f t="shared" si="18"/>
        <v>0</v>
      </c>
      <c r="Z36" s="18">
        <f t="shared" si="19"/>
        <v>0</v>
      </c>
      <c r="AA36" s="18">
        <f t="shared" si="20"/>
        <v>0</v>
      </c>
      <c r="AB36" s="18">
        <f t="shared" si="21"/>
        <v>0</v>
      </c>
      <c r="AC36" s="18">
        <f t="shared" si="22"/>
        <v>0</v>
      </c>
      <c r="AD36" s="18">
        <f t="shared" si="23"/>
        <v>0</v>
      </c>
      <c r="AE36" s="18">
        <f t="shared" si="24"/>
        <v>0</v>
      </c>
      <c r="AF36" s="18">
        <f t="shared" si="25"/>
        <v>0</v>
      </c>
      <c r="AG36" s="18">
        <f t="shared" si="26"/>
        <v>0</v>
      </c>
      <c r="AH36" s="18">
        <f t="shared" si="27"/>
        <v>0</v>
      </c>
      <c r="AI36" s="18">
        <f t="shared" si="28"/>
        <v>0</v>
      </c>
      <c r="AJ36" s="18">
        <f t="shared" si="29"/>
        <v>0</v>
      </c>
      <c r="AK36" s="18">
        <f t="shared" si="30"/>
        <v>0</v>
      </c>
      <c r="AL36" s="18">
        <f t="shared" si="31"/>
        <v>0</v>
      </c>
      <c r="AM36" s="18">
        <f t="shared" si="32"/>
        <v>0</v>
      </c>
      <c r="AN36" s="18">
        <f t="shared" si="33"/>
        <v>0</v>
      </c>
      <c r="AO36" s="18">
        <f t="shared" si="34"/>
        <v>0</v>
      </c>
      <c r="AP36" s="18">
        <f t="shared" si="35"/>
        <v>0</v>
      </c>
      <c r="AQ36" s="18">
        <f t="shared" si="36"/>
        <v>0</v>
      </c>
      <c r="AR36" s="18">
        <f t="shared" si="37"/>
        <v>0</v>
      </c>
      <c r="AS36" s="18">
        <f t="shared" si="38"/>
        <v>0</v>
      </c>
      <c r="AT36" s="18">
        <f t="shared" si="39"/>
        <v>0</v>
      </c>
      <c r="AU36" s="18">
        <f t="shared" si="40"/>
        <v>0</v>
      </c>
      <c r="AV36" s="18">
        <f t="shared" si="41"/>
        <v>0</v>
      </c>
      <c r="AW36" s="18">
        <f t="shared" si="42"/>
        <v>0</v>
      </c>
      <c r="AX36" s="18">
        <f t="shared" si="43"/>
        <v>0</v>
      </c>
      <c r="AY36" s="18">
        <f t="shared" si="44"/>
        <v>0</v>
      </c>
      <c r="AZ36" s="18">
        <f t="shared" si="45"/>
        <v>0</v>
      </c>
      <c r="BA36" s="18">
        <f t="shared" si="46"/>
        <v>0</v>
      </c>
      <c r="BB36" s="18">
        <f t="shared" si="47"/>
        <v>0</v>
      </c>
      <c r="BC36" s="18">
        <f t="shared" si="48"/>
        <v>0</v>
      </c>
      <c r="BD36" s="18">
        <f t="shared" si="49"/>
        <v>0</v>
      </c>
      <c r="BE36" s="18">
        <f t="shared" si="50"/>
        <v>0</v>
      </c>
      <c r="BF36" s="18">
        <f t="shared" si="51"/>
        <v>0</v>
      </c>
      <c r="BG36" s="18">
        <f t="shared" si="52"/>
        <v>0</v>
      </c>
      <c r="BH36" s="18">
        <f t="shared" si="53"/>
        <v>0</v>
      </c>
      <c r="BI36" s="18">
        <f t="shared" si="54"/>
        <v>0</v>
      </c>
      <c r="BJ36" s="18">
        <f t="shared" si="55"/>
        <v>0</v>
      </c>
      <c r="BK36" s="18">
        <f t="shared" si="56"/>
        <v>0</v>
      </c>
      <c r="BL36" s="18">
        <f t="shared" si="57"/>
        <v>0</v>
      </c>
      <c r="BM36" s="18">
        <f t="shared" si="58"/>
        <v>0</v>
      </c>
      <c r="BN36" s="18">
        <f t="shared" si="59"/>
        <v>0</v>
      </c>
      <c r="BO36" s="18">
        <f t="shared" si="60"/>
        <v>0</v>
      </c>
      <c r="BP36" s="18">
        <f t="shared" si="61"/>
        <v>0</v>
      </c>
      <c r="BQ36" s="18">
        <f t="shared" si="62"/>
        <v>0</v>
      </c>
      <c r="BR36" s="18">
        <f t="shared" si="63"/>
        <v>0</v>
      </c>
      <c r="BS36" s="18">
        <f t="shared" si="64"/>
        <v>0</v>
      </c>
      <c r="BT36" s="18">
        <f t="shared" si="65"/>
        <v>0</v>
      </c>
      <c r="BU36" s="18">
        <f t="shared" si="66"/>
        <v>0</v>
      </c>
      <c r="BV36" s="18">
        <f t="shared" si="67"/>
        <v>0</v>
      </c>
      <c r="BW36" s="18">
        <f t="shared" si="68"/>
        <v>0</v>
      </c>
      <c r="BX36" s="18">
        <f t="shared" si="69"/>
        <v>0</v>
      </c>
      <c r="BY36" s="18">
        <f t="shared" si="70"/>
        <v>0</v>
      </c>
      <c r="BZ36" s="18">
        <f t="shared" si="71"/>
        <v>0</v>
      </c>
      <c r="CA36" s="18">
        <f t="shared" si="72"/>
        <v>0</v>
      </c>
      <c r="CB36" s="18">
        <f t="shared" si="73"/>
        <v>0</v>
      </c>
      <c r="CC36" s="18">
        <f t="shared" si="74"/>
        <v>0</v>
      </c>
      <c r="CD36" s="18">
        <f t="shared" si="75"/>
        <v>0</v>
      </c>
      <c r="CE36" s="18">
        <f t="shared" si="76"/>
        <v>0</v>
      </c>
      <c r="CF36" s="18">
        <f t="shared" si="77"/>
        <v>0</v>
      </c>
      <c r="CG36" s="18">
        <f t="shared" si="78"/>
        <v>0</v>
      </c>
      <c r="CH36" s="18">
        <f t="shared" si="79"/>
        <v>0</v>
      </c>
      <c r="CI36" s="18">
        <f t="shared" si="80"/>
        <v>0</v>
      </c>
      <c r="CJ36" s="18">
        <f t="shared" si="81"/>
        <v>0</v>
      </c>
    </row>
    <row r="37" spans="1:99" x14ac:dyDescent="0.3">
      <c r="A37" s="1">
        <v>43879</v>
      </c>
      <c r="B37">
        <v>40894.379999999997</v>
      </c>
      <c r="C37">
        <f>Table1[[#This Row],[Close]]-0.001*Table1[[#This Row],[Close]]</f>
        <v>40853.485619999999</v>
      </c>
      <c r="D37">
        <f>Table1[[#This Row],[Close]]+0.001*Table1[[#This Row],[Close]]</f>
        <v>40935.274379999995</v>
      </c>
      <c r="E37" t="str">
        <f>IF(Table1[[#This Row],[Close]]&gt;D36,"UP",IF(Table1[[#This Row],[Close]]&lt;C36,"Down","Constant"))</f>
        <v>Down</v>
      </c>
      <c r="F37" s="3">
        <f>IF(Table1[[#This Row],[Column1]]="Up",1,IF(Table1[[#This Row],[Column1]]="Down",-1,0))</f>
        <v>-1</v>
      </c>
      <c r="G37">
        <f t="shared" si="0"/>
        <v>0</v>
      </c>
      <c r="H37" s="18">
        <f t="shared" si="1"/>
        <v>0</v>
      </c>
      <c r="I37" s="18">
        <f t="shared" si="2"/>
        <v>0</v>
      </c>
      <c r="J37" s="18">
        <f t="shared" si="3"/>
        <v>0</v>
      </c>
      <c r="K37" s="18">
        <f t="shared" si="4"/>
        <v>0</v>
      </c>
      <c r="L37" s="18">
        <f t="shared" si="5"/>
        <v>0</v>
      </c>
      <c r="M37" s="18">
        <f t="shared" si="6"/>
        <v>0</v>
      </c>
      <c r="N37" s="18">
        <f t="shared" si="7"/>
        <v>0</v>
      </c>
      <c r="O37" s="18">
        <f t="shared" si="8"/>
        <v>0</v>
      </c>
      <c r="P37" s="18">
        <f t="shared" si="9"/>
        <v>0</v>
      </c>
      <c r="Q37" s="18">
        <f t="shared" si="10"/>
        <v>0</v>
      </c>
      <c r="R37" s="18">
        <f t="shared" si="11"/>
        <v>0</v>
      </c>
      <c r="S37" s="18">
        <f t="shared" si="12"/>
        <v>0</v>
      </c>
      <c r="T37" s="18">
        <f t="shared" si="13"/>
        <v>0</v>
      </c>
      <c r="U37" s="18">
        <f t="shared" si="14"/>
        <v>0</v>
      </c>
      <c r="V37" s="18">
        <f t="shared" si="15"/>
        <v>0</v>
      </c>
      <c r="W37" s="18">
        <f t="shared" si="16"/>
        <v>0</v>
      </c>
      <c r="X37" s="18">
        <f t="shared" si="17"/>
        <v>0</v>
      </c>
      <c r="Y37" s="18">
        <f t="shared" si="18"/>
        <v>0</v>
      </c>
      <c r="Z37" s="18">
        <f t="shared" si="19"/>
        <v>1</v>
      </c>
      <c r="AA37" s="18">
        <f t="shared" si="20"/>
        <v>0</v>
      </c>
      <c r="AB37" s="18">
        <f t="shared" si="21"/>
        <v>0</v>
      </c>
      <c r="AC37" s="18">
        <f t="shared" si="22"/>
        <v>0</v>
      </c>
      <c r="AD37" s="18">
        <f t="shared" si="23"/>
        <v>0</v>
      </c>
      <c r="AE37" s="18">
        <f t="shared" si="24"/>
        <v>0</v>
      </c>
      <c r="AF37" s="18">
        <f t="shared" si="25"/>
        <v>0</v>
      </c>
      <c r="AG37" s="18">
        <f t="shared" si="26"/>
        <v>0</v>
      </c>
      <c r="AH37" s="18">
        <f t="shared" si="27"/>
        <v>0</v>
      </c>
      <c r="AI37" s="18">
        <f t="shared" si="28"/>
        <v>0</v>
      </c>
      <c r="AJ37" s="18">
        <f t="shared" si="29"/>
        <v>0</v>
      </c>
      <c r="AK37" s="18">
        <f t="shared" si="30"/>
        <v>0</v>
      </c>
      <c r="AL37" s="18">
        <f t="shared" si="31"/>
        <v>0</v>
      </c>
      <c r="AM37" s="18">
        <f t="shared" si="32"/>
        <v>0</v>
      </c>
      <c r="AN37" s="18">
        <f t="shared" si="33"/>
        <v>0</v>
      </c>
      <c r="AO37" s="18">
        <f t="shared" si="34"/>
        <v>0</v>
      </c>
      <c r="AP37" s="18">
        <f t="shared" si="35"/>
        <v>0</v>
      </c>
      <c r="AQ37" s="18">
        <f t="shared" si="36"/>
        <v>0</v>
      </c>
      <c r="AR37" s="18">
        <f t="shared" si="37"/>
        <v>0</v>
      </c>
      <c r="AS37" s="18">
        <f t="shared" si="38"/>
        <v>0</v>
      </c>
      <c r="AT37" s="18">
        <f t="shared" si="39"/>
        <v>0</v>
      </c>
      <c r="AU37" s="18">
        <f t="shared" si="40"/>
        <v>0</v>
      </c>
      <c r="AV37" s="18">
        <f t="shared" si="41"/>
        <v>0</v>
      </c>
      <c r="AW37" s="18">
        <f t="shared" si="42"/>
        <v>0</v>
      </c>
      <c r="AX37" s="18">
        <f t="shared" si="43"/>
        <v>0</v>
      </c>
      <c r="AY37" s="18">
        <f t="shared" si="44"/>
        <v>0</v>
      </c>
      <c r="AZ37" s="18">
        <f t="shared" si="45"/>
        <v>0</v>
      </c>
      <c r="BA37" s="18">
        <f t="shared" si="46"/>
        <v>0</v>
      </c>
      <c r="BB37" s="18">
        <f t="shared" si="47"/>
        <v>0</v>
      </c>
      <c r="BC37" s="18">
        <f t="shared" si="48"/>
        <v>0</v>
      </c>
      <c r="BD37" s="18">
        <f t="shared" si="49"/>
        <v>0</v>
      </c>
      <c r="BE37" s="18">
        <f t="shared" si="50"/>
        <v>0</v>
      </c>
      <c r="BF37" s="18">
        <f t="shared" si="51"/>
        <v>0</v>
      </c>
      <c r="BG37" s="18">
        <f t="shared" si="52"/>
        <v>0</v>
      </c>
      <c r="BH37" s="18">
        <f t="shared" si="53"/>
        <v>0</v>
      </c>
      <c r="BI37" s="18">
        <f t="shared" si="54"/>
        <v>0</v>
      </c>
      <c r="BJ37" s="18">
        <f t="shared" si="55"/>
        <v>0</v>
      </c>
      <c r="BK37" s="18">
        <f t="shared" si="56"/>
        <v>0</v>
      </c>
      <c r="BL37" s="18">
        <f t="shared" si="57"/>
        <v>0</v>
      </c>
      <c r="BM37" s="18">
        <f t="shared" si="58"/>
        <v>0</v>
      </c>
      <c r="BN37" s="18">
        <f t="shared" si="59"/>
        <v>0</v>
      </c>
      <c r="BO37" s="18">
        <f t="shared" si="60"/>
        <v>0</v>
      </c>
      <c r="BP37" s="18">
        <f t="shared" si="61"/>
        <v>0</v>
      </c>
      <c r="BQ37" s="18">
        <f t="shared" si="62"/>
        <v>0</v>
      </c>
      <c r="BR37" s="18">
        <f t="shared" si="63"/>
        <v>0</v>
      </c>
      <c r="BS37" s="18">
        <f t="shared" si="64"/>
        <v>0</v>
      </c>
      <c r="BT37" s="18">
        <f t="shared" si="65"/>
        <v>0</v>
      </c>
      <c r="BU37" s="18">
        <f t="shared" si="66"/>
        <v>0</v>
      </c>
      <c r="BV37" s="18">
        <f t="shared" si="67"/>
        <v>0</v>
      </c>
      <c r="BW37" s="18">
        <f t="shared" si="68"/>
        <v>0</v>
      </c>
      <c r="BX37" s="18">
        <f t="shared" si="69"/>
        <v>0</v>
      </c>
      <c r="BY37" s="18">
        <f t="shared" si="70"/>
        <v>0</v>
      </c>
      <c r="BZ37" s="18">
        <f t="shared" si="71"/>
        <v>0</v>
      </c>
      <c r="CA37" s="18">
        <f t="shared" si="72"/>
        <v>0</v>
      </c>
      <c r="CB37" s="18">
        <f t="shared" si="73"/>
        <v>0</v>
      </c>
      <c r="CC37" s="18">
        <f t="shared" si="74"/>
        <v>0</v>
      </c>
      <c r="CD37" s="18">
        <f t="shared" si="75"/>
        <v>0</v>
      </c>
      <c r="CE37" s="18">
        <f t="shared" si="76"/>
        <v>0</v>
      </c>
      <c r="CF37" s="18">
        <f t="shared" si="77"/>
        <v>0</v>
      </c>
      <c r="CG37" s="18">
        <f t="shared" si="78"/>
        <v>0</v>
      </c>
      <c r="CH37" s="18">
        <f t="shared" si="79"/>
        <v>0</v>
      </c>
      <c r="CI37" s="18">
        <f t="shared" si="80"/>
        <v>0</v>
      </c>
      <c r="CJ37" s="18">
        <f t="shared" si="81"/>
        <v>0</v>
      </c>
    </row>
    <row r="38" spans="1:99" x14ac:dyDescent="0.3">
      <c r="A38" s="1">
        <v>43880</v>
      </c>
      <c r="B38">
        <v>41323</v>
      </c>
      <c r="C38">
        <f>Table1[[#This Row],[Close]]-0.001*Table1[[#This Row],[Close]]</f>
        <v>41281.677000000003</v>
      </c>
      <c r="D38">
        <f>Table1[[#This Row],[Close]]+0.001*Table1[[#This Row],[Close]]</f>
        <v>41364.322999999997</v>
      </c>
      <c r="E38" t="str">
        <f>IF(Table1[[#This Row],[Close]]&gt;D37,"UP",IF(Table1[[#This Row],[Close]]&lt;C37,"Down","Constant"))</f>
        <v>UP</v>
      </c>
      <c r="F38" s="3">
        <f>IF(Table1[[#This Row],[Column1]]="Up",1,IF(Table1[[#This Row],[Column1]]="Down",-1,0))</f>
        <v>1</v>
      </c>
      <c r="G38">
        <f t="shared" si="0"/>
        <v>0</v>
      </c>
      <c r="H38" s="18">
        <f t="shared" si="1"/>
        <v>0</v>
      </c>
      <c r="I38" s="18">
        <f t="shared" si="2"/>
        <v>0</v>
      </c>
      <c r="J38" s="18">
        <f t="shared" si="3"/>
        <v>0</v>
      </c>
      <c r="K38" s="18">
        <f t="shared" si="4"/>
        <v>0</v>
      </c>
      <c r="L38" s="18">
        <f t="shared" si="5"/>
        <v>0</v>
      </c>
      <c r="M38" s="18">
        <f t="shared" si="6"/>
        <v>0</v>
      </c>
      <c r="N38" s="18">
        <f t="shared" si="7"/>
        <v>0</v>
      </c>
      <c r="O38" s="18">
        <f t="shared" si="8"/>
        <v>0</v>
      </c>
      <c r="P38" s="18">
        <f t="shared" si="9"/>
        <v>0</v>
      </c>
      <c r="Q38" s="18">
        <f t="shared" si="10"/>
        <v>0</v>
      </c>
      <c r="R38" s="18">
        <f t="shared" si="11"/>
        <v>0</v>
      </c>
      <c r="S38" s="18">
        <f t="shared" si="12"/>
        <v>0</v>
      </c>
      <c r="T38" s="18">
        <f t="shared" si="13"/>
        <v>0</v>
      </c>
      <c r="U38" s="18">
        <f t="shared" si="14"/>
        <v>0</v>
      </c>
      <c r="V38" s="18">
        <f t="shared" si="15"/>
        <v>0</v>
      </c>
      <c r="W38" s="18">
        <f t="shared" si="16"/>
        <v>0</v>
      </c>
      <c r="X38" s="18">
        <f t="shared" si="17"/>
        <v>0</v>
      </c>
      <c r="Y38" s="18">
        <f t="shared" si="18"/>
        <v>0</v>
      </c>
      <c r="Z38" s="18">
        <f t="shared" si="19"/>
        <v>0</v>
      </c>
      <c r="AA38" s="18">
        <f t="shared" si="20"/>
        <v>0</v>
      </c>
      <c r="AB38" s="18">
        <f t="shared" si="21"/>
        <v>1</v>
      </c>
      <c r="AC38" s="18">
        <f t="shared" si="22"/>
        <v>0</v>
      </c>
      <c r="AD38" s="18">
        <f t="shared" si="23"/>
        <v>0</v>
      </c>
      <c r="AE38" s="18">
        <f t="shared" si="24"/>
        <v>0</v>
      </c>
      <c r="AF38" s="18">
        <f t="shared" si="25"/>
        <v>0</v>
      </c>
      <c r="AG38" s="18">
        <f t="shared" si="26"/>
        <v>0</v>
      </c>
      <c r="AH38" s="18">
        <f t="shared" si="27"/>
        <v>0</v>
      </c>
      <c r="AI38" s="18">
        <f t="shared" si="28"/>
        <v>0</v>
      </c>
      <c r="AJ38" s="18">
        <f t="shared" si="29"/>
        <v>0</v>
      </c>
      <c r="AK38" s="18">
        <f t="shared" si="30"/>
        <v>0</v>
      </c>
      <c r="AL38" s="18">
        <f t="shared" si="31"/>
        <v>0</v>
      </c>
      <c r="AM38" s="18">
        <f t="shared" si="32"/>
        <v>0</v>
      </c>
      <c r="AN38" s="18">
        <f t="shared" si="33"/>
        <v>0</v>
      </c>
      <c r="AO38" s="18">
        <f t="shared" si="34"/>
        <v>0</v>
      </c>
      <c r="AP38" s="18">
        <f t="shared" si="35"/>
        <v>0</v>
      </c>
      <c r="AQ38" s="18">
        <f t="shared" si="36"/>
        <v>0</v>
      </c>
      <c r="AR38" s="18">
        <f t="shared" si="37"/>
        <v>0</v>
      </c>
      <c r="AS38" s="18">
        <f t="shared" si="38"/>
        <v>0</v>
      </c>
      <c r="AT38" s="18">
        <f t="shared" si="39"/>
        <v>0</v>
      </c>
      <c r="AU38" s="18">
        <f t="shared" si="40"/>
        <v>0</v>
      </c>
      <c r="AV38" s="18">
        <f t="shared" si="41"/>
        <v>0</v>
      </c>
      <c r="AW38" s="18">
        <f t="shared" si="42"/>
        <v>0</v>
      </c>
      <c r="AX38" s="18">
        <f t="shared" si="43"/>
        <v>0</v>
      </c>
      <c r="AY38" s="18">
        <f t="shared" si="44"/>
        <v>0</v>
      </c>
      <c r="AZ38" s="18">
        <f t="shared" si="45"/>
        <v>0</v>
      </c>
      <c r="BA38" s="18">
        <f t="shared" si="46"/>
        <v>0</v>
      </c>
      <c r="BB38" s="18">
        <f t="shared" si="47"/>
        <v>0</v>
      </c>
      <c r="BC38" s="18">
        <f t="shared" si="48"/>
        <v>0</v>
      </c>
      <c r="BD38" s="18">
        <f t="shared" si="49"/>
        <v>0</v>
      </c>
      <c r="BE38" s="18">
        <f t="shared" si="50"/>
        <v>0</v>
      </c>
      <c r="BF38" s="18">
        <f t="shared" si="51"/>
        <v>0</v>
      </c>
      <c r="BG38" s="18">
        <f t="shared" si="52"/>
        <v>0</v>
      </c>
      <c r="BH38" s="18">
        <f t="shared" si="53"/>
        <v>0</v>
      </c>
      <c r="BI38" s="18">
        <f t="shared" si="54"/>
        <v>0</v>
      </c>
      <c r="BJ38" s="18">
        <f t="shared" si="55"/>
        <v>0</v>
      </c>
      <c r="BK38" s="18">
        <f t="shared" si="56"/>
        <v>0</v>
      </c>
      <c r="BL38" s="18">
        <f t="shared" si="57"/>
        <v>0</v>
      </c>
      <c r="BM38" s="18">
        <f t="shared" si="58"/>
        <v>0</v>
      </c>
      <c r="BN38" s="18">
        <f t="shared" si="59"/>
        <v>0</v>
      </c>
      <c r="BO38" s="18">
        <f t="shared" si="60"/>
        <v>0</v>
      </c>
      <c r="BP38" s="18">
        <f t="shared" si="61"/>
        <v>0</v>
      </c>
      <c r="BQ38" s="18">
        <f t="shared" si="62"/>
        <v>0</v>
      </c>
      <c r="BR38" s="18">
        <f t="shared" si="63"/>
        <v>0</v>
      </c>
      <c r="BS38" s="18">
        <f t="shared" si="64"/>
        <v>0</v>
      </c>
      <c r="BT38" s="18">
        <f t="shared" si="65"/>
        <v>0</v>
      </c>
      <c r="BU38" s="18">
        <f t="shared" si="66"/>
        <v>0</v>
      </c>
      <c r="BV38" s="18">
        <f t="shared" si="67"/>
        <v>0</v>
      </c>
      <c r="BW38" s="18">
        <f t="shared" si="68"/>
        <v>0</v>
      </c>
      <c r="BX38" s="18">
        <f t="shared" si="69"/>
        <v>0</v>
      </c>
      <c r="BY38" s="18">
        <f t="shared" si="70"/>
        <v>0</v>
      </c>
      <c r="BZ38" s="18">
        <f t="shared" si="71"/>
        <v>0</v>
      </c>
      <c r="CA38" s="18">
        <f t="shared" si="72"/>
        <v>0</v>
      </c>
      <c r="CB38" s="18">
        <f t="shared" si="73"/>
        <v>0</v>
      </c>
      <c r="CC38" s="18">
        <f t="shared" si="74"/>
        <v>0</v>
      </c>
      <c r="CD38" s="18">
        <f t="shared" si="75"/>
        <v>0</v>
      </c>
      <c r="CE38" s="18">
        <f t="shared" si="76"/>
        <v>0</v>
      </c>
      <c r="CF38" s="18">
        <f t="shared" si="77"/>
        <v>0</v>
      </c>
      <c r="CG38" s="18">
        <f t="shared" si="78"/>
        <v>0</v>
      </c>
      <c r="CH38" s="18">
        <f t="shared" si="79"/>
        <v>0</v>
      </c>
      <c r="CI38" s="18">
        <f t="shared" si="80"/>
        <v>0</v>
      </c>
      <c r="CJ38" s="18">
        <f t="shared" si="81"/>
        <v>0</v>
      </c>
    </row>
    <row r="39" spans="1:99" x14ac:dyDescent="0.3">
      <c r="A39" s="1">
        <v>43881</v>
      </c>
      <c r="B39">
        <v>41170.120000000003</v>
      </c>
      <c r="C39">
        <f>Table1[[#This Row],[Close]]-0.001*Table1[[#This Row],[Close]]</f>
        <v>41128.94988</v>
      </c>
      <c r="D39">
        <f>Table1[[#This Row],[Close]]+0.001*Table1[[#This Row],[Close]]</f>
        <v>41211.290120000005</v>
      </c>
      <c r="E39" t="str">
        <f>IF(Table1[[#This Row],[Close]]&gt;D38,"UP",IF(Table1[[#This Row],[Close]]&lt;C38,"Down","Constant"))</f>
        <v>Down</v>
      </c>
      <c r="F39" s="3">
        <f>IF(Table1[[#This Row],[Column1]]="Up",1,IF(Table1[[#This Row],[Column1]]="Down",-1,0))</f>
        <v>-1</v>
      </c>
      <c r="G39">
        <f t="shared" si="0"/>
        <v>0</v>
      </c>
      <c r="H39" s="18">
        <f t="shared" si="1"/>
        <v>0</v>
      </c>
      <c r="I39" s="18">
        <f t="shared" si="2"/>
        <v>0</v>
      </c>
      <c r="J39" s="18">
        <f t="shared" si="3"/>
        <v>0</v>
      </c>
      <c r="K39" s="18">
        <f t="shared" si="4"/>
        <v>0</v>
      </c>
      <c r="L39" s="18">
        <f t="shared" si="5"/>
        <v>0</v>
      </c>
      <c r="M39" s="18">
        <f t="shared" si="6"/>
        <v>0</v>
      </c>
      <c r="N39" s="18">
        <f t="shared" si="7"/>
        <v>0</v>
      </c>
      <c r="O39" s="18">
        <f t="shared" si="8"/>
        <v>0</v>
      </c>
      <c r="P39" s="18">
        <f t="shared" si="9"/>
        <v>0</v>
      </c>
      <c r="Q39" s="18">
        <f t="shared" si="10"/>
        <v>0</v>
      </c>
      <c r="R39" s="18">
        <f t="shared" si="11"/>
        <v>0</v>
      </c>
      <c r="S39" s="18">
        <f t="shared" si="12"/>
        <v>0</v>
      </c>
      <c r="T39" s="18">
        <f t="shared" si="13"/>
        <v>1</v>
      </c>
      <c r="U39" s="18">
        <f t="shared" si="14"/>
        <v>0</v>
      </c>
      <c r="V39" s="18">
        <f t="shared" si="15"/>
        <v>0</v>
      </c>
      <c r="W39" s="18">
        <f t="shared" si="16"/>
        <v>0</v>
      </c>
      <c r="X39" s="18">
        <f t="shared" si="17"/>
        <v>0</v>
      </c>
      <c r="Y39" s="18">
        <f t="shared" si="18"/>
        <v>0</v>
      </c>
      <c r="Z39" s="18">
        <f t="shared" si="19"/>
        <v>0</v>
      </c>
      <c r="AA39" s="18">
        <f t="shared" si="20"/>
        <v>0</v>
      </c>
      <c r="AB39" s="18">
        <f t="shared" si="21"/>
        <v>0</v>
      </c>
      <c r="AC39" s="18">
        <f t="shared" si="22"/>
        <v>0</v>
      </c>
      <c r="AD39" s="18">
        <f t="shared" si="23"/>
        <v>0</v>
      </c>
      <c r="AE39" s="18">
        <f t="shared" si="24"/>
        <v>0</v>
      </c>
      <c r="AF39" s="18">
        <f t="shared" si="25"/>
        <v>0</v>
      </c>
      <c r="AG39" s="18">
        <f t="shared" si="26"/>
        <v>0</v>
      </c>
      <c r="AH39" s="18">
        <f t="shared" si="27"/>
        <v>0</v>
      </c>
      <c r="AI39" s="18">
        <f t="shared" si="28"/>
        <v>0</v>
      </c>
      <c r="AJ39" s="18">
        <f t="shared" si="29"/>
        <v>0</v>
      </c>
      <c r="AK39" s="18">
        <f t="shared" si="30"/>
        <v>0</v>
      </c>
      <c r="AL39" s="18">
        <f t="shared" si="31"/>
        <v>0</v>
      </c>
      <c r="AM39" s="18">
        <f t="shared" si="32"/>
        <v>0</v>
      </c>
      <c r="AN39" s="18">
        <f t="shared" si="33"/>
        <v>0</v>
      </c>
      <c r="AO39" s="18">
        <f t="shared" si="34"/>
        <v>0</v>
      </c>
      <c r="AP39" s="18">
        <f t="shared" si="35"/>
        <v>0</v>
      </c>
      <c r="AQ39" s="18">
        <f t="shared" si="36"/>
        <v>0</v>
      </c>
      <c r="AR39" s="18">
        <f t="shared" si="37"/>
        <v>0</v>
      </c>
      <c r="AS39" s="18">
        <f t="shared" si="38"/>
        <v>0</v>
      </c>
      <c r="AT39" s="18">
        <f t="shared" si="39"/>
        <v>0</v>
      </c>
      <c r="AU39" s="18">
        <f t="shared" si="40"/>
        <v>0</v>
      </c>
      <c r="AV39" s="18">
        <f t="shared" si="41"/>
        <v>0</v>
      </c>
      <c r="AW39" s="18">
        <f t="shared" si="42"/>
        <v>0</v>
      </c>
      <c r="AX39" s="18">
        <f t="shared" si="43"/>
        <v>0</v>
      </c>
      <c r="AY39" s="18">
        <f t="shared" si="44"/>
        <v>0</v>
      </c>
      <c r="AZ39" s="18">
        <f t="shared" si="45"/>
        <v>0</v>
      </c>
      <c r="BA39" s="18">
        <f t="shared" si="46"/>
        <v>0</v>
      </c>
      <c r="BB39" s="18">
        <f t="shared" si="47"/>
        <v>0</v>
      </c>
      <c r="BC39" s="18">
        <f t="shared" si="48"/>
        <v>0</v>
      </c>
      <c r="BD39" s="18">
        <f t="shared" si="49"/>
        <v>0</v>
      </c>
      <c r="BE39" s="18">
        <f t="shared" si="50"/>
        <v>0</v>
      </c>
      <c r="BF39" s="18">
        <f t="shared" si="51"/>
        <v>0</v>
      </c>
      <c r="BG39" s="18">
        <f t="shared" si="52"/>
        <v>0</v>
      </c>
      <c r="BH39" s="18">
        <f t="shared" si="53"/>
        <v>0</v>
      </c>
      <c r="BI39" s="18">
        <f t="shared" si="54"/>
        <v>0</v>
      </c>
      <c r="BJ39" s="18">
        <f t="shared" si="55"/>
        <v>0</v>
      </c>
      <c r="BK39" s="18">
        <f t="shared" si="56"/>
        <v>0</v>
      </c>
      <c r="BL39" s="18">
        <f t="shared" si="57"/>
        <v>0</v>
      </c>
      <c r="BM39" s="18">
        <f t="shared" si="58"/>
        <v>0</v>
      </c>
      <c r="BN39" s="18">
        <f t="shared" si="59"/>
        <v>0</v>
      </c>
      <c r="BO39" s="18">
        <f t="shared" si="60"/>
        <v>0</v>
      </c>
      <c r="BP39" s="18">
        <f t="shared" si="61"/>
        <v>0</v>
      </c>
      <c r="BQ39" s="18">
        <f t="shared" si="62"/>
        <v>0</v>
      </c>
      <c r="BR39" s="18">
        <f t="shared" si="63"/>
        <v>0</v>
      </c>
      <c r="BS39" s="18">
        <f t="shared" si="64"/>
        <v>0</v>
      </c>
      <c r="BT39" s="18">
        <f t="shared" si="65"/>
        <v>0</v>
      </c>
      <c r="BU39" s="18">
        <f t="shared" si="66"/>
        <v>0</v>
      </c>
      <c r="BV39" s="18">
        <f t="shared" si="67"/>
        <v>0</v>
      </c>
      <c r="BW39" s="18">
        <f t="shared" si="68"/>
        <v>0</v>
      </c>
      <c r="BX39" s="18">
        <f t="shared" si="69"/>
        <v>0</v>
      </c>
      <c r="BY39" s="18">
        <f t="shared" si="70"/>
        <v>0</v>
      </c>
      <c r="BZ39" s="18">
        <f t="shared" si="71"/>
        <v>0</v>
      </c>
      <c r="CA39" s="18">
        <f t="shared" si="72"/>
        <v>0</v>
      </c>
      <c r="CB39" s="18">
        <f t="shared" si="73"/>
        <v>0</v>
      </c>
      <c r="CC39" s="18">
        <f t="shared" si="74"/>
        <v>0</v>
      </c>
      <c r="CD39" s="18">
        <f t="shared" si="75"/>
        <v>0</v>
      </c>
      <c r="CE39" s="18">
        <f t="shared" si="76"/>
        <v>0</v>
      </c>
      <c r="CF39" s="18">
        <f t="shared" si="77"/>
        <v>0</v>
      </c>
      <c r="CG39" s="18">
        <f t="shared" si="78"/>
        <v>0</v>
      </c>
      <c r="CH39" s="18">
        <f t="shared" si="79"/>
        <v>0</v>
      </c>
      <c r="CI39" s="18">
        <f t="shared" si="80"/>
        <v>0</v>
      </c>
      <c r="CJ39" s="18">
        <f t="shared" si="81"/>
        <v>0</v>
      </c>
    </row>
    <row r="40" spans="1:99" x14ac:dyDescent="0.3">
      <c r="A40" s="1">
        <v>43885</v>
      </c>
      <c r="B40">
        <v>40363.230000000003</v>
      </c>
      <c r="C40">
        <f>Table1[[#This Row],[Close]]-0.001*Table1[[#This Row],[Close]]</f>
        <v>40322.866770000001</v>
      </c>
      <c r="D40">
        <f>Table1[[#This Row],[Close]]+0.001*Table1[[#This Row],[Close]]</f>
        <v>40403.593230000006</v>
      </c>
      <c r="E40" t="str">
        <f>IF(Table1[[#This Row],[Close]]&gt;D39,"UP",IF(Table1[[#This Row],[Close]]&lt;C39,"Down","Constant"))</f>
        <v>Down</v>
      </c>
      <c r="F40" s="3">
        <f>IF(Table1[[#This Row],[Column1]]="Up",1,IF(Table1[[#This Row],[Column1]]="Down",-1,0))</f>
        <v>-1</v>
      </c>
      <c r="G40">
        <f t="shared" si="0"/>
        <v>0</v>
      </c>
      <c r="H40" s="18">
        <f t="shared" si="1"/>
        <v>0</v>
      </c>
      <c r="I40" s="18">
        <f t="shared" si="2"/>
        <v>0</v>
      </c>
      <c r="J40" s="18">
        <f t="shared" si="3"/>
        <v>0</v>
      </c>
      <c r="K40" s="18">
        <f t="shared" si="4"/>
        <v>0</v>
      </c>
      <c r="L40" s="18">
        <f t="shared" si="5"/>
        <v>0</v>
      </c>
      <c r="M40" s="18">
        <f t="shared" si="6"/>
        <v>0</v>
      </c>
      <c r="N40" s="18">
        <f t="shared" si="7"/>
        <v>0</v>
      </c>
      <c r="O40" s="18">
        <f t="shared" si="8"/>
        <v>0</v>
      </c>
      <c r="P40" s="18">
        <f t="shared" si="9"/>
        <v>0</v>
      </c>
      <c r="Q40" s="18">
        <f t="shared" si="10"/>
        <v>0</v>
      </c>
      <c r="R40" s="18">
        <f t="shared" si="11"/>
        <v>0</v>
      </c>
      <c r="S40" s="18">
        <f t="shared" si="12"/>
        <v>0</v>
      </c>
      <c r="T40" s="18">
        <f t="shared" si="13"/>
        <v>0</v>
      </c>
      <c r="U40" s="18">
        <f t="shared" si="14"/>
        <v>0</v>
      </c>
      <c r="V40" s="18">
        <f t="shared" si="15"/>
        <v>0</v>
      </c>
      <c r="W40" s="18">
        <f t="shared" si="16"/>
        <v>0</v>
      </c>
      <c r="X40" s="18">
        <f t="shared" si="17"/>
        <v>0</v>
      </c>
      <c r="Y40" s="18">
        <f t="shared" si="18"/>
        <v>0</v>
      </c>
      <c r="Z40" s="18">
        <f t="shared" si="19"/>
        <v>0</v>
      </c>
      <c r="AA40" s="18">
        <f t="shared" si="20"/>
        <v>0</v>
      </c>
      <c r="AB40" s="18">
        <f t="shared" si="21"/>
        <v>0</v>
      </c>
      <c r="AC40" s="18">
        <f t="shared" si="22"/>
        <v>1</v>
      </c>
      <c r="AD40" s="18">
        <f t="shared" si="23"/>
        <v>0</v>
      </c>
      <c r="AE40" s="18">
        <f t="shared" si="24"/>
        <v>0</v>
      </c>
      <c r="AF40" s="18">
        <f t="shared" si="25"/>
        <v>0</v>
      </c>
      <c r="AG40" s="18">
        <f t="shared" si="26"/>
        <v>0</v>
      </c>
      <c r="AH40" s="18">
        <f t="shared" si="27"/>
        <v>0</v>
      </c>
      <c r="AI40" s="18">
        <f t="shared" si="28"/>
        <v>0</v>
      </c>
      <c r="AJ40" s="18">
        <f t="shared" si="29"/>
        <v>0</v>
      </c>
      <c r="AK40" s="18">
        <f t="shared" si="30"/>
        <v>0</v>
      </c>
      <c r="AL40" s="18">
        <f t="shared" si="31"/>
        <v>0</v>
      </c>
      <c r="AM40" s="18">
        <f t="shared" si="32"/>
        <v>0</v>
      </c>
      <c r="AN40" s="18">
        <f t="shared" si="33"/>
        <v>0</v>
      </c>
      <c r="AO40" s="18">
        <f t="shared" si="34"/>
        <v>0</v>
      </c>
      <c r="AP40" s="18">
        <f t="shared" si="35"/>
        <v>0</v>
      </c>
      <c r="AQ40" s="18">
        <f t="shared" si="36"/>
        <v>0</v>
      </c>
      <c r="AR40" s="18">
        <f t="shared" si="37"/>
        <v>0</v>
      </c>
      <c r="AS40" s="18">
        <f t="shared" si="38"/>
        <v>0</v>
      </c>
      <c r="AT40" s="18">
        <f t="shared" si="39"/>
        <v>0</v>
      </c>
      <c r="AU40" s="18">
        <f t="shared" si="40"/>
        <v>0</v>
      </c>
      <c r="AV40" s="18">
        <f t="shared" si="41"/>
        <v>0</v>
      </c>
      <c r="AW40" s="18">
        <f t="shared" si="42"/>
        <v>0</v>
      </c>
      <c r="AX40" s="18">
        <f t="shared" si="43"/>
        <v>0</v>
      </c>
      <c r="AY40" s="18">
        <f t="shared" si="44"/>
        <v>0</v>
      </c>
      <c r="AZ40" s="18">
        <f t="shared" si="45"/>
        <v>0</v>
      </c>
      <c r="BA40" s="18">
        <f t="shared" si="46"/>
        <v>0</v>
      </c>
      <c r="BB40" s="18">
        <f t="shared" si="47"/>
        <v>0</v>
      </c>
      <c r="BC40" s="18">
        <f t="shared" si="48"/>
        <v>0</v>
      </c>
      <c r="BD40" s="18">
        <f t="shared" si="49"/>
        <v>0</v>
      </c>
      <c r="BE40" s="18">
        <f t="shared" si="50"/>
        <v>0</v>
      </c>
      <c r="BF40" s="18">
        <f t="shared" si="51"/>
        <v>0</v>
      </c>
      <c r="BG40" s="18">
        <f t="shared" si="52"/>
        <v>0</v>
      </c>
      <c r="BH40" s="18">
        <f t="shared" si="53"/>
        <v>0</v>
      </c>
      <c r="BI40" s="18">
        <f t="shared" si="54"/>
        <v>0</v>
      </c>
      <c r="BJ40" s="18">
        <f t="shared" si="55"/>
        <v>0</v>
      </c>
      <c r="BK40" s="18">
        <f t="shared" si="56"/>
        <v>0</v>
      </c>
      <c r="BL40" s="18">
        <f t="shared" si="57"/>
        <v>0</v>
      </c>
      <c r="BM40" s="18">
        <f t="shared" si="58"/>
        <v>0</v>
      </c>
      <c r="BN40" s="18">
        <f t="shared" si="59"/>
        <v>0</v>
      </c>
      <c r="BO40" s="18">
        <f t="shared" si="60"/>
        <v>0</v>
      </c>
      <c r="BP40" s="18">
        <f t="shared" si="61"/>
        <v>0</v>
      </c>
      <c r="BQ40" s="18">
        <f t="shared" si="62"/>
        <v>0</v>
      </c>
      <c r="BR40" s="18">
        <f t="shared" si="63"/>
        <v>0</v>
      </c>
      <c r="BS40" s="18">
        <f t="shared" si="64"/>
        <v>0</v>
      </c>
      <c r="BT40" s="18">
        <f t="shared" si="65"/>
        <v>0</v>
      </c>
      <c r="BU40" s="18">
        <f t="shared" si="66"/>
        <v>0</v>
      </c>
      <c r="BV40" s="18">
        <f t="shared" si="67"/>
        <v>0</v>
      </c>
      <c r="BW40" s="18">
        <f t="shared" si="68"/>
        <v>0</v>
      </c>
      <c r="BX40" s="18">
        <f t="shared" si="69"/>
        <v>0</v>
      </c>
      <c r="BY40" s="18">
        <f t="shared" si="70"/>
        <v>0</v>
      </c>
      <c r="BZ40" s="18">
        <f t="shared" si="71"/>
        <v>0</v>
      </c>
      <c r="CA40" s="18">
        <f t="shared" si="72"/>
        <v>0</v>
      </c>
      <c r="CB40" s="18">
        <f t="shared" si="73"/>
        <v>0</v>
      </c>
      <c r="CC40" s="18">
        <f t="shared" si="74"/>
        <v>0</v>
      </c>
      <c r="CD40" s="18">
        <f t="shared" si="75"/>
        <v>0</v>
      </c>
      <c r="CE40" s="18">
        <f t="shared" si="76"/>
        <v>0</v>
      </c>
      <c r="CF40" s="18">
        <f t="shared" si="77"/>
        <v>0</v>
      </c>
      <c r="CG40" s="18">
        <f t="shared" si="78"/>
        <v>0</v>
      </c>
      <c r="CH40" s="18">
        <f t="shared" si="79"/>
        <v>0</v>
      </c>
      <c r="CI40" s="18">
        <f t="shared" si="80"/>
        <v>0</v>
      </c>
      <c r="CJ40" s="18">
        <f t="shared" si="81"/>
        <v>0</v>
      </c>
    </row>
    <row r="41" spans="1:99" x14ac:dyDescent="0.3">
      <c r="A41" s="1">
        <v>43886</v>
      </c>
      <c r="B41">
        <v>40281.199999999997</v>
      </c>
      <c r="C41">
        <f>Table1[[#This Row],[Close]]-0.001*Table1[[#This Row],[Close]]</f>
        <v>40240.918799999999</v>
      </c>
      <c r="D41">
        <f>Table1[[#This Row],[Close]]+0.001*Table1[[#This Row],[Close]]</f>
        <v>40321.481199999995</v>
      </c>
      <c r="E41" t="str">
        <f>IF(Table1[[#This Row],[Close]]&gt;D40,"UP",IF(Table1[[#This Row],[Close]]&lt;C40,"Down","Constant"))</f>
        <v>Down</v>
      </c>
      <c r="F41" s="3">
        <f>IF(Table1[[#This Row],[Column1]]="Up",1,IF(Table1[[#This Row],[Column1]]="Down",-1,0))</f>
        <v>-1</v>
      </c>
      <c r="G41">
        <f t="shared" si="0"/>
        <v>0</v>
      </c>
      <c r="H41" s="18">
        <f t="shared" si="1"/>
        <v>0</v>
      </c>
      <c r="I41" s="18">
        <f t="shared" si="2"/>
        <v>0</v>
      </c>
      <c r="J41" s="18">
        <f t="shared" si="3"/>
        <v>0</v>
      </c>
      <c r="K41" s="18">
        <f t="shared" si="4"/>
        <v>0</v>
      </c>
      <c r="L41" s="18">
        <f t="shared" si="5"/>
        <v>0</v>
      </c>
      <c r="M41" s="18">
        <f t="shared" si="6"/>
        <v>0</v>
      </c>
      <c r="N41" s="18">
        <f t="shared" si="7"/>
        <v>0</v>
      </c>
      <c r="O41" s="18">
        <f t="shared" si="8"/>
        <v>0</v>
      </c>
      <c r="P41" s="18">
        <f t="shared" si="9"/>
        <v>0</v>
      </c>
      <c r="Q41" s="18">
        <f t="shared" si="10"/>
        <v>0</v>
      </c>
      <c r="R41" s="18">
        <f t="shared" si="11"/>
        <v>0</v>
      </c>
      <c r="S41" s="18">
        <f t="shared" si="12"/>
        <v>0</v>
      </c>
      <c r="T41" s="18">
        <f t="shared" si="13"/>
        <v>0</v>
      </c>
      <c r="U41" s="18">
        <f t="shared" si="14"/>
        <v>0</v>
      </c>
      <c r="V41" s="18">
        <f t="shared" si="15"/>
        <v>0</v>
      </c>
      <c r="W41" s="18">
        <f t="shared" si="16"/>
        <v>1</v>
      </c>
      <c r="X41" s="18">
        <f t="shared" si="17"/>
        <v>0</v>
      </c>
      <c r="Y41" s="18">
        <f t="shared" si="18"/>
        <v>0</v>
      </c>
      <c r="Z41" s="18">
        <f t="shared" si="19"/>
        <v>0</v>
      </c>
      <c r="AA41" s="18">
        <f t="shared" si="20"/>
        <v>0</v>
      </c>
      <c r="AB41" s="18">
        <f t="shared" si="21"/>
        <v>0</v>
      </c>
      <c r="AC41" s="18">
        <f t="shared" si="22"/>
        <v>0</v>
      </c>
      <c r="AD41" s="18">
        <f t="shared" si="23"/>
        <v>0</v>
      </c>
      <c r="AE41" s="18">
        <f t="shared" si="24"/>
        <v>0</v>
      </c>
      <c r="AF41" s="18">
        <f t="shared" si="25"/>
        <v>0</v>
      </c>
      <c r="AG41" s="18">
        <f t="shared" si="26"/>
        <v>0</v>
      </c>
      <c r="AH41" s="18">
        <f t="shared" si="27"/>
        <v>0</v>
      </c>
      <c r="AI41" s="18">
        <f t="shared" si="28"/>
        <v>0</v>
      </c>
      <c r="AJ41" s="18">
        <f t="shared" si="29"/>
        <v>0</v>
      </c>
      <c r="AK41" s="18">
        <f t="shared" si="30"/>
        <v>0</v>
      </c>
      <c r="AL41" s="18">
        <f t="shared" si="31"/>
        <v>0</v>
      </c>
      <c r="AM41" s="18">
        <f t="shared" si="32"/>
        <v>0</v>
      </c>
      <c r="AN41" s="18">
        <f t="shared" si="33"/>
        <v>0</v>
      </c>
      <c r="AO41" s="18">
        <f t="shared" si="34"/>
        <v>0</v>
      </c>
      <c r="AP41" s="18">
        <f t="shared" si="35"/>
        <v>0</v>
      </c>
      <c r="AQ41" s="18">
        <f t="shared" si="36"/>
        <v>0</v>
      </c>
      <c r="AR41" s="18">
        <f t="shared" si="37"/>
        <v>0</v>
      </c>
      <c r="AS41" s="18">
        <f t="shared" si="38"/>
        <v>0</v>
      </c>
      <c r="AT41" s="18">
        <f t="shared" si="39"/>
        <v>0</v>
      </c>
      <c r="AU41" s="18">
        <f t="shared" si="40"/>
        <v>0</v>
      </c>
      <c r="AV41" s="18">
        <f t="shared" si="41"/>
        <v>0</v>
      </c>
      <c r="AW41" s="18">
        <f t="shared" si="42"/>
        <v>0</v>
      </c>
      <c r="AX41" s="18">
        <f t="shared" si="43"/>
        <v>0</v>
      </c>
      <c r="AY41" s="18">
        <f t="shared" si="44"/>
        <v>0</v>
      </c>
      <c r="AZ41" s="18">
        <f t="shared" si="45"/>
        <v>0</v>
      </c>
      <c r="BA41" s="18">
        <f t="shared" si="46"/>
        <v>0</v>
      </c>
      <c r="BB41" s="18">
        <f t="shared" si="47"/>
        <v>0</v>
      </c>
      <c r="BC41" s="18">
        <f t="shared" si="48"/>
        <v>0</v>
      </c>
      <c r="BD41" s="18">
        <f t="shared" si="49"/>
        <v>0</v>
      </c>
      <c r="BE41" s="18">
        <f t="shared" si="50"/>
        <v>0</v>
      </c>
      <c r="BF41" s="18">
        <f t="shared" si="51"/>
        <v>0</v>
      </c>
      <c r="BG41" s="18">
        <f t="shared" si="52"/>
        <v>0</v>
      </c>
      <c r="BH41" s="18">
        <f t="shared" si="53"/>
        <v>0</v>
      </c>
      <c r="BI41" s="18">
        <f t="shared" si="54"/>
        <v>0</v>
      </c>
      <c r="BJ41" s="18">
        <f t="shared" si="55"/>
        <v>0</v>
      </c>
      <c r="BK41" s="18">
        <f t="shared" si="56"/>
        <v>0</v>
      </c>
      <c r="BL41" s="18">
        <f t="shared" si="57"/>
        <v>0</v>
      </c>
      <c r="BM41" s="18">
        <f t="shared" si="58"/>
        <v>0</v>
      </c>
      <c r="BN41" s="18">
        <f t="shared" si="59"/>
        <v>0</v>
      </c>
      <c r="BO41" s="18">
        <f t="shared" si="60"/>
        <v>0</v>
      </c>
      <c r="BP41" s="18">
        <f t="shared" si="61"/>
        <v>0</v>
      </c>
      <c r="BQ41" s="18">
        <f t="shared" si="62"/>
        <v>0</v>
      </c>
      <c r="BR41" s="18">
        <f t="shared" si="63"/>
        <v>0</v>
      </c>
      <c r="BS41" s="18">
        <f t="shared" si="64"/>
        <v>0</v>
      </c>
      <c r="BT41" s="18">
        <f t="shared" si="65"/>
        <v>0</v>
      </c>
      <c r="BU41" s="18">
        <f t="shared" si="66"/>
        <v>0</v>
      </c>
      <c r="BV41" s="18">
        <f t="shared" si="67"/>
        <v>0</v>
      </c>
      <c r="BW41" s="18">
        <f t="shared" si="68"/>
        <v>0</v>
      </c>
      <c r="BX41" s="18">
        <f t="shared" si="69"/>
        <v>0</v>
      </c>
      <c r="BY41" s="18">
        <f t="shared" si="70"/>
        <v>0</v>
      </c>
      <c r="BZ41" s="18">
        <f t="shared" si="71"/>
        <v>0</v>
      </c>
      <c r="CA41" s="18">
        <f t="shared" si="72"/>
        <v>0</v>
      </c>
      <c r="CB41" s="18">
        <f t="shared" si="73"/>
        <v>0</v>
      </c>
      <c r="CC41" s="18">
        <f t="shared" si="74"/>
        <v>0</v>
      </c>
      <c r="CD41" s="18">
        <f t="shared" si="75"/>
        <v>0</v>
      </c>
      <c r="CE41" s="18">
        <f t="shared" si="76"/>
        <v>0</v>
      </c>
      <c r="CF41" s="18">
        <f t="shared" si="77"/>
        <v>0</v>
      </c>
      <c r="CG41" s="18">
        <f t="shared" si="78"/>
        <v>0</v>
      </c>
      <c r="CH41" s="18">
        <f t="shared" si="79"/>
        <v>0</v>
      </c>
      <c r="CI41" s="18">
        <f t="shared" si="80"/>
        <v>0</v>
      </c>
      <c r="CJ41" s="18">
        <f t="shared" si="81"/>
        <v>0</v>
      </c>
    </row>
    <row r="42" spans="1:99" x14ac:dyDescent="0.3">
      <c r="A42" s="1">
        <v>43887</v>
      </c>
      <c r="B42">
        <v>39888.959999999999</v>
      </c>
      <c r="C42">
        <f>Table1[[#This Row],[Close]]-0.001*Table1[[#This Row],[Close]]</f>
        <v>39849.071040000003</v>
      </c>
      <c r="D42">
        <f>Table1[[#This Row],[Close]]+0.001*Table1[[#This Row],[Close]]</f>
        <v>39928.848959999996</v>
      </c>
      <c r="E42" t="str">
        <f>IF(Table1[[#This Row],[Close]]&gt;D41,"UP",IF(Table1[[#This Row],[Close]]&lt;C41,"Down","Constant"))</f>
        <v>Down</v>
      </c>
      <c r="F42" s="3">
        <f>IF(Table1[[#This Row],[Column1]]="Up",1,IF(Table1[[#This Row],[Column1]]="Down",-1,0))</f>
        <v>-1</v>
      </c>
      <c r="G42">
        <f t="shared" si="0"/>
        <v>0</v>
      </c>
      <c r="H42" s="18">
        <f t="shared" si="1"/>
        <v>0</v>
      </c>
      <c r="I42" s="18">
        <f t="shared" si="2"/>
        <v>0</v>
      </c>
      <c r="J42" s="18">
        <f t="shared" si="3"/>
        <v>0</v>
      </c>
      <c r="K42" s="18">
        <f t="shared" si="4"/>
        <v>0</v>
      </c>
      <c r="L42" s="18">
        <f t="shared" si="5"/>
        <v>0</v>
      </c>
      <c r="M42" s="18">
        <f t="shared" si="6"/>
        <v>0</v>
      </c>
      <c r="N42" s="18">
        <f t="shared" si="7"/>
        <v>0</v>
      </c>
      <c r="O42" s="18">
        <f t="shared" si="8"/>
        <v>0</v>
      </c>
      <c r="P42" s="18">
        <f t="shared" si="9"/>
        <v>0</v>
      </c>
      <c r="Q42" s="18">
        <f t="shared" si="10"/>
        <v>0</v>
      </c>
      <c r="R42" s="18">
        <f t="shared" si="11"/>
        <v>0</v>
      </c>
      <c r="S42" s="18">
        <f t="shared" si="12"/>
        <v>0</v>
      </c>
      <c r="T42" s="18">
        <f t="shared" si="13"/>
        <v>0</v>
      </c>
      <c r="U42" s="18">
        <f t="shared" si="14"/>
        <v>0</v>
      </c>
      <c r="V42" s="18">
        <f t="shared" si="15"/>
        <v>0</v>
      </c>
      <c r="W42" s="18">
        <f t="shared" si="16"/>
        <v>0</v>
      </c>
      <c r="X42" s="18">
        <f t="shared" si="17"/>
        <v>0</v>
      </c>
      <c r="Y42" s="18">
        <f t="shared" si="18"/>
        <v>0</v>
      </c>
      <c r="Z42" s="18">
        <f t="shared" si="19"/>
        <v>1</v>
      </c>
      <c r="AA42" s="18">
        <f t="shared" si="20"/>
        <v>0</v>
      </c>
      <c r="AB42" s="18">
        <f t="shared" si="21"/>
        <v>0</v>
      </c>
      <c r="AC42" s="18">
        <f t="shared" si="22"/>
        <v>0</v>
      </c>
      <c r="AD42" s="18">
        <f t="shared" si="23"/>
        <v>0</v>
      </c>
      <c r="AE42" s="18">
        <f t="shared" si="24"/>
        <v>0</v>
      </c>
      <c r="AF42" s="18">
        <f t="shared" si="25"/>
        <v>0</v>
      </c>
      <c r="AG42" s="18">
        <f t="shared" si="26"/>
        <v>0</v>
      </c>
      <c r="AH42" s="18">
        <f t="shared" si="27"/>
        <v>0</v>
      </c>
      <c r="AI42" s="18">
        <f t="shared" si="28"/>
        <v>0</v>
      </c>
      <c r="AJ42" s="18">
        <f t="shared" si="29"/>
        <v>0</v>
      </c>
      <c r="AK42" s="18">
        <f t="shared" si="30"/>
        <v>0</v>
      </c>
      <c r="AL42" s="18">
        <f t="shared" si="31"/>
        <v>0</v>
      </c>
      <c r="AM42" s="18">
        <f t="shared" si="32"/>
        <v>0</v>
      </c>
      <c r="AN42" s="18">
        <f t="shared" si="33"/>
        <v>0</v>
      </c>
      <c r="AO42" s="18">
        <f t="shared" si="34"/>
        <v>0</v>
      </c>
      <c r="AP42" s="18">
        <f t="shared" si="35"/>
        <v>0</v>
      </c>
      <c r="AQ42" s="18">
        <f t="shared" si="36"/>
        <v>0</v>
      </c>
      <c r="AR42" s="18">
        <f t="shared" si="37"/>
        <v>0</v>
      </c>
      <c r="AS42" s="18">
        <f t="shared" si="38"/>
        <v>0</v>
      </c>
      <c r="AT42" s="18">
        <f t="shared" si="39"/>
        <v>0</v>
      </c>
      <c r="AU42" s="18">
        <f t="shared" si="40"/>
        <v>0</v>
      </c>
      <c r="AV42" s="18">
        <f t="shared" si="41"/>
        <v>0</v>
      </c>
      <c r="AW42" s="18">
        <f t="shared" si="42"/>
        <v>0</v>
      </c>
      <c r="AX42" s="18">
        <f t="shared" si="43"/>
        <v>0</v>
      </c>
      <c r="AY42" s="18">
        <f t="shared" si="44"/>
        <v>0</v>
      </c>
      <c r="AZ42" s="18">
        <f t="shared" si="45"/>
        <v>0</v>
      </c>
      <c r="BA42" s="18">
        <f t="shared" si="46"/>
        <v>0</v>
      </c>
      <c r="BB42" s="18">
        <f t="shared" si="47"/>
        <v>0</v>
      </c>
      <c r="BC42" s="18">
        <f t="shared" si="48"/>
        <v>0</v>
      </c>
      <c r="BD42" s="18">
        <f t="shared" si="49"/>
        <v>0</v>
      </c>
      <c r="BE42" s="18">
        <f t="shared" si="50"/>
        <v>0</v>
      </c>
      <c r="BF42" s="18">
        <f t="shared" si="51"/>
        <v>0</v>
      </c>
      <c r="BG42" s="18">
        <f t="shared" si="52"/>
        <v>0</v>
      </c>
      <c r="BH42" s="18">
        <f t="shared" si="53"/>
        <v>0</v>
      </c>
      <c r="BI42" s="18">
        <f t="shared" si="54"/>
        <v>0</v>
      </c>
      <c r="BJ42" s="18">
        <f t="shared" si="55"/>
        <v>0</v>
      </c>
      <c r="BK42" s="18">
        <f t="shared" si="56"/>
        <v>0</v>
      </c>
      <c r="BL42" s="18">
        <f t="shared" si="57"/>
        <v>0</v>
      </c>
      <c r="BM42" s="18">
        <f t="shared" si="58"/>
        <v>0</v>
      </c>
      <c r="BN42" s="18">
        <f t="shared" si="59"/>
        <v>0</v>
      </c>
      <c r="BO42" s="18">
        <f t="shared" si="60"/>
        <v>0</v>
      </c>
      <c r="BP42" s="18">
        <f t="shared" si="61"/>
        <v>0</v>
      </c>
      <c r="BQ42" s="18">
        <f t="shared" si="62"/>
        <v>0</v>
      </c>
      <c r="BR42" s="18">
        <f t="shared" si="63"/>
        <v>0</v>
      </c>
      <c r="BS42" s="18">
        <f t="shared" si="64"/>
        <v>0</v>
      </c>
      <c r="BT42" s="18">
        <f t="shared" si="65"/>
        <v>0</v>
      </c>
      <c r="BU42" s="18">
        <f t="shared" si="66"/>
        <v>0</v>
      </c>
      <c r="BV42" s="18">
        <f t="shared" si="67"/>
        <v>0</v>
      </c>
      <c r="BW42" s="18">
        <f t="shared" si="68"/>
        <v>0</v>
      </c>
      <c r="BX42" s="18">
        <f t="shared" si="69"/>
        <v>0</v>
      </c>
      <c r="BY42" s="18">
        <f t="shared" si="70"/>
        <v>0</v>
      </c>
      <c r="BZ42" s="18">
        <f t="shared" si="71"/>
        <v>0</v>
      </c>
      <c r="CA42" s="18">
        <f t="shared" si="72"/>
        <v>0</v>
      </c>
      <c r="CB42" s="18">
        <f t="shared" si="73"/>
        <v>0</v>
      </c>
      <c r="CC42" s="18">
        <f t="shared" si="74"/>
        <v>0</v>
      </c>
      <c r="CD42" s="18">
        <f t="shared" si="75"/>
        <v>0</v>
      </c>
      <c r="CE42" s="18">
        <f t="shared" si="76"/>
        <v>0</v>
      </c>
      <c r="CF42" s="18">
        <f t="shared" si="77"/>
        <v>0</v>
      </c>
      <c r="CG42" s="18">
        <f t="shared" si="78"/>
        <v>0</v>
      </c>
      <c r="CH42" s="18">
        <f t="shared" si="79"/>
        <v>0</v>
      </c>
      <c r="CI42" s="18">
        <f t="shared" si="80"/>
        <v>0</v>
      </c>
      <c r="CJ42" s="18">
        <f t="shared" si="81"/>
        <v>0</v>
      </c>
    </row>
    <row r="43" spans="1:99" x14ac:dyDescent="0.3">
      <c r="A43" s="1">
        <v>43888</v>
      </c>
      <c r="B43">
        <v>39745.660000000003</v>
      </c>
      <c r="C43">
        <f>Table1[[#This Row],[Close]]-0.001*Table1[[#This Row],[Close]]</f>
        <v>39705.914340000003</v>
      </c>
      <c r="D43">
        <f>Table1[[#This Row],[Close]]+0.001*Table1[[#This Row],[Close]]</f>
        <v>39785.405660000004</v>
      </c>
      <c r="E43" t="str">
        <f>IF(Table1[[#This Row],[Close]]&gt;D42,"UP",IF(Table1[[#This Row],[Close]]&lt;C42,"Down","Constant"))</f>
        <v>Down</v>
      </c>
      <c r="F43" s="3">
        <f>IF(Table1[[#This Row],[Column1]]="Up",1,IF(Table1[[#This Row],[Column1]]="Down",-1,0))</f>
        <v>-1</v>
      </c>
      <c r="G43">
        <f t="shared" si="0"/>
        <v>0</v>
      </c>
      <c r="H43" s="18">
        <f t="shared" si="1"/>
        <v>0</v>
      </c>
      <c r="I43" s="18">
        <f t="shared" si="2"/>
        <v>0</v>
      </c>
      <c r="J43" s="18">
        <f t="shared" si="3"/>
        <v>0</v>
      </c>
      <c r="K43" s="18">
        <f t="shared" si="4"/>
        <v>0</v>
      </c>
      <c r="L43" s="18">
        <f t="shared" si="5"/>
        <v>0</v>
      </c>
      <c r="M43" s="18">
        <f t="shared" si="6"/>
        <v>0</v>
      </c>
      <c r="N43" s="18">
        <f t="shared" si="7"/>
        <v>0</v>
      </c>
      <c r="O43" s="18">
        <f t="shared" si="8"/>
        <v>0</v>
      </c>
      <c r="P43" s="18">
        <f t="shared" si="9"/>
        <v>0</v>
      </c>
      <c r="Q43" s="18">
        <f t="shared" si="10"/>
        <v>0</v>
      </c>
      <c r="R43" s="18">
        <f t="shared" si="11"/>
        <v>0</v>
      </c>
      <c r="S43" s="18">
        <f t="shared" si="12"/>
        <v>0</v>
      </c>
      <c r="T43" s="18">
        <f t="shared" si="13"/>
        <v>0</v>
      </c>
      <c r="U43" s="18">
        <f t="shared" si="14"/>
        <v>0</v>
      </c>
      <c r="V43" s="18">
        <f t="shared" si="15"/>
        <v>0</v>
      </c>
      <c r="W43" s="18">
        <f t="shared" si="16"/>
        <v>0</v>
      </c>
      <c r="X43" s="18">
        <f t="shared" si="17"/>
        <v>0</v>
      </c>
      <c r="Y43" s="18">
        <f t="shared" si="18"/>
        <v>0</v>
      </c>
      <c r="Z43" s="18">
        <f t="shared" si="19"/>
        <v>1</v>
      </c>
      <c r="AA43" s="18">
        <f t="shared" si="20"/>
        <v>0</v>
      </c>
      <c r="AB43" s="18">
        <f t="shared" si="21"/>
        <v>0</v>
      </c>
      <c r="AC43" s="18">
        <f t="shared" si="22"/>
        <v>0</v>
      </c>
      <c r="AD43" s="18">
        <f t="shared" si="23"/>
        <v>0</v>
      </c>
      <c r="AE43" s="18">
        <f t="shared" si="24"/>
        <v>0</v>
      </c>
      <c r="AF43" s="18">
        <f t="shared" si="25"/>
        <v>0</v>
      </c>
      <c r="AG43" s="18">
        <f t="shared" si="26"/>
        <v>0</v>
      </c>
      <c r="AH43" s="18">
        <f t="shared" si="27"/>
        <v>0</v>
      </c>
      <c r="AI43" s="18">
        <f t="shared" si="28"/>
        <v>0</v>
      </c>
      <c r="AJ43" s="18">
        <f t="shared" si="29"/>
        <v>0</v>
      </c>
      <c r="AK43" s="18">
        <f t="shared" si="30"/>
        <v>0</v>
      </c>
      <c r="AL43" s="18">
        <f t="shared" si="31"/>
        <v>0</v>
      </c>
      <c r="AM43" s="18">
        <f t="shared" si="32"/>
        <v>0</v>
      </c>
      <c r="AN43" s="18">
        <f t="shared" si="33"/>
        <v>0</v>
      </c>
      <c r="AO43" s="18">
        <f t="shared" si="34"/>
        <v>0</v>
      </c>
      <c r="AP43" s="18">
        <f t="shared" si="35"/>
        <v>0</v>
      </c>
      <c r="AQ43" s="18">
        <f t="shared" si="36"/>
        <v>0</v>
      </c>
      <c r="AR43" s="18">
        <f t="shared" si="37"/>
        <v>0</v>
      </c>
      <c r="AS43" s="18">
        <f t="shared" si="38"/>
        <v>0</v>
      </c>
      <c r="AT43" s="18">
        <f t="shared" si="39"/>
        <v>0</v>
      </c>
      <c r="AU43" s="18">
        <f t="shared" si="40"/>
        <v>0</v>
      </c>
      <c r="AV43" s="18">
        <f t="shared" si="41"/>
        <v>0</v>
      </c>
      <c r="AW43" s="18">
        <f t="shared" si="42"/>
        <v>0</v>
      </c>
      <c r="AX43" s="18">
        <f t="shared" si="43"/>
        <v>0</v>
      </c>
      <c r="AY43" s="18">
        <f t="shared" si="44"/>
        <v>0</v>
      </c>
      <c r="AZ43" s="18">
        <f t="shared" si="45"/>
        <v>0</v>
      </c>
      <c r="BA43" s="18">
        <f t="shared" si="46"/>
        <v>0</v>
      </c>
      <c r="BB43" s="18">
        <f t="shared" si="47"/>
        <v>0</v>
      </c>
      <c r="BC43" s="18">
        <f t="shared" si="48"/>
        <v>0</v>
      </c>
      <c r="BD43" s="18">
        <f t="shared" si="49"/>
        <v>0</v>
      </c>
      <c r="BE43" s="18">
        <f t="shared" si="50"/>
        <v>0</v>
      </c>
      <c r="BF43" s="18">
        <f t="shared" si="51"/>
        <v>0</v>
      </c>
      <c r="BG43" s="18">
        <f t="shared" si="52"/>
        <v>0</v>
      </c>
      <c r="BH43" s="18">
        <f t="shared" si="53"/>
        <v>0</v>
      </c>
      <c r="BI43" s="18">
        <f t="shared" si="54"/>
        <v>0</v>
      </c>
      <c r="BJ43" s="18">
        <f t="shared" si="55"/>
        <v>0</v>
      </c>
      <c r="BK43" s="18">
        <f t="shared" si="56"/>
        <v>0</v>
      </c>
      <c r="BL43" s="18">
        <f t="shared" si="57"/>
        <v>0</v>
      </c>
      <c r="BM43" s="18">
        <f t="shared" si="58"/>
        <v>0</v>
      </c>
      <c r="BN43" s="18">
        <f t="shared" si="59"/>
        <v>0</v>
      </c>
      <c r="BO43" s="18">
        <f t="shared" si="60"/>
        <v>0</v>
      </c>
      <c r="BP43" s="18">
        <f t="shared" si="61"/>
        <v>0</v>
      </c>
      <c r="BQ43" s="18">
        <f t="shared" si="62"/>
        <v>0</v>
      </c>
      <c r="BR43" s="18">
        <f t="shared" si="63"/>
        <v>0</v>
      </c>
      <c r="BS43" s="18">
        <f t="shared" si="64"/>
        <v>0</v>
      </c>
      <c r="BT43" s="18">
        <f t="shared" si="65"/>
        <v>0</v>
      </c>
      <c r="BU43" s="18">
        <f t="shared" si="66"/>
        <v>0</v>
      </c>
      <c r="BV43" s="18">
        <f t="shared" si="67"/>
        <v>0</v>
      </c>
      <c r="BW43" s="18">
        <f t="shared" si="68"/>
        <v>0</v>
      </c>
      <c r="BX43" s="18">
        <f t="shared" si="69"/>
        <v>0</v>
      </c>
      <c r="BY43" s="18">
        <f t="shared" si="70"/>
        <v>0</v>
      </c>
      <c r="BZ43" s="18">
        <f t="shared" si="71"/>
        <v>0</v>
      </c>
      <c r="CA43" s="18">
        <f t="shared" si="72"/>
        <v>0</v>
      </c>
      <c r="CB43" s="18">
        <f t="shared" si="73"/>
        <v>0</v>
      </c>
      <c r="CC43" s="18">
        <f t="shared" si="74"/>
        <v>0</v>
      </c>
      <c r="CD43" s="18">
        <f t="shared" si="75"/>
        <v>0</v>
      </c>
      <c r="CE43" s="18">
        <f t="shared" si="76"/>
        <v>0</v>
      </c>
      <c r="CF43" s="18">
        <f t="shared" si="77"/>
        <v>0</v>
      </c>
      <c r="CG43" s="18">
        <f t="shared" si="78"/>
        <v>0</v>
      </c>
      <c r="CH43" s="18">
        <f t="shared" si="79"/>
        <v>0</v>
      </c>
      <c r="CI43" s="18">
        <f t="shared" si="80"/>
        <v>0</v>
      </c>
      <c r="CJ43" s="18">
        <f t="shared" si="81"/>
        <v>0</v>
      </c>
    </row>
    <row r="44" spans="1:99" x14ac:dyDescent="0.3">
      <c r="A44" s="1">
        <v>43889</v>
      </c>
      <c r="B44">
        <v>38297.29</v>
      </c>
      <c r="C44">
        <f>Table1[[#This Row],[Close]]-0.001*Table1[[#This Row],[Close]]</f>
        <v>38258.992709999999</v>
      </c>
      <c r="D44">
        <f>Table1[[#This Row],[Close]]+0.001*Table1[[#This Row],[Close]]</f>
        <v>38335.587290000003</v>
      </c>
      <c r="E44" t="str">
        <f>IF(Table1[[#This Row],[Close]]&gt;D43,"UP",IF(Table1[[#This Row],[Close]]&lt;C43,"Down","Constant"))</f>
        <v>Down</v>
      </c>
      <c r="F44" s="3">
        <f>IF(Table1[[#This Row],[Column1]]="Up",1,IF(Table1[[#This Row],[Column1]]="Down",-1,0))</f>
        <v>-1</v>
      </c>
      <c r="G44">
        <f t="shared" si="0"/>
        <v>0</v>
      </c>
      <c r="H44" s="18">
        <f t="shared" si="1"/>
        <v>0</v>
      </c>
      <c r="I44" s="18">
        <f t="shared" si="2"/>
        <v>0</v>
      </c>
      <c r="J44" s="18">
        <f t="shared" si="3"/>
        <v>0</v>
      </c>
      <c r="K44" s="18">
        <f t="shared" si="4"/>
        <v>0</v>
      </c>
      <c r="L44" s="18">
        <f t="shared" si="5"/>
        <v>0</v>
      </c>
      <c r="M44" s="18">
        <f t="shared" si="6"/>
        <v>0</v>
      </c>
      <c r="N44" s="18">
        <f t="shared" si="7"/>
        <v>0</v>
      </c>
      <c r="O44" s="18">
        <f t="shared" si="8"/>
        <v>0</v>
      </c>
      <c r="P44" s="18">
        <f t="shared" si="9"/>
        <v>0</v>
      </c>
      <c r="Q44" s="18">
        <f t="shared" si="10"/>
        <v>0</v>
      </c>
      <c r="R44" s="18">
        <f t="shared" si="11"/>
        <v>0</v>
      </c>
      <c r="S44" s="18">
        <f t="shared" si="12"/>
        <v>0</v>
      </c>
      <c r="T44" s="18">
        <f t="shared" si="13"/>
        <v>0</v>
      </c>
      <c r="U44" s="18">
        <f t="shared" si="14"/>
        <v>0</v>
      </c>
      <c r="V44" s="18">
        <f t="shared" si="15"/>
        <v>0</v>
      </c>
      <c r="W44" s="18">
        <f t="shared" si="16"/>
        <v>0</v>
      </c>
      <c r="X44" s="18">
        <f t="shared" si="17"/>
        <v>0</v>
      </c>
      <c r="Y44" s="18">
        <f t="shared" si="18"/>
        <v>0</v>
      </c>
      <c r="Z44" s="18">
        <f t="shared" si="19"/>
        <v>1</v>
      </c>
      <c r="AA44" s="18">
        <f t="shared" si="20"/>
        <v>0</v>
      </c>
      <c r="AB44" s="18">
        <f t="shared" si="21"/>
        <v>0</v>
      </c>
      <c r="AC44" s="18">
        <f t="shared" si="22"/>
        <v>0</v>
      </c>
      <c r="AD44" s="18">
        <f t="shared" si="23"/>
        <v>0</v>
      </c>
      <c r="AE44" s="18">
        <f t="shared" si="24"/>
        <v>0</v>
      </c>
      <c r="AF44" s="18">
        <f t="shared" si="25"/>
        <v>0</v>
      </c>
      <c r="AG44" s="18">
        <f t="shared" si="26"/>
        <v>0</v>
      </c>
      <c r="AH44" s="18">
        <f t="shared" si="27"/>
        <v>0</v>
      </c>
      <c r="AI44" s="18">
        <f t="shared" si="28"/>
        <v>0</v>
      </c>
      <c r="AJ44" s="18">
        <f t="shared" si="29"/>
        <v>0</v>
      </c>
      <c r="AK44" s="18">
        <f t="shared" si="30"/>
        <v>0</v>
      </c>
      <c r="AL44" s="18">
        <f t="shared" si="31"/>
        <v>0</v>
      </c>
      <c r="AM44" s="18">
        <f t="shared" si="32"/>
        <v>0</v>
      </c>
      <c r="AN44" s="18">
        <f t="shared" si="33"/>
        <v>0</v>
      </c>
      <c r="AO44" s="18">
        <f t="shared" si="34"/>
        <v>0</v>
      </c>
      <c r="AP44" s="18">
        <f t="shared" si="35"/>
        <v>0</v>
      </c>
      <c r="AQ44" s="18">
        <f t="shared" si="36"/>
        <v>0</v>
      </c>
      <c r="AR44" s="18">
        <f t="shared" si="37"/>
        <v>0</v>
      </c>
      <c r="AS44" s="18">
        <f t="shared" si="38"/>
        <v>0</v>
      </c>
      <c r="AT44" s="18">
        <f t="shared" si="39"/>
        <v>0</v>
      </c>
      <c r="AU44" s="18">
        <f t="shared" si="40"/>
        <v>0</v>
      </c>
      <c r="AV44" s="18">
        <f t="shared" si="41"/>
        <v>0</v>
      </c>
      <c r="AW44" s="18">
        <f t="shared" si="42"/>
        <v>0</v>
      </c>
      <c r="AX44" s="18">
        <f t="shared" si="43"/>
        <v>0</v>
      </c>
      <c r="AY44" s="18">
        <f t="shared" si="44"/>
        <v>0</v>
      </c>
      <c r="AZ44" s="18">
        <f t="shared" si="45"/>
        <v>0</v>
      </c>
      <c r="BA44" s="18">
        <f t="shared" si="46"/>
        <v>0</v>
      </c>
      <c r="BB44" s="18">
        <f t="shared" si="47"/>
        <v>0</v>
      </c>
      <c r="BC44" s="18">
        <f t="shared" si="48"/>
        <v>0</v>
      </c>
      <c r="BD44" s="18">
        <f t="shared" si="49"/>
        <v>0</v>
      </c>
      <c r="BE44" s="18">
        <f t="shared" si="50"/>
        <v>0</v>
      </c>
      <c r="BF44" s="18">
        <f t="shared" si="51"/>
        <v>0</v>
      </c>
      <c r="BG44" s="18">
        <f t="shared" si="52"/>
        <v>0</v>
      </c>
      <c r="BH44" s="18">
        <f t="shared" si="53"/>
        <v>0</v>
      </c>
      <c r="BI44" s="18">
        <f t="shared" si="54"/>
        <v>0</v>
      </c>
      <c r="BJ44" s="18">
        <f t="shared" si="55"/>
        <v>0</v>
      </c>
      <c r="BK44" s="18">
        <f t="shared" si="56"/>
        <v>0</v>
      </c>
      <c r="BL44" s="18">
        <f t="shared" si="57"/>
        <v>0</v>
      </c>
      <c r="BM44" s="18">
        <f t="shared" si="58"/>
        <v>0</v>
      </c>
      <c r="BN44" s="18">
        <f t="shared" si="59"/>
        <v>0</v>
      </c>
      <c r="BO44" s="18">
        <f t="shared" si="60"/>
        <v>0</v>
      </c>
      <c r="BP44" s="18">
        <f t="shared" si="61"/>
        <v>0</v>
      </c>
      <c r="BQ44" s="18">
        <f t="shared" si="62"/>
        <v>0</v>
      </c>
      <c r="BR44" s="18">
        <f t="shared" si="63"/>
        <v>0</v>
      </c>
      <c r="BS44" s="18">
        <f t="shared" si="64"/>
        <v>0</v>
      </c>
      <c r="BT44" s="18">
        <f t="shared" si="65"/>
        <v>0</v>
      </c>
      <c r="BU44" s="18">
        <f t="shared" si="66"/>
        <v>0</v>
      </c>
      <c r="BV44" s="18">
        <f t="shared" si="67"/>
        <v>0</v>
      </c>
      <c r="BW44" s="18">
        <f t="shared" si="68"/>
        <v>0</v>
      </c>
      <c r="BX44" s="18">
        <f t="shared" si="69"/>
        <v>0</v>
      </c>
      <c r="BY44" s="18">
        <f t="shared" si="70"/>
        <v>0</v>
      </c>
      <c r="BZ44" s="18">
        <f t="shared" si="71"/>
        <v>0</v>
      </c>
      <c r="CA44" s="18">
        <f t="shared" si="72"/>
        <v>0</v>
      </c>
      <c r="CB44" s="18">
        <f t="shared" si="73"/>
        <v>0</v>
      </c>
      <c r="CC44" s="18">
        <f t="shared" si="74"/>
        <v>0</v>
      </c>
      <c r="CD44" s="18">
        <f t="shared" si="75"/>
        <v>0</v>
      </c>
      <c r="CE44" s="18">
        <f t="shared" si="76"/>
        <v>0</v>
      </c>
      <c r="CF44" s="18">
        <f t="shared" si="77"/>
        <v>0</v>
      </c>
      <c r="CG44" s="18">
        <f t="shared" si="78"/>
        <v>0</v>
      </c>
      <c r="CH44" s="18">
        <f t="shared" si="79"/>
        <v>0</v>
      </c>
      <c r="CI44" s="18">
        <f t="shared" si="80"/>
        <v>0</v>
      </c>
      <c r="CJ44" s="18">
        <f t="shared" si="81"/>
        <v>0</v>
      </c>
    </row>
    <row r="45" spans="1:99" x14ac:dyDescent="0.3">
      <c r="A45" s="1">
        <v>43892</v>
      </c>
      <c r="B45">
        <v>38144.019999999997</v>
      </c>
      <c r="C45">
        <f>Table1[[#This Row],[Close]]-0.001*Table1[[#This Row],[Close]]</f>
        <v>38105.875979999997</v>
      </c>
      <c r="D45">
        <f>Table1[[#This Row],[Close]]+0.001*Table1[[#This Row],[Close]]</f>
        <v>38182.164019999997</v>
      </c>
      <c r="E45" t="str">
        <f>IF(Table1[[#This Row],[Close]]&gt;D44,"UP",IF(Table1[[#This Row],[Close]]&lt;C44,"Down","Constant"))</f>
        <v>Down</v>
      </c>
      <c r="F45" s="3">
        <f>IF(Table1[[#This Row],[Column1]]="Up",1,IF(Table1[[#This Row],[Column1]]="Down",-1,0))</f>
        <v>-1</v>
      </c>
      <c r="G45">
        <f t="shared" si="0"/>
        <v>0</v>
      </c>
      <c r="H45" s="18">
        <f t="shared" si="1"/>
        <v>0</v>
      </c>
      <c r="I45" s="18">
        <f t="shared" si="2"/>
        <v>0</v>
      </c>
      <c r="J45" s="18">
        <f t="shared" si="3"/>
        <v>0</v>
      </c>
      <c r="K45" s="18">
        <f t="shared" si="4"/>
        <v>0</v>
      </c>
      <c r="L45" s="18">
        <f t="shared" si="5"/>
        <v>0</v>
      </c>
      <c r="M45" s="18">
        <f t="shared" si="6"/>
        <v>0</v>
      </c>
      <c r="N45" s="18">
        <f t="shared" si="7"/>
        <v>0</v>
      </c>
      <c r="O45" s="18">
        <f t="shared" si="8"/>
        <v>0</v>
      </c>
      <c r="P45" s="18">
        <f t="shared" si="9"/>
        <v>0</v>
      </c>
      <c r="Q45" s="18">
        <f t="shared" si="10"/>
        <v>0</v>
      </c>
      <c r="R45" s="18">
        <f t="shared" si="11"/>
        <v>0</v>
      </c>
      <c r="S45" s="18">
        <f t="shared" si="12"/>
        <v>0</v>
      </c>
      <c r="T45" s="18">
        <f t="shared" si="13"/>
        <v>0</v>
      </c>
      <c r="U45" s="18">
        <f t="shared" si="14"/>
        <v>0</v>
      </c>
      <c r="V45" s="18">
        <f t="shared" si="15"/>
        <v>0</v>
      </c>
      <c r="W45" s="18">
        <f t="shared" si="16"/>
        <v>0</v>
      </c>
      <c r="X45" s="18">
        <f t="shared" si="17"/>
        <v>0</v>
      </c>
      <c r="Y45" s="18">
        <f t="shared" si="18"/>
        <v>0</v>
      </c>
      <c r="Z45" s="18">
        <f t="shared" si="19"/>
        <v>1</v>
      </c>
      <c r="AA45" s="18">
        <f t="shared" si="20"/>
        <v>0</v>
      </c>
      <c r="AB45" s="18">
        <f t="shared" si="21"/>
        <v>0</v>
      </c>
      <c r="AC45" s="18">
        <f t="shared" si="22"/>
        <v>0</v>
      </c>
      <c r="AD45" s="18">
        <f t="shared" si="23"/>
        <v>0</v>
      </c>
      <c r="AE45" s="18">
        <f t="shared" si="24"/>
        <v>0</v>
      </c>
      <c r="AF45" s="18">
        <f t="shared" si="25"/>
        <v>0</v>
      </c>
      <c r="AG45" s="18">
        <f t="shared" si="26"/>
        <v>0</v>
      </c>
      <c r="AH45" s="18">
        <f t="shared" si="27"/>
        <v>0</v>
      </c>
      <c r="AI45" s="18">
        <f t="shared" si="28"/>
        <v>0</v>
      </c>
      <c r="AJ45" s="18">
        <f t="shared" si="29"/>
        <v>0</v>
      </c>
      <c r="AK45" s="18">
        <f t="shared" si="30"/>
        <v>0</v>
      </c>
      <c r="AL45" s="18">
        <f t="shared" si="31"/>
        <v>0</v>
      </c>
      <c r="AM45" s="18">
        <f t="shared" si="32"/>
        <v>0</v>
      </c>
      <c r="AN45" s="18">
        <f t="shared" si="33"/>
        <v>0</v>
      </c>
      <c r="AO45" s="18">
        <f t="shared" si="34"/>
        <v>0</v>
      </c>
      <c r="AP45" s="18">
        <f t="shared" si="35"/>
        <v>0</v>
      </c>
      <c r="AQ45" s="18">
        <f t="shared" si="36"/>
        <v>0</v>
      </c>
      <c r="AR45" s="18">
        <f t="shared" si="37"/>
        <v>0</v>
      </c>
      <c r="AS45" s="18">
        <f t="shared" si="38"/>
        <v>0</v>
      </c>
      <c r="AT45" s="18">
        <f t="shared" si="39"/>
        <v>0</v>
      </c>
      <c r="AU45" s="18">
        <f t="shared" si="40"/>
        <v>0</v>
      </c>
      <c r="AV45" s="18">
        <f t="shared" si="41"/>
        <v>0</v>
      </c>
      <c r="AW45" s="18">
        <f t="shared" si="42"/>
        <v>0</v>
      </c>
      <c r="AX45" s="18">
        <f t="shared" si="43"/>
        <v>0</v>
      </c>
      <c r="AY45" s="18">
        <f t="shared" si="44"/>
        <v>0</v>
      </c>
      <c r="AZ45" s="18">
        <f t="shared" si="45"/>
        <v>0</v>
      </c>
      <c r="BA45" s="18">
        <f t="shared" si="46"/>
        <v>0</v>
      </c>
      <c r="BB45" s="18">
        <f t="shared" si="47"/>
        <v>0</v>
      </c>
      <c r="BC45" s="18">
        <f t="shared" si="48"/>
        <v>0</v>
      </c>
      <c r="BD45" s="18">
        <f t="shared" si="49"/>
        <v>0</v>
      </c>
      <c r="BE45" s="18">
        <f t="shared" si="50"/>
        <v>0</v>
      </c>
      <c r="BF45" s="18">
        <f t="shared" si="51"/>
        <v>0</v>
      </c>
      <c r="BG45" s="18">
        <f t="shared" si="52"/>
        <v>0</v>
      </c>
      <c r="BH45" s="18">
        <f t="shared" si="53"/>
        <v>0</v>
      </c>
      <c r="BI45" s="18">
        <f t="shared" si="54"/>
        <v>0</v>
      </c>
      <c r="BJ45" s="18">
        <f t="shared" si="55"/>
        <v>0</v>
      </c>
      <c r="BK45" s="18">
        <f t="shared" si="56"/>
        <v>0</v>
      </c>
      <c r="BL45" s="18">
        <f t="shared" si="57"/>
        <v>0</v>
      </c>
      <c r="BM45" s="18">
        <f t="shared" si="58"/>
        <v>0</v>
      </c>
      <c r="BN45" s="18">
        <f t="shared" si="59"/>
        <v>0</v>
      </c>
      <c r="BO45" s="18">
        <f t="shared" si="60"/>
        <v>0</v>
      </c>
      <c r="BP45" s="18">
        <f t="shared" si="61"/>
        <v>0</v>
      </c>
      <c r="BQ45" s="18">
        <f t="shared" si="62"/>
        <v>0</v>
      </c>
      <c r="BR45" s="18">
        <f t="shared" si="63"/>
        <v>0</v>
      </c>
      <c r="BS45" s="18">
        <f t="shared" si="64"/>
        <v>0</v>
      </c>
      <c r="BT45" s="18">
        <f t="shared" si="65"/>
        <v>0</v>
      </c>
      <c r="BU45" s="18">
        <f t="shared" si="66"/>
        <v>0</v>
      </c>
      <c r="BV45" s="18">
        <f t="shared" si="67"/>
        <v>0</v>
      </c>
      <c r="BW45" s="18">
        <f t="shared" si="68"/>
        <v>0</v>
      </c>
      <c r="BX45" s="18">
        <f t="shared" si="69"/>
        <v>0</v>
      </c>
      <c r="BY45" s="18">
        <f t="shared" si="70"/>
        <v>0</v>
      </c>
      <c r="BZ45" s="18">
        <f t="shared" si="71"/>
        <v>0</v>
      </c>
      <c r="CA45" s="18">
        <f t="shared" si="72"/>
        <v>0</v>
      </c>
      <c r="CB45" s="18">
        <f t="shared" si="73"/>
        <v>0</v>
      </c>
      <c r="CC45" s="18">
        <f t="shared" si="74"/>
        <v>0</v>
      </c>
      <c r="CD45" s="18">
        <f t="shared" si="75"/>
        <v>0</v>
      </c>
      <c r="CE45" s="18">
        <f t="shared" si="76"/>
        <v>0</v>
      </c>
      <c r="CF45" s="18">
        <f t="shared" si="77"/>
        <v>0</v>
      </c>
      <c r="CG45" s="18">
        <f t="shared" si="78"/>
        <v>0</v>
      </c>
      <c r="CH45" s="18">
        <f t="shared" si="79"/>
        <v>0</v>
      </c>
      <c r="CI45" s="18">
        <f t="shared" si="80"/>
        <v>0</v>
      </c>
      <c r="CJ45" s="18">
        <f t="shared" si="81"/>
        <v>0</v>
      </c>
    </row>
    <row r="46" spans="1:99" x14ac:dyDescent="0.3">
      <c r="A46" s="1">
        <v>43893</v>
      </c>
      <c r="B46">
        <v>38623.699999999997</v>
      </c>
      <c r="C46">
        <f>Table1[[#This Row],[Close]]-0.001*Table1[[#This Row],[Close]]</f>
        <v>38585.076300000001</v>
      </c>
      <c r="D46">
        <f>Table1[[#This Row],[Close]]+0.001*Table1[[#This Row],[Close]]</f>
        <v>38662.323699999994</v>
      </c>
      <c r="E46" t="str">
        <f>IF(Table1[[#This Row],[Close]]&gt;D45,"UP",IF(Table1[[#This Row],[Close]]&lt;C45,"Down","Constant"))</f>
        <v>UP</v>
      </c>
      <c r="F46" s="3">
        <f>IF(Table1[[#This Row],[Column1]]="Up",1,IF(Table1[[#This Row],[Column1]]="Down",-1,0))</f>
        <v>1</v>
      </c>
      <c r="G46">
        <f t="shared" si="0"/>
        <v>0</v>
      </c>
      <c r="H46" s="18">
        <f t="shared" si="1"/>
        <v>0</v>
      </c>
      <c r="I46" s="18">
        <f t="shared" si="2"/>
        <v>0</v>
      </c>
      <c r="J46" s="18">
        <f t="shared" si="3"/>
        <v>0</v>
      </c>
      <c r="K46" s="18">
        <f t="shared" si="4"/>
        <v>0</v>
      </c>
      <c r="L46" s="18">
        <f t="shared" si="5"/>
        <v>0</v>
      </c>
      <c r="M46" s="18">
        <f t="shared" si="6"/>
        <v>0</v>
      </c>
      <c r="N46" s="18">
        <f t="shared" si="7"/>
        <v>0</v>
      </c>
      <c r="O46" s="18">
        <f t="shared" si="8"/>
        <v>0</v>
      </c>
      <c r="P46" s="18">
        <f t="shared" si="9"/>
        <v>0</v>
      </c>
      <c r="Q46" s="18">
        <f t="shared" si="10"/>
        <v>0</v>
      </c>
      <c r="R46" s="18">
        <f t="shared" si="11"/>
        <v>0</v>
      </c>
      <c r="S46" s="18">
        <f t="shared" si="12"/>
        <v>0</v>
      </c>
      <c r="T46" s="18">
        <f t="shared" si="13"/>
        <v>0</v>
      </c>
      <c r="U46" s="18">
        <f t="shared" si="14"/>
        <v>0</v>
      </c>
      <c r="V46" s="18">
        <f t="shared" si="15"/>
        <v>0</v>
      </c>
      <c r="W46" s="18">
        <f t="shared" si="16"/>
        <v>0</v>
      </c>
      <c r="X46" s="18">
        <f t="shared" si="17"/>
        <v>0</v>
      </c>
      <c r="Y46" s="18">
        <f t="shared" si="18"/>
        <v>0</v>
      </c>
      <c r="Z46" s="18">
        <f t="shared" si="19"/>
        <v>0</v>
      </c>
      <c r="AA46" s="18">
        <f t="shared" si="20"/>
        <v>0</v>
      </c>
      <c r="AB46" s="18">
        <f t="shared" si="21"/>
        <v>1</v>
      </c>
      <c r="AC46" s="18">
        <f t="shared" si="22"/>
        <v>0</v>
      </c>
      <c r="AD46" s="18">
        <f t="shared" si="23"/>
        <v>0</v>
      </c>
      <c r="AE46" s="18">
        <f t="shared" si="24"/>
        <v>0</v>
      </c>
      <c r="AF46" s="18">
        <f t="shared" si="25"/>
        <v>0</v>
      </c>
      <c r="AG46" s="18">
        <f t="shared" si="26"/>
        <v>0</v>
      </c>
      <c r="AH46" s="18">
        <f t="shared" si="27"/>
        <v>0</v>
      </c>
      <c r="AI46" s="18">
        <f t="shared" si="28"/>
        <v>0</v>
      </c>
      <c r="AJ46" s="18">
        <f t="shared" si="29"/>
        <v>0</v>
      </c>
      <c r="AK46" s="18">
        <f t="shared" si="30"/>
        <v>0</v>
      </c>
      <c r="AL46" s="18">
        <f t="shared" si="31"/>
        <v>0</v>
      </c>
      <c r="AM46" s="18">
        <f t="shared" si="32"/>
        <v>0</v>
      </c>
      <c r="AN46" s="18">
        <f t="shared" si="33"/>
        <v>0</v>
      </c>
      <c r="AO46" s="18">
        <f t="shared" si="34"/>
        <v>0</v>
      </c>
      <c r="AP46" s="18">
        <f t="shared" si="35"/>
        <v>0</v>
      </c>
      <c r="AQ46" s="18">
        <f t="shared" si="36"/>
        <v>0</v>
      </c>
      <c r="AR46" s="18">
        <f t="shared" si="37"/>
        <v>0</v>
      </c>
      <c r="AS46" s="18">
        <f t="shared" si="38"/>
        <v>0</v>
      </c>
      <c r="AT46" s="18">
        <f t="shared" si="39"/>
        <v>0</v>
      </c>
      <c r="AU46" s="18">
        <f t="shared" si="40"/>
        <v>0</v>
      </c>
      <c r="AV46" s="18">
        <f t="shared" si="41"/>
        <v>0</v>
      </c>
      <c r="AW46" s="18">
        <f t="shared" si="42"/>
        <v>0</v>
      </c>
      <c r="AX46" s="18">
        <f t="shared" si="43"/>
        <v>0</v>
      </c>
      <c r="AY46" s="18">
        <f t="shared" si="44"/>
        <v>0</v>
      </c>
      <c r="AZ46" s="18">
        <f t="shared" si="45"/>
        <v>0</v>
      </c>
      <c r="BA46" s="18">
        <f t="shared" si="46"/>
        <v>0</v>
      </c>
      <c r="BB46" s="18">
        <f t="shared" si="47"/>
        <v>0</v>
      </c>
      <c r="BC46" s="18">
        <f t="shared" si="48"/>
        <v>0</v>
      </c>
      <c r="BD46" s="18">
        <f t="shared" si="49"/>
        <v>0</v>
      </c>
      <c r="BE46" s="18">
        <f t="shared" si="50"/>
        <v>0</v>
      </c>
      <c r="BF46" s="18">
        <f t="shared" si="51"/>
        <v>0</v>
      </c>
      <c r="BG46" s="18">
        <f t="shared" si="52"/>
        <v>0</v>
      </c>
      <c r="BH46" s="18">
        <f t="shared" si="53"/>
        <v>0</v>
      </c>
      <c r="BI46" s="18">
        <f t="shared" si="54"/>
        <v>0</v>
      </c>
      <c r="BJ46" s="18">
        <f t="shared" si="55"/>
        <v>0</v>
      </c>
      <c r="BK46" s="18">
        <f t="shared" si="56"/>
        <v>0</v>
      </c>
      <c r="BL46" s="18">
        <f t="shared" si="57"/>
        <v>0</v>
      </c>
      <c r="BM46" s="18">
        <f t="shared" si="58"/>
        <v>0</v>
      </c>
      <c r="BN46" s="18">
        <f t="shared" si="59"/>
        <v>0</v>
      </c>
      <c r="BO46" s="18">
        <f t="shared" si="60"/>
        <v>0</v>
      </c>
      <c r="BP46" s="18">
        <f t="shared" si="61"/>
        <v>0</v>
      </c>
      <c r="BQ46" s="18">
        <f t="shared" si="62"/>
        <v>0</v>
      </c>
      <c r="BR46" s="18">
        <f t="shared" si="63"/>
        <v>0</v>
      </c>
      <c r="BS46" s="18">
        <f t="shared" si="64"/>
        <v>0</v>
      </c>
      <c r="BT46" s="18">
        <f t="shared" si="65"/>
        <v>0</v>
      </c>
      <c r="BU46" s="18">
        <f t="shared" si="66"/>
        <v>0</v>
      </c>
      <c r="BV46" s="18">
        <f t="shared" si="67"/>
        <v>0</v>
      </c>
      <c r="BW46" s="18">
        <f t="shared" si="68"/>
        <v>0</v>
      </c>
      <c r="BX46" s="18">
        <f t="shared" si="69"/>
        <v>0</v>
      </c>
      <c r="BY46" s="18">
        <f t="shared" si="70"/>
        <v>0</v>
      </c>
      <c r="BZ46" s="18">
        <f t="shared" si="71"/>
        <v>0</v>
      </c>
      <c r="CA46" s="18">
        <f t="shared" si="72"/>
        <v>0</v>
      </c>
      <c r="CB46" s="18">
        <f t="shared" si="73"/>
        <v>0</v>
      </c>
      <c r="CC46" s="18">
        <f t="shared" si="74"/>
        <v>0</v>
      </c>
      <c r="CD46" s="18">
        <f t="shared" si="75"/>
        <v>0</v>
      </c>
      <c r="CE46" s="18">
        <f t="shared" si="76"/>
        <v>0</v>
      </c>
      <c r="CF46" s="18">
        <f t="shared" si="77"/>
        <v>0</v>
      </c>
      <c r="CG46" s="18">
        <f t="shared" si="78"/>
        <v>0</v>
      </c>
      <c r="CH46" s="18">
        <f t="shared" si="79"/>
        <v>0</v>
      </c>
      <c r="CI46" s="18">
        <f t="shared" si="80"/>
        <v>0</v>
      </c>
      <c r="CJ46" s="18">
        <f t="shared" si="81"/>
        <v>0</v>
      </c>
    </row>
    <row r="47" spans="1:99" x14ac:dyDescent="0.3">
      <c r="A47" s="1">
        <v>43894</v>
      </c>
      <c r="B47">
        <v>38409.480000000003</v>
      </c>
      <c r="C47">
        <f>Table1[[#This Row],[Close]]-0.001*Table1[[#This Row],[Close]]</f>
        <v>38371.070520000001</v>
      </c>
      <c r="D47">
        <f>Table1[[#This Row],[Close]]+0.001*Table1[[#This Row],[Close]]</f>
        <v>38447.889480000005</v>
      </c>
      <c r="E47" t="str">
        <f>IF(Table1[[#This Row],[Close]]&gt;D46,"UP",IF(Table1[[#This Row],[Close]]&lt;C46,"Down","Constant"))</f>
        <v>Down</v>
      </c>
      <c r="F47" s="3">
        <f>IF(Table1[[#This Row],[Column1]]="Up",1,IF(Table1[[#This Row],[Column1]]="Down",-1,0))</f>
        <v>-1</v>
      </c>
      <c r="G47">
        <f t="shared" si="0"/>
        <v>0</v>
      </c>
      <c r="H47" s="18">
        <f t="shared" si="1"/>
        <v>0</v>
      </c>
      <c r="I47" s="18">
        <f t="shared" si="2"/>
        <v>0</v>
      </c>
      <c r="J47" s="18">
        <f t="shared" si="3"/>
        <v>0</v>
      </c>
      <c r="K47" s="18">
        <f t="shared" si="4"/>
        <v>0</v>
      </c>
      <c r="L47" s="18">
        <f t="shared" si="5"/>
        <v>0</v>
      </c>
      <c r="M47" s="18">
        <f t="shared" si="6"/>
        <v>0</v>
      </c>
      <c r="N47" s="18">
        <f t="shared" si="7"/>
        <v>0</v>
      </c>
      <c r="O47" s="18">
        <f t="shared" si="8"/>
        <v>0</v>
      </c>
      <c r="P47" s="18">
        <f t="shared" si="9"/>
        <v>0</v>
      </c>
      <c r="Q47" s="18">
        <f t="shared" si="10"/>
        <v>0</v>
      </c>
      <c r="R47" s="18">
        <f t="shared" si="11"/>
        <v>0</v>
      </c>
      <c r="S47" s="18">
        <f t="shared" si="12"/>
        <v>0</v>
      </c>
      <c r="T47" s="18">
        <f t="shared" si="13"/>
        <v>1</v>
      </c>
      <c r="U47" s="18">
        <f t="shared" si="14"/>
        <v>0</v>
      </c>
      <c r="V47" s="18">
        <f t="shared" si="15"/>
        <v>0</v>
      </c>
      <c r="W47" s="18">
        <f t="shared" si="16"/>
        <v>0</v>
      </c>
      <c r="X47" s="18">
        <f t="shared" si="17"/>
        <v>0</v>
      </c>
      <c r="Y47" s="18">
        <f t="shared" si="18"/>
        <v>0</v>
      </c>
      <c r="Z47" s="18">
        <f t="shared" si="19"/>
        <v>0</v>
      </c>
      <c r="AA47" s="18">
        <f t="shared" si="20"/>
        <v>0</v>
      </c>
      <c r="AB47" s="18">
        <f t="shared" si="21"/>
        <v>0</v>
      </c>
      <c r="AC47" s="18">
        <f t="shared" si="22"/>
        <v>0</v>
      </c>
      <c r="AD47" s="18">
        <f t="shared" si="23"/>
        <v>0</v>
      </c>
      <c r="AE47" s="18">
        <f t="shared" si="24"/>
        <v>0</v>
      </c>
      <c r="AF47" s="18">
        <f t="shared" si="25"/>
        <v>0</v>
      </c>
      <c r="AG47" s="18">
        <f t="shared" si="26"/>
        <v>0</v>
      </c>
      <c r="AH47" s="18">
        <f t="shared" si="27"/>
        <v>0</v>
      </c>
      <c r="AI47" s="18">
        <f t="shared" si="28"/>
        <v>0</v>
      </c>
      <c r="AJ47" s="18">
        <f t="shared" si="29"/>
        <v>0</v>
      </c>
      <c r="AK47" s="18">
        <f t="shared" si="30"/>
        <v>0</v>
      </c>
      <c r="AL47" s="18">
        <f t="shared" si="31"/>
        <v>0</v>
      </c>
      <c r="AM47" s="18">
        <f t="shared" si="32"/>
        <v>0</v>
      </c>
      <c r="AN47" s="18">
        <f t="shared" si="33"/>
        <v>0</v>
      </c>
      <c r="AO47" s="18">
        <f t="shared" si="34"/>
        <v>0</v>
      </c>
      <c r="AP47" s="18">
        <f t="shared" si="35"/>
        <v>0</v>
      </c>
      <c r="AQ47" s="18">
        <f t="shared" si="36"/>
        <v>0</v>
      </c>
      <c r="AR47" s="18">
        <f t="shared" si="37"/>
        <v>0</v>
      </c>
      <c r="AS47" s="18">
        <f t="shared" si="38"/>
        <v>0</v>
      </c>
      <c r="AT47" s="18">
        <f t="shared" si="39"/>
        <v>0</v>
      </c>
      <c r="AU47" s="18">
        <f t="shared" si="40"/>
        <v>0</v>
      </c>
      <c r="AV47" s="18">
        <f t="shared" si="41"/>
        <v>0</v>
      </c>
      <c r="AW47" s="18">
        <f t="shared" si="42"/>
        <v>0</v>
      </c>
      <c r="AX47" s="18">
        <f t="shared" si="43"/>
        <v>0</v>
      </c>
      <c r="AY47" s="18">
        <f t="shared" si="44"/>
        <v>0</v>
      </c>
      <c r="AZ47" s="18">
        <f t="shared" si="45"/>
        <v>0</v>
      </c>
      <c r="BA47" s="18">
        <f t="shared" si="46"/>
        <v>0</v>
      </c>
      <c r="BB47" s="18">
        <f t="shared" si="47"/>
        <v>0</v>
      </c>
      <c r="BC47" s="18">
        <f t="shared" si="48"/>
        <v>0</v>
      </c>
      <c r="BD47" s="18">
        <f t="shared" si="49"/>
        <v>0</v>
      </c>
      <c r="BE47" s="18">
        <f t="shared" si="50"/>
        <v>0</v>
      </c>
      <c r="BF47" s="18">
        <f t="shared" si="51"/>
        <v>0</v>
      </c>
      <c r="BG47" s="18">
        <f t="shared" si="52"/>
        <v>0</v>
      </c>
      <c r="BH47" s="18">
        <f t="shared" si="53"/>
        <v>0</v>
      </c>
      <c r="BI47" s="18">
        <f t="shared" si="54"/>
        <v>0</v>
      </c>
      <c r="BJ47" s="18">
        <f t="shared" si="55"/>
        <v>0</v>
      </c>
      <c r="BK47" s="18">
        <f t="shared" si="56"/>
        <v>0</v>
      </c>
      <c r="BL47" s="18">
        <f t="shared" si="57"/>
        <v>0</v>
      </c>
      <c r="BM47" s="18">
        <f t="shared" si="58"/>
        <v>0</v>
      </c>
      <c r="BN47" s="18">
        <f t="shared" si="59"/>
        <v>0</v>
      </c>
      <c r="BO47" s="18">
        <f t="shared" si="60"/>
        <v>0</v>
      </c>
      <c r="BP47" s="18">
        <f t="shared" si="61"/>
        <v>0</v>
      </c>
      <c r="BQ47" s="18">
        <f t="shared" si="62"/>
        <v>0</v>
      </c>
      <c r="BR47" s="18">
        <f t="shared" si="63"/>
        <v>0</v>
      </c>
      <c r="BS47" s="18">
        <f t="shared" si="64"/>
        <v>0</v>
      </c>
      <c r="BT47" s="18">
        <f t="shared" si="65"/>
        <v>0</v>
      </c>
      <c r="BU47" s="18">
        <f t="shared" si="66"/>
        <v>0</v>
      </c>
      <c r="BV47" s="18">
        <f t="shared" si="67"/>
        <v>0</v>
      </c>
      <c r="BW47" s="18">
        <f t="shared" si="68"/>
        <v>0</v>
      </c>
      <c r="BX47" s="18">
        <f t="shared" si="69"/>
        <v>0</v>
      </c>
      <c r="BY47" s="18">
        <f t="shared" si="70"/>
        <v>0</v>
      </c>
      <c r="BZ47" s="18">
        <f t="shared" si="71"/>
        <v>0</v>
      </c>
      <c r="CA47" s="18">
        <f t="shared" si="72"/>
        <v>0</v>
      </c>
      <c r="CB47" s="18">
        <f t="shared" si="73"/>
        <v>0</v>
      </c>
      <c r="CC47" s="18">
        <f t="shared" si="74"/>
        <v>0</v>
      </c>
      <c r="CD47" s="18">
        <f t="shared" si="75"/>
        <v>0</v>
      </c>
      <c r="CE47" s="18">
        <f t="shared" si="76"/>
        <v>0</v>
      </c>
      <c r="CF47" s="18">
        <f t="shared" si="77"/>
        <v>0</v>
      </c>
      <c r="CG47" s="18">
        <f t="shared" si="78"/>
        <v>0</v>
      </c>
      <c r="CH47" s="18">
        <f t="shared" si="79"/>
        <v>0</v>
      </c>
      <c r="CI47" s="18">
        <f t="shared" si="80"/>
        <v>0</v>
      </c>
      <c r="CJ47" s="18">
        <f t="shared" si="81"/>
        <v>0</v>
      </c>
    </row>
    <row r="48" spans="1:99" x14ac:dyDescent="0.3">
      <c r="A48" s="1">
        <v>43895</v>
      </c>
      <c r="B48">
        <v>38470.61</v>
      </c>
      <c r="C48">
        <f>Table1[[#This Row],[Close]]-0.001*Table1[[#This Row],[Close]]</f>
        <v>38432.139390000004</v>
      </c>
      <c r="D48">
        <f>Table1[[#This Row],[Close]]+0.001*Table1[[#This Row],[Close]]</f>
        <v>38509.080609999997</v>
      </c>
      <c r="E48" t="str">
        <f>IF(Table1[[#This Row],[Close]]&gt;D47,"UP",IF(Table1[[#This Row],[Close]]&lt;C47,"Down","Constant"))</f>
        <v>UP</v>
      </c>
      <c r="F48" s="3">
        <f>IF(Table1[[#This Row],[Column1]]="Up",1,IF(Table1[[#This Row],[Column1]]="Down",-1,0))</f>
        <v>1</v>
      </c>
      <c r="G48">
        <f t="shared" si="0"/>
        <v>0</v>
      </c>
      <c r="H48" s="18">
        <f t="shared" si="1"/>
        <v>0</v>
      </c>
      <c r="I48" s="18">
        <f t="shared" si="2"/>
        <v>0</v>
      </c>
      <c r="J48" s="18">
        <f t="shared" si="3"/>
        <v>0</v>
      </c>
      <c r="K48" s="18">
        <f t="shared" si="4"/>
        <v>0</v>
      </c>
      <c r="L48" s="18">
        <f t="shared" si="5"/>
        <v>0</v>
      </c>
      <c r="M48" s="18">
        <f t="shared" si="6"/>
        <v>0</v>
      </c>
      <c r="N48" s="18">
        <f t="shared" si="7"/>
        <v>0</v>
      </c>
      <c r="O48" s="18">
        <f t="shared" si="8"/>
        <v>0</v>
      </c>
      <c r="P48" s="18">
        <f t="shared" si="9"/>
        <v>0</v>
      </c>
      <c r="Q48" s="18">
        <f t="shared" si="10"/>
        <v>0</v>
      </c>
      <c r="R48" s="18">
        <f t="shared" si="11"/>
        <v>0</v>
      </c>
      <c r="S48" s="18">
        <f t="shared" si="12"/>
        <v>0</v>
      </c>
      <c r="T48" s="18">
        <f t="shared" si="13"/>
        <v>0</v>
      </c>
      <c r="U48" s="18">
        <f t="shared" si="14"/>
        <v>0</v>
      </c>
      <c r="V48" s="18">
        <f t="shared" si="15"/>
        <v>0</v>
      </c>
      <c r="W48" s="18">
        <f t="shared" si="16"/>
        <v>0</v>
      </c>
      <c r="X48" s="18">
        <f t="shared" si="17"/>
        <v>0</v>
      </c>
      <c r="Y48" s="18">
        <f t="shared" si="18"/>
        <v>0</v>
      </c>
      <c r="Z48" s="18">
        <f t="shared" si="19"/>
        <v>0</v>
      </c>
      <c r="AA48" s="18">
        <f t="shared" si="20"/>
        <v>0</v>
      </c>
      <c r="AB48" s="18">
        <f t="shared" si="21"/>
        <v>0</v>
      </c>
      <c r="AC48" s="18">
        <f t="shared" si="22"/>
        <v>0</v>
      </c>
      <c r="AD48" s="18">
        <f t="shared" si="23"/>
        <v>0</v>
      </c>
      <c r="AE48" s="18">
        <f t="shared" si="24"/>
        <v>1</v>
      </c>
      <c r="AF48" s="18">
        <f t="shared" si="25"/>
        <v>0</v>
      </c>
      <c r="AG48" s="18">
        <f t="shared" si="26"/>
        <v>0</v>
      </c>
      <c r="AH48" s="18">
        <f t="shared" si="27"/>
        <v>0</v>
      </c>
      <c r="AI48" s="18">
        <f t="shared" si="28"/>
        <v>0</v>
      </c>
      <c r="AJ48" s="18">
        <f t="shared" si="29"/>
        <v>0</v>
      </c>
      <c r="AK48" s="18">
        <f t="shared" si="30"/>
        <v>0</v>
      </c>
      <c r="AL48" s="18">
        <f t="shared" si="31"/>
        <v>0</v>
      </c>
      <c r="AM48" s="18">
        <f t="shared" si="32"/>
        <v>0</v>
      </c>
      <c r="AN48" s="18">
        <f t="shared" si="33"/>
        <v>0</v>
      </c>
      <c r="AO48" s="18">
        <f t="shared" si="34"/>
        <v>0</v>
      </c>
      <c r="AP48" s="18">
        <f t="shared" si="35"/>
        <v>0</v>
      </c>
      <c r="AQ48" s="18">
        <f t="shared" si="36"/>
        <v>0</v>
      </c>
      <c r="AR48" s="18">
        <f t="shared" si="37"/>
        <v>0</v>
      </c>
      <c r="AS48" s="18">
        <f t="shared" si="38"/>
        <v>0</v>
      </c>
      <c r="AT48" s="18">
        <f t="shared" si="39"/>
        <v>0</v>
      </c>
      <c r="AU48" s="18">
        <f t="shared" si="40"/>
        <v>0</v>
      </c>
      <c r="AV48" s="18">
        <f t="shared" si="41"/>
        <v>0</v>
      </c>
      <c r="AW48" s="18">
        <f t="shared" si="42"/>
        <v>0</v>
      </c>
      <c r="AX48" s="18">
        <f t="shared" si="43"/>
        <v>0</v>
      </c>
      <c r="AY48" s="18">
        <f t="shared" si="44"/>
        <v>0</v>
      </c>
      <c r="AZ48" s="18">
        <f t="shared" si="45"/>
        <v>0</v>
      </c>
      <c r="BA48" s="18">
        <f t="shared" si="46"/>
        <v>0</v>
      </c>
      <c r="BB48" s="18">
        <f t="shared" si="47"/>
        <v>0</v>
      </c>
      <c r="BC48" s="18">
        <f t="shared" si="48"/>
        <v>0</v>
      </c>
      <c r="BD48" s="18">
        <f t="shared" si="49"/>
        <v>0</v>
      </c>
      <c r="BE48" s="18">
        <f t="shared" si="50"/>
        <v>0</v>
      </c>
      <c r="BF48" s="18">
        <f t="shared" si="51"/>
        <v>0</v>
      </c>
      <c r="BG48" s="18">
        <f t="shared" si="52"/>
        <v>0</v>
      </c>
      <c r="BH48" s="18">
        <f t="shared" si="53"/>
        <v>0</v>
      </c>
      <c r="BI48" s="18">
        <f t="shared" si="54"/>
        <v>0</v>
      </c>
      <c r="BJ48" s="18">
        <f t="shared" si="55"/>
        <v>0</v>
      </c>
      <c r="BK48" s="18">
        <f t="shared" si="56"/>
        <v>0</v>
      </c>
      <c r="BL48" s="18">
        <f t="shared" si="57"/>
        <v>0</v>
      </c>
      <c r="BM48" s="18">
        <f t="shared" si="58"/>
        <v>0</v>
      </c>
      <c r="BN48" s="18">
        <f t="shared" si="59"/>
        <v>0</v>
      </c>
      <c r="BO48" s="18">
        <f t="shared" si="60"/>
        <v>0</v>
      </c>
      <c r="BP48" s="18">
        <f t="shared" si="61"/>
        <v>0</v>
      </c>
      <c r="BQ48" s="18">
        <f t="shared" si="62"/>
        <v>0</v>
      </c>
      <c r="BR48" s="18">
        <f t="shared" si="63"/>
        <v>0</v>
      </c>
      <c r="BS48" s="18">
        <f t="shared" si="64"/>
        <v>0</v>
      </c>
      <c r="BT48" s="18">
        <f t="shared" si="65"/>
        <v>0</v>
      </c>
      <c r="BU48" s="18">
        <f t="shared" si="66"/>
        <v>0</v>
      </c>
      <c r="BV48" s="18">
        <f t="shared" si="67"/>
        <v>0</v>
      </c>
      <c r="BW48" s="18">
        <f t="shared" si="68"/>
        <v>0</v>
      </c>
      <c r="BX48" s="18">
        <f t="shared" si="69"/>
        <v>0</v>
      </c>
      <c r="BY48" s="18">
        <f t="shared" si="70"/>
        <v>0</v>
      </c>
      <c r="BZ48" s="18">
        <f t="shared" si="71"/>
        <v>0</v>
      </c>
      <c r="CA48" s="18">
        <f t="shared" si="72"/>
        <v>0</v>
      </c>
      <c r="CB48" s="18">
        <f t="shared" si="73"/>
        <v>0</v>
      </c>
      <c r="CC48" s="18">
        <f t="shared" si="74"/>
        <v>0</v>
      </c>
      <c r="CD48" s="18">
        <f t="shared" si="75"/>
        <v>0</v>
      </c>
      <c r="CE48" s="18">
        <f t="shared" si="76"/>
        <v>0</v>
      </c>
      <c r="CF48" s="18">
        <f t="shared" si="77"/>
        <v>0</v>
      </c>
      <c r="CG48" s="18">
        <f t="shared" si="78"/>
        <v>0</v>
      </c>
      <c r="CH48" s="18">
        <f t="shared" si="79"/>
        <v>0</v>
      </c>
      <c r="CI48" s="18">
        <f t="shared" si="80"/>
        <v>0</v>
      </c>
      <c r="CJ48" s="18">
        <f t="shared" si="81"/>
        <v>0</v>
      </c>
    </row>
    <row r="49" spans="1:88" x14ac:dyDescent="0.3">
      <c r="A49" s="1">
        <v>43896</v>
      </c>
      <c r="B49">
        <v>37576.620000000003</v>
      </c>
      <c r="C49">
        <f>Table1[[#This Row],[Close]]-0.001*Table1[[#This Row],[Close]]</f>
        <v>37539.043380000003</v>
      </c>
      <c r="D49">
        <f>Table1[[#This Row],[Close]]+0.001*Table1[[#This Row],[Close]]</f>
        <v>37614.196620000002</v>
      </c>
      <c r="E49" t="str">
        <f>IF(Table1[[#This Row],[Close]]&gt;D48,"UP",IF(Table1[[#This Row],[Close]]&lt;C48,"Down","Constant"))</f>
        <v>Down</v>
      </c>
      <c r="F49" s="3">
        <f>IF(Table1[[#This Row],[Column1]]="Up",1,IF(Table1[[#This Row],[Column1]]="Down",-1,0))</f>
        <v>-1</v>
      </c>
      <c r="G49">
        <f t="shared" si="0"/>
        <v>0</v>
      </c>
      <c r="H49" s="18">
        <f t="shared" si="1"/>
        <v>0</v>
      </c>
      <c r="I49" s="18">
        <f t="shared" si="2"/>
        <v>0</v>
      </c>
      <c r="J49" s="18">
        <f t="shared" si="3"/>
        <v>0</v>
      </c>
      <c r="K49" s="18">
        <f t="shared" si="4"/>
        <v>0</v>
      </c>
      <c r="L49" s="18">
        <f t="shared" si="5"/>
        <v>0</v>
      </c>
      <c r="M49" s="18">
        <f t="shared" si="6"/>
        <v>0</v>
      </c>
      <c r="N49" s="18">
        <f t="shared" si="7"/>
        <v>1</v>
      </c>
      <c r="O49" s="18">
        <f t="shared" si="8"/>
        <v>0</v>
      </c>
      <c r="P49" s="18">
        <f t="shared" si="9"/>
        <v>0</v>
      </c>
      <c r="Q49" s="18">
        <f t="shared" si="10"/>
        <v>0</v>
      </c>
      <c r="R49" s="18">
        <f t="shared" si="11"/>
        <v>0</v>
      </c>
      <c r="S49" s="18">
        <f t="shared" si="12"/>
        <v>0</v>
      </c>
      <c r="T49" s="18">
        <f t="shared" si="13"/>
        <v>0</v>
      </c>
      <c r="U49" s="18">
        <f t="shared" si="14"/>
        <v>0</v>
      </c>
      <c r="V49" s="18">
        <f t="shared" si="15"/>
        <v>0</v>
      </c>
      <c r="W49" s="18">
        <f t="shared" si="16"/>
        <v>0</v>
      </c>
      <c r="X49" s="18">
        <f t="shared" si="17"/>
        <v>0</v>
      </c>
      <c r="Y49" s="18">
        <f t="shared" si="18"/>
        <v>0</v>
      </c>
      <c r="Z49" s="18">
        <f t="shared" si="19"/>
        <v>0</v>
      </c>
      <c r="AA49" s="18">
        <f t="shared" si="20"/>
        <v>0</v>
      </c>
      <c r="AB49" s="18">
        <f t="shared" si="21"/>
        <v>0</v>
      </c>
      <c r="AC49" s="18">
        <f t="shared" si="22"/>
        <v>0</v>
      </c>
      <c r="AD49" s="18">
        <f t="shared" si="23"/>
        <v>0</v>
      </c>
      <c r="AE49" s="18">
        <f t="shared" si="24"/>
        <v>0</v>
      </c>
      <c r="AF49" s="18">
        <f t="shared" si="25"/>
        <v>0</v>
      </c>
      <c r="AG49" s="18">
        <f t="shared" si="26"/>
        <v>0</v>
      </c>
      <c r="AH49" s="18">
        <f t="shared" si="27"/>
        <v>0</v>
      </c>
      <c r="AI49" s="18">
        <f t="shared" si="28"/>
        <v>0</v>
      </c>
      <c r="AJ49" s="18">
        <f t="shared" si="29"/>
        <v>0</v>
      </c>
      <c r="AK49" s="18">
        <f t="shared" si="30"/>
        <v>0</v>
      </c>
      <c r="AL49" s="18">
        <f t="shared" si="31"/>
        <v>0</v>
      </c>
      <c r="AM49" s="18">
        <f t="shared" si="32"/>
        <v>0</v>
      </c>
      <c r="AN49" s="18">
        <f t="shared" si="33"/>
        <v>0</v>
      </c>
      <c r="AO49" s="18">
        <f t="shared" si="34"/>
        <v>0</v>
      </c>
      <c r="AP49" s="18">
        <f t="shared" si="35"/>
        <v>0</v>
      </c>
      <c r="AQ49" s="18">
        <f t="shared" si="36"/>
        <v>0</v>
      </c>
      <c r="AR49" s="18">
        <f t="shared" si="37"/>
        <v>0</v>
      </c>
      <c r="AS49" s="18">
        <f t="shared" si="38"/>
        <v>0</v>
      </c>
      <c r="AT49" s="18">
        <f t="shared" si="39"/>
        <v>0</v>
      </c>
      <c r="AU49" s="18">
        <f t="shared" si="40"/>
        <v>0</v>
      </c>
      <c r="AV49" s="18">
        <f t="shared" si="41"/>
        <v>0</v>
      </c>
      <c r="AW49" s="18">
        <f t="shared" si="42"/>
        <v>0</v>
      </c>
      <c r="AX49" s="18">
        <f t="shared" si="43"/>
        <v>0</v>
      </c>
      <c r="AY49" s="18">
        <f t="shared" si="44"/>
        <v>0</v>
      </c>
      <c r="AZ49" s="18">
        <f t="shared" si="45"/>
        <v>0</v>
      </c>
      <c r="BA49" s="18">
        <f t="shared" si="46"/>
        <v>0</v>
      </c>
      <c r="BB49" s="18">
        <f t="shared" si="47"/>
        <v>0</v>
      </c>
      <c r="BC49" s="18">
        <f t="shared" si="48"/>
        <v>0</v>
      </c>
      <c r="BD49" s="18">
        <f t="shared" si="49"/>
        <v>0</v>
      </c>
      <c r="BE49" s="18">
        <f t="shared" si="50"/>
        <v>0</v>
      </c>
      <c r="BF49" s="18">
        <f t="shared" si="51"/>
        <v>0</v>
      </c>
      <c r="BG49" s="18">
        <f t="shared" si="52"/>
        <v>0</v>
      </c>
      <c r="BH49" s="18">
        <f t="shared" si="53"/>
        <v>0</v>
      </c>
      <c r="BI49" s="18">
        <f t="shared" si="54"/>
        <v>0</v>
      </c>
      <c r="BJ49" s="18">
        <f t="shared" si="55"/>
        <v>0</v>
      </c>
      <c r="BK49" s="18">
        <f t="shared" si="56"/>
        <v>0</v>
      </c>
      <c r="BL49" s="18">
        <f t="shared" si="57"/>
        <v>0</v>
      </c>
      <c r="BM49" s="18">
        <f t="shared" si="58"/>
        <v>0</v>
      </c>
      <c r="BN49" s="18">
        <f t="shared" si="59"/>
        <v>0</v>
      </c>
      <c r="BO49" s="18">
        <f t="shared" si="60"/>
        <v>0</v>
      </c>
      <c r="BP49" s="18">
        <f t="shared" si="61"/>
        <v>0</v>
      </c>
      <c r="BQ49" s="18">
        <f t="shared" si="62"/>
        <v>0</v>
      </c>
      <c r="BR49" s="18">
        <f t="shared" si="63"/>
        <v>0</v>
      </c>
      <c r="BS49" s="18">
        <f t="shared" si="64"/>
        <v>0</v>
      </c>
      <c r="BT49" s="18">
        <f t="shared" si="65"/>
        <v>0</v>
      </c>
      <c r="BU49" s="18">
        <f t="shared" si="66"/>
        <v>0</v>
      </c>
      <c r="BV49" s="18">
        <f t="shared" si="67"/>
        <v>0</v>
      </c>
      <c r="BW49" s="18">
        <f t="shared" si="68"/>
        <v>0</v>
      </c>
      <c r="BX49" s="18">
        <f t="shared" si="69"/>
        <v>0</v>
      </c>
      <c r="BY49" s="18">
        <f t="shared" si="70"/>
        <v>0</v>
      </c>
      <c r="BZ49" s="18">
        <f t="shared" si="71"/>
        <v>0</v>
      </c>
      <c r="CA49" s="18">
        <f t="shared" si="72"/>
        <v>0</v>
      </c>
      <c r="CB49" s="18">
        <f t="shared" si="73"/>
        <v>0</v>
      </c>
      <c r="CC49" s="18">
        <f t="shared" si="74"/>
        <v>0</v>
      </c>
      <c r="CD49" s="18">
        <f t="shared" si="75"/>
        <v>0</v>
      </c>
      <c r="CE49" s="18">
        <f t="shared" si="76"/>
        <v>0</v>
      </c>
      <c r="CF49" s="18">
        <f t="shared" si="77"/>
        <v>0</v>
      </c>
      <c r="CG49" s="18">
        <f t="shared" si="78"/>
        <v>0</v>
      </c>
      <c r="CH49" s="18">
        <f t="shared" si="79"/>
        <v>0</v>
      </c>
      <c r="CI49" s="18">
        <f t="shared" si="80"/>
        <v>0</v>
      </c>
      <c r="CJ49" s="18">
        <f t="shared" si="81"/>
        <v>0</v>
      </c>
    </row>
    <row r="50" spans="1:88" x14ac:dyDescent="0.3">
      <c r="A50" s="1">
        <v>43899</v>
      </c>
      <c r="B50">
        <v>35634.949999999997</v>
      </c>
      <c r="C50">
        <f>Table1[[#This Row],[Close]]-0.001*Table1[[#This Row],[Close]]</f>
        <v>35599.315049999997</v>
      </c>
      <c r="D50">
        <f>Table1[[#This Row],[Close]]+0.001*Table1[[#This Row],[Close]]</f>
        <v>35670.584949999997</v>
      </c>
      <c r="E50" t="str">
        <f>IF(Table1[[#This Row],[Close]]&gt;D49,"UP",IF(Table1[[#This Row],[Close]]&lt;C49,"Down","Constant"))</f>
        <v>Down</v>
      </c>
      <c r="F50" s="3">
        <f>IF(Table1[[#This Row],[Column1]]="Up",1,IF(Table1[[#This Row],[Column1]]="Down",-1,0))</f>
        <v>-1</v>
      </c>
      <c r="G50">
        <f t="shared" si="0"/>
        <v>0</v>
      </c>
      <c r="H50" s="18">
        <f t="shared" si="1"/>
        <v>0</v>
      </c>
      <c r="I50" s="18">
        <f t="shared" si="2"/>
        <v>0</v>
      </c>
      <c r="J50" s="18">
        <f t="shared" si="3"/>
        <v>0</v>
      </c>
      <c r="K50" s="18">
        <f t="shared" si="4"/>
        <v>0</v>
      </c>
      <c r="L50" s="18">
        <f t="shared" si="5"/>
        <v>0</v>
      </c>
      <c r="M50" s="18">
        <f t="shared" si="6"/>
        <v>0</v>
      </c>
      <c r="N50" s="18">
        <f t="shared" si="7"/>
        <v>0</v>
      </c>
      <c r="O50" s="18">
        <f t="shared" si="8"/>
        <v>0</v>
      </c>
      <c r="P50" s="18">
        <f t="shared" si="9"/>
        <v>0</v>
      </c>
      <c r="Q50" s="18">
        <f t="shared" si="10"/>
        <v>0</v>
      </c>
      <c r="R50" s="18">
        <f t="shared" si="11"/>
        <v>0</v>
      </c>
      <c r="S50" s="18">
        <f t="shared" si="12"/>
        <v>0</v>
      </c>
      <c r="T50" s="18">
        <f t="shared" si="13"/>
        <v>0</v>
      </c>
      <c r="U50" s="18">
        <f t="shared" si="14"/>
        <v>0</v>
      </c>
      <c r="V50" s="18">
        <f t="shared" si="15"/>
        <v>0</v>
      </c>
      <c r="W50" s="18">
        <f t="shared" si="16"/>
        <v>0</v>
      </c>
      <c r="X50" s="18">
        <f t="shared" si="17"/>
        <v>0</v>
      </c>
      <c r="Y50" s="18">
        <f t="shared" si="18"/>
        <v>0</v>
      </c>
      <c r="Z50" s="18">
        <f t="shared" si="19"/>
        <v>0</v>
      </c>
      <c r="AA50" s="18">
        <f t="shared" si="20"/>
        <v>0</v>
      </c>
      <c r="AB50" s="18">
        <f t="shared" si="21"/>
        <v>0</v>
      </c>
      <c r="AC50" s="18">
        <f t="shared" si="22"/>
        <v>1</v>
      </c>
      <c r="AD50" s="18">
        <f t="shared" si="23"/>
        <v>0</v>
      </c>
      <c r="AE50" s="18">
        <f t="shared" si="24"/>
        <v>0</v>
      </c>
      <c r="AF50" s="18">
        <f t="shared" si="25"/>
        <v>0</v>
      </c>
      <c r="AG50" s="18">
        <f t="shared" si="26"/>
        <v>0</v>
      </c>
      <c r="AH50" s="18">
        <f t="shared" si="27"/>
        <v>0</v>
      </c>
      <c r="AI50" s="18">
        <f t="shared" si="28"/>
        <v>0</v>
      </c>
      <c r="AJ50" s="18">
        <f t="shared" si="29"/>
        <v>0</v>
      </c>
      <c r="AK50" s="18">
        <f t="shared" si="30"/>
        <v>0</v>
      </c>
      <c r="AL50" s="18">
        <f t="shared" si="31"/>
        <v>0</v>
      </c>
      <c r="AM50" s="18">
        <f t="shared" si="32"/>
        <v>0</v>
      </c>
      <c r="AN50" s="18">
        <f t="shared" si="33"/>
        <v>0</v>
      </c>
      <c r="AO50" s="18">
        <f t="shared" si="34"/>
        <v>0</v>
      </c>
      <c r="AP50" s="18">
        <f t="shared" si="35"/>
        <v>0</v>
      </c>
      <c r="AQ50" s="18">
        <f t="shared" si="36"/>
        <v>0</v>
      </c>
      <c r="AR50" s="18">
        <f t="shared" si="37"/>
        <v>0</v>
      </c>
      <c r="AS50" s="18">
        <f t="shared" si="38"/>
        <v>0</v>
      </c>
      <c r="AT50" s="18">
        <f t="shared" si="39"/>
        <v>0</v>
      </c>
      <c r="AU50" s="18">
        <f t="shared" si="40"/>
        <v>0</v>
      </c>
      <c r="AV50" s="18">
        <f t="shared" si="41"/>
        <v>0</v>
      </c>
      <c r="AW50" s="18">
        <f t="shared" si="42"/>
        <v>0</v>
      </c>
      <c r="AX50" s="18">
        <f t="shared" si="43"/>
        <v>0</v>
      </c>
      <c r="AY50" s="18">
        <f t="shared" si="44"/>
        <v>0</v>
      </c>
      <c r="AZ50" s="18">
        <f t="shared" si="45"/>
        <v>0</v>
      </c>
      <c r="BA50" s="18">
        <f t="shared" si="46"/>
        <v>0</v>
      </c>
      <c r="BB50" s="18">
        <f t="shared" si="47"/>
        <v>0</v>
      </c>
      <c r="BC50" s="18">
        <f t="shared" si="48"/>
        <v>0</v>
      </c>
      <c r="BD50" s="18">
        <f t="shared" si="49"/>
        <v>0</v>
      </c>
      <c r="BE50" s="18">
        <f t="shared" si="50"/>
        <v>0</v>
      </c>
      <c r="BF50" s="18">
        <f t="shared" si="51"/>
        <v>0</v>
      </c>
      <c r="BG50" s="18">
        <f t="shared" si="52"/>
        <v>0</v>
      </c>
      <c r="BH50" s="18">
        <f t="shared" si="53"/>
        <v>0</v>
      </c>
      <c r="BI50" s="18">
        <f t="shared" si="54"/>
        <v>0</v>
      </c>
      <c r="BJ50" s="18">
        <f t="shared" si="55"/>
        <v>0</v>
      </c>
      <c r="BK50" s="18">
        <f t="shared" si="56"/>
        <v>0</v>
      </c>
      <c r="BL50" s="18">
        <f t="shared" si="57"/>
        <v>0</v>
      </c>
      <c r="BM50" s="18">
        <f t="shared" si="58"/>
        <v>0</v>
      </c>
      <c r="BN50" s="18">
        <f t="shared" si="59"/>
        <v>0</v>
      </c>
      <c r="BO50" s="18">
        <f t="shared" si="60"/>
        <v>0</v>
      </c>
      <c r="BP50" s="18">
        <f t="shared" si="61"/>
        <v>0</v>
      </c>
      <c r="BQ50" s="18">
        <f t="shared" si="62"/>
        <v>0</v>
      </c>
      <c r="BR50" s="18">
        <f t="shared" si="63"/>
        <v>0</v>
      </c>
      <c r="BS50" s="18">
        <f t="shared" si="64"/>
        <v>0</v>
      </c>
      <c r="BT50" s="18">
        <f t="shared" si="65"/>
        <v>0</v>
      </c>
      <c r="BU50" s="18">
        <f t="shared" si="66"/>
        <v>0</v>
      </c>
      <c r="BV50" s="18">
        <f t="shared" si="67"/>
        <v>0</v>
      </c>
      <c r="BW50" s="18">
        <f t="shared" si="68"/>
        <v>0</v>
      </c>
      <c r="BX50" s="18">
        <f t="shared" si="69"/>
        <v>0</v>
      </c>
      <c r="BY50" s="18">
        <f t="shared" si="70"/>
        <v>0</v>
      </c>
      <c r="BZ50" s="18">
        <f t="shared" si="71"/>
        <v>0</v>
      </c>
      <c r="CA50" s="18">
        <f t="shared" si="72"/>
        <v>0</v>
      </c>
      <c r="CB50" s="18">
        <f t="shared" si="73"/>
        <v>0</v>
      </c>
      <c r="CC50" s="18">
        <f t="shared" si="74"/>
        <v>0</v>
      </c>
      <c r="CD50" s="18">
        <f t="shared" si="75"/>
        <v>0</v>
      </c>
      <c r="CE50" s="18">
        <f t="shared" si="76"/>
        <v>0</v>
      </c>
      <c r="CF50" s="18">
        <f t="shared" si="77"/>
        <v>0</v>
      </c>
      <c r="CG50" s="18">
        <f t="shared" si="78"/>
        <v>0</v>
      </c>
      <c r="CH50" s="18">
        <f t="shared" si="79"/>
        <v>0</v>
      </c>
      <c r="CI50" s="18">
        <f t="shared" si="80"/>
        <v>0</v>
      </c>
      <c r="CJ50" s="18">
        <f t="shared" si="81"/>
        <v>0</v>
      </c>
    </row>
    <row r="51" spans="1:88" x14ac:dyDescent="0.3">
      <c r="A51" s="1">
        <v>43901</v>
      </c>
      <c r="B51">
        <v>35697.4</v>
      </c>
      <c r="C51">
        <f>Table1[[#This Row],[Close]]-0.001*Table1[[#This Row],[Close]]</f>
        <v>35661.702600000004</v>
      </c>
      <c r="D51">
        <f>Table1[[#This Row],[Close]]+0.001*Table1[[#This Row],[Close]]</f>
        <v>35733.097399999999</v>
      </c>
      <c r="E51" t="str">
        <f>IF(Table1[[#This Row],[Close]]&gt;D50,"UP",IF(Table1[[#This Row],[Close]]&lt;C50,"Down","Constant"))</f>
        <v>UP</v>
      </c>
      <c r="F51" s="3">
        <f>IF(Table1[[#This Row],[Column1]]="Up",1,IF(Table1[[#This Row],[Column1]]="Down",-1,0))</f>
        <v>1</v>
      </c>
      <c r="G51">
        <f t="shared" si="0"/>
        <v>0</v>
      </c>
      <c r="H51" s="18">
        <f t="shared" si="1"/>
        <v>0</v>
      </c>
      <c r="I51" s="18">
        <f t="shared" si="2"/>
        <v>0</v>
      </c>
      <c r="J51" s="18">
        <f t="shared" si="3"/>
        <v>0</v>
      </c>
      <c r="K51" s="18">
        <f t="shared" si="4"/>
        <v>0</v>
      </c>
      <c r="L51" s="18">
        <f t="shared" si="5"/>
        <v>0</v>
      </c>
      <c r="M51" s="18">
        <f t="shared" si="6"/>
        <v>0</v>
      </c>
      <c r="N51" s="18">
        <f t="shared" si="7"/>
        <v>0</v>
      </c>
      <c r="O51" s="18">
        <f t="shared" si="8"/>
        <v>0</v>
      </c>
      <c r="P51" s="18">
        <f t="shared" si="9"/>
        <v>0</v>
      </c>
      <c r="Q51" s="18">
        <f t="shared" si="10"/>
        <v>0</v>
      </c>
      <c r="R51" s="18">
        <f t="shared" si="11"/>
        <v>0</v>
      </c>
      <c r="S51" s="18">
        <f t="shared" si="12"/>
        <v>0</v>
      </c>
      <c r="T51" s="18">
        <f t="shared" si="13"/>
        <v>0</v>
      </c>
      <c r="U51" s="18">
        <f t="shared" si="14"/>
        <v>0</v>
      </c>
      <c r="V51" s="18">
        <f t="shared" si="15"/>
        <v>0</v>
      </c>
      <c r="W51" s="18">
        <f t="shared" si="16"/>
        <v>0</v>
      </c>
      <c r="X51" s="18">
        <f t="shared" si="17"/>
        <v>0</v>
      </c>
      <c r="Y51" s="18">
        <f t="shared" si="18"/>
        <v>1</v>
      </c>
      <c r="Z51" s="18">
        <f t="shared" si="19"/>
        <v>0</v>
      </c>
      <c r="AA51" s="18">
        <f t="shared" si="20"/>
        <v>0</v>
      </c>
      <c r="AB51" s="18">
        <f t="shared" si="21"/>
        <v>0</v>
      </c>
      <c r="AC51" s="18">
        <f t="shared" si="22"/>
        <v>0</v>
      </c>
      <c r="AD51" s="18">
        <f t="shared" si="23"/>
        <v>0</v>
      </c>
      <c r="AE51" s="18">
        <f t="shared" si="24"/>
        <v>0</v>
      </c>
      <c r="AF51" s="18">
        <f t="shared" si="25"/>
        <v>0</v>
      </c>
      <c r="AG51" s="18">
        <f t="shared" si="26"/>
        <v>0</v>
      </c>
      <c r="AH51" s="18">
        <f t="shared" si="27"/>
        <v>0</v>
      </c>
      <c r="AI51" s="18">
        <f t="shared" si="28"/>
        <v>0</v>
      </c>
      <c r="AJ51" s="18">
        <f t="shared" si="29"/>
        <v>0</v>
      </c>
      <c r="AK51" s="18">
        <f t="shared" si="30"/>
        <v>0</v>
      </c>
      <c r="AL51" s="18">
        <f t="shared" si="31"/>
        <v>0</v>
      </c>
      <c r="AM51" s="18">
        <f t="shared" si="32"/>
        <v>0</v>
      </c>
      <c r="AN51" s="18">
        <f t="shared" si="33"/>
        <v>0</v>
      </c>
      <c r="AO51" s="18">
        <f t="shared" si="34"/>
        <v>0</v>
      </c>
      <c r="AP51" s="18">
        <f t="shared" si="35"/>
        <v>0</v>
      </c>
      <c r="AQ51" s="18">
        <f t="shared" si="36"/>
        <v>0</v>
      </c>
      <c r="AR51" s="18">
        <f t="shared" si="37"/>
        <v>0</v>
      </c>
      <c r="AS51" s="18">
        <f t="shared" si="38"/>
        <v>0</v>
      </c>
      <c r="AT51" s="18">
        <f t="shared" si="39"/>
        <v>0</v>
      </c>
      <c r="AU51" s="18">
        <f t="shared" si="40"/>
        <v>0</v>
      </c>
      <c r="AV51" s="18">
        <f t="shared" si="41"/>
        <v>0</v>
      </c>
      <c r="AW51" s="18">
        <f t="shared" si="42"/>
        <v>0</v>
      </c>
      <c r="AX51" s="18">
        <f t="shared" si="43"/>
        <v>0</v>
      </c>
      <c r="AY51" s="18">
        <f t="shared" si="44"/>
        <v>0</v>
      </c>
      <c r="AZ51" s="18">
        <f t="shared" si="45"/>
        <v>0</v>
      </c>
      <c r="BA51" s="18">
        <f t="shared" si="46"/>
        <v>0</v>
      </c>
      <c r="BB51" s="18">
        <f t="shared" si="47"/>
        <v>0</v>
      </c>
      <c r="BC51" s="18">
        <f t="shared" si="48"/>
        <v>0</v>
      </c>
      <c r="BD51" s="18">
        <f t="shared" si="49"/>
        <v>0</v>
      </c>
      <c r="BE51" s="18">
        <f t="shared" si="50"/>
        <v>0</v>
      </c>
      <c r="BF51" s="18">
        <f t="shared" si="51"/>
        <v>0</v>
      </c>
      <c r="BG51" s="18">
        <f t="shared" si="52"/>
        <v>0</v>
      </c>
      <c r="BH51" s="18">
        <f t="shared" si="53"/>
        <v>0</v>
      </c>
      <c r="BI51" s="18">
        <f t="shared" si="54"/>
        <v>0</v>
      </c>
      <c r="BJ51" s="18">
        <f t="shared" si="55"/>
        <v>0</v>
      </c>
      <c r="BK51" s="18">
        <f t="shared" si="56"/>
        <v>0</v>
      </c>
      <c r="BL51" s="18">
        <f t="shared" si="57"/>
        <v>0</v>
      </c>
      <c r="BM51" s="18">
        <f t="shared" si="58"/>
        <v>0</v>
      </c>
      <c r="BN51" s="18">
        <f t="shared" si="59"/>
        <v>0</v>
      </c>
      <c r="BO51" s="18">
        <f t="shared" si="60"/>
        <v>0</v>
      </c>
      <c r="BP51" s="18">
        <f t="shared" si="61"/>
        <v>0</v>
      </c>
      <c r="BQ51" s="18">
        <f t="shared" si="62"/>
        <v>0</v>
      </c>
      <c r="BR51" s="18">
        <f t="shared" si="63"/>
        <v>0</v>
      </c>
      <c r="BS51" s="18">
        <f t="shared" si="64"/>
        <v>0</v>
      </c>
      <c r="BT51" s="18">
        <f t="shared" si="65"/>
        <v>0</v>
      </c>
      <c r="BU51" s="18">
        <f t="shared" si="66"/>
        <v>0</v>
      </c>
      <c r="BV51" s="18">
        <f t="shared" si="67"/>
        <v>0</v>
      </c>
      <c r="BW51" s="18">
        <f t="shared" si="68"/>
        <v>0</v>
      </c>
      <c r="BX51" s="18">
        <f t="shared" si="69"/>
        <v>0</v>
      </c>
      <c r="BY51" s="18">
        <f t="shared" si="70"/>
        <v>0</v>
      </c>
      <c r="BZ51" s="18">
        <f t="shared" si="71"/>
        <v>0</v>
      </c>
      <c r="CA51" s="18">
        <f t="shared" si="72"/>
        <v>0</v>
      </c>
      <c r="CB51" s="18">
        <f t="shared" si="73"/>
        <v>0</v>
      </c>
      <c r="CC51" s="18">
        <f t="shared" si="74"/>
        <v>0</v>
      </c>
      <c r="CD51" s="18">
        <f t="shared" si="75"/>
        <v>0</v>
      </c>
      <c r="CE51" s="18">
        <f t="shared" si="76"/>
        <v>0</v>
      </c>
      <c r="CF51" s="18">
        <f t="shared" si="77"/>
        <v>0</v>
      </c>
      <c r="CG51" s="18">
        <f t="shared" si="78"/>
        <v>0</v>
      </c>
      <c r="CH51" s="18">
        <f t="shared" si="79"/>
        <v>0</v>
      </c>
      <c r="CI51" s="18">
        <f t="shared" si="80"/>
        <v>0</v>
      </c>
      <c r="CJ51" s="18">
        <f t="shared" si="81"/>
        <v>0</v>
      </c>
    </row>
    <row r="52" spans="1:88" x14ac:dyDescent="0.3">
      <c r="A52" s="1">
        <v>43902</v>
      </c>
      <c r="B52">
        <v>32778.14</v>
      </c>
      <c r="C52">
        <f>Table1[[#This Row],[Close]]-0.001*Table1[[#This Row],[Close]]</f>
        <v>32745.361860000001</v>
      </c>
      <c r="D52">
        <f>Table1[[#This Row],[Close]]+0.001*Table1[[#This Row],[Close]]</f>
        <v>32810.918140000002</v>
      </c>
      <c r="E52" t="str">
        <f>IF(Table1[[#This Row],[Close]]&gt;D51,"UP",IF(Table1[[#This Row],[Close]]&lt;C51,"Down","Constant"))</f>
        <v>Down</v>
      </c>
      <c r="F52" s="3">
        <f>IF(Table1[[#This Row],[Column1]]="Up",1,IF(Table1[[#This Row],[Column1]]="Down",-1,0))</f>
        <v>-1</v>
      </c>
      <c r="G52">
        <f t="shared" si="0"/>
        <v>0</v>
      </c>
      <c r="H52" s="18">
        <f t="shared" si="1"/>
        <v>0</v>
      </c>
      <c r="I52" s="18">
        <f t="shared" si="2"/>
        <v>0</v>
      </c>
      <c r="J52" s="18">
        <f t="shared" si="3"/>
        <v>0</v>
      </c>
      <c r="K52" s="18">
        <f t="shared" si="4"/>
        <v>0</v>
      </c>
      <c r="L52" s="18">
        <f t="shared" si="5"/>
        <v>0</v>
      </c>
      <c r="M52" s="18">
        <f t="shared" si="6"/>
        <v>0</v>
      </c>
      <c r="N52" s="18">
        <f t="shared" si="7"/>
        <v>0</v>
      </c>
      <c r="O52" s="18">
        <f t="shared" si="8"/>
        <v>0</v>
      </c>
      <c r="P52" s="18">
        <f t="shared" si="9"/>
        <v>0</v>
      </c>
      <c r="Q52" s="18">
        <f t="shared" si="10"/>
        <v>0</v>
      </c>
      <c r="R52" s="18">
        <f t="shared" si="11"/>
        <v>0</v>
      </c>
      <c r="S52" s="18">
        <f t="shared" si="12"/>
        <v>0</v>
      </c>
      <c r="T52" s="18">
        <f t="shared" si="13"/>
        <v>1</v>
      </c>
      <c r="U52" s="18">
        <f t="shared" si="14"/>
        <v>0</v>
      </c>
      <c r="V52" s="18">
        <f t="shared" si="15"/>
        <v>0</v>
      </c>
      <c r="W52" s="18">
        <f t="shared" si="16"/>
        <v>0</v>
      </c>
      <c r="X52" s="18">
        <f t="shared" si="17"/>
        <v>0</v>
      </c>
      <c r="Y52" s="18">
        <f t="shared" si="18"/>
        <v>0</v>
      </c>
      <c r="Z52" s="18">
        <f t="shared" si="19"/>
        <v>0</v>
      </c>
      <c r="AA52" s="18">
        <f t="shared" si="20"/>
        <v>0</v>
      </c>
      <c r="AB52" s="18">
        <f t="shared" si="21"/>
        <v>0</v>
      </c>
      <c r="AC52" s="18">
        <f t="shared" si="22"/>
        <v>0</v>
      </c>
      <c r="AD52" s="18">
        <f t="shared" si="23"/>
        <v>0</v>
      </c>
      <c r="AE52" s="18">
        <f t="shared" si="24"/>
        <v>0</v>
      </c>
      <c r="AF52" s="18">
        <f t="shared" si="25"/>
        <v>0</v>
      </c>
      <c r="AG52" s="18">
        <f t="shared" si="26"/>
        <v>0</v>
      </c>
      <c r="AH52" s="18">
        <f t="shared" si="27"/>
        <v>0</v>
      </c>
      <c r="AI52" s="18">
        <f t="shared" si="28"/>
        <v>0</v>
      </c>
      <c r="AJ52" s="18">
        <f t="shared" si="29"/>
        <v>0</v>
      </c>
      <c r="AK52" s="18">
        <f t="shared" si="30"/>
        <v>0</v>
      </c>
      <c r="AL52" s="18">
        <f t="shared" si="31"/>
        <v>0</v>
      </c>
      <c r="AM52" s="18">
        <f t="shared" si="32"/>
        <v>0</v>
      </c>
      <c r="AN52" s="18">
        <f t="shared" si="33"/>
        <v>0</v>
      </c>
      <c r="AO52" s="18">
        <f t="shared" si="34"/>
        <v>0</v>
      </c>
      <c r="AP52" s="18">
        <f t="shared" si="35"/>
        <v>0</v>
      </c>
      <c r="AQ52" s="18">
        <f t="shared" si="36"/>
        <v>0</v>
      </c>
      <c r="AR52" s="18">
        <f t="shared" si="37"/>
        <v>0</v>
      </c>
      <c r="AS52" s="18">
        <f t="shared" si="38"/>
        <v>0</v>
      </c>
      <c r="AT52" s="18">
        <f t="shared" si="39"/>
        <v>0</v>
      </c>
      <c r="AU52" s="18">
        <f t="shared" si="40"/>
        <v>0</v>
      </c>
      <c r="AV52" s="18">
        <f t="shared" si="41"/>
        <v>0</v>
      </c>
      <c r="AW52" s="18">
        <f t="shared" si="42"/>
        <v>0</v>
      </c>
      <c r="AX52" s="18">
        <f t="shared" si="43"/>
        <v>0</v>
      </c>
      <c r="AY52" s="18">
        <f t="shared" si="44"/>
        <v>0</v>
      </c>
      <c r="AZ52" s="18">
        <f t="shared" si="45"/>
        <v>0</v>
      </c>
      <c r="BA52" s="18">
        <f t="shared" si="46"/>
        <v>0</v>
      </c>
      <c r="BB52" s="18">
        <f t="shared" si="47"/>
        <v>0</v>
      </c>
      <c r="BC52" s="18">
        <f t="shared" si="48"/>
        <v>0</v>
      </c>
      <c r="BD52" s="18">
        <f t="shared" si="49"/>
        <v>0</v>
      </c>
      <c r="BE52" s="18">
        <f t="shared" si="50"/>
        <v>0</v>
      </c>
      <c r="BF52" s="18">
        <f t="shared" si="51"/>
        <v>0</v>
      </c>
      <c r="BG52" s="18">
        <f t="shared" si="52"/>
        <v>0</v>
      </c>
      <c r="BH52" s="18">
        <f t="shared" si="53"/>
        <v>0</v>
      </c>
      <c r="BI52" s="18">
        <f t="shared" si="54"/>
        <v>0</v>
      </c>
      <c r="BJ52" s="18">
        <f t="shared" si="55"/>
        <v>0</v>
      </c>
      <c r="BK52" s="18">
        <f t="shared" si="56"/>
        <v>0</v>
      </c>
      <c r="BL52" s="18">
        <f t="shared" si="57"/>
        <v>0</v>
      </c>
      <c r="BM52" s="18">
        <f t="shared" si="58"/>
        <v>0</v>
      </c>
      <c r="BN52" s="18">
        <f t="shared" si="59"/>
        <v>0</v>
      </c>
      <c r="BO52" s="18">
        <f t="shared" si="60"/>
        <v>0</v>
      </c>
      <c r="BP52" s="18">
        <f t="shared" si="61"/>
        <v>0</v>
      </c>
      <c r="BQ52" s="18">
        <f t="shared" si="62"/>
        <v>0</v>
      </c>
      <c r="BR52" s="18">
        <f t="shared" si="63"/>
        <v>0</v>
      </c>
      <c r="BS52" s="18">
        <f t="shared" si="64"/>
        <v>0</v>
      </c>
      <c r="BT52" s="18">
        <f t="shared" si="65"/>
        <v>0</v>
      </c>
      <c r="BU52" s="18">
        <f t="shared" si="66"/>
        <v>0</v>
      </c>
      <c r="BV52" s="18">
        <f t="shared" si="67"/>
        <v>0</v>
      </c>
      <c r="BW52" s="18">
        <f t="shared" si="68"/>
        <v>0</v>
      </c>
      <c r="BX52" s="18">
        <f t="shared" si="69"/>
        <v>0</v>
      </c>
      <c r="BY52" s="18">
        <f t="shared" si="70"/>
        <v>0</v>
      </c>
      <c r="BZ52" s="18">
        <f t="shared" si="71"/>
        <v>0</v>
      </c>
      <c r="CA52" s="18">
        <f t="shared" si="72"/>
        <v>0</v>
      </c>
      <c r="CB52" s="18">
        <f t="shared" si="73"/>
        <v>0</v>
      </c>
      <c r="CC52" s="18">
        <f t="shared" si="74"/>
        <v>0</v>
      </c>
      <c r="CD52" s="18">
        <f t="shared" si="75"/>
        <v>0</v>
      </c>
      <c r="CE52" s="18">
        <f t="shared" si="76"/>
        <v>0</v>
      </c>
      <c r="CF52" s="18">
        <f t="shared" si="77"/>
        <v>0</v>
      </c>
      <c r="CG52" s="18">
        <f t="shared" si="78"/>
        <v>0</v>
      </c>
      <c r="CH52" s="18">
        <f t="shared" si="79"/>
        <v>0</v>
      </c>
      <c r="CI52" s="18">
        <f t="shared" si="80"/>
        <v>0</v>
      </c>
      <c r="CJ52" s="18">
        <f t="shared" si="81"/>
        <v>0</v>
      </c>
    </row>
    <row r="53" spans="1:88" x14ac:dyDescent="0.3">
      <c r="A53" s="1">
        <v>43903</v>
      </c>
      <c r="B53">
        <v>34103.480000000003</v>
      </c>
      <c r="C53">
        <f>Table1[[#This Row],[Close]]-0.001*Table1[[#This Row],[Close]]</f>
        <v>34069.376520000005</v>
      </c>
      <c r="D53">
        <f>Table1[[#This Row],[Close]]+0.001*Table1[[#This Row],[Close]]</f>
        <v>34137.583480000001</v>
      </c>
      <c r="E53" t="str">
        <f>IF(Table1[[#This Row],[Close]]&gt;D52,"UP",IF(Table1[[#This Row],[Close]]&lt;C52,"Down","Constant"))</f>
        <v>UP</v>
      </c>
      <c r="F53" s="3">
        <f>IF(Table1[[#This Row],[Column1]]="Up",1,IF(Table1[[#This Row],[Column1]]="Down",-1,0))</f>
        <v>1</v>
      </c>
      <c r="G53">
        <f t="shared" si="0"/>
        <v>0</v>
      </c>
      <c r="H53" s="18">
        <f t="shared" si="1"/>
        <v>0</v>
      </c>
      <c r="I53" s="18">
        <f t="shared" si="2"/>
        <v>0</v>
      </c>
      <c r="J53" s="18">
        <f t="shared" si="3"/>
        <v>0</v>
      </c>
      <c r="K53" s="18">
        <f t="shared" si="4"/>
        <v>0</v>
      </c>
      <c r="L53" s="18">
        <f t="shared" si="5"/>
        <v>0</v>
      </c>
      <c r="M53" s="18">
        <f t="shared" si="6"/>
        <v>0</v>
      </c>
      <c r="N53" s="18">
        <f t="shared" si="7"/>
        <v>0</v>
      </c>
      <c r="O53" s="18">
        <f t="shared" si="8"/>
        <v>0</v>
      </c>
      <c r="P53" s="18">
        <f t="shared" si="9"/>
        <v>0</v>
      </c>
      <c r="Q53" s="18">
        <f t="shared" si="10"/>
        <v>0</v>
      </c>
      <c r="R53" s="18">
        <f t="shared" si="11"/>
        <v>0</v>
      </c>
      <c r="S53" s="18">
        <f t="shared" si="12"/>
        <v>0</v>
      </c>
      <c r="T53" s="18">
        <f t="shared" si="13"/>
        <v>0</v>
      </c>
      <c r="U53" s="18">
        <f t="shared" si="14"/>
        <v>0</v>
      </c>
      <c r="V53" s="18">
        <f t="shared" si="15"/>
        <v>0</v>
      </c>
      <c r="W53" s="18">
        <f t="shared" si="16"/>
        <v>0</v>
      </c>
      <c r="X53" s="18">
        <f t="shared" si="17"/>
        <v>0</v>
      </c>
      <c r="Y53" s="18">
        <f t="shared" si="18"/>
        <v>0</v>
      </c>
      <c r="Z53" s="18">
        <f t="shared" si="19"/>
        <v>0</v>
      </c>
      <c r="AA53" s="18">
        <f t="shared" si="20"/>
        <v>0</v>
      </c>
      <c r="AB53" s="18">
        <f t="shared" si="21"/>
        <v>0</v>
      </c>
      <c r="AC53" s="18">
        <f t="shared" si="22"/>
        <v>0</v>
      </c>
      <c r="AD53" s="18">
        <f t="shared" si="23"/>
        <v>0</v>
      </c>
      <c r="AE53" s="18">
        <f t="shared" si="24"/>
        <v>1</v>
      </c>
      <c r="AF53" s="18">
        <f t="shared" si="25"/>
        <v>0</v>
      </c>
      <c r="AG53" s="18">
        <f t="shared" si="26"/>
        <v>0</v>
      </c>
      <c r="AH53" s="18">
        <f t="shared" si="27"/>
        <v>0</v>
      </c>
      <c r="AI53" s="18">
        <f t="shared" si="28"/>
        <v>0</v>
      </c>
      <c r="AJ53" s="18">
        <f t="shared" si="29"/>
        <v>0</v>
      </c>
      <c r="AK53" s="18">
        <f t="shared" si="30"/>
        <v>0</v>
      </c>
      <c r="AL53" s="18">
        <f t="shared" si="31"/>
        <v>0</v>
      </c>
      <c r="AM53" s="18">
        <f t="shared" si="32"/>
        <v>0</v>
      </c>
      <c r="AN53" s="18">
        <f t="shared" si="33"/>
        <v>0</v>
      </c>
      <c r="AO53" s="18">
        <f t="shared" si="34"/>
        <v>0</v>
      </c>
      <c r="AP53" s="18">
        <f t="shared" si="35"/>
        <v>0</v>
      </c>
      <c r="AQ53" s="18">
        <f t="shared" si="36"/>
        <v>0</v>
      </c>
      <c r="AR53" s="18">
        <f t="shared" si="37"/>
        <v>0</v>
      </c>
      <c r="AS53" s="18">
        <f t="shared" si="38"/>
        <v>0</v>
      </c>
      <c r="AT53" s="18">
        <f t="shared" si="39"/>
        <v>0</v>
      </c>
      <c r="AU53" s="18">
        <f t="shared" si="40"/>
        <v>0</v>
      </c>
      <c r="AV53" s="18">
        <f t="shared" si="41"/>
        <v>0</v>
      </c>
      <c r="AW53" s="18">
        <f t="shared" si="42"/>
        <v>0</v>
      </c>
      <c r="AX53" s="18">
        <f t="shared" si="43"/>
        <v>0</v>
      </c>
      <c r="AY53" s="18">
        <f t="shared" si="44"/>
        <v>0</v>
      </c>
      <c r="AZ53" s="18">
        <f t="shared" si="45"/>
        <v>0</v>
      </c>
      <c r="BA53" s="18">
        <f t="shared" si="46"/>
        <v>0</v>
      </c>
      <c r="BB53" s="18">
        <f t="shared" si="47"/>
        <v>0</v>
      </c>
      <c r="BC53" s="18">
        <f t="shared" si="48"/>
        <v>0</v>
      </c>
      <c r="BD53" s="18">
        <f t="shared" si="49"/>
        <v>0</v>
      </c>
      <c r="BE53" s="18">
        <f t="shared" si="50"/>
        <v>0</v>
      </c>
      <c r="BF53" s="18">
        <f t="shared" si="51"/>
        <v>0</v>
      </c>
      <c r="BG53" s="18">
        <f t="shared" si="52"/>
        <v>0</v>
      </c>
      <c r="BH53" s="18">
        <f t="shared" si="53"/>
        <v>0</v>
      </c>
      <c r="BI53" s="18">
        <f t="shared" si="54"/>
        <v>0</v>
      </c>
      <c r="BJ53" s="18">
        <f t="shared" si="55"/>
        <v>0</v>
      </c>
      <c r="BK53" s="18">
        <f t="shared" si="56"/>
        <v>0</v>
      </c>
      <c r="BL53" s="18">
        <f t="shared" si="57"/>
        <v>0</v>
      </c>
      <c r="BM53" s="18">
        <f t="shared" si="58"/>
        <v>0</v>
      </c>
      <c r="BN53" s="18">
        <f t="shared" si="59"/>
        <v>0</v>
      </c>
      <c r="BO53" s="18">
        <f t="shared" si="60"/>
        <v>0</v>
      </c>
      <c r="BP53" s="18">
        <f t="shared" si="61"/>
        <v>0</v>
      </c>
      <c r="BQ53" s="18">
        <f t="shared" si="62"/>
        <v>0</v>
      </c>
      <c r="BR53" s="18">
        <f t="shared" si="63"/>
        <v>0</v>
      </c>
      <c r="BS53" s="18">
        <f t="shared" si="64"/>
        <v>0</v>
      </c>
      <c r="BT53" s="18">
        <f t="shared" si="65"/>
        <v>0</v>
      </c>
      <c r="BU53" s="18">
        <f t="shared" si="66"/>
        <v>0</v>
      </c>
      <c r="BV53" s="18">
        <f t="shared" si="67"/>
        <v>0</v>
      </c>
      <c r="BW53" s="18">
        <f t="shared" si="68"/>
        <v>0</v>
      </c>
      <c r="BX53" s="18">
        <f t="shared" si="69"/>
        <v>0</v>
      </c>
      <c r="BY53" s="18">
        <f t="shared" si="70"/>
        <v>0</v>
      </c>
      <c r="BZ53" s="18">
        <f t="shared" si="71"/>
        <v>0</v>
      </c>
      <c r="CA53" s="18">
        <f t="shared" si="72"/>
        <v>0</v>
      </c>
      <c r="CB53" s="18">
        <f t="shared" si="73"/>
        <v>0</v>
      </c>
      <c r="CC53" s="18">
        <f t="shared" si="74"/>
        <v>0</v>
      </c>
      <c r="CD53" s="18">
        <f t="shared" si="75"/>
        <v>0</v>
      </c>
      <c r="CE53" s="18">
        <f t="shared" si="76"/>
        <v>0</v>
      </c>
      <c r="CF53" s="18">
        <f t="shared" si="77"/>
        <v>0</v>
      </c>
      <c r="CG53" s="18">
        <f t="shared" si="78"/>
        <v>0</v>
      </c>
      <c r="CH53" s="18">
        <f t="shared" si="79"/>
        <v>0</v>
      </c>
      <c r="CI53" s="18">
        <f t="shared" si="80"/>
        <v>0</v>
      </c>
      <c r="CJ53" s="18">
        <f t="shared" si="81"/>
        <v>0</v>
      </c>
    </row>
    <row r="54" spans="1:88" x14ac:dyDescent="0.3">
      <c r="A54" s="1">
        <v>43906</v>
      </c>
      <c r="B54">
        <v>31390.07</v>
      </c>
      <c r="C54">
        <f>Table1[[#This Row],[Close]]-0.001*Table1[[#This Row],[Close]]</f>
        <v>31358.679929999998</v>
      </c>
      <c r="D54">
        <f>Table1[[#This Row],[Close]]+0.001*Table1[[#This Row],[Close]]</f>
        <v>31421.460070000001</v>
      </c>
      <c r="E54" t="str">
        <f>IF(Table1[[#This Row],[Close]]&gt;D53,"UP",IF(Table1[[#This Row],[Close]]&lt;C53,"Down","Constant"))</f>
        <v>Down</v>
      </c>
      <c r="F54" s="3">
        <f>IF(Table1[[#This Row],[Column1]]="Up",1,IF(Table1[[#This Row],[Column1]]="Down",-1,0))</f>
        <v>-1</v>
      </c>
      <c r="G54">
        <f t="shared" si="0"/>
        <v>0</v>
      </c>
      <c r="H54" s="18">
        <f t="shared" si="1"/>
        <v>0</v>
      </c>
      <c r="I54" s="18">
        <f t="shared" si="2"/>
        <v>0</v>
      </c>
      <c r="J54" s="18">
        <f t="shared" si="3"/>
        <v>0</v>
      </c>
      <c r="K54" s="18">
        <f t="shared" si="4"/>
        <v>0</v>
      </c>
      <c r="L54" s="18">
        <f t="shared" si="5"/>
        <v>0</v>
      </c>
      <c r="M54" s="18">
        <f t="shared" si="6"/>
        <v>0</v>
      </c>
      <c r="N54" s="18">
        <f t="shared" si="7"/>
        <v>1</v>
      </c>
      <c r="O54" s="18">
        <f t="shared" si="8"/>
        <v>0</v>
      </c>
      <c r="P54" s="18">
        <f t="shared" si="9"/>
        <v>0</v>
      </c>
      <c r="Q54" s="18">
        <f t="shared" si="10"/>
        <v>0</v>
      </c>
      <c r="R54" s="18">
        <f t="shared" si="11"/>
        <v>0</v>
      </c>
      <c r="S54" s="18">
        <f t="shared" si="12"/>
        <v>0</v>
      </c>
      <c r="T54" s="18">
        <f t="shared" si="13"/>
        <v>0</v>
      </c>
      <c r="U54" s="18">
        <f t="shared" si="14"/>
        <v>0</v>
      </c>
      <c r="V54" s="18">
        <f t="shared" si="15"/>
        <v>0</v>
      </c>
      <c r="W54" s="18">
        <f t="shared" si="16"/>
        <v>0</v>
      </c>
      <c r="X54" s="18">
        <f t="shared" si="17"/>
        <v>0</v>
      </c>
      <c r="Y54" s="18">
        <f t="shared" si="18"/>
        <v>0</v>
      </c>
      <c r="Z54" s="18">
        <f t="shared" si="19"/>
        <v>0</v>
      </c>
      <c r="AA54" s="18">
        <f t="shared" si="20"/>
        <v>0</v>
      </c>
      <c r="AB54" s="18">
        <f t="shared" si="21"/>
        <v>0</v>
      </c>
      <c r="AC54" s="18">
        <f t="shared" si="22"/>
        <v>0</v>
      </c>
      <c r="AD54" s="18">
        <f t="shared" si="23"/>
        <v>0</v>
      </c>
      <c r="AE54" s="18">
        <f t="shared" si="24"/>
        <v>0</v>
      </c>
      <c r="AF54" s="18">
        <f t="shared" si="25"/>
        <v>0</v>
      </c>
      <c r="AG54" s="18">
        <f t="shared" si="26"/>
        <v>0</v>
      </c>
      <c r="AH54" s="18">
        <f t="shared" si="27"/>
        <v>0</v>
      </c>
      <c r="AI54" s="18">
        <f t="shared" si="28"/>
        <v>0</v>
      </c>
      <c r="AJ54" s="18">
        <f t="shared" si="29"/>
        <v>0</v>
      </c>
      <c r="AK54" s="18">
        <f t="shared" si="30"/>
        <v>0</v>
      </c>
      <c r="AL54" s="18">
        <f t="shared" si="31"/>
        <v>0</v>
      </c>
      <c r="AM54" s="18">
        <f t="shared" si="32"/>
        <v>0</v>
      </c>
      <c r="AN54" s="18">
        <f t="shared" si="33"/>
        <v>0</v>
      </c>
      <c r="AO54" s="18">
        <f t="shared" si="34"/>
        <v>0</v>
      </c>
      <c r="AP54" s="18">
        <f t="shared" si="35"/>
        <v>0</v>
      </c>
      <c r="AQ54" s="18">
        <f t="shared" si="36"/>
        <v>0</v>
      </c>
      <c r="AR54" s="18">
        <f t="shared" si="37"/>
        <v>0</v>
      </c>
      <c r="AS54" s="18">
        <f t="shared" si="38"/>
        <v>0</v>
      </c>
      <c r="AT54" s="18">
        <f t="shared" si="39"/>
        <v>0</v>
      </c>
      <c r="AU54" s="18">
        <f t="shared" si="40"/>
        <v>0</v>
      </c>
      <c r="AV54" s="18">
        <f t="shared" si="41"/>
        <v>0</v>
      </c>
      <c r="AW54" s="18">
        <f t="shared" si="42"/>
        <v>0</v>
      </c>
      <c r="AX54" s="18">
        <f t="shared" si="43"/>
        <v>0</v>
      </c>
      <c r="AY54" s="18">
        <f t="shared" si="44"/>
        <v>0</v>
      </c>
      <c r="AZ54" s="18">
        <f t="shared" si="45"/>
        <v>0</v>
      </c>
      <c r="BA54" s="18">
        <f t="shared" si="46"/>
        <v>0</v>
      </c>
      <c r="BB54" s="18">
        <f t="shared" si="47"/>
        <v>0</v>
      </c>
      <c r="BC54" s="18">
        <f t="shared" si="48"/>
        <v>0</v>
      </c>
      <c r="BD54" s="18">
        <f t="shared" si="49"/>
        <v>0</v>
      </c>
      <c r="BE54" s="18">
        <f t="shared" si="50"/>
        <v>0</v>
      </c>
      <c r="BF54" s="18">
        <f t="shared" si="51"/>
        <v>0</v>
      </c>
      <c r="BG54" s="18">
        <f t="shared" si="52"/>
        <v>0</v>
      </c>
      <c r="BH54" s="18">
        <f t="shared" si="53"/>
        <v>0</v>
      </c>
      <c r="BI54" s="18">
        <f t="shared" si="54"/>
        <v>0</v>
      </c>
      <c r="BJ54" s="18">
        <f t="shared" si="55"/>
        <v>0</v>
      </c>
      <c r="BK54" s="18">
        <f t="shared" si="56"/>
        <v>0</v>
      </c>
      <c r="BL54" s="18">
        <f t="shared" si="57"/>
        <v>0</v>
      </c>
      <c r="BM54" s="18">
        <f t="shared" si="58"/>
        <v>0</v>
      </c>
      <c r="BN54" s="18">
        <f t="shared" si="59"/>
        <v>0</v>
      </c>
      <c r="BO54" s="18">
        <f t="shared" si="60"/>
        <v>0</v>
      </c>
      <c r="BP54" s="18">
        <f t="shared" si="61"/>
        <v>0</v>
      </c>
      <c r="BQ54" s="18">
        <f t="shared" si="62"/>
        <v>0</v>
      </c>
      <c r="BR54" s="18">
        <f t="shared" si="63"/>
        <v>0</v>
      </c>
      <c r="BS54" s="18">
        <f t="shared" si="64"/>
        <v>0</v>
      </c>
      <c r="BT54" s="18">
        <f t="shared" si="65"/>
        <v>0</v>
      </c>
      <c r="BU54" s="18">
        <f t="shared" si="66"/>
        <v>0</v>
      </c>
      <c r="BV54" s="18">
        <f t="shared" si="67"/>
        <v>0</v>
      </c>
      <c r="BW54" s="18">
        <f t="shared" si="68"/>
        <v>0</v>
      </c>
      <c r="BX54" s="18">
        <f t="shared" si="69"/>
        <v>0</v>
      </c>
      <c r="BY54" s="18">
        <f t="shared" si="70"/>
        <v>0</v>
      </c>
      <c r="BZ54" s="18">
        <f t="shared" si="71"/>
        <v>0</v>
      </c>
      <c r="CA54" s="18">
        <f t="shared" si="72"/>
        <v>0</v>
      </c>
      <c r="CB54" s="18">
        <f t="shared" si="73"/>
        <v>0</v>
      </c>
      <c r="CC54" s="18">
        <f t="shared" si="74"/>
        <v>0</v>
      </c>
      <c r="CD54" s="18">
        <f t="shared" si="75"/>
        <v>0</v>
      </c>
      <c r="CE54" s="18">
        <f t="shared" si="76"/>
        <v>0</v>
      </c>
      <c r="CF54" s="18">
        <f t="shared" si="77"/>
        <v>0</v>
      </c>
      <c r="CG54" s="18">
        <f t="shared" si="78"/>
        <v>0</v>
      </c>
      <c r="CH54" s="18">
        <f t="shared" si="79"/>
        <v>0</v>
      </c>
      <c r="CI54" s="18">
        <f t="shared" si="80"/>
        <v>0</v>
      </c>
      <c r="CJ54" s="18">
        <f t="shared" si="81"/>
        <v>0</v>
      </c>
    </row>
    <row r="55" spans="1:88" x14ac:dyDescent="0.3">
      <c r="A55" s="1">
        <v>43907</v>
      </c>
      <c r="B55">
        <v>30579.09</v>
      </c>
      <c r="C55">
        <f>Table1[[#This Row],[Close]]-0.001*Table1[[#This Row],[Close]]</f>
        <v>30548.510910000001</v>
      </c>
      <c r="D55">
        <f>Table1[[#This Row],[Close]]+0.001*Table1[[#This Row],[Close]]</f>
        <v>30609.669089999999</v>
      </c>
      <c r="E55" t="str">
        <f>IF(Table1[[#This Row],[Close]]&gt;D54,"UP",IF(Table1[[#This Row],[Close]]&lt;C54,"Down","Constant"))</f>
        <v>Down</v>
      </c>
      <c r="F55" s="3">
        <f>IF(Table1[[#This Row],[Column1]]="Up",1,IF(Table1[[#This Row],[Column1]]="Down",-1,0))</f>
        <v>-1</v>
      </c>
      <c r="G55">
        <f t="shared" si="0"/>
        <v>0</v>
      </c>
      <c r="H55" s="18">
        <f t="shared" si="1"/>
        <v>0</v>
      </c>
      <c r="I55" s="18">
        <f t="shared" si="2"/>
        <v>0</v>
      </c>
      <c r="J55" s="18">
        <f t="shared" si="3"/>
        <v>0</v>
      </c>
      <c r="K55" s="18">
        <f t="shared" si="4"/>
        <v>0</v>
      </c>
      <c r="L55" s="18">
        <f t="shared" si="5"/>
        <v>0</v>
      </c>
      <c r="M55" s="18">
        <f t="shared" si="6"/>
        <v>0</v>
      </c>
      <c r="N55" s="18">
        <f t="shared" si="7"/>
        <v>0</v>
      </c>
      <c r="O55" s="18">
        <f t="shared" si="8"/>
        <v>0</v>
      </c>
      <c r="P55" s="18">
        <f t="shared" si="9"/>
        <v>0</v>
      </c>
      <c r="Q55" s="18">
        <f t="shared" si="10"/>
        <v>0</v>
      </c>
      <c r="R55" s="18">
        <f t="shared" si="11"/>
        <v>0</v>
      </c>
      <c r="S55" s="18">
        <f t="shared" si="12"/>
        <v>0</v>
      </c>
      <c r="T55" s="18">
        <f t="shared" si="13"/>
        <v>0</v>
      </c>
      <c r="U55" s="18">
        <f t="shared" si="14"/>
        <v>0</v>
      </c>
      <c r="V55" s="18">
        <f t="shared" si="15"/>
        <v>0</v>
      </c>
      <c r="W55" s="18">
        <f t="shared" si="16"/>
        <v>0</v>
      </c>
      <c r="X55" s="18">
        <f t="shared" si="17"/>
        <v>0</v>
      </c>
      <c r="Y55" s="18">
        <f t="shared" si="18"/>
        <v>0</v>
      </c>
      <c r="Z55" s="18">
        <f t="shared" si="19"/>
        <v>0</v>
      </c>
      <c r="AA55" s="18">
        <f t="shared" si="20"/>
        <v>0</v>
      </c>
      <c r="AB55" s="18">
        <f t="shared" si="21"/>
        <v>0</v>
      </c>
      <c r="AC55" s="18">
        <f t="shared" si="22"/>
        <v>1</v>
      </c>
      <c r="AD55" s="18">
        <f t="shared" si="23"/>
        <v>0</v>
      </c>
      <c r="AE55" s="18">
        <f t="shared" si="24"/>
        <v>0</v>
      </c>
      <c r="AF55" s="18">
        <f t="shared" si="25"/>
        <v>0</v>
      </c>
      <c r="AG55" s="18">
        <f t="shared" si="26"/>
        <v>0</v>
      </c>
      <c r="AH55" s="18">
        <f t="shared" si="27"/>
        <v>0</v>
      </c>
      <c r="AI55" s="18">
        <f t="shared" si="28"/>
        <v>0</v>
      </c>
      <c r="AJ55" s="18">
        <f t="shared" si="29"/>
        <v>0</v>
      </c>
      <c r="AK55" s="18">
        <f t="shared" si="30"/>
        <v>0</v>
      </c>
      <c r="AL55" s="18">
        <f t="shared" si="31"/>
        <v>0</v>
      </c>
      <c r="AM55" s="18">
        <f t="shared" si="32"/>
        <v>0</v>
      </c>
      <c r="AN55" s="18">
        <f t="shared" si="33"/>
        <v>0</v>
      </c>
      <c r="AO55" s="18">
        <f t="shared" si="34"/>
        <v>0</v>
      </c>
      <c r="AP55" s="18">
        <f t="shared" si="35"/>
        <v>0</v>
      </c>
      <c r="AQ55" s="18">
        <f t="shared" si="36"/>
        <v>0</v>
      </c>
      <c r="AR55" s="18">
        <f t="shared" si="37"/>
        <v>0</v>
      </c>
      <c r="AS55" s="18">
        <f t="shared" si="38"/>
        <v>0</v>
      </c>
      <c r="AT55" s="18">
        <f t="shared" si="39"/>
        <v>0</v>
      </c>
      <c r="AU55" s="18">
        <f t="shared" si="40"/>
        <v>0</v>
      </c>
      <c r="AV55" s="18">
        <f t="shared" si="41"/>
        <v>0</v>
      </c>
      <c r="AW55" s="18">
        <f t="shared" si="42"/>
        <v>0</v>
      </c>
      <c r="AX55" s="18">
        <f t="shared" si="43"/>
        <v>0</v>
      </c>
      <c r="AY55" s="18">
        <f t="shared" si="44"/>
        <v>0</v>
      </c>
      <c r="AZ55" s="18">
        <f t="shared" si="45"/>
        <v>0</v>
      </c>
      <c r="BA55" s="18">
        <f t="shared" si="46"/>
        <v>0</v>
      </c>
      <c r="BB55" s="18">
        <f t="shared" si="47"/>
        <v>0</v>
      </c>
      <c r="BC55" s="18">
        <f t="shared" si="48"/>
        <v>0</v>
      </c>
      <c r="BD55" s="18">
        <f t="shared" si="49"/>
        <v>0</v>
      </c>
      <c r="BE55" s="18">
        <f t="shared" si="50"/>
        <v>0</v>
      </c>
      <c r="BF55" s="18">
        <f t="shared" si="51"/>
        <v>0</v>
      </c>
      <c r="BG55" s="18">
        <f t="shared" si="52"/>
        <v>0</v>
      </c>
      <c r="BH55" s="18">
        <f t="shared" si="53"/>
        <v>0</v>
      </c>
      <c r="BI55" s="18">
        <f t="shared" si="54"/>
        <v>0</v>
      </c>
      <c r="BJ55" s="18">
        <f t="shared" si="55"/>
        <v>0</v>
      </c>
      <c r="BK55" s="18">
        <f t="shared" si="56"/>
        <v>0</v>
      </c>
      <c r="BL55" s="18">
        <f t="shared" si="57"/>
        <v>0</v>
      </c>
      <c r="BM55" s="18">
        <f t="shared" si="58"/>
        <v>0</v>
      </c>
      <c r="BN55" s="18">
        <f t="shared" si="59"/>
        <v>0</v>
      </c>
      <c r="BO55" s="18">
        <f t="shared" si="60"/>
        <v>0</v>
      </c>
      <c r="BP55" s="18">
        <f t="shared" si="61"/>
        <v>0</v>
      </c>
      <c r="BQ55" s="18">
        <f t="shared" si="62"/>
        <v>0</v>
      </c>
      <c r="BR55" s="18">
        <f t="shared" si="63"/>
        <v>0</v>
      </c>
      <c r="BS55" s="18">
        <f t="shared" si="64"/>
        <v>0</v>
      </c>
      <c r="BT55" s="18">
        <f t="shared" si="65"/>
        <v>0</v>
      </c>
      <c r="BU55" s="18">
        <f t="shared" si="66"/>
        <v>0</v>
      </c>
      <c r="BV55" s="18">
        <f t="shared" si="67"/>
        <v>0</v>
      </c>
      <c r="BW55" s="18">
        <f t="shared" si="68"/>
        <v>0</v>
      </c>
      <c r="BX55" s="18">
        <f t="shared" si="69"/>
        <v>0</v>
      </c>
      <c r="BY55" s="18">
        <f t="shared" si="70"/>
        <v>0</v>
      </c>
      <c r="BZ55" s="18">
        <f t="shared" si="71"/>
        <v>0</v>
      </c>
      <c r="CA55" s="18">
        <f t="shared" si="72"/>
        <v>0</v>
      </c>
      <c r="CB55" s="18">
        <f t="shared" si="73"/>
        <v>0</v>
      </c>
      <c r="CC55" s="18">
        <f t="shared" si="74"/>
        <v>0</v>
      </c>
      <c r="CD55" s="18">
        <f t="shared" si="75"/>
        <v>0</v>
      </c>
      <c r="CE55" s="18">
        <f t="shared" si="76"/>
        <v>0</v>
      </c>
      <c r="CF55" s="18">
        <f t="shared" si="77"/>
        <v>0</v>
      </c>
      <c r="CG55" s="18">
        <f t="shared" si="78"/>
        <v>0</v>
      </c>
      <c r="CH55" s="18">
        <f t="shared" si="79"/>
        <v>0</v>
      </c>
      <c r="CI55" s="18">
        <f t="shared" si="80"/>
        <v>0</v>
      </c>
      <c r="CJ55" s="18">
        <f t="shared" si="81"/>
        <v>0</v>
      </c>
    </row>
    <row r="56" spans="1:88" x14ac:dyDescent="0.3">
      <c r="A56" s="1">
        <v>43908</v>
      </c>
      <c r="B56">
        <v>28869.51</v>
      </c>
      <c r="C56">
        <f>Table1[[#This Row],[Close]]-0.001*Table1[[#This Row],[Close]]</f>
        <v>28840.640489999998</v>
      </c>
      <c r="D56">
        <f>Table1[[#This Row],[Close]]+0.001*Table1[[#This Row],[Close]]</f>
        <v>28898.379509999999</v>
      </c>
      <c r="E56" t="str">
        <f>IF(Table1[[#This Row],[Close]]&gt;D55,"UP",IF(Table1[[#This Row],[Close]]&lt;C55,"Down","Constant"))</f>
        <v>Down</v>
      </c>
      <c r="F56" s="3">
        <f>IF(Table1[[#This Row],[Column1]]="Up",1,IF(Table1[[#This Row],[Column1]]="Down",-1,0))</f>
        <v>-1</v>
      </c>
      <c r="G56">
        <f t="shared" si="0"/>
        <v>0</v>
      </c>
      <c r="H56" s="18">
        <f t="shared" si="1"/>
        <v>0</v>
      </c>
      <c r="I56" s="18">
        <f t="shared" si="2"/>
        <v>0</v>
      </c>
      <c r="J56" s="18">
        <f t="shared" si="3"/>
        <v>0</v>
      </c>
      <c r="K56" s="18">
        <f t="shared" si="4"/>
        <v>0</v>
      </c>
      <c r="L56" s="18">
        <f t="shared" si="5"/>
        <v>0</v>
      </c>
      <c r="M56" s="18">
        <f t="shared" si="6"/>
        <v>0</v>
      </c>
      <c r="N56" s="18">
        <f t="shared" si="7"/>
        <v>0</v>
      </c>
      <c r="O56" s="18">
        <f t="shared" si="8"/>
        <v>0</v>
      </c>
      <c r="P56" s="18">
        <f t="shared" si="9"/>
        <v>0</v>
      </c>
      <c r="Q56" s="18">
        <f t="shared" si="10"/>
        <v>0</v>
      </c>
      <c r="R56" s="18">
        <f t="shared" si="11"/>
        <v>0</v>
      </c>
      <c r="S56" s="18">
        <f t="shared" si="12"/>
        <v>0</v>
      </c>
      <c r="T56" s="18">
        <f t="shared" si="13"/>
        <v>0</v>
      </c>
      <c r="U56" s="18">
        <f t="shared" si="14"/>
        <v>0</v>
      </c>
      <c r="V56" s="18">
        <f t="shared" si="15"/>
        <v>0</v>
      </c>
      <c r="W56" s="18">
        <f t="shared" si="16"/>
        <v>1</v>
      </c>
      <c r="X56" s="18">
        <f t="shared" si="17"/>
        <v>0</v>
      </c>
      <c r="Y56" s="18">
        <f t="shared" si="18"/>
        <v>0</v>
      </c>
      <c r="Z56" s="18">
        <f t="shared" si="19"/>
        <v>0</v>
      </c>
      <c r="AA56" s="18">
        <f t="shared" si="20"/>
        <v>0</v>
      </c>
      <c r="AB56" s="18">
        <f t="shared" si="21"/>
        <v>0</v>
      </c>
      <c r="AC56" s="18">
        <f t="shared" si="22"/>
        <v>0</v>
      </c>
      <c r="AD56" s="18">
        <f t="shared" si="23"/>
        <v>0</v>
      </c>
      <c r="AE56" s="18">
        <f t="shared" si="24"/>
        <v>0</v>
      </c>
      <c r="AF56" s="18">
        <f t="shared" si="25"/>
        <v>0</v>
      </c>
      <c r="AG56" s="18">
        <f t="shared" si="26"/>
        <v>0</v>
      </c>
      <c r="AH56" s="18">
        <f t="shared" si="27"/>
        <v>0</v>
      </c>
      <c r="AI56" s="18">
        <f t="shared" si="28"/>
        <v>0</v>
      </c>
      <c r="AJ56" s="18">
        <f t="shared" si="29"/>
        <v>0</v>
      </c>
      <c r="AK56" s="18">
        <f t="shared" si="30"/>
        <v>0</v>
      </c>
      <c r="AL56" s="18">
        <f t="shared" si="31"/>
        <v>0</v>
      </c>
      <c r="AM56" s="18">
        <f t="shared" si="32"/>
        <v>0</v>
      </c>
      <c r="AN56" s="18">
        <f t="shared" si="33"/>
        <v>0</v>
      </c>
      <c r="AO56" s="18">
        <f t="shared" si="34"/>
        <v>0</v>
      </c>
      <c r="AP56" s="18">
        <f t="shared" si="35"/>
        <v>0</v>
      </c>
      <c r="AQ56" s="18">
        <f t="shared" si="36"/>
        <v>0</v>
      </c>
      <c r="AR56" s="18">
        <f t="shared" si="37"/>
        <v>0</v>
      </c>
      <c r="AS56" s="18">
        <f t="shared" si="38"/>
        <v>0</v>
      </c>
      <c r="AT56" s="18">
        <f t="shared" si="39"/>
        <v>0</v>
      </c>
      <c r="AU56" s="18">
        <f t="shared" si="40"/>
        <v>0</v>
      </c>
      <c r="AV56" s="18">
        <f t="shared" si="41"/>
        <v>0</v>
      </c>
      <c r="AW56" s="18">
        <f t="shared" si="42"/>
        <v>0</v>
      </c>
      <c r="AX56" s="18">
        <f t="shared" si="43"/>
        <v>0</v>
      </c>
      <c r="AY56" s="18">
        <f t="shared" si="44"/>
        <v>0</v>
      </c>
      <c r="AZ56" s="18">
        <f t="shared" si="45"/>
        <v>0</v>
      </c>
      <c r="BA56" s="18">
        <f t="shared" si="46"/>
        <v>0</v>
      </c>
      <c r="BB56" s="18">
        <f t="shared" si="47"/>
        <v>0</v>
      </c>
      <c r="BC56" s="18">
        <f t="shared" si="48"/>
        <v>0</v>
      </c>
      <c r="BD56" s="18">
        <f t="shared" si="49"/>
        <v>0</v>
      </c>
      <c r="BE56" s="18">
        <f t="shared" si="50"/>
        <v>0</v>
      </c>
      <c r="BF56" s="18">
        <f t="shared" si="51"/>
        <v>0</v>
      </c>
      <c r="BG56" s="18">
        <f t="shared" si="52"/>
        <v>0</v>
      </c>
      <c r="BH56" s="18">
        <f t="shared" si="53"/>
        <v>0</v>
      </c>
      <c r="BI56" s="18">
        <f t="shared" si="54"/>
        <v>0</v>
      </c>
      <c r="BJ56" s="18">
        <f t="shared" si="55"/>
        <v>0</v>
      </c>
      <c r="BK56" s="18">
        <f t="shared" si="56"/>
        <v>0</v>
      </c>
      <c r="BL56" s="18">
        <f t="shared" si="57"/>
        <v>0</v>
      </c>
      <c r="BM56" s="18">
        <f t="shared" si="58"/>
        <v>0</v>
      </c>
      <c r="BN56" s="18">
        <f t="shared" si="59"/>
        <v>0</v>
      </c>
      <c r="BO56" s="18">
        <f t="shared" si="60"/>
        <v>0</v>
      </c>
      <c r="BP56" s="18">
        <f t="shared" si="61"/>
        <v>0</v>
      </c>
      <c r="BQ56" s="18">
        <f t="shared" si="62"/>
        <v>0</v>
      </c>
      <c r="BR56" s="18">
        <f t="shared" si="63"/>
        <v>0</v>
      </c>
      <c r="BS56" s="18">
        <f t="shared" si="64"/>
        <v>0</v>
      </c>
      <c r="BT56" s="18">
        <f t="shared" si="65"/>
        <v>0</v>
      </c>
      <c r="BU56" s="18">
        <f t="shared" si="66"/>
        <v>0</v>
      </c>
      <c r="BV56" s="18">
        <f t="shared" si="67"/>
        <v>0</v>
      </c>
      <c r="BW56" s="18">
        <f t="shared" si="68"/>
        <v>0</v>
      </c>
      <c r="BX56" s="18">
        <f t="shared" si="69"/>
        <v>0</v>
      </c>
      <c r="BY56" s="18">
        <f t="shared" si="70"/>
        <v>0</v>
      </c>
      <c r="BZ56" s="18">
        <f t="shared" si="71"/>
        <v>0</v>
      </c>
      <c r="CA56" s="18">
        <f t="shared" si="72"/>
        <v>0</v>
      </c>
      <c r="CB56" s="18">
        <f t="shared" si="73"/>
        <v>0</v>
      </c>
      <c r="CC56" s="18">
        <f t="shared" si="74"/>
        <v>0</v>
      </c>
      <c r="CD56" s="18">
        <f t="shared" si="75"/>
        <v>0</v>
      </c>
      <c r="CE56" s="18">
        <f t="shared" si="76"/>
        <v>0</v>
      </c>
      <c r="CF56" s="18">
        <f t="shared" si="77"/>
        <v>0</v>
      </c>
      <c r="CG56" s="18">
        <f t="shared" si="78"/>
        <v>0</v>
      </c>
      <c r="CH56" s="18">
        <f t="shared" si="79"/>
        <v>0</v>
      </c>
      <c r="CI56" s="18">
        <f t="shared" si="80"/>
        <v>0</v>
      </c>
      <c r="CJ56" s="18">
        <f t="shared" si="81"/>
        <v>0</v>
      </c>
    </row>
    <row r="57" spans="1:88" x14ac:dyDescent="0.3">
      <c r="A57" s="1">
        <v>43909</v>
      </c>
      <c r="B57">
        <v>28288.23</v>
      </c>
      <c r="C57">
        <f>Table1[[#This Row],[Close]]-0.001*Table1[[#This Row],[Close]]</f>
        <v>28259.941770000001</v>
      </c>
      <c r="D57">
        <f>Table1[[#This Row],[Close]]+0.001*Table1[[#This Row],[Close]]</f>
        <v>28316.518229999998</v>
      </c>
      <c r="E57" t="str">
        <f>IF(Table1[[#This Row],[Close]]&gt;D56,"UP",IF(Table1[[#This Row],[Close]]&lt;C56,"Down","Constant"))</f>
        <v>Down</v>
      </c>
      <c r="F57" s="3">
        <f>IF(Table1[[#This Row],[Column1]]="Up",1,IF(Table1[[#This Row],[Column1]]="Down",-1,0))</f>
        <v>-1</v>
      </c>
      <c r="G57">
        <f t="shared" si="0"/>
        <v>0</v>
      </c>
      <c r="H57" s="18">
        <f t="shared" si="1"/>
        <v>0</v>
      </c>
      <c r="I57" s="18">
        <f t="shared" si="2"/>
        <v>0</v>
      </c>
      <c r="J57" s="18">
        <f t="shared" si="3"/>
        <v>0</v>
      </c>
      <c r="K57" s="18">
        <f t="shared" si="4"/>
        <v>0</v>
      </c>
      <c r="L57" s="18">
        <f t="shared" si="5"/>
        <v>0</v>
      </c>
      <c r="M57" s="18">
        <f t="shared" si="6"/>
        <v>0</v>
      </c>
      <c r="N57" s="18">
        <f t="shared" si="7"/>
        <v>0</v>
      </c>
      <c r="O57" s="18">
        <f t="shared" si="8"/>
        <v>0</v>
      </c>
      <c r="P57" s="18">
        <f t="shared" si="9"/>
        <v>0</v>
      </c>
      <c r="Q57" s="18">
        <f t="shared" si="10"/>
        <v>0</v>
      </c>
      <c r="R57" s="18">
        <f t="shared" si="11"/>
        <v>0</v>
      </c>
      <c r="S57" s="18">
        <f t="shared" si="12"/>
        <v>0</v>
      </c>
      <c r="T57" s="18">
        <f t="shared" si="13"/>
        <v>0</v>
      </c>
      <c r="U57" s="18">
        <f t="shared" si="14"/>
        <v>0</v>
      </c>
      <c r="V57" s="18">
        <f t="shared" si="15"/>
        <v>0</v>
      </c>
      <c r="W57" s="18">
        <f t="shared" si="16"/>
        <v>0</v>
      </c>
      <c r="X57" s="18">
        <f t="shared" si="17"/>
        <v>0</v>
      </c>
      <c r="Y57" s="18">
        <f t="shared" si="18"/>
        <v>0</v>
      </c>
      <c r="Z57" s="18">
        <f t="shared" si="19"/>
        <v>1</v>
      </c>
      <c r="AA57" s="18">
        <f t="shared" si="20"/>
        <v>0</v>
      </c>
      <c r="AB57" s="18">
        <f t="shared" si="21"/>
        <v>0</v>
      </c>
      <c r="AC57" s="18">
        <f t="shared" si="22"/>
        <v>0</v>
      </c>
      <c r="AD57" s="18">
        <f t="shared" si="23"/>
        <v>0</v>
      </c>
      <c r="AE57" s="18">
        <f t="shared" si="24"/>
        <v>0</v>
      </c>
      <c r="AF57" s="18">
        <f t="shared" si="25"/>
        <v>0</v>
      </c>
      <c r="AG57" s="18">
        <f t="shared" si="26"/>
        <v>0</v>
      </c>
      <c r="AH57" s="18">
        <f t="shared" si="27"/>
        <v>0</v>
      </c>
      <c r="AI57" s="18">
        <f t="shared" si="28"/>
        <v>0</v>
      </c>
      <c r="AJ57" s="18">
        <f t="shared" si="29"/>
        <v>0</v>
      </c>
      <c r="AK57" s="18">
        <f t="shared" si="30"/>
        <v>0</v>
      </c>
      <c r="AL57" s="18">
        <f t="shared" si="31"/>
        <v>0</v>
      </c>
      <c r="AM57" s="18">
        <f t="shared" si="32"/>
        <v>0</v>
      </c>
      <c r="AN57" s="18">
        <f t="shared" si="33"/>
        <v>0</v>
      </c>
      <c r="AO57" s="18">
        <f t="shared" si="34"/>
        <v>0</v>
      </c>
      <c r="AP57" s="18">
        <f t="shared" si="35"/>
        <v>0</v>
      </c>
      <c r="AQ57" s="18">
        <f t="shared" si="36"/>
        <v>0</v>
      </c>
      <c r="AR57" s="18">
        <f t="shared" si="37"/>
        <v>0</v>
      </c>
      <c r="AS57" s="18">
        <f t="shared" si="38"/>
        <v>0</v>
      </c>
      <c r="AT57" s="18">
        <f t="shared" si="39"/>
        <v>0</v>
      </c>
      <c r="AU57" s="18">
        <f t="shared" si="40"/>
        <v>0</v>
      </c>
      <c r="AV57" s="18">
        <f t="shared" si="41"/>
        <v>0</v>
      </c>
      <c r="AW57" s="18">
        <f t="shared" si="42"/>
        <v>0</v>
      </c>
      <c r="AX57" s="18">
        <f t="shared" si="43"/>
        <v>0</v>
      </c>
      <c r="AY57" s="18">
        <f t="shared" si="44"/>
        <v>0</v>
      </c>
      <c r="AZ57" s="18">
        <f t="shared" si="45"/>
        <v>0</v>
      </c>
      <c r="BA57" s="18">
        <f t="shared" si="46"/>
        <v>0</v>
      </c>
      <c r="BB57" s="18">
        <f t="shared" si="47"/>
        <v>0</v>
      </c>
      <c r="BC57" s="18">
        <f t="shared" si="48"/>
        <v>0</v>
      </c>
      <c r="BD57" s="18">
        <f t="shared" si="49"/>
        <v>0</v>
      </c>
      <c r="BE57" s="18">
        <f t="shared" si="50"/>
        <v>0</v>
      </c>
      <c r="BF57" s="18">
        <f t="shared" si="51"/>
        <v>0</v>
      </c>
      <c r="BG57" s="18">
        <f t="shared" si="52"/>
        <v>0</v>
      </c>
      <c r="BH57" s="18">
        <f t="shared" si="53"/>
        <v>0</v>
      </c>
      <c r="BI57" s="18">
        <f t="shared" si="54"/>
        <v>0</v>
      </c>
      <c r="BJ57" s="18">
        <f t="shared" si="55"/>
        <v>0</v>
      </c>
      <c r="BK57" s="18">
        <f t="shared" si="56"/>
        <v>0</v>
      </c>
      <c r="BL57" s="18">
        <f t="shared" si="57"/>
        <v>0</v>
      </c>
      <c r="BM57" s="18">
        <f t="shared" si="58"/>
        <v>0</v>
      </c>
      <c r="BN57" s="18">
        <f t="shared" si="59"/>
        <v>0</v>
      </c>
      <c r="BO57" s="18">
        <f t="shared" si="60"/>
        <v>0</v>
      </c>
      <c r="BP57" s="18">
        <f t="shared" si="61"/>
        <v>0</v>
      </c>
      <c r="BQ57" s="18">
        <f t="shared" si="62"/>
        <v>0</v>
      </c>
      <c r="BR57" s="18">
        <f t="shared" si="63"/>
        <v>0</v>
      </c>
      <c r="BS57" s="18">
        <f t="shared" si="64"/>
        <v>0</v>
      </c>
      <c r="BT57" s="18">
        <f t="shared" si="65"/>
        <v>0</v>
      </c>
      <c r="BU57" s="18">
        <f t="shared" si="66"/>
        <v>0</v>
      </c>
      <c r="BV57" s="18">
        <f t="shared" si="67"/>
        <v>0</v>
      </c>
      <c r="BW57" s="18">
        <f t="shared" si="68"/>
        <v>0</v>
      </c>
      <c r="BX57" s="18">
        <f t="shared" si="69"/>
        <v>0</v>
      </c>
      <c r="BY57" s="18">
        <f t="shared" si="70"/>
        <v>0</v>
      </c>
      <c r="BZ57" s="18">
        <f t="shared" si="71"/>
        <v>0</v>
      </c>
      <c r="CA57" s="18">
        <f t="shared" si="72"/>
        <v>0</v>
      </c>
      <c r="CB57" s="18">
        <f t="shared" si="73"/>
        <v>0</v>
      </c>
      <c r="CC57" s="18">
        <f t="shared" si="74"/>
        <v>0</v>
      </c>
      <c r="CD57" s="18">
        <f t="shared" si="75"/>
        <v>0</v>
      </c>
      <c r="CE57" s="18">
        <f t="shared" si="76"/>
        <v>0</v>
      </c>
      <c r="CF57" s="18">
        <f t="shared" si="77"/>
        <v>0</v>
      </c>
      <c r="CG57" s="18">
        <f t="shared" si="78"/>
        <v>0</v>
      </c>
      <c r="CH57" s="18">
        <f t="shared" si="79"/>
        <v>0</v>
      </c>
      <c r="CI57" s="18">
        <f t="shared" si="80"/>
        <v>0</v>
      </c>
      <c r="CJ57" s="18">
        <f t="shared" si="81"/>
        <v>0</v>
      </c>
    </row>
    <row r="58" spans="1:88" x14ac:dyDescent="0.3">
      <c r="A58" s="1">
        <v>43910</v>
      </c>
      <c r="B58">
        <v>29915.96</v>
      </c>
      <c r="C58">
        <f>Table1[[#This Row],[Close]]-0.001*Table1[[#This Row],[Close]]</f>
        <v>29886.044040000001</v>
      </c>
      <c r="D58">
        <f>Table1[[#This Row],[Close]]+0.001*Table1[[#This Row],[Close]]</f>
        <v>29945.875959999998</v>
      </c>
      <c r="E58" t="str">
        <f>IF(Table1[[#This Row],[Close]]&gt;D57,"UP",IF(Table1[[#This Row],[Close]]&lt;C57,"Down","Constant"))</f>
        <v>UP</v>
      </c>
      <c r="F58" s="3">
        <f>IF(Table1[[#This Row],[Column1]]="Up",1,IF(Table1[[#This Row],[Column1]]="Down",-1,0))</f>
        <v>1</v>
      </c>
      <c r="G58">
        <f t="shared" si="0"/>
        <v>0</v>
      </c>
      <c r="H58" s="18">
        <f t="shared" si="1"/>
        <v>0</v>
      </c>
      <c r="I58" s="18">
        <f t="shared" si="2"/>
        <v>0</v>
      </c>
      <c r="J58" s="18">
        <f t="shared" si="3"/>
        <v>0</v>
      </c>
      <c r="K58" s="18">
        <f t="shared" si="4"/>
        <v>0</v>
      </c>
      <c r="L58" s="18">
        <f t="shared" si="5"/>
        <v>0</v>
      </c>
      <c r="M58" s="18">
        <f t="shared" si="6"/>
        <v>0</v>
      </c>
      <c r="N58" s="18">
        <f t="shared" si="7"/>
        <v>0</v>
      </c>
      <c r="O58" s="18">
        <f t="shared" si="8"/>
        <v>0</v>
      </c>
      <c r="P58" s="18">
        <f t="shared" si="9"/>
        <v>0</v>
      </c>
      <c r="Q58" s="18">
        <f t="shared" si="10"/>
        <v>0</v>
      </c>
      <c r="R58" s="18">
        <f t="shared" si="11"/>
        <v>0</v>
      </c>
      <c r="S58" s="18">
        <f t="shared" si="12"/>
        <v>0</v>
      </c>
      <c r="T58" s="18">
        <f t="shared" si="13"/>
        <v>0</v>
      </c>
      <c r="U58" s="18">
        <f t="shared" si="14"/>
        <v>0</v>
      </c>
      <c r="V58" s="18">
        <f t="shared" si="15"/>
        <v>0</v>
      </c>
      <c r="W58" s="18">
        <f t="shared" si="16"/>
        <v>0</v>
      </c>
      <c r="X58" s="18">
        <f t="shared" si="17"/>
        <v>0</v>
      </c>
      <c r="Y58" s="18">
        <f t="shared" si="18"/>
        <v>0</v>
      </c>
      <c r="Z58" s="18">
        <f t="shared" si="19"/>
        <v>0</v>
      </c>
      <c r="AA58" s="18">
        <f t="shared" si="20"/>
        <v>0</v>
      </c>
      <c r="AB58" s="18">
        <f t="shared" si="21"/>
        <v>1</v>
      </c>
      <c r="AC58" s="18">
        <f t="shared" si="22"/>
        <v>0</v>
      </c>
      <c r="AD58" s="18">
        <f t="shared" si="23"/>
        <v>0</v>
      </c>
      <c r="AE58" s="18">
        <f t="shared" si="24"/>
        <v>0</v>
      </c>
      <c r="AF58" s="18">
        <f t="shared" si="25"/>
        <v>0</v>
      </c>
      <c r="AG58" s="18">
        <f t="shared" si="26"/>
        <v>0</v>
      </c>
      <c r="AH58" s="18">
        <f t="shared" si="27"/>
        <v>0</v>
      </c>
      <c r="AI58" s="18">
        <f t="shared" si="28"/>
        <v>0</v>
      </c>
      <c r="AJ58" s="18">
        <f t="shared" si="29"/>
        <v>0</v>
      </c>
      <c r="AK58" s="18">
        <f t="shared" si="30"/>
        <v>0</v>
      </c>
      <c r="AL58" s="18">
        <f t="shared" si="31"/>
        <v>0</v>
      </c>
      <c r="AM58" s="18">
        <f t="shared" si="32"/>
        <v>0</v>
      </c>
      <c r="AN58" s="18">
        <f t="shared" si="33"/>
        <v>0</v>
      </c>
      <c r="AO58" s="18">
        <f t="shared" si="34"/>
        <v>0</v>
      </c>
      <c r="AP58" s="18">
        <f t="shared" si="35"/>
        <v>0</v>
      </c>
      <c r="AQ58" s="18">
        <f t="shared" si="36"/>
        <v>0</v>
      </c>
      <c r="AR58" s="18">
        <f t="shared" si="37"/>
        <v>0</v>
      </c>
      <c r="AS58" s="18">
        <f t="shared" si="38"/>
        <v>0</v>
      </c>
      <c r="AT58" s="18">
        <f t="shared" si="39"/>
        <v>0</v>
      </c>
      <c r="AU58" s="18">
        <f t="shared" si="40"/>
        <v>0</v>
      </c>
      <c r="AV58" s="18">
        <f t="shared" si="41"/>
        <v>0</v>
      </c>
      <c r="AW58" s="18">
        <f t="shared" si="42"/>
        <v>0</v>
      </c>
      <c r="AX58" s="18">
        <f t="shared" si="43"/>
        <v>0</v>
      </c>
      <c r="AY58" s="18">
        <f t="shared" si="44"/>
        <v>0</v>
      </c>
      <c r="AZ58" s="18">
        <f t="shared" si="45"/>
        <v>0</v>
      </c>
      <c r="BA58" s="18">
        <f t="shared" si="46"/>
        <v>0</v>
      </c>
      <c r="BB58" s="18">
        <f t="shared" si="47"/>
        <v>0</v>
      </c>
      <c r="BC58" s="18">
        <f t="shared" si="48"/>
        <v>0</v>
      </c>
      <c r="BD58" s="18">
        <f t="shared" si="49"/>
        <v>0</v>
      </c>
      <c r="BE58" s="18">
        <f t="shared" si="50"/>
        <v>0</v>
      </c>
      <c r="BF58" s="18">
        <f t="shared" si="51"/>
        <v>0</v>
      </c>
      <c r="BG58" s="18">
        <f t="shared" si="52"/>
        <v>0</v>
      </c>
      <c r="BH58" s="18">
        <f t="shared" si="53"/>
        <v>0</v>
      </c>
      <c r="BI58" s="18">
        <f t="shared" si="54"/>
        <v>0</v>
      </c>
      <c r="BJ58" s="18">
        <f t="shared" si="55"/>
        <v>0</v>
      </c>
      <c r="BK58" s="18">
        <f t="shared" si="56"/>
        <v>0</v>
      </c>
      <c r="BL58" s="18">
        <f t="shared" si="57"/>
        <v>0</v>
      </c>
      <c r="BM58" s="18">
        <f t="shared" si="58"/>
        <v>0</v>
      </c>
      <c r="BN58" s="18">
        <f t="shared" si="59"/>
        <v>0</v>
      </c>
      <c r="BO58" s="18">
        <f t="shared" si="60"/>
        <v>0</v>
      </c>
      <c r="BP58" s="18">
        <f t="shared" si="61"/>
        <v>0</v>
      </c>
      <c r="BQ58" s="18">
        <f t="shared" si="62"/>
        <v>0</v>
      </c>
      <c r="BR58" s="18">
        <f t="shared" si="63"/>
        <v>0</v>
      </c>
      <c r="BS58" s="18">
        <f t="shared" si="64"/>
        <v>0</v>
      </c>
      <c r="BT58" s="18">
        <f t="shared" si="65"/>
        <v>0</v>
      </c>
      <c r="BU58" s="18">
        <f t="shared" si="66"/>
        <v>0</v>
      </c>
      <c r="BV58" s="18">
        <f t="shared" si="67"/>
        <v>0</v>
      </c>
      <c r="BW58" s="18">
        <f t="shared" si="68"/>
        <v>0</v>
      </c>
      <c r="BX58" s="18">
        <f t="shared" si="69"/>
        <v>0</v>
      </c>
      <c r="BY58" s="18">
        <f t="shared" si="70"/>
        <v>0</v>
      </c>
      <c r="BZ58" s="18">
        <f t="shared" si="71"/>
        <v>0</v>
      </c>
      <c r="CA58" s="18">
        <f t="shared" si="72"/>
        <v>0</v>
      </c>
      <c r="CB58" s="18">
        <f t="shared" si="73"/>
        <v>0</v>
      </c>
      <c r="CC58" s="18">
        <f t="shared" si="74"/>
        <v>0</v>
      </c>
      <c r="CD58" s="18">
        <f t="shared" si="75"/>
        <v>0</v>
      </c>
      <c r="CE58" s="18">
        <f t="shared" si="76"/>
        <v>0</v>
      </c>
      <c r="CF58" s="18">
        <f t="shared" si="77"/>
        <v>0</v>
      </c>
      <c r="CG58" s="18">
        <f t="shared" si="78"/>
        <v>0</v>
      </c>
      <c r="CH58" s="18">
        <f t="shared" si="79"/>
        <v>0</v>
      </c>
      <c r="CI58" s="18">
        <f t="shared" si="80"/>
        <v>0</v>
      </c>
      <c r="CJ58" s="18">
        <f t="shared" si="81"/>
        <v>0</v>
      </c>
    </row>
    <row r="59" spans="1:88" x14ac:dyDescent="0.3">
      <c r="A59" s="1">
        <v>43913</v>
      </c>
      <c r="B59">
        <v>25981.24</v>
      </c>
      <c r="C59">
        <f>Table1[[#This Row],[Close]]-0.001*Table1[[#This Row],[Close]]</f>
        <v>25955.258760000001</v>
      </c>
      <c r="D59">
        <f>Table1[[#This Row],[Close]]+0.001*Table1[[#This Row],[Close]]</f>
        <v>26007.221240000003</v>
      </c>
      <c r="E59" t="str">
        <f>IF(Table1[[#This Row],[Close]]&gt;D58,"UP",IF(Table1[[#This Row],[Close]]&lt;C58,"Down","Constant"))</f>
        <v>Down</v>
      </c>
      <c r="F59" s="3">
        <f>IF(Table1[[#This Row],[Column1]]="Up",1,IF(Table1[[#This Row],[Column1]]="Down",-1,0))</f>
        <v>-1</v>
      </c>
      <c r="G59">
        <f t="shared" si="0"/>
        <v>0</v>
      </c>
      <c r="H59" s="18">
        <f t="shared" si="1"/>
        <v>0</v>
      </c>
      <c r="I59" s="18">
        <f t="shared" si="2"/>
        <v>0</v>
      </c>
      <c r="J59" s="18">
        <f t="shared" si="3"/>
        <v>0</v>
      </c>
      <c r="K59" s="18">
        <f t="shared" si="4"/>
        <v>0</v>
      </c>
      <c r="L59" s="18">
        <f t="shared" si="5"/>
        <v>0</v>
      </c>
      <c r="M59" s="18">
        <f t="shared" si="6"/>
        <v>0</v>
      </c>
      <c r="N59" s="18">
        <f t="shared" si="7"/>
        <v>0</v>
      </c>
      <c r="O59" s="18">
        <f t="shared" si="8"/>
        <v>0</v>
      </c>
      <c r="P59" s="18">
        <f t="shared" si="9"/>
        <v>0</v>
      </c>
      <c r="Q59" s="18">
        <f t="shared" si="10"/>
        <v>0</v>
      </c>
      <c r="R59" s="18">
        <f t="shared" si="11"/>
        <v>0</v>
      </c>
      <c r="S59" s="18">
        <f t="shared" si="12"/>
        <v>0</v>
      </c>
      <c r="T59" s="18">
        <f t="shared" si="13"/>
        <v>1</v>
      </c>
      <c r="U59" s="18">
        <f t="shared" si="14"/>
        <v>0</v>
      </c>
      <c r="V59" s="18">
        <f t="shared" si="15"/>
        <v>0</v>
      </c>
      <c r="W59" s="18">
        <f t="shared" si="16"/>
        <v>0</v>
      </c>
      <c r="X59" s="18">
        <f t="shared" si="17"/>
        <v>0</v>
      </c>
      <c r="Y59" s="18">
        <f t="shared" si="18"/>
        <v>0</v>
      </c>
      <c r="Z59" s="18">
        <f t="shared" si="19"/>
        <v>0</v>
      </c>
      <c r="AA59" s="18">
        <f t="shared" si="20"/>
        <v>0</v>
      </c>
      <c r="AB59" s="18">
        <f t="shared" si="21"/>
        <v>0</v>
      </c>
      <c r="AC59" s="18">
        <f t="shared" si="22"/>
        <v>0</v>
      </c>
      <c r="AD59" s="18">
        <f t="shared" si="23"/>
        <v>0</v>
      </c>
      <c r="AE59" s="18">
        <f t="shared" si="24"/>
        <v>0</v>
      </c>
      <c r="AF59" s="18">
        <f t="shared" si="25"/>
        <v>0</v>
      </c>
      <c r="AG59" s="18">
        <f t="shared" si="26"/>
        <v>0</v>
      </c>
      <c r="AH59" s="18">
        <f t="shared" si="27"/>
        <v>0</v>
      </c>
      <c r="AI59" s="18">
        <f t="shared" si="28"/>
        <v>0</v>
      </c>
      <c r="AJ59" s="18">
        <f t="shared" si="29"/>
        <v>0</v>
      </c>
      <c r="AK59" s="18">
        <f t="shared" si="30"/>
        <v>0</v>
      </c>
      <c r="AL59" s="18">
        <f t="shared" si="31"/>
        <v>0</v>
      </c>
      <c r="AM59" s="18">
        <f t="shared" si="32"/>
        <v>0</v>
      </c>
      <c r="AN59" s="18">
        <f t="shared" si="33"/>
        <v>0</v>
      </c>
      <c r="AO59" s="18">
        <f t="shared" si="34"/>
        <v>0</v>
      </c>
      <c r="AP59" s="18">
        <f t="shared" si="35"/>
        <v>0</v>
      </c>
      <c r="AQ59" s="18">
        <f t="shared" si="36"/>
        <v>0</v>
      </c>
      <c r="AR59" s="18">
        <f t="shared" si="37"/>
        <v>0</v>
      </c>
      <c r="AS59" s="18">
        <f t="shared" si="38"/>
        <v>0</v>
      </c>
      <c r="AT59" s="18">
        <f t="shared" si="39"/>
        <v>0</v>
      </c>
      <c r="AU59" s="18">
        <f t="shared" si="40"/>
        <v>0</v>
      </c>
      <c r="AV59" s="18">
        <f t="shared" si="41"/>
        <v>0</v>
      </c>
      <c r="AW59" s="18">
        <f t="shared" si="42"/>
        <v>0</v>
      </c>
      <c r="AX59" s="18">
        <f t="shared" si="43"/>
        <v>0</v>
      </c>
      <c r="AY59" s="18">
        <f t="shared" si="44"/>
        <v>0</v>
      </c>
      <c r="AZ59" s="18">
        <f t="shared" si="45"/>
        <v>0</v>
      </c>
      <c r="BA59" s="18">
        <f t="shared" si="46"/>
        <v>0</v>
      </c>
      <c r="BB59" s="18">
        <f t="shared" si="47"/>
        <v>0</v>
      </c>
      <c r="BC59" s="18">
        <f t="shared" si="48"/>
        <v>0</v>
      </c>
      <c r="BD59" s="18">
        <f t="shared" si="49"/>
        <v>0</v>
      </c>
      <c r="BE59" s="18">
        <f t="shared" si="50"/>
        <v>0</v>
      </c>
      <c r="BF59" s="18">
        <f t="shared" si="51"/>
        <v>0</v>
      </c>
      <c r="BG59" s="18">
        <f t="shared" si="52"/>
        <v>0</v>
      </c>
      <c r="BH59" s="18">
        <f t="shared" si="53"/>
        <v>0</v>
      </c>
      <c r="BI59" s="18">
        <f t="shared" si="54"/>
        <v>0</v>
      </c>
      <c r="BJ59" s="18">
        <f t="shared" si="55"/>
        <v>0</v>
      </c>
      <c r="BK59" s="18">
        <f t="shared" si="56"/>
        <v>0</v>
      </c>
      <c r="BL59" s="18">
        <f t="shared" si="57"/>
        <v>0</v>
      </c>
      <c r="BM59" s="18">
        <f t="shared" si="58"/>
        <v>0</v>
      </c>
      <c r="BN59" s="18">
        <f t="shared" si="59"/>
        <v>0</v>
      </c>
      <c r="BO59" s="18">
        <f t="shared" si="60"/>
        <v>0</v>
      </c>
      <c r="BP59" s="18">
        <f t="shared" si="61"/>
        <v>0</v>
      </c>
      <c r="BQ59" s="18">
        <f t="shared" si="62"/>
        <v>0</v>
      </c>
      <c r="BR59" s="18">
        <f t="shared" si="63"/>
        <v>0</v>
      </c>
      <c r="BS59" s="18">
        <f t="shared" si="64"/>
        <v>0</v>
      </c>
      <c r="BT59" s="18">
        <f t="shared" si="65"/>
        <v>0</v>
      </c>
      <c r="BU59" s="18">
        <f t="shared" si="66"/>
        <v>0</v>
      </c>
      <c r="BV59" s="18">
        <f t="shared" si="67"/>
        <v>0</v>
      </c>
      <c r="BW59" s="18">
        <f t="shared" si="68"/>
        <v>0</v>
      </c>
      <c r="BX59" s="18">
        <f t="shared" si="69"/>
        <v>0</v>
      </c>
      <c r="BY59" s="18">
        <f t="shared" si="70"/>
        <v>0</v>
      </c>
      <c r="BZ59" s="18">
        <f t="shared" si="71"/>
        <v>0</v>
      </c>
      <c r="CA59" s="18">
        <f t="shared" si="72"/>
        <v>0</v>
      </c>
      <c r="CB59" s="18">
        <f t="shared" si="73"/>
        <v>0</v>
      </c>
      <c r="CC59" s="18">
        <f t="shared" si="74"/>
        <v>0</v>
      </c>
      <c r="CD59" s="18">
        <f t="shared" si="75"/>
        <v>0</v>
      </c>
      <c r="CE59" s="18">
        <f t="shared" si="76"/>
        <v>0</v>
      </c>
      <c r="CF59" s="18">
        <f t="shared" si="77"/>
        <v>0</v>
      </c>
      <c r="CG59" s="18">
        <f t="shared" si="78"/>
        <v>0</v>
      </c>
      <c r="CH59" s="18">
        <f t="shared" si="79"/>
        <v>0</v>
      </c>
      <c r="CI59" s="18">
        <f t="shared" si="80"/>
        <v>0</v>
      </c>
      <c r="CJ59" s="18">
        <f t="shared" si="81"/>
        <v>0</v>
      </c>
    </row>
    <row r="60" spans="1:88" x14ac:dyDescent="0.3">
      <c r="A60" s="1">
        <v>43914</v>
      </c>
      <c r="B60">
        <v>26674.03</v>
      </c>
      <c r="C60">
        <f>Table1[[#This Row],[Close]]-0.001*Table1[[#This Row],[Close]]</f>
        <v>26647.355970000001</v>
      </c>
      <c r="D60">
        <f>Table1[[#This Row],[Close]]+0.001*Table1[[#This Row],[Close]]</f>
        <v>26700.704029999997</v>
      </c>
      <c r="E60" t="str">
        <f>IF(Table1[[#This Row],[Close]]&gt;D59,"UP",IF(Table1[[#This Row],[Close]]&lt;C59,"Down","Constant"))</f>
        <v>UP</v>
      </c>
      <c r="F60" s="3">
        <f>IF(Table1[[#This Row],[Column1]]="Up",1,IF(Table1[[#This Row],[Column1]]="Down",-1,0))</f>
        <v>1</v>
      </c>
      <c r="G60">
        <f t="shared" si="0"/>
        <v>0</v>
      </c>
      <c r="H60" s="18">
        <f t="shared" si="1"/>
        <v>0</v>
      </c>
      <c r="I60" s="18">
        <f t="shared" si="2"/>
        <v>0</v>
      </c>
      <c r="J60" s="18">
        <f t="shared" si="3"/>
        <v>0</v>
      </c>
      <c r="K60" s="18">
        <f t="shared" si="4"/>
        <v>0</v>
      </c>
      <c r="L60" s="18">
        <f t="shared" si="5"/>
        <v>0</v>
      </c>
      <c r="M60" s="18">
        <f t="shared" si="6"/>
        <v>0</v>
      </c>
      <c r="N60" s="18">
        <f t="shared" si="7"/>
        <v>0</v>
      </c>
      <c r="O60" s="18">
        <f t="shared" si="8"/>
        <v>0</v>
      </c>
      <c r="P60" s="18">
        <f t="shared" si="9"/>
        <v>0</v>
      </c>
      <c r="Q60" s="18">
        <f t="shared" si="10"/>
        <v>0</v>
      </c>
      <c r="R60" s="18">
        <f t="shared" si="11"/>
        <v>0</v>
      </c>
      <c r="S60" s="18">
        <f t="shared" si="12"/>
        <v>0</v>
      </c>
      <c r="T60" s="18">
        <f t="shared" si="13"/>
        <v>0</v>
      </c>
      <c r="U60" s="18">
        <f t="shared" si="14"/>
        <v>0</v>
      </c>
      <c r="V60" s="18">
        <f t="shared" si="15"/>
        <v>0</v>
      </c>
      <c r="W60" s="18">
        <f t="shared" si="16"/>
        <v>0</v>
      </c>
      <c r="X60" s="18">
        <f t="shared" si="17"/>
        <v>0</v>
      </c>
      <c r="Y60" s="18">
        <f t="shared" si="18"/>
        <v>0</v>
      </c>
      <c r="Z60" s="18">
        <f t="shared" si="19"/>
        <v>0</v>
      </c>
      <c r="AA60" s="18">
        <f t="shared" si="20"/>
        <v>0</v>
      </c>
      <c r="AB60" s="18">
        <f t="shared" si="21"/>
        <v>0</v>
      </c>
      <c r="AC60" s="18">
        <f t="shared" si="22"/>
        <v>0</v>
      </c>
      <c r="AD60" s="18">
        <f t="shared" si="23"/>
        <v>0</v>
      </c>
      <c r="AE60" s="18">
        <f t="shared" si="24"/>
        <v>1</v>
      </c>
      <c r="AF60" s="18">
        <f t="shared" si="25"/>
        <v>0</v>
      </c>
      <c r="AG60" s="18">
        <f t="shared" si="26"/>
        <v>0</v>
      </c>
      <c r="AH60" s="18">
        <f t="shared" si="27"/>
        <v>0</v>
      </c>
      <c r="AI60" s="18">
        <f t="shared" si="28"/>
        <v>0</v>
      </c>
      <c r="AJ60" s="18">
        <f t="shared" si="29"/>
        <v>0</v>
      </c>
      <c r="AK60" s="18">
        <f t="shared" si="30"/>
        <v>0</v>
      </c>
      <c r="AL60" s="18">
        <f t="shared" si="31"/>
        <v>0</v>
      </c>
      <c r="AM60" s="18">
        <f t="shared" si="32"/>
        <v>0</v>
      </c>
      <c r="AN60" s="18">
        <f t="shared" si="33"/>
        <v>0</v>
      </c>
      <c r="AO60" s="18">
        <f t="shared" si="34"/>
        <v>0</v>
      </c>
      <c r="AP60" s="18">
        <f t="shared" si="35"/>
        <v>0</v>
      </c>
      <c r="AQ60" s="18">
        <f t="shared" si="36"/>
        <v>0</v>
      </c>
      <c r="AR60" s="18">
        <f t="shared" si="37"/>
        <v>0</v>
      </c>
      <c r="AS60" s="18">
        <f t="shared" si="38"/>
        <v>0</v>
      </c>
      <c r="AT60" s="18">
        <f t="shared" si="39"/>
        <v>0</v>
      </c>
      <c r="AU60" s="18">
        <f t="shared" si="40"/>
        <v>0</v>
      </c>
      <c r="AV60" s="18">
        <f t="shared" si="41"/>
        <v>0</v>
      </c>
      <c r="AW60" s="18">
        <f t="shared" si="42"/>
        <v>0</v>
      </c>
      <c r="AX60" s="18">
        <f t="shared" si="43"/>
        <v>0</v>
      </c>
      <c r="AY60" s="18">
        <f t="shared" si="44"/>
        <v>0</v>
      </c>
      <c r="AZ60" s="18">
        <f t="shared" si="45"/>
        <v>0</v>
      </c>
      <c r="BA60" s="18">
        <f t="shared" si="46"/>
        <v>0</v>
      </c>
      <c r="BB60" s="18">
        <f t="shared" si="47"/>
        <v>0</v>
      </c>
      <c r="BC60" s="18">
        <f t="shared" si="48"/>
        <v>0</v>
      </c>
      <c r="BD60" s="18">
        <f t="shared" si="49"/>
        <v>0</v>
      </c>
      <c r="BE60" s="18">
        <f t="shared" si="50"/>
        <v>0</v>
      </c>
      <c r="BF60" s="18">
        <f t="shared" si="51"/>
        <v>0</v>
      </c>
      <c r="BG60" s="18">
        <f t="shared" si="52"/>
        <v>0</v>
      </c>
      <c r="BH60" s="18">
        <f t="shared" si="53"/>
        <v>0</v>
      </c>
      <c r="BI60" s="18">
        <f t="shared" si="54"/>
        <v>0</v>
      </c>
      <c r="BJ60" s="18">
        <f t="shared" si="55"/>
        <v>0</v>
      </c>
      <c r="BK60" s="18">
        <f t="shared" si="56"/>
        <v>0</v>
      </c>
      <c r="BL60" s="18">
        <f t="shared" si="57"/>
        <v>0</v>
      </c>
      <c r="BM60" s="18">
        <f t="shared" si="58"/>
        <v>0</v>
      </c>
      <c r="BN60" s="18">
        <f t="shared" si="59"/>
        <v>0</v>
      </c>
      <c r="BO60" s="18">
        <f t="shared" si="60"/>
        <v>0</v>
      </c>
      <c r="BP60" s="18">
        <f t="shared" si="61"/>
        <v>0</v>
      </c>
      <c r="BQ60" s="18">
        <f t="shared" si="62"/>
        <v>0</v>
      </c>
      <c r="BR60" s="18">
        <f t="shared" si="63"/>
        <v>0</v>
      </c>
      <c r="BS60" s="18">
        <f t="shared" si="64"/>
        <v>0</v>
      </c>
      <c r="BT60" s="18">
        <f t="shared" si="65"/>
        <v>0</v>
      </c>
      <c r="BU60" s="18">
        <f t="shared" si="66"/>
        <v>0</v>
      </c>
      <c r="BV60" s="18">
        <f t="shared" si="67"/>
        <v>0</v>
      </c>
      <c r="BW60" s="18">
        <f t="shared" si="68"/>
        <v>0</v>
      </c>
      <c r="BX60" s="18">
        <f t="shared" si="69"/>
        <v>0</v>
      </c>
      <c r="BY60" s="18">
        <f t="shared" si="70"/>
        <v>0</v>
      </c>
      <c r="BZ60" s="18">
        <f t="shared" si="71"/>
        <v>0</v>
      </c>
      <c r="CA60" s="18">
        <f t="shared" si="72"/>
        <v>0</v>
      </c>
      <c r="CB60" s="18">
        <f t="shared" si="73"/>
        <v>0</v>
      </c>
      <c r="CC60" s="18">
        <f t="shared" si="74"/>
        <v>0</v>
      </c>
      <c r="CD60" s="18">
        <f t="shared" si="75"/>
        <v>0</v>
      </c>
      <c r="CE60" s="18">
        <f t="shared" si="76"/>
        <v>0</v>
      </c>
      <c r="CF60" s="18">
        <f t="shared" si="77"/>
        <v>0</v>
      </c>
      <c r="CG60" s="18">
        <f t="shared" si="78"/>
        <v>0</v>
      </c>
      <c r="CH60" s="18">
        <f t="shared" si="79"/>
        <v>0</v>
      </c>
      <c r="CI60" s="18">
        <f t="shared" si="80"/>
        <v>0</v>
      </c>
      <c r="CJ60" s="18">
        <f t="shared" si="81"/>
        <v>0</v>
      </c>
    </row>
    <row r="61" spans="1:88" x14ac:dyDescent="0.3">
      <c r="A61" s="1">
        <v>43915</v>
      </c>
      <c r="B61">
        <v>28535.78</v>
      </c>
      <c r="C61">
        <f>Table1[[#This Row],[Close]]-0.001*Table1[[#This Row],[Close]]</f>
        <v>28507.24422</v>
      </c>
      <c r="D61">
        <f>Table1[[#This Row],[Close]]+0.001*Table1[[#This Row],[Close]]</f>
        <v>28564.315779999997</v>
      </c>
      <c r="E61" t="str">
        <f>IF(Table1[[#This Row],[Close]]&gt;D60,"UP",IF(Table1[[#This Row],[Close]]&lt;C60,"Down","Constant"))</f>
        <v>UP</v>
      </c>
      <c r="F61" s="3">
        <f>IF(Table1[[#This Row],[Column1]]="Up",1,IF(Table1[[#This Row],[Column1]]="Down",-1,0))</f>
        <v>1</v>
      </c>
      <c r="G61">
        <f t="shared" si="0"/>
        <v>0</v>
      </c>
      <c r="H61" s="18">
        <f t="shared" si="1"/>
        <v>0</v>
      </c>
      <c r="I61" s="18">
        <f t="shared" si="2"/>
        <v>0</v>
      </c>
      <c r="J61" s="18">
        <f t="shared" si="3"/>
        <v>0</v>
      </c>
      <c r="K61" s="18">
        <f t="shared" si="4"/>
        <v>0</v>
      </c>
      <c r="L61" s="18">
        <f t="shared" si="5"/>
        <v>0</v>
      </c>
      <c r="M61" s="18">
        <f t="shared" si="6"/>
        <v>0</v>
      </c>
      <c r="N61" s="18">
        <f t="shared" si="7"/>
        <v>0</v>
      </c>
      <c r="O61" s="18">
        <f t="shared" si="8"/>
        <v>0</v>
      </c>
      <c r="P61" s="18">
        <f t="shared" si="9"/>
        <v>1</v>
      </c>
      <c r="Q61" s="18">
        <f t="shared" si="10"/>
        <v>0</v>
      </c>
      <c r="R61" s="18">
        <f t="shared" si="11"/>
        <v>0</v>
      </c>
      <c r="S61" s="18">
        <f t="shared" si="12"/>
        <v>0</v>
      </c>
      <c r="T61" s="18">
        <f t="shared" si="13"/>
        <v>0</v>
      </c>
      <c r="U61" s="18">
        <f t="shared" si="14"/>
        <v>0</v>
      </c>
      <c r="V61" s="18">
        <f t="shared" si="15"/>
        <v>0</v>
      </c>
      <c r="W61" s="18">
        <f t="shared" si="16"/>
        <v>0</v>
      </c>
      <c r="X61" s="18">
        <f t="shared" si="17"/>
        <v>0</v>
      </c>
      <c r="Y61" s="18">
        <f t="shared" si="18"/>
        <v>0</v>
      </c>
      <c r="Z61" s="18">
        <f t="shared" si="19"/>
        <v>0</v>
      </c>
      <c r="AA61" s="18">
        <f t="shared" si="20"/>
        <v>0</v>
      </c>
      <c r="AB61" s="18">
        <f t="shared" si="21"/>
        <v>0</v>
      </c>
      <c r="AC61" s="18">
        <f t="shared" si="22"/>
        <v>0</v>
      </c>
      <c r="AD61" s="18">
        <f t="shared" si="23"/>
        <v>0</v>
      </c>
      <c r="AE61" s="18">
        <f t="shared" si="24"/>
        <v>0</v>
      </c>
      <c r="AF61" s="18">
        <f t="shared" si="25"/>
        <v>0</v>
      </c>
      <c r="AG61" s="18">
        <f t="shared" si="26"/>
        <v>0</v>
      </c>
      <c r="AH61" s="18">
        <f t="shared" si="27"/>
        <v>0</v>
      </c>
      <c r="AI61" s="18">
        <f t="shared" si="28"/>
        <v>0</v>
      </c>
      <c r="AJ61" s="18">
        <f t="shared" si="29"/>
        <v>0</v>
      </c>
      <c r="AK61" s="18">
        <f t="shared" si="30"/>
        <v>0</v>
      </c>
      <c r="AL61" s="18">
        <f t="shared" si="31"/>
        <v>0</v>
      </c>
      <c r="AM61" s="18">
        <f t="shared" si="32"/>
        <v>0</v>
      </c>
      <c r="AN61" s="18">
        <f t="shared" si="33"/>
        <v>0</v>
      </c>
      <c r="AO61" s="18">
        <f t="shared" si="34"/>
        <v>0</v>
      </c>
      <c r="AP61" s="18">
        <f t="shared" si="35"/>
        <v>0</v>
      </c>
      <c r="AQ61" s="18">
        <f t="shared" si="36"/>
        <v>0</v>
      </c>
      <c r="AR61" s="18">
        <f t="shared" si="37"/>
        <v>0</v>
      </c>
      <c r="AS61" s="18">
        <f t="shared" si="38"/>
        <v>0</v>
      </c>
      <c r="AT61" s="18">
        <f t="shared" si="39"/>
        <v>0</v>
      </c>
      <c r="AU61" s="18">
        <f t="shared" si="40"/>
        <v>0</v>
      </c>
      <c r="AV61" s="18">
        <f t="shared" si="41"/>
        <v>0</v>
      </c>
      <c r="AW61" s="18">
        <f t="shared" si="42"/>
        <v>0</v>
      </c>
      <c r="AX61" s="18">
        <f t="shared" si="43"/>
        <v>0</v>
      </c>
      <c r="AY61" s="18">
        <f t="shared" si="44"/>
        <v>0</v>
      </c>
      <c r="AZ61" s="18">
        <f t="shared" si="45"/>
        <v>0</v>
      </c>
      <c r="BA61" s="18">
        <f t="shared" si="46"/>
        <v>0</v>
      </c>
      <c r="BB61" s="18">
        <f t="shared" si="47"/>
        <v>0</v>
      </c>
      <c r="BC61" s="18">
        <f t="shared" si="48"/>
        <v>0</v>
      </c>
      <c r="BD61" s="18">
        <f t="shared" si="49"/>
        <v>0</v>
      </c>
      <c r="BE61" s="18">
        <f t="shared" si="50"/>
        <v>0</v>
      </c>
      <c r="BF61" s="18">
        <f t="shared" si="51"/>
        <v>0</v>
      </c>
      <c r="BG61" s="18">
        <f t="shared" si="52"/>
        <v>0</v>
      </c>
      <c r="BH61" s="18">
        <f t="shared" si="53"/>
        <v>0</v>
      </c>
      <c r="BI61" s="18">
        <f t="shared" si="54"/>
        <v>0</v>
      </c>
      <c r="BJ61" s="18">
        <f t="shared" si="55"/>
        <v>0</v>
      </c>
      <c r="BK61" s="18">
        <f t="shared" si="56"/>
        <v>0</v>
      </c>
      <c r="BL61" s="18">
        <f t="shared" si="57"/>
        <v>0</v>
      </c>
      <c r="BM61" s="18">
        <f t="shared" si="58"/>
        <v>0</v>
      </c>
      <c r="BN61" s="18">
        <f t="shared" si="59"/>
        <v>0</v>
      </c>
      <c r="BO61" s="18">
        <f t="shared" si="60"/>
        <v>0</v>
      </c>
      <c r="BP61" s="18">
        <f t="shared" si="61"/>
        <v>0</v>
      </c>
      <c r="BQ61" s="18">
        <f t="shared" si="62"/>
        <v>0</v>
      </c>
      <c r="BR61" s="18">
        <f t="shared" si="63"/>
        <v>0</v>
      </c>
      <c r="BS61" s="18">
        <f t="shared" si="64"/>
        <v>0</v>
      </c>
      <c r="BT61" s="18">
        <f t="shared" si="65"/>
        <v>0</v>
      </c>
      <c r="BU61" s="18">
        <f t="shared" si="66"/>
        <v>0</v>
      </c>
      <c r="BV61" s="18">
        <f t="shared" si="67"/>
        <v>0</v>
      </c>
      <c r="BW61" s="18">
        <f t="shared" si="68"/>
        <v>0</v>
      </c>
      <c r="BX61" s="18">
        <f t="shared" si="69"/>
        <v>0</v>
      </c>
      <c r="BY61" s="18">
        <f t="shared" si="70"/>
        <v>0</v>
      </c>
      <c r="BZ61" s="18">
        <f t="shared" si="71"/>
        <v>0</v>
      </c>
      <c r="CA61" s="18">
        <f t="shared" si="72"/>
        <v>0</v>
      </c>
      <c r="CB61" s="18">
        <f t="shared" si="73"/>
        <v>0</v>
      </c>
      <c r="CC61" s="18">
        <f t="shared" si="74"/>
        <v>0</v>
      </c>
      <c r="CD61" s="18">
        <f t="shared" si="75"/>
        <v>0</v>
      </c>
      <c r="CE61" s="18">
        <f t="shared" si="76"/>
        <v>0</v>
      </c>
      <c r="CF61" s="18">
        <f t="shared" si="77"/>
        <v>0</v>
      </c>
      <c r="CG61" s="18">
        <f t="shared" si="78"/>
        <v>0</v>
      </c>
      <c r="CH61" s="18">
        <f t="shared" si="79"/>
        <v>0</v>
      </c>
      <c r="CI61" s="18">
        <f t="shared" si="80"/>
        <v>0</v>
      </c>
      <c r="CJ61" s="18">
        <f t="shared" si="81"/>
        <v>0</v>
      </c>
    </row>
    <row r="62" spans="1:88" x14ac:dyDescent="0.3">
      <c r="A62" s="1">
        <v>43916</v>
      </c>
      <c r="B62">
        <v>29946.77</v>
      </c>
      <c r="C62">
        <f>Table1[[#This Row],[Close]]-0.001*Table1[[#This Row],[Close]]</f>
        <v>29916.823230000002</v>
      </c>
      <c r="D62">
        <f>Table1[[#This Row],[Close]]+0.001*Table1[[#This Row],[Close]]</f>
        <v>29976.716769999999</v>
      </c>
      <c r="E62" t="str">
        <f>IF(Table1[[#This Row],[Close]]&gt;D61,"UP",IF(Table1[[#This Row],[Close]]&lt;C61,"Down","Constant"))</f>
        <v>UP</v>
      </c>
      <c r="F62" s="3">
        <f>IF(Table1[[#This Row],[Column1]]="Up",1,IF(Table1[[#This Row],[Column1]]="Down",-1,0))</f>
        <v>1</v>
      </c>
      <c r="G62">
        <f t="shared" si="0"/>
        <v>0</v>
      </c>
      <c r="H62" s="18">
        <f t="shared" si="1"/>
        <v>0</v>
      </c>
      <c r="I62" s="18">
        <f t="shared" si="2"/>
        <v>0</v>
      </c>
      <c r="J62" s="18">
        <f t="shared" si="3"/>
        <v>0</v>
      </c>
      <c r="K62" s="18">
        <f t="shared" si="4"/>
        <v>0</v>
      </c>
      <c r="L62" s="18">
        <f t="shared" si="5"/>
        <v>0</v>
      </c>
      <c r="M62" s="18">
        <f t="shared" si="6"/>
        <v>1</v>
      </c>
      <c r="N62" s="18">
        <f t="shared" si="7"/>
        <v>0</v>
      </c>
      <c r="O62" s="18">
        <f t="shared" si="8"/>
        <v>0</v>
      </c>
      <c r="P62" s="18">
        <f t="shared" si="9"/>
        <v>0</v>
      </c>
      <c r="Q62" s="18">
        <f t="shared" si="10"/>
        <v>0</v>
      </c>
      <c r="R62" s="18">
        <f t="shared" si="11"/>
        <v>0</v>
      </c>
      <c r="S62" s="18">
        <f t="shared" si="12"/>
        <v>0</v>
      </c>
      <c r="T62" s="18">
        <f t="shared" si="13"/>
        <v>0</v>
      </c>
      <c r="U62" s="18">
        <f t="shared" si="14"/>
        <v>0</v>
      </c>
      <c r="V62" s="18">
        <f t="shared" si="15"/>
        <v>0</v>
      </c>
      <c r="W62" s="18">
        <f t="shared" si="16"/>
        <v>0</v>
      </c>
      <c r="X62" s="18">
        <f t="shared" si="17"/>
        <v>0</v>
      </c>
      <c r="Y62" s="18">
        <f t="shared" si="18"/>
        <v>0</v>
      </c>
      <c r="Z62" s="18">
        <f t="shared" si="19"/>
        <v>0</v>
      </c>
      <c r="AA62" s="18">
        <f t="shared" si="20"/>
        <v>0</v>
      </c>
      <c r="AB62" s="18">
        <f t="shared" si="21"/>
        <v>0</v>
      </c>
      <c r="AC62" s="18">
        <f t="shared" si="22"/>
        <v>0</v>
      </c>
      <c r="AD62" s="18">
        <f t="shared" si="23"/>
        <v>0</v>
      </c>
      <c r="AE62" s="18">
        <f t="shared" si="24"/>
        <v>0</v>
      </c>
      <c r="AF62" s="18">
        <f t="shared" si="25"/>
        <v>0</v>
      </c>
      <c r="AG62" s="18">
        <f t="shared" si="26"/>
        <v>0</v>
      </c>
      <c r="AH62" s="18">
        <f t="shared" si="27"/>
        <v>0</v>
      </c>
      <c r="AI62" s="18">
        <f t="shared" si="28"/>
        <v>0</v>
      </c>
      <c r="AJ62" s="18">
        <f t="shared" si="29"/>
        <v>0</v>
      </c>
      <c r="AK62" s="18">
        <f t="shared" si="30"/>
        <v>0</v>
      </c>
      <c r="AL62" s="18">
        <f t="shared" si="31"/>
        <v>0</v>
      </c>
      <c r="AM62" s="18">
        <f t="shared" si="32"/>
        <v>0</v>
      </c>
      <c r="AN62" s="18">
        <f t="shared" si="33"/>
        <v>0</v>
      </c>
      <c r="AO62" s="18">
        <f t="shared" si="34"/>
        <v>0</v>
      </c>
      <c r="AP62" s="18">
        <f t="shared" si="35"/>
        <v>0</v>
      </c>
      <c r="AQ62" s="18">
        <f t="shared" si="36"/>
        <v>0</v>
      </c>
      <c r="AR62" s="18">
        <f t="shared" si="37"/>
        <v>0</v>
      </c>
      <c r="AS62" s="18">
        <f t="shared" si="38"/>
        <v>0</v>
      </c>
      <c r="AT62" s="18">
        <f t="shared" si="39"/>
        <v>0</v>
      </c>
      <c r="AU62" s="18">
        <f t="shared" si="40"/>
        <v>0</v>
      </c>
      <c r="AV62" s="18">
        <f t="shared" si="41"/>
        <v>0</v>
      </c>
      <c r="AW62" s="18">
        <f t="shared" si="42"/>
        <v>0</v>
      </c>
      <c r="AX62" s="18">
        <f t="shared" si="43"/>
        <v>0</v>
      </c>
      <c r="AY62" s="18">
        <f t="shared" si="44"/>
        <v>0</v>
      </c>
      <c r="AZ62" s="18">
        <f t="shared" si="45"/>
        <v>0</v>
      </c>
      <c r="BA62" s="18">
        <f t="shared" si="46"/>
        <v>0</v>
      </c>
      <c r="BB62" s="18">
        <f t="shared" si="47"/>
        <v>0</v>
      </c>
      <c r="BC62" s="18">
        <f t="shared" si="48"/>
        <v>0</v>
      </c>
      <c r="BD62" s="18">
        <f t="shared" si="49"/>
        <v>0</v>
      </c>
      <c r="BE62" s="18">
        <f t="shared" si="50"/>
        <v>0</v>
      </c>
      <c r="BF62" s="18">
        <f t="shared" si="51"/>
        <v>0</v>
      </c>
      <c r="BG62" s="18">
        <f t="shared" si="52"/>
        <v>0</v>
      </c>
      <c r="BH62" s="18">
        <f t="shared" si="53"/>
        <v>0</v>
      </c>
      <c r="BI62" s="18">
        <f t="shared" si="54"/>
        <v>0</v>
      </c>
      <c r="BJ62" s="18">
        <f t="shared" si="55"/>
        <v>0</v>
      </c>
      <c r="BK62" s="18">
        <f t="shared" si="56"/>
        <v>0</v>
      </c>
      <c r="BL62" s="18">
        <f t="shared" si="57"/>
        <v>0</v>
      </c>
      <c r="BM62" s="18">
        <f t="shared" si="58"/>
        <v>0</v>
      </c>
      <c r="BN62" s="18">
        <f t="shared" si="59"/>
        <v>0</v>
      </c>
      <c r="BO62" s="18">
        <f t="shared" si="60"/>
        <v>0</v>
      </c>
      <c r="BP62" s="18">
        <f t="shared" si="61"/>
        <v>0</v>
      </c>
      <c r="BQ62" s="18">
        <f t="shared" si="62"/>
        <v>0</v>
      </c>
      <c r="BR62" s="18">
        <f t="shared" si="63"/>
        <v>0</v>
      </c>
      <c r="BS62" s="18">
        <f t="shared" si="64"/>
        <v>0</v>
      </c>
      <c r="BT62" s="18">
        <f t="shared" si="65"/>
        <v>0</v>
      </c>
      <c r="BU62" s="18">
        <f t="shared" si="66"/>
        <v>0</v>
      </c>
      <c r="BV62" s="18">
        <f t="shared" si="67"/>
        <v>0</v>
      </c>
      <c r="BW62" s="18">
        <f t="shared" si="68"/>
        <v>0</v>
      </c>
      <c r="BX62" s="18">
        <f t="shared" si="69"/>
        <v>0</v>
      </c>
      <c r="BY62" s="18">
        <f t="shared" si="70"/>
        <v>0</v>
      </c>
      <c r="BZ62" s="18">
        <f t="shared" si="71"/>
        <v>0</v>
      </c>
      <c r="CA62" s="18">
        <f t="shared" si="72"/>
        <v>0</v>
      </c>
      <c r="CB62" s="18">
        <f t="shared" si="73"/>
        <v>0</v>
      </c>
      <c r="CC62" s="18">
        <f t="shared" si="74"/>
        <v>0</v>
      </c>
      <c r="CD62" s="18">
        <f t="shared" si="75"/>
        <v>0</v>
      </c>
      <c r="CE62" s="18">
        <f t="shared" si="76"/>
        <v>0</v>
      </c>
      <c r="CF62" s="18">
        <f t="shared" si="77"/>
        <v>0</v>
      </c>
      <c r="CG62" s="18">
        <f t="shared" si="78"/>
        <v>0</v>
      </c>
      <c r="CH62" s="18">
        <f t="shared" si="79"/>
        <v>0</v>
      </c>
      <c r="CI62" s="18">
        <f t="shared" si="80"/>
        <v>0</v>
      </c>
      <c r="CJ62" s="18">
        <f t="shared" si="81"/>
        <v>0</v>
      </c>
    </row>
    <row r="63" spans="1:88" x14ac:dyDescent="0.3">
      <c r="A63" s="1">
        <v>43917</v>
      </c>
      <c r="B63">
        <v>29815.59</v>
      </c>
      <c r="C63">
        <f>Table1[[#This Row],[Close]]-0.001*Table1[[#This Row],[Close]]</f>
        <v>29785.774410000002</v>
      </c>
      <c r="D63">
        <f>Table1[[#This Row],[Close]]+0.001*Table1[[#This Row],[Close]]</f>
        <v>29845.405589999998</v>
      </c>
      <c r="E63" t="str">
        <f>IF(Table1[[#This Row],[Close]]&gt;D62,"UP",IF(Table1[[#This Row],[Close]]&lt;C62,"Down","Constant"))</f>
        <v>Down</v>
      </c>
      <c r="F63" s="3">
        <f>IF(Table1[[#This Row],[Column1]]="Up",1,IF(Table1[[#This Row],[Column1]]="Down",-1,0))</f>
        <v>-1</v>
      </c>
      <c r="G63">
        <f t="shared" si="0"/>
        <v>0</v>
      </c>
      <c r="H63" s="18">
        <f t="shared" si="1"/>
        <v>1</v>
      </c>
      <c r="I63" s="18">
        <f t="shared" si="2"/>
        <v>0</v>
      </c>
      <c r="J63" s="18">
        <f t="shared" si="3"/>
        <v>0</v>
      </c>
      <c r="K63" s="18">
        <f t="shared" si="4"/>
        <v>0</v>
      </c>
      <c r="L63" s="18">
        <f t="shared" si="5"/>
        <v>0</v>
      </c>
      <c r="M63" s="18">
        <f t="shared" si="6"/>
        <v>0</v>
      </c>
      <c r="N63" s="18">
        <f t="shared" si="7"/>
        <v>0</v>
      </c>
      <c r="O63" s="18">
        <f t="shared" si="8"/>
        <v>0</v>
      </c>
      <c r="P63" s="18">
        <f t="shared" si="9"/>
        <v>0</v>
      </c>
      <c r="Q63" s="18">
        <f t="shared" si="10"/>
        <v>0</v>
      </c>
      <c r="R63" s="18">
        <f t="shared" si="11"/>
        <v>0</v>
      </c>
      <c r="S63" s="18">
        <f t="shared" si="12"/>
        <v>0</v>
      </c>
      <c r="T63" s="18">
        <f t="shared" si="13"/>
        <v>0</v>
      </c>
      <c r="U63" s="18">
        <f t="shared" si="14"/>
        <v>0</v>
      </c>
      <c r="V63" s="18">
        <f t="shared" si="15"/>
        <v>0</v>
      </c>
      <c r="W63" s="18">
        <f t="shared" si="16"/>
        <v>0</v>
      </c>
      <c r="X63" s="18">
        <f t="shared" si="17"/>
        <v>0</v>
      </c>
      <c r="Y63" s="18">
        <f t="shared" si="18"/>
        <v>0</v>
      </c>
      <c r="Z63" s="18">
        <f t="shared" si="19"/>
        <v>0</v>
      </c>
      <c r="AA63" s="18">
        <f t="shared" si="20"/>
        <v>0</v>
      </c>
      <c r="AB63" s="18">
        <f t="shared" si="21"/>
        <v>0</v>
      </c>
      <c r="AC63" s="18">
        <f t="shared" si="22"/>
        <v>0</v>
      </c>
      <c r="AD63" s="18">
        <f t="shared" si="23"/>
        <v>0</v>
      </c>
      <c r="AE63" s="18">
        <f t="shared" si="24"/>
        <v>0</v>
      </c>
      <c r="AF63" s="18">
        <f t="shared" si="25"/>
        <v>0</v>
      </c>
      <c r="AG63" s="18">
        <f t="shared" si="26"/>
        <v>0</v>
      </c>
      <c r="AH63" s="18">
        <f t="shared" si="27"/>
        <v>0</v>
      </c>
      <c r="AI63" s="18">
        <f t="shared" si="28"/>
        <v>0</v>
      </c>
      <c r="AJ63" s="18">
        <f t="shared" si="29"/>
        <v>0</v>
      </c>
      <c r="AK63" s="18">
        <f t="shared" si="30"/>
        <v>0</v>
      </c>
      <c r="AL63" s="18">
        <f t="shared" si="31"/>
        <v>0</v>
      </c>
      <c r="AM63" s="18">
        <f t="shared" si="32"/>
        <v>0</v>
      </c>
      <c r="AN63" s="18">
        <f t="shared" si="33"/>
        <v>0</v>
      </c>
      <c r="AO63" s="18">
        <f t="shared" si="34"/>
        <v>0</v>
      </c>
      <c r="AP63" s="18">
        <f t="shared" si="35"/>
        <v>0</v>
      </c>
      <c r="AQ63" s="18">
        <f t="shared" si="36"/>
        <v>0</v>
      </c>
      <c r="AR63" s="18">
        <f t="shared" si="37"/>
        <v>0</v>
      </c>
      <c r="AS63" s="18">
        <f t="shared" si="38"/>
        <v>0</v>
      </c>
      <c r="AT63" s="18">
        <f t="shared" si="39"/>
        <v>0</v>
      </c>
      <c r="AU63" s="18">
        <f t="shared" si="40"/>
        <v>0</v>
      </c>
      <c r="AV63" s="18">
        <f t="shared" si="41"/>
        <v>0</v>
      </c>
      <c r="AW63" s="18">
        <f t="shared" si="42"/>
        <v>0</v>
      </c>
      <c r="AX63" s="18">
        <f t="shared" si="43"/>
        <v>0</v>
      </c>
      <c r="AY63" s="18">
        <f t="shared" si="44"/>
        <v>0</v>
      </c>
      <c r="AZ63" s="18">
        <f t="shared" si="45"/>
        <v>0</v>
      </c>
      <c r="BA63" s="18">
        <f t="shared" si="46"/>
        <v>0</v>
      </c>
      <c r="BB63" s="18">
        <f t="shared" si="47"/>
        <v>0</v>
      </c>
      <c r="BC63" s="18">
        <f t="shared" si="48"/>
        <v>0</v>
      </c>
      <c r="BD63" s="18">
        <f t="shared" si="49"/>
        <v>0</v>
      </c>
      <c r="BE63" s="18">
        <f t="shared" si="50"/>
        <v>0</v>
      </c>
      <c r="BF63" s="18">
        <f t="shared" si="51"/>
        <v>0</v>
      </c>
      <c r="BG63" s="18">
        <f t="shared" si="52"/>
        <v>0</v>
      </c>
      <c r="BH63" s="18">
        <f t="shared" si="53"/>
        <v>0</v>
      </c>
      <c r="BI63" s="18">
        <f t="shared" si="54"/>
        <v>0</v>
      </c>
      <c r="BJ63" s="18">
        <f t="shared" si="55"/>
        <v>0</v>
      </c>
      <c r="BK63" s="18">
        <f t="shared" si="56"/>
        <v>0</v>
      </c>
      <c r="BL63" s="18">
        <f t="shared" si="57"/>
        <v>0</v>
      </c>
      <c r="BM63" s="18">
        <f t="shared" si="58"/>
        <v>0</v>
      </c>
      <c r="BN63" s="18">
        <f t="shared" si="59"/>
        <v>0</v>
      </c>
      <c r="BO63" s="18">
        <f t="shared" si="60"/>
        <v>0</v>
      </c>
      <c r="BP63" s="18">
        <f t="shared" si="61"/>
        <v>0</v>
      </c>
      <c r="BQ63" s="18">
        <f t="shared" si="62"/>
        <v>0</v>
      </c>
      <c r="BR63" s="18">
        <f t="shared" si="63"/>
        <v>0</v>
      </c>
      <c r="BS63" s="18">
        <f t="shared" si="64"/>
        <v>0</v>
      </c>
      <c r="BT63" s="18">
        <f t="shared" si="65"/>
        <v>0</v>
      </c>
      <c r="BU63" s="18">
        <f t="shared" si="66"/>
        <v>0</v>
      </c>
      <c r="BV63" s="18">
        <f t="shared" si="67"/>
        <v>0</v>
      </c>
      <c r="BW63" s="18">
        <f t="shared" si="68"/>
        <v>0</v>
      </c>
      <c r="BX63" s="18">
        <f t="shared" si="69"/>
        <v>0</v>
      </c>
      <c r="BY63" s="18">
        <f t="shared" si="70"/>
        <v>0</v>
      </c>
      <c r="BZ63" s="18">
        <f t="shared" si="71"/>
        <v>0</v>
      </c>
      <c r="CA63" s="18">
        <f t="shared" si="72"/>
        <v>0</v>
      </c>
      <c r="CB63" s="18">
        <f t="shared" si="73"/>
        <v>0</v>
      </c>
      <c r="CC63" s="18">
        <f t="shared" si="74"/>
        <v>0</v>
      </c>
      <c r="CD63" s="18">
        <f t="shared" si="75"/>
        <v>0</v>
      </c>
      <c r="CE63" s="18">
        <f t="shared" si="76"/>
        <v>0</v>
      </c>
      <c r="CF63" s="18">
        <f t="shared" si="77"/>
        <v>0</v>
      </c>
      <c r="CG63" s="18">
        <f t="shared" si="78"/>
        <v>0</v>
      </c>
      <c r="CH63" s="18">
        <f t="shared" si="79"/>
        <v>0</v>
      </c>
      <c r="CI63" s="18">
        <f t="shared" si="80"/>
        <v>0</v>
      </c>
      <c r="CJ63" s="18">
        <f t="shared" si="81"/>
        <v>0</v>
      </c>
    </row>
    <row r="64" spans="1:88" x14ac:dyDescent="0.3">
      <c r="A64" s="1">
        <v>43920</v>
      </c>
      <c r="B64">
        <v>28440.32</v>
      </c>
      <c r="C64">
        <f>Table1[[#This Row],[Close]]-0.001*Table1[[#This Row],[Close]]</f>
        <v>28411.879679999998</v>
      </c>
      <c r="D64">
        <f>Table1[[#This Row],[Close]]+0.001*Table1[[#This Row],[Close]]</f>
        <v>28468.760320000001</v>
      </c>
      <c r="E64" t="str">
        <f>IF(Table1[[#This Row],[Close]]&gt;D63,"UP",IF(Table1[[#This Row],[Close]]&lt;C63,"Down","Constant"))</f>
        <v>Down</v>
      </c>
      <c r="F64" s="3">
        <f>IF(Table1[[#This Row],[Column1]]="Up",1,IF(Table1[[#This Row],[Column1]]="Down",-1,0))</f>
        <v>-1</v>
      </c>
      <c r="G64">
        <f t="shared" si="0"/>
        <v>0</v>
      </c>
      <c r="H64" s="18">
        <f t="shared" si="1"/>
        <v>0</v>
      </c>
      <c r="I64" s="18">
        <f t="shared" si="2"/>
        <v>0</v>
      </c>
      <c r="J64" s="18">
        <f t="shared" si="3"/>
        <v>0</v>
      </c>
      <c r="K64" s="18">
        <f t="shared" si="4"/>
        <v>0</v>
      </c>
      <c r="L64" s="18">
        <f t="shared" si="5"/>
        <v>0</v>
      </c>
      <c r="M64" s="18">
        <f t="shared" si="6"/>
        <v>0</v>
      </c>
      <c r="N64" s="18">
        <f t="shared" si="7"/>
        <v>0</v>
      </c>
      <c r="O64" s="18">
        <f t="shared" si="8"/>
        <v>0</v>
      </c>
      <c r="P64" s="18">
        <f t="shared" si="9"/>
        <v>0</v>
      </c>
      <c r="Q64" s="18">
        <f t="shared" si="10"/>
        <v>1</v>
      </c>
      <c r="R64" s="18">
        <f t="shared" si="11"/>
        <v>0</v>
      </c>
      <c r="S64" s="18">
        <f t="shared" si="12"/>
        <v>0</v>
      </c>
      <c r="T64" s="18">
        <f t="shared" si="13"/>
        <v>0</v>
      </c>
      <c r="U64" s="18">
        <f t="shared" si="14"/>
        <v>0</v>
      </c>
      <c r="V64" s="18">
        <f t="shared" si="15"/>
        <v>0</v>
      </c>
      <c r="W64" s="18">
        <f t="shared" si="16"/>
        <v>0</v>
      </c>
      <c r="X64" s="18">
        <f t="shared" si="17"/>
        <v>0</v>
      </c>
      <c r="Y64" s="18">
        <f t="shared" si="18"/>
        <v>0</v>
      </c>
      <c r="Z64" s="18">
        <f t="shared" si="19"/>
        <v>0</v>
      </c>
      <c r="AA64" s="18">
        <f t="shared" si="20"/>
        <v>0</v>
      </c>
      <c r="AB64" s="18">
        <f t="shared" si="21"/>
        <v>0</v>
      </c>
      <c r="AC64" s="18">
        <f t="shared" si="22"/>
        <v>0</v>
      </c>
      <c r="AD64" s="18">
        <f t="shared" si="23"/>
        <v>0</v>
      </c>
      <c r="AE64" s="18">
        <f t="shared" si="24"/>
        <v>0</v>
      </c>
      <c r="AF64" s="18">
        <f t="shared" si="25"/>
        <v>0</v>
      </c>
      <c r="AG64" s="18">
        <f t="shared" si="26"/>
        <v>0</v>
      </c>
      <c r="AH64" s="18">
        <f t="shared" si="27"/>
        <v>0</v>
      </c>
      <c r="AI64" s="18">
        <f t="shared" si="28"/>
        <v>0</v>
      </c>
      <c r="AJ64" s="18">
        <f t="shared" si="29"/>
        <v>0</v>
      </c>
      <c r="AK64" s="18">
        <f t="shared" si="30"/>
        <v>0</v>
      </c>
      <c r="AL64" s="18">
        <f t="shared" si="31"/>
        <v>0</v>
      </c>
      <c r="AM64" s="18">
        <f t="shared" si="32"/>
        <v>0</v>
      </c>
      <c r="AN64" s="18">
        <f t="shared" si="33"/>
        <v>0</v>
      </c>
      <c r="AO64" s="18">
        <f t="shared" si="34"/>
        <v>0</v>
      </c>
      <c r="AP64" s="18">
        <f t="shared" si="35"/>
        <v>0</v>
      </c>
      <c r="AQ64" s="18">
        <f t="shared" si="36"/>
        <v>0</v>
      </c>
      <c r="AR64" s="18">
        <f t="shared" si="37"/>
        <v>0</v>
      </c>
      <c r="AS64" s="18">
        <f t="shared" si="38"/>
        <v>0</v>
      </c>
      <c r="AT64" s="18">
        <f t="shared" si="39"/>
        <v>0</v>
      </c>
      <c r="AU64" s="18">
        <f t="shared" si="40"/>
        <v>0</v>
      </c>
      <c r="AV64" s="18">
        <f t="shared" si="41"/>
        <v>0</v>
      </c>
      <c r="AW64" s="18">
        <f t="shared" si="42"/>
        <v>0</v>
      </c>
      <c r="AX64" s="18">
        <f t="shared" si="43"/>
        <v>0</v>
      </c>
      <c r="AY64" s="18">
        <f t="shared" si="44"/>
        <v>0</v>
      </c>
      <c r="AZ64" s="18">
        <f t="shared" si="45"/>
        <v>0</v>
      </c>
      <c r="BA64" s="18">
        <f t="shared" si="46"/>
        <v>0</v>
      </c>
      <c r="BB64" s="18">
        <f t="shared" si="47"/>
        <v>0</v>
      </c>
      <c r="BC64" s="18">
        <f t="shared" si="48"/>
        <v>0</v>
      </c>
      <c r="BD64" s="18">
        <f t="shared" si="49"/>
        <v>0</v>
      </c>
      <c r="BE64" s="18">
        <f t="shared" si="50"/>
        <v>0</v>
      </c>
      <c r="BF64" s="18">
        <f t="shared" si="51"/>
        <v>0</v>
      </c>
      <c r="BG64" s="18">
        <f t="shared" si="52"/>
        <v>0</v>
      </c>
      <c r="BH64" s="18">
        <f t="shared" si="53"/>
        <v>0</v>
      </c>
      <c r="BI64" s="18">
        <f t="shared" si="54"/>
        <v>0</v>
      </c>
      <c r="BJ64" s="18">
        <f t="shared" si="55"/>
        <v>0</v>
      </c>
      <c r="BK64" s="18">
        <f t="shared" si="56"/>
        <v>0</v>
      </c>
      <c r="BL64" s="18">
        <f t="shared" si="57"/>
        <v>0</v>
      </c>
      <c r="BM64" s="18">
        <f t="shared" si="58"/>
        <v>0</v>
      </c>
      <c r="BN64" s="18">
        <f t="shared" si="59"/>
        <v>0</v>
      </c>
      <c r="BO64" s="18">
        <f t="shared" si="60"/>
        <v>0</v>
      </c>
      <c r="BP64" s="18">
        <f t="shared" si="61"/>
        <v>0</v>
      </c>
      <c r="BQ64" s="18">
        <f t="shared" si="62"/>
        <v>0</v>
      </c>
      <c r="BR64" s="18">
        <f t="shared" si="63"/>
        <v>0</v>
      </c>
      <c r="BS64" s="18">
        <f t="shared" si="64"/>
        <v>0</v>
      </c>
      <c r="BT64" s="18">
        <f t="shared" si="65"/>
        <v>0</v>
      </c>
      <c r="BU64" s="18">
        <f t="shared" si="66"/>
        <v>0</v>
      </c>
      <c r="BV64" s="18">
        <f t="shared" si="67"/>
        <v>0</v>
      </c>
      <c r="BW64" s="18">
        <f t="shared" si="68"/>
        <v>0</v>
      </c>
      <c r="BX64" s="18">
        <f t="shared" si="69"/>
        <v>0</v>
      </c>
      <c r="BY64" s="18">
        <f t="shared" si="70"/>
        <v>0</v>
      </c>
      <c r="BZ64" s="18">
        <f t="shared" si="71"/>
        <v>0</v>
      </c>
      <c r="CA64" s="18">
        <f t="shared" si="72"/>
        <v>0</v>
      </c>
      <c r="CB64" s="18">
        <f t="shared" si="73"/>
        <v>0</v>
      </c>
      <c r="CC64" s="18">
        <f t="shared" si="74"/>
        <v>0</v>
      </c>
      <c r="CD64" s="18">
        <f t="shared" si="75"/>
        <v>0</v>
      </c>
      <c r="CE64" s="18">
        <f t="shared" si="76"/>
        <v>0</v>
      </c>
      <c r="CF64" s="18">
        <f t="shared" si="77"/>
        <v>0</v>
      </c>
      <c r="CG64" s="18">
        <f t="shared" si="78"/>
        <v>0</v>
      </c>
      <c r="CH64" s="18">
        <f t="shared" si="79"/>
        <v>0</v>
      </c>
      <c r="CI64" s="18">
        <f t="shared" si="80"/>
        <v>0</v>
      </c>
      <c r="CJ64" s="18">
        <f t="shared" si="81"/>
        <v>0</v>
      </c>
    </row>
    <row r="65" spans="1:88" x14ac:dyDescent="0.3">
      <c r="A65" s="1">
        <v>43921</v>
      </c>
      <c r="B65">
        <v>29468.49</v>
      </c>
      <c r="C65">
        <f>Table1[[#This Row],[Close]]-0.001*Table1[[#This Row],[Close]]</f>
        <v>29439.021510000002</v>
      </c>
      <c r="D65">
        <f>Table1[[#This Row],[Close]]+0.001*Table1[[#This Row],[Close]]</f>
        <v>29497.958490000001</v>
      </c>
      <c r="E65" t="str">
        <f>IF(Table1[[#This Row],[Close]]&gt;D64,"UP",IF(Table1[[#This Row],[Close]]&lt;C64,"Down","Constant"))</f>
        <v>UP</v>
      </c>
      <c r="F65" s="3">
        <f>IF(Table1[[#This Row],[Column1]]="Up",1,IF(Table1[[#This Row],[Column1]]="Down",-1,0))</f>
        <v>1</v>
      </c>
      <c r="G65">
        <f t="shared" si="0"/>
        <v>0</v>
      </c>
      <c r="H65" s="18">
        <f t="shared" si="1"/>
        <v>0</v>
      </c>
      <c r="I65" s="18">
        <f t="shared" si="2"/>
        <v>0</v>
      </c>
      <c r="J65" s="18">
        <f t="shared" si="3"/>
        <v>0</v>
      </c>
      <c r="K65" s="18">
        <f t="shared" si="4"/>
        <v>0</v>
      </c>
      <c r="L65" s="18">
        <f t="shared" si="5"/>
        <v>0</v>
      </c>
      <c r="M65" s="18">
        <f t="shared" si="6"/>
        <v>0</v>
      </c>
      <c r="N65" s="18">
        <f t="shared" si="7"/>
        <v>0</v>
      </c>
      <c r="O65" s="18">
        <f t="shared" si="8"/>
        <v>0</v>
      </c>
      <c r="P65" s="18">
        <f t="shared" si="9"/>
        <v>0</v>
      </c>
      <c r="Q65" s="18">
        <f t="shared" si="10"/>
        <v>0</v>
      </c>
      <c r="R65" s="18">
        <f t="shared" si="11"/>
        <v>0</v>
      </c>
      <c r="S65" s="18">
        <f t="shared" si="12"/>
        <v>0</v>
      </c>
      <c r="T65" s="18">
        <f t="shared" si="13"/>
        <v>0</v>
      </c>
      <c r="U65" s="18">
        <f t="shared" si="14"/>
        <v>0</v>
      </c>
      <c r="V65" s="18">
        <f t="shared" si="15"/>
        <v>0</v>
      </c>
      <c r="W65" s="18">
        <f t="shared" si="16"/>
        <v>0</v>
      </c>
      <c r="X65" s="18">
        <f t="shared" si="17"/>
        <v>0</v>
      </c>
      <c r="Y65" s="18">
        <f t="shared" si="18"/>
        <v>1</v>
      </c>
      <c r="Z65" s="18">
        <f t="shared" si="19"/>
        <v>0</v>
      </c>
      <c r="AA65" s="18">
        <f t="shared" si="20"/>
        <v>0</v>
      </c>
      <c r="AB65" s="18">
        <f t="shared" si="21"/>
        <v>0</v>
      </c>
      <c r="AC65" s="18">
        <f t="shared" si="22"/>
        <v>0</v>
      </c>
      <c r="AD65" s="18">
        <f t="shared" si="23"/>
        <v>0</v>
      </c>
      <c r="AE65" s="18">
        <f t="shared" si="24"/>
        <v>0</v>
      </c>
      <c r="AF65" s="18">
        <f t="shared" si="25"/>
        <v>0</v>
      </c>
      <c r="AG65" s="18">
        <f t="shared" si="26"/>
        <v>0</v>
      </c>
      <c r="AH65" s="18">
        <f t="shared" si="27"/>
        <v>0</v>
      </c>
      <c r="AI65" s="18">
        <f t="shared" si="28"/>
        <v>0</v>
      </c>
      <c r="AJ65" s="18">
        <f t="shared" si="29"/>
        <v>0</v>
      </c>
      <c r="AK65" s="18">
        <f t="shared" si="30"/>
        <v>0</v>
      </c>
      <c r="AL65" s="18">
        <f t="shared" si="31"/>
        <v>0</v>
      </c>
      <c r="AM65" s="18">
        <f t="shared" si="32"/>
        <v>0</v>
      </c>
      <c r="AN65" s="18">
        <f t="shared" si="33"/>
        <v>0</v>
      </c>
      <c r="AO65" s="18">
        <f t="shared" si="34"/>
        <v>0</v>
      </c>
      <c r="AP65" s="18">
        <f t="shared" si="35"/>
        <v>0</v>
      </c>
      <c r="AQ65" s="18">
        <f t="shared" si="36"/>
        <v>0</v>
      </c>
      <c r="AR65" s="18">
        <f t="shared" si="37"/>
        <v>0</v>
      </c>
      <c r="AS65" s="18">
        <f t="shared" si="38"/>
        <v>0</v>
      </c>
      <c r="AT65" s="18">
        <f t="shared" si="39"/>
        <v>0</v>
      </c>
      <c r="AU65" s="18">
        <f t="shared" si="40"/>
        <v>0</v>
      </c>
      <c r="AV65" s="18">
        <f t="shared" si="41"/>
        <v>0</v>
      </c>
      <c r="AW65" s="18">
        <f t="shared" si="42"/>
        <v>0</v>
      </c>
      <c r="AX65" s="18">
        <f t="shared" si="43"/>
        <v>0</v>
      </c>
      <c r="AY65" s="18">
        <f t="shared" si="44"/>
        <v>0</v>
      </c>
      <c r="AZ65" s="18">
        <f t="shared" si="45"/>
        <v>0</v>
      </c>
      <c r="BA65" s="18">
        <f t="shared" si="46"/>
        <v>0</v>
      </c>
      <c r="BB65" s="18">
        <f t="shared" si="47"/>
        <v>0</v>
      </c>
      <c r="BC65" s="18">
        <f t="shared" si="48"/>
        <v>0</v>
      </c>
      <c r="BD65" s="18">
        <f t="shared" si="49"/>
        <v>0</v>
      </c>
      <c r="BE65" s="18">
        <f t="shared" si="50"/>
        <v>0</v>
      </c>
      <c r="BF65" s="18">
        <f t="shared" si="51"/>
        <v>0</v>
      </c>
      <c r="BG65" s="18">
        <f t="shared" si="52"/>
        <v>0</v>
      </c>
      <c r="BH65" s="18">
        <f t="shared" si="53"/>
        <v>0</v>
      </c>
      <c r="BI65" s="18">
        <f t="shared" si="54"/>
        <v>0</v>
      </c>
      <c r="BJ65" s="18">
        <f t="shared" si="55"/>
        <v>0</v>
      </c>
      <c r="BK65" s="18">
        <f t="shared" si="56"/>
        <v>0</v>
      </c>
      <c r="BL65" s="18">
        <f t="shared" si="57"/>
        <v>0</v>
      </c>
      <c r="BM65" s="18">
        <f t="shared" si="58"/>
        <v>0</v>
      </c>
      <c r="BN65" s="18">
        <f t="shared" si="59"/>
        <v>0</v>
      </c>
      <c r="BO65" s="18">
        <f t="shared" si="60"/>
        <v>0</v>
      </c>
      <c r="BP65" s="18">
        <f t="shared" si="61"/>
        <v>0</v>
      </c>
      <c r="BQ65" s="18">
        <f t="shared" si="62"/>
        <v>0</v>
      </c>
      <c r="BR65" s="18">
        <f t="shared" si="63"/>
        <v>0</v>
      </c>
      <c r="BS65" s="18">
        <f t="shared" si="64"/>
        <v>0</v>
      </c>
      <c r="BT65" s="18">
        <f t="shared" si="65"/>
        <v>0</v>
      </c>
      <c r="BU65" s="18">
        <f t="shared" si="66"/>
        <v>0</v>
      </c>
      <c r="BV65" s="18">
        <f t="shared" si="67"/>
        <v>0</v>
      </c>
      <c r="BW65" s="18">
        <f t="shared" si="68"/>
        <v>0</v>
      </c>
      <c r="BX65" s="18">
        <f t="shared" si="69"/>
        <v>0</v>
      </c>
      <c r="BY65" s="18">
        <f t="shared" si="70"/>
        <v>0</v>
      </c>
      <c r="BZ65" s="18">
        <f t="shared" si="71"/>
        <v>0</v>
      </c>
      <c r="CA65" s="18">
        <f t="shared" si="72"/>
        <v>0</v>
      </c>
      <c r="CB65" s="18">
        <f t="shared" si="73"/>
        <v>0</v>
      </c>
      <c r="CC65" s="18">
        <f t="shared" si="74"/>
        <v>0</v>
      </c>
      <c r="CD65" s="18">
        <f t="shared" si="75"/>
        <v>0</v>
      </c>
      <c r="CE65" s="18">
        <f t="shared" si="76"/>
        <v>0</v>
      </c>
      <c r="CF65" s="18">
        <f t="shared" si="77"/>
        <v>0</v>
      </c>
      <c r="CG65" s="18">
        <f t="shared" si="78"/>
        <v>0</v>
      </c>
      <c r="CH65" s="18">
        <f t="shared" si="79"/>
        <v>0</v>
      </c>
      <c r="CI65" s="18">
        <f t="shared" si="80"/>
        <v>0</v>
      </c>
      <c r="CJ65" s="18">
        <f t="shared" si="81"/>
        <v>0</v>
      </c>
    </row>
    <row r="66" spans="1:88" x14ac:dyDescent="0.3">
      <c r="A66" s="1">
        <v>43922</v>
      </c>
      <c r="B66">
        <v>28265.31</v>
      </c>
      <c r="C66">
        <f>Table1[[#This Row],[Close]]-0.001*Table1[[#This Row],[Close]]</f>
        <v>28237.044690000002</v>
      </c>
      <c r="D66">
        <f>Table1[[#This Row],[Close]]+0.001*Table1[[#This Row],[Close]]</f>
        <v>28293.57531</v>
      </c>
      <c r="E66" t="str">
        <f>IF(Table1[[#This Row],[Close]]&gt;D65,"UP",IF(Table1[[#This Row],[Close]]&lt;C65,"Down","Constant"))</f>
        <v>Down</v>
      </c>
      <c r="F66" s="3">
        <f>IF(Table1[[#This Row],[Column1]]="Up",1,IF(Table1[[#This Row],[Column1]]="Down",-1,0))</f>
        <v>-1</v>
      </c>
      <c r="G66">
        <f t="shared" si="0"/>
        <v>0</v>
      </c>
      <c r="H66" s="18">
        <f t="shared" si="1"/>
        <v>0</v>
      </c>
      <c r="I66" s="18">
        <f t="shared" si="2"/>
        <v>0</v>
      </c>
      <c r="J66" s="18">
        <f t="shared" si="3"/>
        <v>0</v>
      </c>
      <c r="K66" s="18">
        <f t="shared" si="4"/>
        <v>0</v>
      </c>
      <c r="L66" s="18">
        <f t="shared" si="5"/>
        <v>0</v>
      </c>
      <c r="M66" s="18">
        <f t="shared" si="6"/>
        <v>0</v>
      </c>
      <c r="N66" s="18">
        <f t="shared" si="7"/>
        <v>0</v>
      </c>
      <c r="O66" s="18">
        <f t="shared" si="8"/>
        <v>0</v>
      </c>
      <c r="P66" s="18">
        <f t="shared" si="9"/>
        <v>0</v>
      </c>
      <c r="Q66" s="18">
        <f t="shared" si="10"/>
        <v>0</v>
      </c>
      <c r="R66" s="18">
        <f t="shared" si="11"/>
        <v>0</v>
      </c>
      <c r="S66" s="18">
        <f t="shared" si="12"/>
        <v>0</v>
      </c>
      <c r="T66" s="18">
        <f t="shared" si="13"/>
        <v>1</v>
      </c>
      <c r="U66" s="18">
        <f t="shared" si="14"/>
        <v>0</v>
      </c>
      <c r="V66" s="18">
        <f t="shared" si="15"/>
        <v>0</v>
      </c>
      <c r="W66" s="18">
        <f t="shared" si="16"/>
        <v>0</v>
      </c>
      <c r="X66" s="18">
        <f t="shared" si="17"/>
        <v>0</v>
      </c>
      <c r="Y66" s="18">
        <f t="shared" si="18"/>
        <v>0</v>
      </c>
      <c r="Z66" s="18">
        <f t="shared" si="19"/>
        <v>0</v>
      </c>
      <c r="AA66" s="18">
        <f t="shared" si="20"/>
        <v>0</v>
      </c>
      <c r="AB66" s="18">
        <f t="shared" si="21"/>
        <v>0</v>
      </c>
      <c r="AC66" s="18">
        <f t="shared" si="22"/>
        <v>0</v>
      </c>
      <c r="AD66" s="18">
        <f t="shared" si="23"/>
        <v>0</v>
      </c>
      <c r="AE66" s="18">
        <f t="shared" si="24"/>
        <v>0</v>
      </c>
      <c r="AF66" s="18">
        <f t="shared" si="25"/>
        <v>0</v>
      </c>
      <c r="AG66" s="18">
        <f t="shared" si="26"/>
        <v>0</v>
      </c>
      <c r="AH66" s="18">
        <f t="shared" si="27"/>
        <v>0</v>
      </c>
      <c r="AI66" s="18">
        <f t="shared" si="28"/>
        <v>0</v>
      </c>
      <c r="AJ66" s="18">
        <f t="shared" si="29"/>
        <v>0</v>
      </c>
      <c r="AK66" s="18">
        <f t="shared" si="30"/>
        <v>0</v>
      </c>
      <c r="AL66" s="18">
        <f t="shared" si="31"/>
        <v>0</v>
      </c>
      <c r="AM66" s="18">
        <f t="shared" si="32"/>
        <v>0</v>
      </c>
      <c r="AN66" s="18">
        <f t="shared" si="33"/>
        <v>0</v>
      </c>
      <c r="AO66" s="18">
        <f t="shared" si="34"/>
        <v>0</v>
      </c>
      <c r="AP66" s="18">
        <f t="shared" si="35"/>
        <v>0</v>
      </c>
      <c r="AQ66" s="18">
        <f t="shared" si="36"/>
        <v>0</v>
      </c>
      <c r="AR66" s="18">
        <f t="shared" si="37"/>
        <v>0</v>
      </c>
      <c r="AS66" s="18">
        <f t="shared" si="38"/>
        <v>0</v>
      </c>
      <c r="AT66" s="18">
        <f t="shared" si="39"/>
        <v>0</v>
      </c>
      <c r="AU66" s="18">
        <f t="shared" si="40"/>
        <v>0</v>
      </c>
      <c r="AV66" s="18">
        <f t="shared" si="41"/>
        <v>0</v>
      </c>
      <c r="AW66" s="18">
        <f t="shared" si="42"/>
        <v>0</v>
      </c>
      <c r="AX66" s="18">
        <f t="shared" si="43"/>
        <v>0</v>
      </c>
      <c r="AY66" s="18">
        <f t="shared" si="44"/>
        <v>0</v>
      </c>
      <c r="AZ66" s="18">
        <f t="shared" si="45"/>
        <v>0</v>
      </c>
      <c r="BA66" s="18">
        <f t="shared" si="46"/>
        <v>0</v>
      </c>
      <c r="BB66" s="18">
        <f t="shared" si="47"/>
        <v>0</v>
      </c>
      <c r="BC66" s="18">
        <f t="shared" si="48"/>
        <v>0</v>
      </c>
      <c r="BD66" s="18">
        <f t="shared" si="49"/>
        <v>0</v>
      </c>
      <c r="BE66" s="18">
        <f t="shared" si="50"/>
        <v>0</v>
      </c>
      <c r="BF66" s="18">
        <f t="shared" si="51"/>
        <v>0</v>
      </c>
      <c r="BG66" s="18">
        <f t="shared" si="52"/>
        <v>0</v>
      </c>
      <c r="BH66" s="18">
        <f t="shared" si="53"/>
        <v>0</v>
      </c>
      <c r="BI66" s="18">
        <f t="shared" si="54"/>
        <v>0</v>
      </c>
      <c r="BJ66" s="18">
        <f t="shared" si="55"/>
        <v>0</v>
      </c>
      <c r="BK66" s="18">
        <f t="shared" si="56"/>
        <v>0</v>
      </c>
      <c r="BL66" s="18">
        <f t="shared" si="57"/>
        <v>0</v>
      </c>
      <c r="BM66" s="18">
        <f t="shared" si="58"/>
        <v>0</v>
      </c>
      <c r="BN66" s="18">
        <f t="shared" si="59"/>
        <v>0</v>
      </c>
      <c r="BO66" s="18">
        <f t="shared" si="60"/>
        <v>0</v>
      </c>
      <c r="BP66" s="18">
        <f t="shared" si="61"/>
        <v>0</v>
      </c>
      <c r="BQ66" s="18">
        <f t="shared" si="62"/>
        <v>0</v>
      </c>
      <c r="BR66" s="18">
        <f t="shared" si="63"/>
        <v>0</v>
      </c>
      <c r="BS66" s="18">
        <f t="shared" si="64"/>
        <v>0</v>
      </c>
      <c r="BT66" s="18">
        <f t="shared" si="65"/>
        <v>0</v>
      </c>
      <c r="BU66" s="18">
        <f t="shared" si="66"/>
        <v>0</v>
      </c>
      <c r="BV66" s="18">
        <f t="shared" si="67"/>
        <v>0</v>
      </c>
      <c r="BW66" s="18">
        <f t="shared" si="68"/>
        <v>0</v>
      </c>
      <c r="BX66" s="18">
        <f t="shared" si="69"/>
        <v>0</v>
      </c>
      <c r="BY66" s="18">
        <f t="shared" si="70"/>
        <v>0</v>
      </c>
      <c r="BZ66" s="18">
        <f t="shared" si="71"/>
        <v>0</v>
      </c>
      <c r="CA66" s="18">
        <f t="shared" si="72"/>
        <v>0</v>
      </c>
      <c r="CB66" s="18">
        <f t="shared" si="73"/>
        <v>0</v>
      </c>
      <c r="CC66" s="18">
        <f t="shared" si="74"/>
        <v>0</v>
      </c>
      <c r="CD66" s="18">
        <f t="shared" si="75"/>
        <v>0</v>
      </c>
      <c r="CE66" s="18">
        <f t="shared" si="76"/>
        <v>0</v>
      </c>
      <c r="CF66" s="18">
        <f t="shared" si="77"/>
        <v>0</v>
      </c>
      <c r="CG66" s="18">
        <f t="shared" si="78"/>
        <v>0</v>
      </c>
      <c r="CH66" s="18">
        <f t="shared" si="79"/>
        <v>0</v>
      </c>
      <c r="CI66" s="18">
        <f t="shared" si="80"/>
        <v>0</v>
      </c>
      <c r="CJ66" s="18">
        <f t="shared" si="81"/>
        <v>0</v>
      </c>
    </row>
    <row r="67" spans="1:88" x14ac:dyDescent="0.3">
      <c r="A67" s="1">
        <v>43924</v>
      </c>
      <c r="B67">
        <v>27590.95</v>
      </c>
      <c r="C67">
        <f>Table1[[#This Row],[Close]]-0.001*Table1[[#This Row],[Close]]</f>
        <v>27563.359049999999</v>
      </c>
      <c r="D67">
        <f>Table1[[#This Row],[Close]]+0.001*Table1[[#This Row],[Close]]</f>
        <v>27618.540950000002</v>
      </c>
      <c r="E67" t="str">
        <f>IF(Table1[[#This Row],[Close]]&gt;D66,"UP",IF(Table1[[#This Row],[Close]]&lt;C66,"Down","Constant"))</f>
        <v>Down</v>
      </c>
      <c r="F67" s="3">
        <f>IF(Table1[[#This Row],[Column1]]="Up",1,IF(Table1[[#This Row],[Column1]]="Down",-1,0))</f>
        <v>-1</v>
      </c>
      <c r="G67">
        <f t="shared" si="0"/>
        <v>0</v>
      </c>
      <c r="H67" s="18">
        <f t="shared" si="1"/>
        <v>0</v>
      </c>
      <c r="I67" s="18">
        <f t="shared" si="2"/>
        <v>0</v>
      </c>
      <c r="J67" s="18">
        <f t="shared" si="3"/>
        <v>0</v>
      </c>
      <c r="K67" s="18">
        <f t="shared" si="4"/>
        <v>0</v>
      </c>
      <c r="L67" s="18">
        <f t="shared" si="5"/>
        <v>0</v>
      </c>
      <c r="M67" s="18">
        <f t="shared" si="6"/>
        <v>0</v>
      </c>
      <c r="N67" s="18">
        <f t="shared" si="7"/>
        <v>0</v>
      </c>
      <c r="O67" s="18">
        <f t="shared" si="8"/>
        <v>0</v>
      </c>
      <c r="P67" s="18">
        <f t="shared" si="9"/>
        <v>0</v>
      </c>
      <c r="Q67" s="18">
        <f t="shared" si="10"/>
        <v>0</v>
      </c>
      <c r="R67" s="18">
        <f t="shared" si="11"/>
        <v>0</v>
      </c>
      <c r="S67" s="18">
        <f t="shared" si="12"/>
        <v>0</v>
      </c>
      <c r="T67" s="18">
        <f t="shared" si="13"/>
        <v>0</v>
      </c>
      <c r="U67" s="18">
        <f t="shared" si="14"/>
        <v>0</v>
      </c>
      <c r="V67" s="18">
        <f t="shared" si="15"/>
        <v>0</v>
      </c>
      <c r="W67" s="18">
        <f t="shared" si="16"/>
        <v>0</v>
      </c>
      <c r="X67" s="18">
        <f t="shared" si="17"/>
        <v>0</v>
      </c>
      <c r="Y67" s="18">
        <f t="shared" si="18"/>
        <v>0</v>
      </c>
      <c r="Z67" s="18">
        <f t="shared" si="19"/>
        <v>0</v>
      </c>
      <c r="AA67" s="18">
        <f t="shared" si="20"/>
        <v>0</v>
      </c>
      <c r="AB67" s="18">
        <f t="shared" si="21"/>
        <v>0</v>
      </c>
      <c r="AC67" s="18">
        <f t="shared" si="22"/>
        <v>1</v>
      </c>
      <c r="AD67" s="18">
        <f t="shared" si="23"/>
        <v>0</v>
      </c>
      <c r="AE67" s="18">
        <f t="shared" si="24"/>
        <v>0</v>
      </c>
      <c r="AF67" s="18">
        <f t="shared" si="25"/>
        <v>0</v>
      </c>
      <c r="AG67" s="18">
        <f t="shared" si="26"/>
        <v>0</v>
      </c>
      <c r="AH67" s="18">
        <f t="shared" si="27"/>
        <v>0</v>
      </c>
      <c r="AI67" s="18">
        <f t="shared" si="28"/>
        <v>0</v>
      </c>
      <c r="AJ67" s="18">
        <f t="shared" si="29"/>
        <v>0</v>
      </c>
      <c r="AK67" s="18">
        <f t="shared" si="30"/>
        <v>0</v>
      </c>
      <c r="AL67" s="18">
        <f t="shared" si="31"/>
        <v>0</v>
      </c>
      <c r="AM67" s="18">
        <f t="shared" si="32"/>
        <v>0</v>
      </c>
      <c r="AN67" s="18">
        <f t="shared" si="33"/>
        <v>0</v>
      </c>
      <c r="AO67" s="18">
        <f t="shared" si="34"/>
        <v>0</v>
      </c>
      <c r="AP67" s="18">
        <f t="shared" si="35"/>
        <v>0</v>
      </c>
      <c r="AQ67" s="18">
        <f t="shared" si="36"/>
        <v>0</v>
      </c>
      <c r="AR67" s="18">
        <f t="shared" si="37"/>
        <v>0</v>
      </c>
      <c r="AS67" s="18">
        <f t="shared" si="38"/>
        <v>0</v>
      </c>
      <c r="AT67" s="18">
        <f t="shared" si="39"/>
        <v>0</v>
      </c>
      <c r="AU67" s="18">
        <f t="shared" si="40"/>
        <v>0</v>
      </c>
      <c r="AV67" s="18">
        <f t="shared" si="41"/>
        <v>0</v>
      </c>
      <c r="AW67" s="18">
        <f t="shared" si="42"/>
        <v>0</v>
      </c>
      <c r="AX67" s="18">
        <f t="shared" si="43"/>
        <v>0</v>
      </c>
      <c r="AY67" s="18">
        <f t="shared" si="44"/>
        <v>0</v>
      </c>
      <c r="AZ67" s="18">
        <f t="shared" si="45"/>
        <v>0</v>
      </c>
      <c r="BA67" s="18">
        <f t="shared" si="46"/>
        <v>0</v>
      </c>
      <c r="BB67" s="18">
        <f t="shared" si="47"/>
        <v>0</v>
      </c>
      <c r="BC67" s="18">
        <f t="shared" si="48"/>
        <v>0</v>
      </c>
      <c r="BD67" s="18">
        <f t="shared" si="49"/>
        <v>0</v>
      </c>
      <c r="BE67" s="18">
        <f t="shared" si="50"/>
        <v>0</v>
      </c>
      <c r="BF67" s="18">
        <f t="shared" si="51"/>
        <v>0</v>
      </c>
      <c r="BG67" s="18">
        <f t="shared" si="52"/>
        <v>0</v>
      </c>
      <c r="BH67" s="18">
        <f t="shared" si="53"/>
        <v>0</v>
      </c>
      <c r="BI67" s="18">
        <f t="shared" si="54"/>
        <v>0</v>
      </c>
      <c r="BJ67" s="18">
        <f t="shared" si="55"/>
        <v>0</v>
      </c>
      <c r="BK67" s="18">
        <f t="shared" si="56"/>
        <v>0</v>
      </c>
      <c r="BL67" s="18">
        <f t="shared" si="57"/>
        <v>0</v>
      </c>
      <c r="BM67" s="18">
        <f t="shared" si="58"/>
        <v>0</v>
      </c>
      <c r="BN67" s="18">
        <f t="shared" si="59"/>
        <v>0</v>
      </c>
      <c r="BO67" s="18">
        <f t="shared" si="60"/>
        <v>0</v>
      </c>
      <c r="BP67" s="18">
        <f t="shared" si="61"/>
        <v>0</v>
      </c>
      <c r="BQ67" s="18">
        <f t="shared" si="62"/>
        <v>0</v>
      </c>
      <c r="BR67" s="18">
        <f t="shared" si="63"/>
        <v>0</v>
      </c>
      <c r="BS67" s="18">
        <f t="shared" si="64"/>
        <v>0</v>
      </c>
      <c r="BT67" s="18">
        <f t="shared" si="65"/>
        <v>0</v>
      </c>
      <c r="BU67" s="18">
        <f t="shared" si="66"/>
        <v>0</v>
      </c>
      <c r="BV67" s="18">
        <f t="shared" si="67"/>
        <v>0</v>
      </c>
      <c r="BW67" s="18">
        <f t="shared" si="68"/>
        <v>0</v>
      </c>
      <c r="BX67" s="18">
        <f t="shared" si="69"/>
        <v>0</v>
      </c>
      <c r="BY67" s="18">
        <f t="shared" si="70"/>
        <v>0</v>
      </c>
      <c r="BZ67" s="18">
        <f t="shared" si="71"/>
        <v>0</v>
      </c>
      <c r="CA67" s="18">
        <f t="shared" si="72"/>
        <v>0</v>
      </c>
      <c r="CB67" s="18">
        <f t="shared" si="73"/>
        <v>0</v>
      </c>
      <c r="CC67" s="18">
        <f t="shared" si="74"/>
        <v>0</v>
      </c>
      <c r="CD67" s="18">
        <f t="shared" si="75"/>
        <v>0</v>
      </c>
      <c r="CE67" s="18">
        <f t="shared" si="76"/>
        <v>0</v>
      </c>
      <c r="CF67" s="18">
        <f t="shared" si="77"/>
        <v>0</v>
      </c>
      <c r="CG67" s="18">
        <f t="shared" si="78"/>
        <v>0</v>
      </c>
      <c r="CH67" s="18">
        <f t="shared" si="79"/>
        <v>0</v>
      </c>
      <c r="CI67" s="18">
        <f t="shared" si="80"/>
        <v>0</v>
      </c>
      <c r="CJ67" s="18">
        <f t="shared" si="81"/>
        <v>0</v>
      </c>
    </row>
    <row r="68" spans="1:88" x14ac:dyDescent="0.3">
      <c r="A68" s="1">
        <v>43928</v>
      </c>
      <c r="B68">
        <v>30067.21</v>
      </c>
      <c r="C68">
        <f>Table1[[#This Row],[Close]]-0.001*Table1[[#This Row],[Close]]</f>
        <v>30037.142789999998</v>
      </c>
      <c r="D68">
        <f>Table1[[#This Row],[Close]]+0.001*Table1[[#This Row],[Close]]</f>
        <v>30097.27721</v>
      </c>
      <c r="E68" t="str">
        <f>IF(Table1[[#This Row],[Close]]&gt;D67,"UP",IF(Table1[[#This Row],[Close]]&lt;C67,"Down","Constant"))</f>
        <v>UP</v>
      </c>
      <c r="F68" s="3">
        <f>IF(Table1[[#This Row],[Column1]]="Up",1,IF(Table1[[#This Row],[Column1]]="Down",-1,0))</f>
        <v>1</v>
      </c>
      <c r="G68">
        <f t="shared" si="0"/>
        <v>0</v>
      </c>
      <c r="H68" s="18">
        <f t="shared" si="1"/>
        <v>0</v>
      </c>
      <c r="I68" s="18">
        <f t="shared" si="2"/>
        <v>0</v>
      </c>
      <c r="J68" s="18">
        <f t="shared" si="3"/>
        <v>0</v>
      </c>
      <c r="K68" s="18">
        <f t="shared" si="4"/>
        <v>0</v>
      </c>
      <c r="L68" s="18">
        <f t="shared" si="5"/>
        <v>0</v>
      </c>
      <c r="M68" s="18">
        <f t="shared" si="6"/>
        <v>0</v>
      </c>
      <c r="N68" s="18">
        <f t="shared" si="7"/>
        <v>0</v>
      </c>
      <c r="O68" s="18">
        <f t="shared" si="8"/>
        <v>0</v>
      </c>
      <c r="P68" s="18">
        <f t="shared" si="9"/>
        <v>0</v>
      </c>
      <c r="Q68" s="18">
        <f t="shared" si="10"/>
        <v>0</v>
      </c>
      <c r="R68" s="18">
        <f t="shared" si="11"/>
        <v>0</v>
      </c>
      <c r="S68" s="18">
        <f t="shared" si="12"/>
        <v>0</v>
      </c>
      <c r="T68" s="18">
        <f t="shared" si="13"/>
        <v>0</v>
      </c>
      <c r="U68" s="18">
        <f t="shared" si="14"/>
        <v>0</v>
      </c>
      <c r="V68" s="18">
        <f t="shared" si="15"/>
        <v>0</v>
      </c>
      <c r="W68" s="18">
        <f t="shared" si="16"/>
        <v>0</v>
      </c>
      <c r="X68" s="18">
        <f t="shared" si="17"/>
        <v>0</v>
      </c>
      <c r="Y68" s="18">
        <f t="shared" si="18"/>
        <v>1</v>
      </c>
      <c r="Z68" s="18">
        <f t="shared" si="19"/>
        <v>0</v>
      </c>
      <c r="AA68" s="18">
        <f t="shared" si="20"/>
        <v>0</v>
      </c>
      <c r="AB68" s="18">
        <f t="shared" si="21"/>
        <v>0</v>
      </c>
      <c r="AC68" s="18">
        <f t="shared" si="22"/>
        <v>0</v>
      </c>
      <c r="AD68" s="18">
        <f t="shared" si="23"/>
        <v>0</v>
      </c>
      <c r="AE68" s="18">
        <f t="shared" si="24"/>
        <v>0</v>
      </c>
      <c r="AF68" s="18">
        <f t="shared" si="25"/>
        <v>0</v>
      </c>
      <c r="AG68" s="18">
        <f t="shared" si="26"/>
        <v>0</v>
      </c>
      <c r="AH68" s="18">
        <f t="shared" si="27"/>
        <v>0</v>
      </c>
      <c r="AI68" s="18">
        <f t="shared" si="28"/>
        <v>0</v>
      </c>
      <c r="AJ68" s="18">
        <f t="shared" si="29"/>
        <v>0</v>
      </c>
      <c r="AK68" s="18">
        <f t="shared" si="30"/>
        <v>0</v>
      </c>
      <c r="AL68" s="18">
        <f t="shared" si="31"/>
        <v>0</v>
      </c>
      <c r="AM68" s="18">
        <f t="shared" si="32"/>
        <v>0</v>
      </c>
      <c r="AN68" s="18">
        <f t="shared" si="33"/>
        <v>0</v>
      </c>
      <c r="AO68" s="18">
        <f t="shared" si="34"/>
        <v>0</v>
      </c>
      <c r="AP68" s="18">
        <f t="shared" si="35"/>
        <v>0</v>
      </c>
      <c r="AQ68" s="18">
        <f t="shared" si="36"/>
        <v>0</v>
      </c>
      <c r="AR68" s="18">
        <f t="shared" si="37"/>
        <v>0</v>
      </c>
      <c r="AS68" s="18">
        <f t="shared" si="38"/>
        <v>0</v>
      </c>
      <c r="AT68" s="18">
        <f t="shared" si="39"/>
        <v>0</v>
      </c>
      <c r="AU68" s="18">
        <f t="shared" si="40"/>
        <v>0</v>
      </c>
      <c r="AV68" s="18">
        <f t="shared" si="41"/>
        <v>0</v>
      </c>
      <c r="AW68" s="18">
        <f t="shared" si="42"/>
        <v>0</v>
      </c>
      <c r="AX68" s="18">
        <f t="shared" si="43"/>
        <v>0</v>
      </c>
      <c r="AY68" s="18">
        <f t="shared" si="44"/>
        <v>0</v>
      </c>
      <c r="AZ68" s="18">
        <f t="shared" si="45"/>
        <v>0</v>
      </c>
      <c r="BA68" s="18">
        <f t="shared" si="46"/>
        <v>0</v>
      </c>
      <c r="BB68" s="18">
        <f t="shared" si="47"/>
        <v>0</v>
      </c>
      <c r="BC68" s="18">
        <f t="shared" si="48"/>
        <v>0</v>
      </c>
      <c r="BD68" s="18">
        <f t="shared" si="49"/>
        <v>0</v>
      </c>
      <c r="BE68" s="18">
        <f t="shared" si="50"/>
        <v>0</v>
      </c>
      <c r="BF68" s="18">
        <f t="shared" si="51"/>
        <v>0</v>
      </c>
      <c r="BG68" s="18">
        <f t="shared" si="52"/>
        <v>0</v>
      </c>
      <c r="BH68" s="18">
        <f t="shared" si="53"/>
        <v>0</v>
      </c>
      <c r="BI68" s="18">
        <f t="shared" si="54"/>
        <v>0</v>
      </c>
      <c r="BJ68" s="18">
        <f t="shared" si="55"/>
        <v>0</v>
      </c>
      <c r="BK68" s="18">
        <f t="shared" si="56"/>
        <v>0</v>
      </c>
      <c r="BL68" s="18">
        <f t="shared" si="57"/>
        <v>0</v>
      </c>
      <c r="BM68" s="18">
        <f t="shared" si="58"/>
        <v>0</v>
      </c>
      <c r="BN68" s="18">
        <f t="shared" si="59"/>
        <v>0</v>
      </c>
      <c r="BO68" s="18">
        <f t="shared" si="60"/>
        <v>0</v>
      </c>
      <c r="BP68" s="18">
        <f t="shared" si="61"/>
        <v>0</v>
      </c>
      <c r="BQ68" s="18">
        <f t="shared" si="62"/>
        <v>0</v>
      </c>
      <c r="BR68" s="18">
        <f t="shared" si="63"/>
        <v>0</v>
      </c>
      <c r="BS68" s="18">
        <f t="shared" si="64"/>
        <v>0</v>
      </c>
      <c r="BT68" s="18">
        <f t="shared" si="65"/>
        <v>0</v>
      </c>
      <c r="BU68" s="18">
        <f t="shared" si="66"/>
        <v>0</v>
      </c>
      <c r="BV68" s="18">
        <f t="shared" si="67"/>
        <v>0</v>
      </c>
      <c r="BW68" s="18">
        <f t="shared" si="68"/>
        <v>0</v>
      </c>
      <c r="BX68" s="18">
        <f t="shared" si="69"/>
        <v>0</v>
      </c>
      <c r="BY68" s="18">
        <f t="shared" si="70"/>
        <v>0</v>
      </c>
      <c r="BZ68" s="18">
        <f t="shared" si="71"/>
        <v>0</v>
      </c>
      <c r="CA68" s="18">
        <f t="shared" si="72"/>
        <v>0</v>
      </c>
      <c r="CB68" s="18">
        <f t="shared" si="73"/>
        <v>0</v>
      </c>
      <c r="CC68" s="18">
        <f t="shared" si="74"/>
        <v>0</v>
      </c>
      <c r="CD68" s="18">
        <f t="shared" si="75"/>
        <v>0</v>
      </c>
      <c r="CE68" s="18">
        <f t="shared" si="76"/>
        <v>0</v>
      </c>
      <c r="CF68" s="18">
        <f t="shared" si="77"/>
        <v>0</v>
      </c>
      <c r="CG68" s="18">
        <f t="shared" si="78"/>
        <v>0</v>
      </c>
      <c r="CH68" s="18">
        <f t="shared" si="79"/>
        <v>0</v>
      </c>
      <c r="CI68" s="18">
        <f t="shared" si="80"/>
        <v>0</v>
      </c>
      <c r="CJ68" s="18">
        <f t="shared" si="81"/>
        <v>0</v>
      </c>
    </row>
    <row r="69" spans="1:88" x14ac:dyDescent="0.3">
      <c r="A69" s="1">
        <v>43929</v>
      </c>
      <c r="B69">
        <v>29893.96</v>
      </c>
      <c r="C69">
        <f>Table1[[#This Row],[Close]]-0.001*Table1[[#This Row],[Close]]</f>
        <v>29864.066039999998</v>
      </c>
      <c r="D69">
        <f>Table1[[#This Row],[Close]]+0.001*Table1[[#This Row],[Close]]</f>
        <v>29923.85396</v>
      </c>
      <c r="E69" t="str">
        <f>IF(Table1[[#This Row],[Close]]&gt;D68,"UP",IF(Table1[[#This Row],[Close]]&lt;C68,"Down","Constant"))</f>
        <v>Down</v>
      </c>
      <c r="F69" s="3">
        <f>IF(Table1[[#This Row],[Column1]]="Up",1,IF(Table1[[#This Row],[Column1]]="Down",-1,0))</f>
        <v>-1</v>
      </c>
      <c r="G69">
        <f t="shared" si="0"/>
        <v>0</v>
      </c>
      <c r="H69" s="18">
        <f t="shared" si="1"/>
        <v>0</v>
      </c>
      <c r="I69" s="18">
        <f t="shared" si="2"/>
        <v>0</v>
      </c>
      <c r="J69" s="18">
        <f t="shared" si="3"/>
        <v>0</v>
      </c>
      <c r="K69" s="18">
        <f t="shared" si="4"/>
        <v>0</v>
      </c>
      <c r="L69" s="18">
        <f t="shared" si="5"/>
        <v>0</v>
      </c>
      <c r="M69" s="18">
        <f t="shared" si="6"/>
        <v>0</v>
      </c>
      <c r="N69" s="18">
        <f t="shared" si="7"/>
        <v>0</v>
      </c>
      <c r="O69" s="18">
        <f t="shared" si="8"/>
        <v>0</v>
      </c>
      <c r="P69" s="18">
        <f t="shared" si="9"/>
        <v>0</v>
      </c>
      <c r="Q69" s="18">
        <f t="shared" si="10"/>
        <v>0</v>
      </c>
      <c r="R69" s="18">
        <f t="shared" si="11"/>
        <v>0</v>
      </c>
      <c r="S69" s="18">
        <f t="shared" si="12"/>
        <v>0</v>
      </c>
      <c r="T69" s="18">
        <f t="shared" si="13"/>
        <v>1</v>
      </c>
      <c r="U69" s="18">
        <f t="shared" si="14"/>
        <v>0</v>
      </c>
      <c r="V69" s="18">
        <f t="shared" si="15"/>
        <v>0</v>
      </c>
      <c r="W69" s="18">
        <f t="shared" si="16"/>
        <v>0</v>
      </c>
      <c r="X69" s="18">
        <f t="shared" si="17"/>
        <v>0</v>
      </c>
      <c r="Y69" s="18">
        <f t="shared" si="18"/>
        <v>0</v>
      </c>
      <c r="Z69" s="18">
        <f t="shared" si="19"/>
        <v>0</v>
      </c>
      <c r="AA69" s="18">
        <f t="shared" si="20"/>
        <v>0</v>
      </c>
      <c r="AB69" s="18">
        <f t="shared" si="21"/>
        <v>0</v>
      </c>
      <c r="AC69" s="18">
        <f t="shared" si="22"/>
        <v>0</v>
      </c>
      <c r="AD69" s="18">
        <f t="shared" si="23"/>
        <v>0</v>
      </c>
      <c r="AE69" s="18">
        <f t="shared" si="24"/>
        <v>0</v>
      </c>
      <c r="AF69" s="18">
        <f t="shared" si="25"/>
        <v>0</v>
      </c>
      <c r="AG69" s="18">
        <f t="shared" si="26"/>
        <v>0</v>
      </c>
      <c r="AH69" s="18">
        <f t="shared" si="27"/>
        <v>0</v>
      </c>
      <c r="AI69" s="18">
        <f t="shared" si="28"/>
        <v>0</v>
      </c>
      <c r="AJ69" s="18">
        <f t="shared" si="29"/>
        <v>0</v>
      </c>
      <c r="AK69" s="18">
        <f t="shared" si="30"/>
        <v>0</v>
      </c>
      <c r="AL69" s="18">
        <f t="shared" si="31"/>
        <v>0</v>
      </c>
      <c r="AM69" s="18">
        <f t="shared" si="32"/>
        <v>0</v>
      </c>
      <c r="AN69" s="18">
        <f t="shared" si="33"/>
        <v>0</v>
      </c>
      <c r="AO69" s="18">
        <f t="shared" si="34"/>
        <v>0</v>
      </c>
      <c r="AP69" s="18">
        <f t="shared" si="35"/>
        <v>0</v>
      </c>
      <c r="AQ69" s="18">
        <f t="shared" si="36"/>
        <v>0</v>
      </c>
      <c r="AR69" s="18">
        <f t="shared" si="37"/>
        <v>0</v>
      </c>
      <c r="AS69" s="18">
        <f t="shared" si="38"/>
        <v>0</v>
      </c>
      <c r="AT69" s="18">
        <f t="shared" si="39"/>
        <v>0</v>
      </c>
      <c r="AU69" s="18">
        <f t="shared" si="40"/>
        <v>0</v>
      </c>
      <c r="AV69" s="18">
        <f t="shared" si="41"/>
        <v>0</v>
      </c>
      <c r="AW69" s="18">
        <f t="shared" si="42"/>
        <v>0</v>
      </c>
      <c r="AX69" s="18">
        <f t="shared" si="43"/>
        <v>0</v>
      </c>
      <c r="AY69" s="18">
        <f t="shared" si="44"/>
        <v>0</v>
      </c>
      <c r="AZ69" s="18">
        <f t="shared" si="45"/>
        <v>0</v>
      </c>
      <c r="BA69" s="18">
        <f t="shared" si="46"/>
        <v>0</v>
      </c>
      <c r="BB69" s="18">
        <f t="shared" si="47"/>
        <v>0</v>
      </c>
      <c r="BC69" s="18">
        <f t="shared" si="48"/>
        <v>0</v>
      </c>
      <c r="BD69" s="18">
        <f t="shared" si="49"/>
        <v>0</v>
      </c>
      <c r="BE69" s="18">
        <f t="shared" si="50"/>
        <v>0</v>
      </c>
      <c r="BF69" s="18">
        <f t="shared" si="51"/>
        <v>0</v>
      </c>
      <c r="BG69" s="18">
        <f t="shared" si="52"/>
        <v>0</v>
      </c>
      <c r="BH69" s="18">
        <f t="shared" si="53"/>
        <v>0</v>
      </c>
      <c r="BI69" s="18">
        <f t="shared" si="54"/>
        <v>0</v>
      </c>
      <c r="BJ69" s="18">
        <f t="shared" si="55"/>
        <v>0</v>
      </c>
      <c r="BK69" s="18">
        <f t="shared" si="56"/>
        <v>0</v>
      </c>
      <c r="BL69" s="18">
        <f t="shared" si="57"/>
        <v>0</v>
      </c>
      <c r="BM69" s="18">
        <f t="shared" si="58"/>
        <v>0</v>
      </c>
      <c r="BN69" s="18">
        <f t="shared" si="59"/>
        <v>0</v>
      </c>
      <c r="BO69" s="18">
        <f t="shared" si="60"/>
        <v>0</v>
      </c>
      <c r="BP69" s="18">
        <f t="shared" si="61"/>
        <v>0</v>
      </c>
      <c r="BQ69" s="18">
        <f t="shared" si="62"/>
        <v>0</v>
      </c>
      <c r="BR69" s="18">
        <f t="shared" si="63"/>
        <v>0</v>
      </c>
      <c r="BS69" s="18">
        <f t="shared" si="64"/>
        <v>0</v>
      </c>
      <c r="BT69" s="18">
        <f t="shared" si="65"/>
        <v>0</v>
      </c>
      <c r="BU69" s="18">
        <f t="shared" si="66"/>
        <v>0</v>
      </c>
      <c r="BV69" s="18">
        <f t="shared" si="67"/>
        <v>0</v>
      </c>
      <c r="BW69" s="18">
        <f t="shared" si="68"/>
        <v>0</v>
      </c>
      <c r="BX69" s="18">
        <f t="shared" si="69"/>
        <v>0</v>
      </c>
      <c r="BY69" s="18">
        <f t="shared" si="70"/>
        <v>0</v>
      </c>
      <c r="BZ69" s="18">
        <f t="shared" si="71"/>
        <v>0</v>
      </c>
      <c r="CA69" s="18">
        <f t="shared" si="72"/>
        <v>0</v>
      </c>
      <c r="CB69" s="18">
        <f t="shared" si="73"/>
        <v>0</v>
      </c>
      <c r="CC69" s="18">
        <f t="shared" si="74"/>
        <v>0</v>
      </c>
      <c r="CD69" s="18">
        <f t="shared" si="75"/>
        <v>0</v>
      </c>
      <c r="CE69" s="18">
        <f t="shared" si="76"/>
        <v>0</v>
      </c>
      <c r="CF69" s="18">
        <f t="shared" si="77"/>
        <v>0</v>
      </c>
      <c r="CG69" s="18">
        <f t="shared" si="78"/>
        <v>0</v>
      </c>
      <c r="CH69" s="18">
        <f t="shared" si="79"/>
        <v>0</v>
      </c>
      <c r="CI69" s="18">
        <f t="shared" si="80"/>
        <v>0</v>
      </c>
      <c r="CJ69" s="18">
        <f t="shared" si="81"/>
        <v>0</v>
      </c>
    </row>
    <row r="70" spans="1:88" x14ac:dyDescent="0.3">
      <c r="A70" s="1">
        <v>43930</v>
      </c>
      <c r="B70">
        <v>31159.62</v>
      </c>
      <c r="C70">
        <f>Table1[[#This Row],[Close]]-0.001*Table1[[#This Row],[Close]]</f>
        <v>31128.46038</v>
      </c>
      <c r="D70">
        <f>Table1[[#This Row],[Close]]+0.001*Table1[[#This Row],[Close]]</f>
        <v>31190.779619999998</v>
      </c>
      <c r="E70" t="str">
        <f>IF(Table1[[#This Row],[Close]]&gt;D69,"UP",IF(Table1[[#This Row],[Close]]&lt;C69,"Down","Constant"))</f>
        <v>UP</v>
      </c>
      <c r="F70" s="3">
        <f>IF(Table1[[#This Row],[Column1]]="Up",1,IF(Table1[[#This Row],[Column1]]="Down",-1,0))</f>
        <v>1</v>
      </c>
      <c r="G70">
        <f t="shared" ref="G70:G133" si="99">IF(AND(F70=-1,F69=1,F68=-1,F67=0),1,0)</f>
        <v>0</v>
      </c>
      <c r="H70" s="18">
        <f t="shared" ref="H70:H133" si="100">IF(AND(F70=-1,F69=1,F68=1,F67=1),1,0)</f>
        <v>0</v>
      </c>
      <c r="I70" s="18">
        <f t="shared" ref="I70:I133" si="101">IF(AND(F70=0,F69=1,F68=1,F67=1),1,0)</f>
        <v>0</v>
      </c>
      <c r="J70" s="18">
        <f t="shared" ref="J70:J133" si="102">IF(AND(F70=1,F69=1,F68=1,F67=1),1,0)</f>
        <v>0</v>
      </c>
      <c r="K70" s="18">
        <f t="shared" ref="K70:K133" si="103">IF(AND(F70=-1,F69=1,F68=1,F67=-1),1,0)</f>
        <v>0</v>
      </c>
      <c r="L70" s="18">
        <f t="shared" ref="L70:L133" si="104">IF(AND(F70=0,F69=1,F68=1,F67=-1),1,0)</f>
        <v>0</v>
      </c>
      <c r="M70" s="18">
        <f t="shared" ref="M70:M133" si="105">IF(AND(F70=1,F69=1,F68=1,F67=-1),1,0)</f>
        <v>0</v>
      </c>
      <c r="N70" s="18">
        <f t="shared" ref="N70:N133" si="106">IF(AND(F70=-1,F69=1,F68=-1,F67=1),1,0)</f>
        <v>0</v>
      </c>
      <c r="O70" s="18">
        <f t="shared" ref="O70:O133" si="107">IF(AND(F70=0,F69=1,F68=-1,F67=1),1,0)</f>
        <v>0</v>
      </c>
      <c r="P70" s="18">
        <f t="shared" ref="P70:P133" si="108">IF(AND(F70=1,F69=1,F68=-1,F67=1),1,0)</f>
        <v>0</v>
      </c>
      <c r="Q70" s="18">
        <f t="shared" ref="Q70:Q133" si="109">IF(AND(F70=-1,F69=-1,F68=1,F67=1),1,0)</f>
        <v>0</v>
      </c>
      <c r="R70" s="18">
        <f t="shared" ref="R70:R133" si="110">IF(AND(F70=0,F69=-1,F68=1,F67=1),1,0)</f>
        <v>0</v>
      </c>
      <c r="S70" s="18">
        <f t="shared" ref="S70:S133" si="111">IF(AND(F70=1,F69=-1,F68=1,F67=1),1,0)</f>
        <v>0</v>
      </c>
      <c r="T70" s="18">
        <f t="shared" ref="T70:T133" si="112">IF(AND(F70=-1,F69=1,F68=-1,F67=-1),1,0)</f>
        <v>0</v>
      </c>
      <c r="U70" s="18">
        <f t="shared" ref="U70:U133" si="113">IF(AND(F70=0,F69=1,F68=-1,F67=-1),1,0)</f>
        <v>0</v>
      </c>
      <c r="V70" s="18">
        <f t="shared" ref="V70:V133" si="114">IF(AND(F70=1,F69=1,F68=-1,F67=-1),1,0)</f>
        <v>0</v>
      </c>
      <c r="W70" s="18">
        <f t="shared" ref="W70:W133" si="115">IF(AND(F70=-1,F69=-1,F68=-1,F67=1),1,0)</f>
        <v>0</v>
      </c>
      <c r="X70" s="18">
        <f t="shared" ref="X70:X133" si="116">IF(AND(F70=0,F69=-1,F68=-1,F67=1),1,0)</f>
        <v>0</v>
      </c>
      <c r="Y70" s="18">
        <f t="shared" ref="Y70:Y133" si="117">IF(AND(F70=1,F69=-1,F68=-1,F67=1),1,0)</f>
        <v>0</v>
      </c>
      <c r="Z70" s="18">
        <f t="shared" ref="Z70:Z133" si="118">IF(AND(F70=-1,F69=-1,F68=-1,F67=-1),1,0)</f>
        <v>0</v>
      </c>
      <c r="AA70" s="18">
        <f t="shared" ref="AA70:AA133" si="119">IF(AND(F70=0,F69=-1,F68=-1,F67=-1),1,0)</f>
        <v>0</v>
      </c>
      <c r="AB70" s="18">
        <f t="shared" ref="AB70:AB133" si="120">IF(AND(F70=1,F69=-1,F68=-1,F67=-1),1,0)</f>
        <v>0</v>
      </c>
      <c r="AC70" s="18">
        <f t="shared" ref="AC70:AC133" si="121">IF(AND(F70=-1,F69=-1,F68=1,F67=-1),1,0)</f>
        <v>0</v>
      </c>
      <c r="AD70" s="18">
        <f t="shared" ref="AD70:AD133" si="122">IF(AND(F70=0,F69=-1,F68=1,F67=-1),1,0)</f>
        <v>0</v>
      </c>
      <c r="AE70" s="18">
        <f t="shared" ref="AE70:AE133" si="123">IF(AND(F70=1,F69=-1,F68=1,F67=-1),1,0)</f>
        <v>1</v>
      </c>
      <c r="AF70" s="18">
        <f t="shared" ref="AF70:AF133" si="124">IF(AND(F70=-1,F69=1,F68=1,F67=0),1,0)</f>
        <v>0</v>
      </c>
      <c r="AG70" s="18">
        <f t="shared" ref="AG70:AG133" si="125">IF(AND(F70=0,F69=1,F68=1,F67=0),1,0)</f>
        <v>0</v>
      </c>
      <c r="AH70" s="18">
        <f t="shared" ref="AH70:AH133" si="126">IF(AND(F70=1,F69=1,F68=1,F67=0),1,0)</f>
        <v>0</v>
      </c>
      <c r="AI70" s="18">
        <f t="shared" ref="AI70:AI133" si="127">IF(AND(F70=-1,F69=1,F68=0,F67=1),1,0)</f>
        <v>0</v>
      </c>
      <c r="AJ70" s="18">
        <f t="shared" ref="AJ70:AJ133" si="128">IF(AND(F70=0,F69=1,F68=0,F67=1),1,0)</f>
        <v>0</v>
      </c>
      <c r="AK70" s="18">
        <f t="shared" ref="AK70:AK133" si="129">IF(AND(F70=1,F69=1,F68=0,F67=1),1,0)</f>
        <v>0</v>
      </c>
      <c r="AL70" s="18">
        <f t="shared" ref="AL70:AL133" si="130">IF(AND(F70=-1,F69=0,F68=1,F67=1),1,0)</f>
        <v>0</v>
      </c>
      <c r="AM70" s="18">
        <f t="shared" ref="AM70:AM133" si="131">IF(AND(F70=0,F69=0,F68=1,F67=1),1,0)</f>
        <v>0</v>
      </c>
      <c r="AN70" s="18">
        <f t="shared" ref="AN70:AN133" si="132">IF(AND(F70=1,F69=0,F68=1,F67=1),1,0)</f>
        <v>0</v>
      </c>
      <c r="AO70" s="18">
        <f t="shared" ref="AO70:AO133" si="133">IF(AND(F70=-1,F69=0,F68=0,F67=1),1,0)</f>
        <v>0</v>
      </c>
      <c r="AP70" s="18">
        <f t="shared" ref="AP70:AP133" si="134">IF(AND(F70=0,F69=0,F68=0,F67=1),1,0)</f>
        <v>0</v>
      </c>
      <c r="AQ70" s="18">
        <f t="shared" ref="AQ70:AQ133" si="135">IF(AND(F70=1,F69=0,F68=0,F67=1),1,0)</f>
        <v>0</v>
      </c>
      <c r="AR70" s="18">
        <f t="shared" ref="AR70:AR133" si="136">IF(AND(F70=-1,F69=0,F68=1,F67=0),1,0)</f>
        <v>0</v>
      </c>
      <c r="AS70" s="18">
        <f t="shared" ref="AS70:AS133" si="137">IF(AND(F70=0,F69=0,F68=1,F67=0),1,0)</f>
        <v>0</v>
      </c>
      <c r="AT70" s="18">
        <f t="shared" ref="AT70:AT133" si="138">IF(AND(F70=1,F69=0,F68=1,F67=0),1,0)</f>
        <v>0</v>
      </c>
      <c r="AU70" s="18">
        <f t="shared" ref="AU70:AU133" si="139">IF(AND(F70=-1,F69=1,F68=0,F67=0),1,0)</f>
        <v>0</v>
      </c>
      <c r="AV70" s="18">
        <f t="shared" ref="AV70:AV133" si="140">IF(AND(F70=0,F69=1,F68=0,F67=0),1,0)</f>
        <v>0</v>
      </c>
      <c r="AW70" s="18">
        <f t="shared" ref="AW70:AW133" si="141">IF(AND(F70=1,F69=1,F68=0,F67=0),1,0)</f>
        <v>0</v>
      </c>
      <c r="AX70" s="18">
        <f t="shared" ref="AX70:AX133" si="142">IF(AND(F70=-1,F69=-1,F68=-1,F67=0),1,0)</f>
        <v>0</v>
      </c>
      <c r="AY70" s="18">
        <f t="shared" ref="AY70:AY133" si="143">IF(AND(F70=0,F69=-1,F68=-1,F67=0),1,0)</f>
        <v>0</v>
      </c>
      <c r="AZ70" s="18">
        <f t="shared" ref="AZ70:AZ133" si="144">IF(AND(F70=1,F69=-1,F68=-1,F67=0),1,0)</f>
        <v>0</v>
      </c>
      <c r="BA70" s="18">
        <f t="shared" ref="BA70:BA133" si="145">IF(AND(F70=-1,F69=-1,F68=0,F67=-1),1,0)</f>
        <v>0</v>
      </c>
      <c r="BB70" s="18">
        <f t="shared" ref="BB70:BB133" si="146">IF(AND(F70=0,F69=-1,F68=0,F67=-1),1,0)</f>
        <v>0</v>
      </c>
      <c r="BC70" s="18">
        <f t="shared" ref="BC70:BC133" si="147">IF(AND(F70=1,F69=-1,F68=0,F67=-1),1,0)</f>
        <v>0</v>
      </c>
      <c r="BD70" s="18">
        <f t="shared" ref="BD70:BD133" si="148">IF(AND(F70=-1,F69=0,F68=-1,F67=-1),1,0)</f>
        <v>0</v>
      </c>
      <c r="BE70" s="18">
        <f t="shared" ref="BE70:BE133" si="149">IF(AND(F70=0,F69=0,F68=-1,F67=-1),1,0)</f>
        <v>0</v>
      </c>
      <c r="BF70" s="18">
        <f t="shared" ref="BF70:BF133" si="150">IF(AND(F70=1,F69=0,F68=-1,F67=-1),1,0)</f>
        <v>0</v>
      </c>
      <c r="BG70" s="18">
        <f t="shared" ref="BG70:BG133" si="151">IF(AND(F70=-1,F69=0,F68=1,F67=-1),1,0)</f>
        <v>0</v>
      </c>
      <c r="BH70" s="18">
        <f t="shared" ref="BH70:BH133" si="152">IF(AND(F70=0,F69=0,F68=1,F67=-1),1,0)</f>
        <v>0</v>
      </c>
      <c r="BI70" s="18">
        <f t="shared" ref="BI70:BI133" si="153">IF(AND(F70=1,F69=0,F68=1,F67=-1),1,0)</f>
        <v>0</v>
      </c>
      <c r="BJ70" s="18">
        <f t="shared" ref="BJ70:BJ133" si="154">IF(AND(F70=-1,F69=0,F68=-1,F67=1),1,0)</f>
        <v>0</v>
      </c>
      <c r="BK70" s="18">
        <f t="shared" ref="BK70:BK133" si="155">IF(AND(F70=0,F69=0,F68=-1,F67=1),1,0)</f>
        <v>0</v>
      </c>
      <c r="BL70" s="18">
        <f t="shared" ref="BL70:BL133" si="156">IF(AND(F70=1,F69=0,F68=-1,F67=1),1,0)</f>
        <v>0</v>
      </c>
      <c r="BM70" s="18">
        <f t="shared" ref="BM70:BM133" si="157">IF(AND(F70=-1,F69=1,F68=0,F67=-1),1,0)</f>
        <v>0</v>
      </c>
      <c r="BN70" s="18">
        <f t="shared" ref="BN70:BN133" si="158">IF(AND(F70=0,F69=1,F68=0,F67=-1),1,0)</f>
        <v>0</v>
      </c>
      <c r="BO70" s="18">
        <f t="shared" ref="BO70:BO133" si="159">IF(AND(F70=1,F69=1,F68=0,F67=-1),1,0)</f>
        <v>0</v>
      </c>
      <c r="BP70" s="18">
        <f t="shared" ref="BP70:BP133" si="160">IF(AND(F70=-1,F69=-1,F68=0,F67=1),1,0)</f>
        <v>0</v>
      </c>
      <c r="BQ70" s="18">
        <f t="shared" ref="BQ70:BQ133" si="161">IF(AND(F70=0,F69=-1,F68=0,F67=1),1,0)</f>
        <v>0</v>
      </c>
      <c r="BR70" s="18">
        <f t="shared" ref="BR70:BR133" si="162">IF(AND(F70=1,F69=-1,F68=0,F67=1),1,0)</f>
        <v>0</v>
      </c>
      <c r="BS70" s="18">
        <f t="shared" ref="BS70:BS133" si="163">IF(AND(F70=-1,F69=1,F68=-1,F67=0),1,0)</f>
        <v>0</v>
      </c>
      <c r="BT70" s="18">
        <f t="shared" ref="BT70:BT133" si="164">IF(AND(F70=0,F69=1,F68=-1,F67=0),1,0)</f>
        <v>0</v>
      </c>
      <c r="BU70" s="18">
        <f t="shared" ref="BU70:BU133" si="165">IF(AND(F70=1,F69=1,F68=-1,F67=0),1,0)</f>
        <v>0</v>
      </c>
      <c r="BV70" s="18">
        <f t="shared" ref="BV70:BV133" si="166">IF(AND(F70=-1,F69=-1,F68=1,F67=0),1,0)</f>
        <v>0</v>
      </c>
      <c r="BW70" s="18">
        <f t="shared" ref="BW70:BW133" si="167">IF(AND(F70=0,F69=-1,F68=1,F67=0),1,0)</f>
        <v>0</v>
      </c>
      <c r="BX70" s="18">
        <f t="shared" ref="BX70:BX133" si="168">IF(AND(F70=1,F69=-1,F68=1,F67=0),1,0)</f>
        <v>0</v>
      </c>
      <c r="BY70" s="18">
        <f t="shared" ref="BY70:BY133" si="169">IF(AND(F70=-1,F69=0,F68=0,F67=-1),1,0)</f>
        <v>0</v>
      </c>
      <c r="BZ70" s="18">
        <f t="shared" ref="BZ70:BZ133" si="170">IF(AND(F70=0,F69=0,F68=0,F67=-1),1,0)</f>
        <v>0</v>
      </c>
      <c r="CA70" s="18">
        <f t="shared" ref="CA70:CA133" si="171">IF(AND(F70=1,F69=0,F68=0,F67=-1),1,0)</f>
        <v>0</v>
      </c>
      <c r="CB70" s="18">
        <f t="shared" ref="CB70:CB133" si="172">IF(AND(F70=-1,F69=0,F68=-1,F67=0),1,0)</f>
        <v>0</v>
      </c>
      <c r="CC70" s="18">
        <f t="shared" ref="CC70:CC133" si="173">IF(AND(F70=0,F69=0,F68=-1,F67=0),1,0)</f>
        <v>0</v>
      </c>
      <c r="CD70" s="18">
        <f t="shared" ref="CD70:CD133" si="174">IF(AND(F70=1,F69=0,F68=-1,F67=0),1,0)</f>
        <v>0</v>
      </c>
      <c r="CE70" s="18">
        <f t="shared" ref="CE70:CE133" si="175">IF(AND(F70=-1,F69=-1,F68=0,F67=0),1,0)</f>
        <v>0</v>
      </c>
      <c r="CF70" s="18">
        <f t="shared" ref="CF70:CF133" si="176">IF(AND(F70=0,F69=-1,F68=0,F67=0),1,0)</f>
        <v>0</v>
      </c>
      <c r="CG70" s="18">
        <f t="shared" ref="CG70:CG133" si="177">IF(AND(F70=1,F69=-1,F68=0,F67=0),1,0)</f>
        <v>0</v>
      </c>
      <c r="CH70" s="18">
        <f t="shared" ref="CH70:CH133" si="178">IF(AND(F70=-1,F69=0,F68=0,F67=0),1,0)</f>
        <v>0</v>
      </c>
      <c r="CI70" s="18">
        <f t="shared" ref="CI70:CI133" si="179">IF(AND(F70=0,F69=0,F68=0,F67=0),1,0)</f>
        <v>0</v>
      </c>
      <c r="CJ70" s="18">
        <f t="shared" ref="CJ70:CJ133" si="180">IF(AND(F70=1,F69=0,F68=0,F67=0),1,0)</f>
        <v>0</v>
      </c>
    </row>
    <row r="71" spans="1:88" x14ac:dyDescent="0.3">
      <c r="A71" s="1">
        <v>43934</v>
      </c>
      <c r="B71">
        <v>30690.02</v>
      </c>
      <c r="C71">
        <f>Table1[[#This Row],[Close]]-0.001*Table1[[#This Row],[Close]]</f>
        <v>30659.329980000002</v>
      </c>
      <c r="D71">
        <f>Table1[[#This Row],[Close]]+0.001*Table1[[#This Row],[Close]]</f>
        <v>30720.710019999999</v>
      </c>
      <c r="E71" t="str">
        <f>IF(Table1[[#This Row],[Close]]&gt;D70,"UP",IF(Table1[[#This Row],[Close]]&lt;C70,"Down","Constant"))</f>
        <v>Down</v>
      </c>
      <c r="F71" s="3">
        <f>IF(Table1[[#This Row],[Column1]]="Up",1,IF(Table1[[#This Row],[Column1]]="Down",-1,0))</f>
        <v>-1</v>
      </c>
      <c r="G71">
        <f t="shared" si="99"/>
        <v>0</v>
      </c>
      <c r="H71" s="18">
        <f t="shared" si="100"/>
        <v>0</v>
      </c>
      <c r="I71" s="18">
        <f t="shared" si="101"/>
        <v>0</v>
      </c>
      <c r="J71" s="18">
        <f t="shared" si="102"/>
        <v>0</v>
      </c>
      <c r="K71" s="18">
        <f t="shared" si="103"/>
        <v>0</v>
      </c>
      <c r="L71" s="18">
        <f t="shared" si="104"/>
        <v>0</v>
      </c>
      <c r="M71" s="18">
        <f t="shared" si="105"/>
        <v>0</v>
      </c>
      <c r="N71" s="18">
        <f t="shared" si="106"/>
        <v>1</v>
      </c>
      <c r="O71" s="18">
        <f t="shared" si="107"/>
        <v>0</v>
      </c>
      <c r="P71" s="18">
        <f t="shared" si="108"/>
        <v>0</v>
      </c>
      <c r="Q71" s="18">
        <f t="shared" si="109"/>
        <v>0</v>
      </c>
      <c r="R71" s="18">
        <f t="shared" si="110"/>
        <v>0</v>
      </c>
      <c r="S71" s="18">
        <f t="shared" si="111"/>
        <v>0</v>
      </c>
      <c r="T71" s="18">
        <f t="shared" si="112"/>
        <v>0</v>
      </c>
      <c r="U71" s="18">
        <f t="shared" si="113"/>
        <v>0</v>
      </c>
      <c r="V71" s="18">
        <f t="shared" si="114"/>
        <v>0</v>
      </c>
      <c r="W71" s="18">
        <f t="shared" si="115"/>
        <v>0</v>
      </c>
      <c r="X71" s="18">
        <f t="shared" si="116"/>
        <v>0</v>
      </c>
      <c r="Y71" s="18">
        <f t="shared" si="117"/>
        <v>0</v>
      </c>
      <c r="Z71" s="18">
        <f t="shared" si="118"/>
        <v>0</v>
      </c>
      <c r="AA71" s="18">
        <f t="shared" si="119"/>
        <v>0</v>
      </c>
      <c r="AB71" s="18">
        <f t="shared" si="120"/>
        <v>0</v>
      </c>
      <c r="AC71" s="18">
        <f t="shared" si="121"/>
        <v>0</v>
      </c>
      <c r="AD71" s="18">
        <f t="shared" si="122"/>
        <v>0</v>
      </c>
      <c r="AE71" s="18">
        <f t="shared" si="123"/>
        <v>0</v>
      </c>
      <c r="AF71" s="18">
        <f t="shared" si="124"/>
        <v>0</v>
      </c>
      <c r="AG71" s="18">
        <f t="shared" si="125"/>
        <v>0</v>
      </c>
      <c r="AH71" s="18">
        <f t="shared" si="126"/>
        <v>0</v>
      </c>
      <c r="AI71" s="18">
        <f t="shared" si="127"/>
        <v>0</v>
      </c>
      <c r="AJ71" s="18">
        <f t="shared" si="128"/>
        <v>0</v>
      </c>
      <c r="AK71" s="18">
        <f t="shared" si="129"/>
        <v>0</v>
      </c>
      <c r="AL71" s="18">
        <f t="shared" si="130"/>
        <v>0</v>
      </c>
      <c r="AM71" s="18">
        <f t="shared" si="131"/>
        <v>0</v>
      </c>
      <c r="AN71" s="18">
        <f t="shared" si="132"/>
        <v>0</v>
      </c>
      <c r="AO71" s="18">
        <f t="shared" si="133"/>
        <v>0</v>
      </c>
      <c r="AP71" s="18">
        <f t="shared" si="134"/>
        <v>0</v>
      </c>
      <c r="AQ71" s="18">
        <f t="shared" si="135"/>
        <v>0</v>
      </c>
      <c r="AR71" s="18">
        <f t="shared" si="136"/>
        <v>0</v>
      </c>
      <c r="AS71" s="18">
        <f t="shared" si="137"/>
        <v>0</v>
      </c>
      <c r="AT71" s="18">
        <f t="shared" si="138"/>
        <v>0</v>
      </c>
      <c r="AU71" s="18">
        <f t="shared" si="139"/>
        <v>0</v>
      </c>
      <c r="AV71" s="18">
        <f t="shared" si="140"/>
        <v>0</v>
      </c>
      <c r="AW71" s="18">
        <f t="shared" si="141"/>
        <v>0</v>
      </c>
      <c r="AX71" s="18">
        <f t="shared" si="142"/>
        <v>0</v>
      </c>
      <c r="AY71" s="18">
        <f t="shared" si="143"/>
        <v>0</v>
      </c>
      <c r="AZ71" s="18">
        <f t="shared" si="144"/>
        <v>0</v>
      </c>
      <c r="BA71" s="18">
        <f t="shared" si="145"/>
        <v>0</v>
      </c>
      <c r="BB71" s="18">
        <f t="shared" si="146"/>
        <v>0</v>
      </c>
      <c r="BC71" s="18">
        <f t="shared" si="147"/>
        <v>0</v>
      </c>
      <c r="BD71" s="18">
        <f t="shared" si="148"/>
        <v>0</v>
      </c>
      <c r="BE71" s="18">
        <f t="shared" si="149"/>
        <v>0</v>
      </c>
      <c r="BF71" s="18">
        <f t="shared" si="150"/>
        <v>0</v>
      </c>
      <c r="BG71" s="18">
        <f t="shared" si="151"/>
        <v>0</v>
      </c>
      <c r="BH71" s="18">
        <f t="shared" si="152"/>
        <v>0</v>
      </c>
      <c r="BI71" s="18">
        <f t="shared" si="153"/>
        <v>0</v>
      </c>
      <c r="BJ71" s="18">
        <f t="shared" si="154"/>
        <v>0</v>
      </c>
      <c r="BK71" s="18">
        <f t="shared" si="155"/>
        <v>0</v>
      </c>
      <c r="BL71" s="18">
        <f t="shared" si="156"/>
        <v>0</v>
      </c>
      <c r="BM71" s="18">
        <f t="shared" si="157"/>
        <v>0</v>
      </c>
      <c r="BN71" s="18">
        <f t="shared" si="158"/>
        <v>0</v>
      </c>
      <c r="BO71" s="18">
        <f t="shared" si="159"/>
        <v>0</v>
      </c>
      <c r="BP71" s="18">
        <f t="shared" si="160"/>
        <v>0</v>
      </c>
      <c r="BQ71" s="18">
        <f t="shared" si="161"/>
        <v>0</v>
      </c>
      <c r="BR71" s="18">
        <f t="shared" si="162"/>
        <v>0</v>
      </c>
      <c r="BS71" s="18">
        <f t="shared" si="163"/>
        <v>0</v>
      </c>
      <c r="BT71" s="18">
        <f t="shared" si="164"/>
        <v>0</v>
      </c>
      <c r="BU71" s="18">
        <f t="shared" si="165"/>
        <v>0</v>
      </c>
      <c r="BV71" s="18">
        <f t="shared" si="166"/>
        <v>0</v>
      </c>
      <c r="BW71" s="18">
        <f t="shared" si="167"/>
        <v>0</v>
      </c>
      <c r="BX71" s="18">
        <f t="shared" si="168"/>
        <v>0</v>
      </c>
      <c r="BY71" s="18">
        <f t="shared" si="169"/>
        <v>0</v>
      </c>
      <c r="BZ71" s="18">
        <f t="shared" si="170"/>
        <v>0</v>
      </c>
      <c r="CA71" s="18">
        <f t="shared" si="171"/>
        <v>0</v>
      </c>
      <c r="CB71" s="18">
        <f t="shared" si="172"/>
        <v>0</v>
      </c>
      <c r="CC71" s="18">
        <f t="shared" si="173"/>
        <v>0</v>
      </c>
      <c r="CD71" s="18">
        <f t="shared" si="174"/>
        <v>0</v>
      </c>
      <c r="CE71" s="18">
        <f t="shared" si="175"/>
        <v>0</v>
      </c>
      <c r="CF71" s="18">
        <f t="shared" si="176"/>
        <v>0</v>
      </c>
      <c r="CG71" s="18">
        <f t="shared" si="177"/>
        <v>0</v>
      </c>
      <c r="CH71" s="18">
        <f t="shared" si="178"/>
        <v>0</v>
      </c>
      <c r="CI71" s="18">
        <f t="shared" si="179"/>
        <v>0</v>
      </c>
      <c r="CJ71" s="18">
        <f t="shared" si="180"/>
        <v>0</v>
      </c>
    </row>
    <row r="72" spans="1:88" x14ac:dyDescent="0.3">
      <c r="A72" s="1">
        <v>43936</v>
      </c>
      <c r="B72">
        <v>30379.81</v>
      </c>
      <c r="C72">
        <f>Table1[[#This Row],[Close]]-0.001*Table1[[#This Row],[Close]]</f>
        <v>30349.430190000003</v>
      </c>
      <c r="D72">
        <f>Table1[[#This Row],[Close]]+0.001*Table1[[#This Row],[Close]]</f>
        <v>30410.18981</v>
      </c>
      <c r="E72" t="str">
        <f>IF(Table1[[#This Row],[Close]]&gt;D71,"UP",IF(Table1[[#This Row],[Close]]&lt;C71,"Down","Constant"))</f>
        <v>Down</v>
      </c>
      <c r="F72" s="3">
        <f>IF(Table1[[#This Row],[Column1]]="Up",1,IF(Table1[[#This Row],[Column1]]="Down",-1,0))</f>
        <v>-1</v>
      </c>
      <c r="G72">
        <f t="shared" si="99"/>
        <v>0</v>
      </c>
      <c r="H72" s="18">
        <f t="shared" si="100"/>
        <v>0</v>
      </c>
      <c r="I72" s="18">
        <f t="shared" si="101"/>
        <v>0</v>
      </c>
      <c r="J72" s="18">
        <f t="shared" si="102"/>
        <v>0</v>
      </c>
      <c r="K72" s="18">
        <f t="shared" si="103"/>
        <v>0</v>
      </c>
      <c r="L72" s="18">
        <f t="shared" si="104"/>
        <v>0</v>
      </c>
      <c r="M72" s="18">
        <f t="shared" si="105"/>
        <v>0</v>
      </c>
      <c r="N72" s="18">
        <f t="shared" si="106"/>
        <v>0</v>
      </c>
      <c r="O72" s="18">
        <f t="shared" si="107"/>
        <v>0</v>
      </c>
      <c r="P72" s="18">
        <f t="shared" si="108"/>
        <v>0</v>
      </c>
      <c r="Q72" s="18">
        <f t="shared" si="109"/>
        <v>0</v>
      </c>
      <c r="R72" s="18">
        <f t="shared" si="110"/>
        <v>0</v>
      </c>
      <c r="S72" s="18">
        <f t="shared" si="111"/>
        <v>0</v>
      </c>
      <c r="T72" s="18">
        <f t="shared" si="112"/>
        <v>0</v>
      </c>
      <c r="U72" s="18">
        <f t="shared" si="113"/>
        <v>0</v>
      </c>
      <c r="V72" s="18">
        <f t="shared" si="114"/>
        <v>0</v>
      </c>
      <c r="W72" s="18">
        <f t="shared" si="115"/>
        <v>0</v>
      </c>
      <c r="X72" s="18">
        <f t="shared" si="116"/>
        <v>0</v>
      </c>
      <c r="Y72" s="18">
        <f t="shared" si="117"/>
        <v>0</v>
      </c>
      <c r="Z72" s="18">
        <f t="shared" si="118"/>
        <v>0</v>
      </c>
      <c r="AA72" s="18">
        <f t="shared" si="119"/>
        <v>0</v>
      </c>
      <c r="AB72" s="18">
        <f t="shared" si="120"/>
        <v>0</v>
      </c>
      <c r="AC72" s="18">
        <f t="shared" si="121"/>
        <v>1</v>
      </c>
      <c r="AD72" s="18">
        <f t="shared" si="122"/>
        <v>0</v>
      </c>
      <c r="AE72" s="18">
        <f t="shared" si="123"/>
        <v>0</v>
      </c>
      <c r="AF72" s="18">
        <f t="shared" si="124"/>
        <v>0</v>
      </c>
      <c r="AG72" s="18">
        <f t="shared" si="125"/>
        <v>0</v>
      </c>
      <c r="AH72" s="18">
        <f t="shared" si="126"/>
        <v>0</v>
      </c>
      <c r="AI72" s="18">
        <f t="shared" si="127"/>
        <v>0</v>
      </c>
      <c r="AJ72" s="18">
        <f t="shared" si="128"/>
        <v>0</v>
      </c>
      <c r="AK72" s="18">
        <f t="shared" si="129"/>
        <v>0</v>
      </c>
      <c r="AL72" s="18">
        <f t="shared" si="130"/>
        <v>0</v>
      </c>
      <c r="AM72" s="18">
        <f t="shared" si="131"/>
        <v>0</v>
      </c>
      <c r="AN72" s="18">
        <f t="shared" si="132"/>
        <v>0</v>
      </c>
      <c r="AO72" s="18">
        <f t="shared" si="133"/>
        <v>0</v>
      </c>
      <c r="AP72" s="18">
        <f t="shared" si="134"/>
        <v>0</v>
      </c>
      <c r="AQ72" s="18">
        <f t="shared" si="135"/>
        <v>0</v>
      </c>
      <c r="AR72" s="18">
        <f t="shared" si="136"/>
        <v>0</v>
      </c>
      <c r="AS72" s="18">
        <f t="shared" si="137"/>
        <v>0</v>
      </c>
      <c r="AT72" s="18">
        <f t="shared" si="138"/>
        <v>0</v>
      </c>
      <c r="AU72" s="18">
        <f t="shared" si="139"/>
        <v>0</v>
      </c>
      <c r="AV72" s="18">
        <f t="shared" si="140"/>
        <v>0</v>
      </c>
      <c r="AW72" s="18">
        <f t="shared" si="141"/>
        <v>0</v>
      </c>
      <c r="AX72" s="18">
        <f t="shared" si="142"/>
        <v>0</v>
      </c>
      <c r="AY72" s="18">
        <f t="shared" si="143"/>
        <v>0</v>
      </c>
      <c r="AZ72" s="18">
        <f t="shared" si="144"/>
        <v>0</v>
      </c>
      <c r="BA72" s="18">
        <f t="shared" si="145"/>
        <v>0</v>
      </c>
      <c r="BB72" s="18">
        <f t="shared" si="146"/>
        <v>0</v>
      </c>
      <c r="BC72" s="18">
        <f t="shared" si="147"/>
        <v>0</v>
      </c>
      <c r="BD72" s="18">
        <f t="shared" si="148"/>
        <v>0</v>
      </c>
      <c r="BE72" s="18">
        <f t="shared" si="149"/>
        <v>0</v>
      </c>
      <c r="BF72" s="18">
        <f t="shared" si="150"/>
        <v>0</v>
      </c>
      <c r="BG72" s="18">
        <f t="shared" si="151"/>
        <v>0</v>
      </c>
      <c r="BH72" s="18">
        <f t="shared" si="152"/>
        <v>0</v>
      </c>
      <c r="BI72" s="18">
        <f t="shared" si="153"/>
        <v>0</v>
      </c>
      <c r="BJ72" s="18">
        <f t="shared" si="154"/>
        <v>0</v>
      </c>
      <c r="BK72" s="18">
        <f t="shared" si="155"/>
        <v>0</v>
      </c>
      <c r="BL72" s="18">
        <f t="shared" si="156"/>
        <v>0</v>
      </c>
      <c r="BM72" s="18">
        <f t="shared" si="157"/>
        <v>0</v>
      </c>
      <c r="BN72" s="18">
        <f t="shared" si="158"/>
        <v>0</v>
      </c>
      <c r="BO72" s="18">
        <f t="shared" si="159"/>
        <v>0</v>
      </c>
      <c r="BP72" s="18">
        <f t="shared" si="160"/>
        <v>0</v>
      </c>
      <c r="BQ72" s="18">
        <f t="shared" si="161"/>
        <v>0</v>
      </c>
      <c r="BR72" s="18">
        <f t="shared" si="162"/>
        <v>0</v>
      </c>
      <c r="BS72" s="18">
        <f t="shared" si="163"/>
        <v>0</v>
      </c>
      <c r="BT72" s="18">
        <f t="shared" si="164"/>
        <v>0</v>
      </c>
      <c r="BU72" s="18">
        <f t="shared" si="165"/>
        <v>0</v>
      </c>
      <c r="BV72" s="18">
        <f t="shared" si="166"/>
        <v>0</v>
      </c>
      <c r="BW72" s="18">
        <f t="shared" si="167"/>
        <v>0</v>
      </c>
      <c r="BX72" s="18">
        <f t="shared" si="168"/>
        <v>0</v>
      </c>
      <c r="BY72" s="18">
        <f t="shared" si="169"/>
        <v>0</v>
      </c>
      <c r="BZ72" s="18">
        <f t="shared" si="170"/>
        <v>0</v>
      </c>
      <c r="CA72" s="18">
        <f t="shared" si="171"/>
        <v>0</v>
      </c>
      <c r="CB72" s="18">
        <f t="shared" si="172"/>
        <v>0</v>
      </c>
      <c r="CC72" s="18">
        <f t="shared" si="173"/>
        <v>0</v>
      </c>
      <c r="CD72" s="18">
        <f t="shared" si="174"/>
        <v>0</v>
      </c>
      <c r="CE72" s="18">
        <f t="shared" si="175"/>
        <v>0</v>
      </c>
      <c r="CF72" s="18">
        <f t="shared" si="176"/>
        <v>0</v>
      </c>
      <c r="CG72" s="18">
        <f t="shared" si="177"/>
        <v>0</v>
      </c>
      <c r="CH72" s="18">
        <f t="shared" si="178"/>
        <v>0</v>
      </c>
      <c r="CI72" s="18">
        <f t="shared" si="179"/>
        <v>0</v>
      </c>
      <c r="CJ72" s="18">
        <f t="shared" si="180"/>
        <v>0</v>
      </c>
    </row>
    <row r="73" spans="1:88" x14ac:dyDescent="0.3">
      <c r="A73" s="1">
        <v>43937</v>
      </c>
      <c r="B73">
        <v>30602.61</v>
      </c>
      <c r="C73">
        <f>Table1[[#This Row],[Close]]-0.001*Table1[[#This Row],[Close]]</f>
        <v>30572.007389999999</v>
      </c>
      <c r="D73">
        <f>Table1[[#This Row],[Close]]+0.001*Table1[[#This Row],[Close]]</f>
        <v>30633.212610000002</v>
      </c>
      <c r="E73" t="str">
        <f>IF(Table1[[#This Row],[Close]]&gt;D72,"UP",IF(Table1[[#This Row],[Close]]&lt;C72,"Down","Constant"))</f>
        <v>UP</v>
      </c>
      <c r="F73" s="3">
        <f>IF(Table1[[#This Row],[Column1]]="Up",1,IF(Table1[[#This Row],[Column1]]="Down",-1,0))</f>
        <v>1</v>
      </c>
      <c r="G73">
        <f t="shared" si="99"/>
        <v>0</v>
      </c>
      <c r="H73" s="18">
        <f t="shared" si="100"/>
        <v>0</v>
      </c>
      <c r="I73" s="18">
        <f t="shared" si="101"/>
        <v>0</v>
      </c>
      <c r="J73" s="18">
        <f t="shared" si="102"/>
        <v>0</v>
      </c>
      <c r="K73" s="18">
        <f t="shared" si="103"/>
        <v>0</v>
      </c>
      <c r="L73" s="18">
        <f t="shared" si="104"/>
        <v>0</v>
      </c>
      <c r="M73" s="18">
        <f t="shared" si="105"/>
        <v>0</v>
      </c>
      <c r="N73" s="18">
        <f t="shared" si="106"/>
        <v>0</v>
      </c>
      <c r="O73" s="18">
        <f t="shared" si="107"/>
        <v>0</v>
      </c>
      <c r="P73" s="18">
        <f t="shared" si="108"/>
        <v>0</v>
      </c>
      <c r="Q73" s="18">
        <f t="shared" si="109"/>
        <v>0</v>
      </c>
      <c r="R73" s="18">
        <f t="shared" si="110"/>
        <v>0</v>
      </c>
      <c r="S73" s="18">
        <f t="shared" si="111"/>
        <v>0</v>
      </c>
      <c r="T73" s="18">
        <f t="shared" si="112"/>
        <v>0</v>
      </c>
      <c r="U73" s="18">
        <f t="shared" si="113"/>
        <v>0</v>
      </c>
      <c r="V73" s="18">
        <f t="shared" si="114"/>
        <v>0</v>
      </c>
      <c r="W73" s="18">
        <f t="shared" si="115"/>
        <v>0</v>
      </c>
      <c r="X73" s="18">
        <f t="shared" si="116"/>
        <v>0</v>
      </c>
      <c r="Y73" s="18">
        <f t="shared" si="117"/>
        <v>1</v>
      </c>
      <c r="Z73" s="18">
        <f t="shared" si="118"/>
        <v>0</v>
      </c>
      <c r="AA73" s="18">
        <f t="shared" si="119"/>
        <v>0</v>
      </c>
      <c r="AB73" s="18">
        <f t="shared" si="120"/>
        <v>0</v>
      </c>
      <c r="AC73" s="18">
        <f t="shared" si="121"/>
        <v>0</v>
      </c>
      <c r="AD73" s="18">
        <f t="shared" si="122"/>
        <v>0</v>
      </c>
      <c r="AE73" s="18">
        <f t="shared" si="123"/>
        <v>0</v>
      </c>
      <c r="AF73" s="18">
        <f t="shared" si="124"/>
        <v>0</v>
      </c>
      <c r="AG73" s="18">
        <f t="shared" si="125"/>
        <v>0</v>
      </c>
      <c r="AH73" s="18">
        <f t="shared" si="126"/>
        <v>0</v>
      </c>
      <c r="AI73" s="18">
        <f t="shared" si="127"/>
        <v>0</v>
      </c>
      <c r="AJ73" s="18">
        <f t="shared" si="128"/>
        <v>0</v>
      </c>
      <c r="AK73" s="18">
        <f t="shared" si="129"/>
        <v>0</v>
      </c>
      <c r="AL73" s="18">
        <f t="shared" si="130"/>
        <v>0</v>
      </c>
      <c r="AM73" s="18">
        <f t="shared" si="131"/>
        <v>0</v>
      </c>
      <c r="AN73" s="18">
        <f t="shared" si="132"/>
        <v>0</v>
      </c>
      <c r="AO73" s="18">
        <f t="shared" si="133"/>
        <v>0</v>
      </c>
      <c r="AP73" s="18">
        <f t="shared" si="134"/>
        <v>0</v>
      </c>
      <c r="AQ73" s="18">
        <f t="shared" si="135"/>
        <v>0</v>
      </c>
      <c r="AR73" s="18">
        <f t="shared" si="136"/>
        <v>0</v>
      </c>
      <c r="AS73" s="18">
        <f t="shared" si="137"/>
        <v>0</v>
      </c>
      <c r="AT73" s="18">
        <f t="shared" si="138"/>
        <v>0</v>
      </c>
      <c r="AU73" s="18">
        <f t="shared" si="139"/>
        <v>0</v>
      </c>
      <c r="AV73" s="18">
        <f t="shared" si="140"/>
        <v>0</v>
      </c>
      <c r="AW73" s="18">
        <f t="shared" si="141"/>
        <v>0</v>
      </c>
      <c r="AX73" s="18">
        <f t="shared" si="142"/>
        <v>0</v>
      </c>
      <c r="AY73" s="18">
        <f t="shared" si="143"/>
        <v>0</v>
      </c>
      <c r="AZ73" s="18">
        <f t="shared" si="144"/>
        <v>0</v>
      </c>
      <c r="BA73" s="18">
        <f t="shared" si="145"/>
        <v>0</v>
      </c>
      <c r="BB73" s="18">
        <f t="shared" si="146"/>
        <v>0</v>
      </c>
      <c r="BC73" s="18">
        <f t="shared" si="147"/>
        <v>0</v>
      </c>
      <c r="BD73" s="18">
        <f t="shared" si="148"/>
        <v>0</v>
      </c>
      <c r="BE73" s="18">
        <f t="shared" si="149"/>
        <v>0</v>
      </c>
      <c r="BF73" s="18">
        <f t="shared" si="150"/>
        <v>0</v>
      </c>
      <c r="BG73" s="18">
        <f t="shared" si="151"/>
        <v>0</v>
      </c>
      <c r="BH73" s="18">
        <f t="shared" si="152"/>
        <v>0</v>
      </c>
      <c r="BI73" s="18">
        <f t="shared" si="153"/>
        <v>0</v>
      </c>
      <c r="BJ73" s="18">
        <f t="shared" si="154"/>
        <v>0</v>
      </c>
      <c r="BK73" s="18">
        <f t="shared" si="155"/>
        <v>0</v>
      </c>
      <c r="BL73" s="18">
        <f t="shared" si="156"/>
        <v>0</v>
      </c>
      <c r="BM73" s="18">
        <f t="shared" si="157"/>
        <v>0</v>
      </c>
      <c r="BN73" s="18">
        <f t="shared" si="158"/>
        <v>0</v>
      </c>
      <c r="BO73" s="18">
        <f t="shared" si="159"/>
        <v>0</v>
      </c>
      <c r="BP73" s="18">
        <f t="shared" si="160"/>
        <v>0</v>
      </c>
      <c r="BQ73" s="18">
        <f t="shared" si="161"/>
        <v>0</v>
      </c>
      <c r="BR73" s="18">
        <f t="shared" si="162"/>
        <v>0</v>
      </c>
      <c r="BS73" s="18">
        <f t="shared" si="163"/>
        <v>0</v>
      </c>
      <c r="BT73" s="18">
        <f t="shared" si="164"/>
        <v>0</v>
      </c>
      <c r="BU73" s="18">
        <f t="shared" si="165"/>
        <v>0</v>
      </c>
      <c r="BV73" s="18">
        <f t="shared" si="166"/>
        <v>0</v>
      </c>
      <c r="BW73" s="18">
        <f t="shared" si="167"/>
        <v>0</v>
      </c>
      <c r="BX73" s="18">
        <f t="shared" si="168"/>
        <v>0</v>
      </c>
      <c r="BY73" s="18">
        <f t="shared" si="169"/>
        <v>0</v>
      </c>
      <c r="BZ73" s="18">
        <f t="shared" si="170"/>
        <v>0</v>
      </c>
      <c r="CA73" s="18">
        <f t="shared" si="171"/>
        <v>0</v>
      </c>
      <c r="CB73" s="18">
        <f t="shared" si="172"/>
        <v>0</v>
      </c>
      <c r="CC73" s="18">
        <f t="shared" si="173"/>
        <v>0</v>
      </c>
      <c r="CD73" s="18">
        <f t="shared" si="174"/>
        <v>0</v>
      </c>
      <c r="CE73" s="18">
        <f t="shared" si="175"/>
        <v>0</v>
      </c>
      <c r="CF73" s="18">
        <f t="shared" si="176"/>
        <v>0</v>
      </c>
      <c r="CG73" s="18">
        <f t="shared" si="177"/>
        <v>0</v>
      </c>
      <c r="CH73" s="18">
        <f t="shared" si="178"/>
        <v>0</v>
      </c>
      <c r="CI73" s="18">
        <f t="shared" si="179"/>
        <v>0</v>
      </c>
      <c r="CJ73" s="18">
        <f t="shared" si="180"/>
        <v>0</v>
      </c>
    </row>
    <row r="74" spans="1:88" x14ac:dyDescent="0.3">
      <c r="A74" s="1">
        <v>43938</v>
      </c>
      <c r="B74">
        <v>31588.720000000001</v>
      </c>
      <c r="C74">
        <f>Table1[[#This Row],[Close]]-0.001*Table1[[#This Row],[Close]]</f>
        <v>31557.131280000001</v>
      </c>
      <c r="D74">
        <f>Table1[[#This Row],[Close]]+0.001*Table1[[#This Row],[Close]]</f>
        <v>31620.308720000001</v>
      </c>
      <c r="E74" t="str">
        <f>IF(Table1[[#This Row],[Close]]&gt;D73,"UP",IF(Table1[[#This Row],[Close]]&lt;C73,"Down","Constant"))</f>
        <v>UP</v>
      </c>
      <c r="F74" s="3">
        <f>IF(Table1[[#This Row],[Column1]]="Up",1,IF(Table1[[#This Row],[Column1]]="Down",-1,0))</f>
        <v>1</v>
      </c>
      <c r="G74">
        <f t="shared" si="99"/>
        <v>0</v>
      </c>
      <c r="H74" s="18">
        <f t="shared" si="100"/>
        <v>0</v>
      </c>
      <c r="I74" s="18">
        <f t="shared" si="101"/>
        <v>0</v>
      </c>
      <c r="J74" s="18">
        <f t="shared" si="102"/>
        <v>0</v>
      </c>
      <c r="K74" s="18">
        <f t="shared" si="103"/>
        <v>0</v>
      </c>
      <c r="L74" s="18">
        <f t="shared" si="104"/>
        <v>0</v>
      </c>
      <c r="M74" s="18">
        <f t="shared" si="105"/>
        <v>0</v>
      </c>
      <c r="N74" s="18">
        <f t="shared" si="106"/>
        <v>0</v>
      </c>
      <c r="O74" s="18">
        <f t="shared" si="107"/>
        <v>0</v>
      </c>
      <c r="P74" s="18">
        <f t="shared" si="108"/>
        <v>0</v>
      </c>
      <c r="Q74" s="18">
        <f t="shared" si="109"/>
        <v>0</v>
      </c>
      <c r="R74" s="18">
        <f t="shared" si="110"/>
        <v>0</v>
      </c>
      <c r="S74" s="18">
        <f t="shared" si="111"/>
        <v>0</v>
      </c>
      <c r="T74" s="18">
        <f t="shared" si="112"/>
        <v>0</v>
      </c>
      <c r="U74" s="18">
        <f t="shared" si="113"/>
        <v>0</v>
      </c>
      <c r="V74" s="18">
        <f t="shared" si="114"/>
        <v>1</v>
      </c>
      <c r="W74" s="18">
        <f t="shared" si="115"/>
        <v>0</v>
      </c>
      <c r="X74" s="18">
        <f t="shared" si="116"/>
        <v>0</v>
      </c>
      <c r="Y74" s="18">
        <f t="shared" si="117"/>
        <v>0</v>
      </c>
      <c r="Z74" s="18">
        <f t="shared" si="118"/>
        <v>0</v>
      </c>
      <c r="AA74" s="18">
        <f t="shared" si="119"/>
        <v>0</v>
      </c>
      <c r="AB74" s="18">
        <f t="shared" si="120"/>
        <v>0</v>
      </c>
      <c r="AC74" s="18">
        <f t="shared" si="121"/>
        <v>0</v>
      </c>
      <c r="AD74" s="18">
        <f t="shared" si="122"/>
        <v>0</v>
      </c>
      <c r="AE74" s="18">
        <f t="shared" si="123"/>
        <v>0</v>
      </c>
      <c r="AF74" s="18">
        <f t="shared" si="124"/>
        <v>0</v>
      </c>
      <c r="AG74" s="18">
        <f t="shared" si="125"/>
        <v>0</v>
      </c>
      <c r="AH74" s="18">
        <f t="shared" si="126"/>
        <v>0</v>
      </c>
      <c r="AI74" s="18">
        <f t="shared" si="127"/>
        <v>0</v>
      </c>
      <c r="AJ74" s="18">
        <f t="shared" si="128"/>
        <v>0</v>
      </c>
      <c r="AK74" s="18">
        <f t="shared" si="129"/>
        <v>0</v>
      </c>
      <c r="AL74" s="18">
        <f t="shared" si="130"/>
        <v>0</v>
      </c>
      <c r="AM74" s="18">
        <f t="shared" si="131"/>
        <v>0</v>
      </c>
      <c r="AN74" s="18">
        <f t="shared" si="132"/>
        <v>0</v>
      </c>
      <c r="AO74" s="18">
        <f t="shared" si="133"/>
        <v>0</v>
      </c>
      <c r="AP74" s="18">
        <f t="shared" si="134"/>
        <v>0</v>
      </c>
      <c r="AQ74" s="18">
        <f t="shared" si="135"/>
        <v>0</v>
      </c>
      <c r="AR74" s="18">
        <f t="shared" si="136"/>
        <v>0</v>
      </c>
      <c r="AS74" s="18">
        <f t="shared" si="137"/>
        <v>0</v>
      </c>
      <c r="AT74" s="18">
        <f t="shared" si="138"/>
        <v>0</v>
      </c>
      <c r="AU74" s="18">
        <f t="shared" si="139"/>
        <v>0</v>
      </c>
      <c r="AV74" s="18">
        <f t="shared" si="140"/>
        <v>0</v>
      </c>
      <c r="AW74" s="18">
        <f t="shared" si="141"/>
        <v>0</v>
      </c>
      <c r="AX74" s="18">
        <f t="shared" si="142"/>
        <v>0</v>
      </c>
      <c r="AY74" s="18">
        <f t="shared" si="143"/>
        <v>0</v>
      </c>
      <c r="AZ74" s="18">
        <f t="shared" si="144"/>
        <v>0</v>
      </c>
      <c r="BA74" s="18">
        <f t="shared" si="145"/>
        <v>0</v>
      </c>
      <c r="BB74" s="18">
        <f t="shared" si="146"/>
        <v>0</v>
      </c>
      <c r="BC74" s="18">
        <f t="shared" si="147"/>
        <v>0</v>
      </c>
      <c r="BD74" s="18">
        <f t="shared" si="148"/>
        <v>0</v>
      </c>
      <c r="BE74" s="18">
        <f t="shared" si="149"/>
        <v>0</v>
      </c>
      <c r="BF74" s="18">
        <f t="shared" si="150"/>
        <v>0</v>
      </c>
      <c r="BG74" s="18">
        <f t="shared" si="151"/>
        <v>0</v>
      </c>
      <c r="BH74" s="18">
        <f t="shared" si="152"/>
        <v>0</v>
      </c>
      <c r="BI74" s="18">
        <f t="shared" si="153"/>
        <v>0</v>
      </c>
      <c r="BJ74" s="18">
        <f t="shared" si="154"/>
        <v>0</v>
      </c>
      <c r="BK74" s="18">
        <f t="shared" si="155"/>
        <v>0</v>
      </c>
      <c r="BL74" s="18">
        <f t="shared" si="156"/>
        <v>0</v>
      </c>
      <c r="BM74" s="18">
        <f t="shared" si="157"/>
        <v>0</v>
      </c>
      <c r="BN74" s="18">
        <f t="shared" si="158"/>
        <v>0</v>
      </c>
      <c r="BO74" s="18">
        <f t="shared" si="159"/>
        <v>0</v>
      </c>
      <c r="BP74" s="18">
        <f t="shared" si="160"/>
        <v>0</v>
      </c>
      <c r="BQ74" s="18">
        <f t="shared" si="161"/>
        <v>0</v>
      </c>
      <c r="BR74" s="18">
        <f t="shared" si="162"/>
        <v>0</v>
      </c>
      <c r="BS74" s="18">
        <f t="shared" si="163"/>
        <v>0</v>
      </c>
      <c r="BT74" s="18">
        <f t="shared" si="164"/>
        <v>0</v>
      </c>
      <c r="BU74" s="18">
        <f t="shared" si="165"/>
        <v>0</v>
      </c>
      <c r="BV74" s="18">
        <f t="shared" si="166"/>
        <v>0</v>
      </c>
      <c r="BW74" s="18">
        <f t="shared" si="167"/>
        <v>0</v>
      </c>
      <c r="BX74" s="18">
        <f t="shared" si="168"/>
        <v>0</v>
      </c>
      <c r="BY74" s="18">
        <f t="shared" si="169"/>
        <v>0</v>
      </c>
      <c r="BZ74" s="18">
        <f t="shared" si="170"/>
        <v>0</v>
      </c>
      <c r="CA74" s="18">
        <f t="shared" si="171"/>
        <v>0</v>
      </c>
      <c r="CB74" s="18">
        <f t="shared" si="172"/>
        <v>0</v>
      </c>
      <c r="CC74" s="18">
        <f t="shared" si="173"/>
        <v>0</v>
      </c>
      <c r="CD74" s="18">
        <f t="shared" si="174"/>
        <v>0</v>
      </c>
      <c r="CE74" s="18">
        <f t="shared" si="175"/>
        <v>0</v>
      </c>
      <c r="CF74" s="18">
        <f t="shared" si="176"/>
        <v>0</v>
      </c>
      <c r="CG74" s="18">
        <f t="shared" si="177"/>
        <v>0</v>
      </c>
      <c r="CH74" s="18">
        <f t="shared" si="178"/>
        <v>0</v>
      </c>
      <c r="CI74" s="18">
        <f t="shared" si="179"/>
        <v>0</v>
      </c>
      <c r="CJ74" s="18">
        <f t="shared" si="180"/>
        <v>0</v>
      </c>
    </row>
    <row r="75" spans="1:88" x14ac:dyDescent="0.3">
      <c r="A75" s="1">
        <v>43941</v>
      </c>
      <c r="B75">
        <v>31648</v>
      </c>
      <c r="C75">
        <f>Table1[[#This Row],[Close]]-0.001*Table1[[#This Row],[Close]]</f>
        <v>31616.351999999999</v>
      </c>
      <c r="D75">
        <f>Table1[[#This Row],[Close]]+0.001*Table1[[#This Row],[Close]]</f>
        <v>31679.648000000001</v>
      </c>
      <c r="E75" t="str">
        <f>IF(Table1[[#This Row],[Close]]&gt;D74,"UP",IF(Table1[[#This Row],[Close]]&lt;C74,"Down","Constant"))</f>
        <v>UP</v>
      </c>
      <c r="F75" s="3">
        <f>IF(Table1[[#This Row],[Column1]]="Up",1,IF(Table1[[#This Row],[Column1]]="Down",-1,0))</f>
        <v>1</v>
      </c>
      <c r="G75">
        <f t="shared" si="99"/>
        <v>0</v>
      </c>
      <c r="H75" s="18">
        <f t="shared" si="100"/>
        <v>0</v>
      </c>
      <c r="I75" s="18">
        <f t="shared" si="101"/>
        <v>0</v>
      </c>
      <c r="J75" s="18">
        <f t="shared" si="102"/>
        <v>0</v>
      </c>
      <c r="K75" s="18">
        <f t="shared" si="103"/>
        <v>0</v>
      </c>
      <c r="L75" s="18">
        <f t="shared" si="104"/>
        <v>0</v>
      </c>
      <c r="M75" s="18">
        <f t="shared" si="105"/>
        <v>1</v>
      </c>
      <c r="N75" s="18">
        <f t="shared" si="106"/>
        <v>0</v>
      </c>
      <c r="O75" s="18">
        <f t="shared" si="107"/>
        <v>0</v>
      </c>
      <c r="P75" s="18">
        <f t="shared" si="108"/>
        <v>0</v>
      </c>
      <c r="Q75" s="18">
        <f t="shared" si="109"/>
        <v>0</v>
      </c>
      <c r="R75" s="18">
        <f t="shared" si="110"/>
        <v>0</v>
      </c>
      <c r="S75" s="18">
        <f t="shared" si="111"/>
        <v>0</v>
      </c>
      <c r="T75" s="18">
        <f t="shared" si="112"/>
        <v>0</v>
      </c>
      <c r="U75" s="18">
        <f t="shared" si="113"/>
        <v>0</v>
      </c>
      <c r="V75" s="18">
        <f t="shared" si="114"/>
        <v>0</v>
      </c>
      <c r="W75" s="18">
        <f t="shared" si="115"/>
        <v>0</v>
      </c>
      <c r="X75" s="18">
        <f t="shared" si="116"/>
        <v>0</v>
      </c>
      <c r="Y75" s="18">
        <f t="shared" si="117"/>
        <v>0</v>
      </c>
      <c r="Z75" s="18">
        <f t="shared" si="118"/>
        <v>0</v>
      </c>
      <c r="AA75" s="18">
        <f t="shared" si="119"/>
        <v>0</v>
      </c>
      <c r="AB75" s="18">
        <f t="shared" si="120"/>
        <v>0</v>
      </c>
      <c r="AC75" s="18">
        <f t="shared" si="121"/>
        <v>0</v>
      </c>
      <c r="AD75" s="18">
        <f t="shared" si="122"/>
        <v>0</v>
      </c>
      <c r="AE75" s="18">
        <f t="shared" si="123"/>
        <v>0</v>
      </c>
      <c r="AF75" s="18">
        <f t="shared" si="124"/>
        <v>0</v>
      </c>
      <c r="AG75" s="18">
        <f t="shared" si="125"/>
        <v>0</v>
      </c>
      <c r="AH75" s="18">
        <f t="shared" si="126"/>
        <v>0</v>
      </c>
      <c r="AI75" s="18">
        <f t="shared" si="127"/>
        <v>0</v>
      </c>
      <c r="AJ75" s="18">
        <f t="shared" si="128"/>
        <v>0</v>
      </c>
      <c r="AK75" s="18">
        <f t="shared" si="129"/>
        <v>0</v>
      </c>
      <c r="AL75" s="18">
        <f t="shared" si="130"/>
        <v>0</v>
      </c>
      <c r="AM75" s="18">
        <f t="shared" si="131"/>
        <v>0</v>
      </c>
      <c r="AN75" s="18">
        <f t="shared" si="132"/>
        <v>0</v>
      </c>
      <c r="AO75" s="18">
        <f t="shared" si="133"/>
        <v>0</v>
      </c>
      <c r="AP75" s="18">
        <f t="shared" si="134"/>
        <v>0</v>
      </c>
      <c r="AQ75" s="18">
        <f t="shared" si="135"/>
        <v>0</v>
      </c>
      <c r="AR75" s="18">
        <f t="shared" si="136"/>
        <v>0</v>
      </c>
      <c r="AS75" s="18">
        <f t="shared" si="137"/>
        <v>0</v>
      </c>
      <c r="AT75" s="18">
        <f t="shared" si="138"/>
        <v>0</v>
      </c>
      <c r="AU75" s="18">
        <f t="shared" si="139"/>
        <v>0</v>
      </c>
      <c r="AV75" s="18">
        <f t="shared" si="140"/>
        <v>0</v>
      </c>
      <c r="AW75" s="18">
        <f t="shared" si="141"/>
        <v>0</v>
      </c>
      <c r="AX75" s="18">
        <f t="shared" si="142"/>
        <v>0</v>
      </c>
      <c r="AY75" s="18">
        <f t="shared" si="143"/>
        <v>0</v>
      </c>
      <c r="AZ75" s="18">
        <f t="shared" si="144"/>
        <v>0</v>
      </c>
      <c r="BA75" s="18">
        <f t="shared" si="145"/>
        <v>0</v>
      </c>
      <c r="BB75" s="18">
        <f t="shared" si="146"/>
        <v>0</v>
      </c>
      <c r="BC75" s="18">
        <f t="shared" si="147"/>
        <v>0</v>
      </c>
      <c r="BD75" s="18">
        <f t="shared" si="148"/>
        <v>0</v>
      </c>
      <c r="BE75" s="18">
        <f t="shared" si="149"/>
        <v>0</v>
      </c>
      <c r="BF75" s="18">
        <f t="shared" si="150"/>
        <v>0</v>
      </c>
      <c r="BG75" s="18">
        <f t="shared" si="151"/>
        <v>0</v>
      </c>
      <c r="BH75" s="18">
        <f t="shared" si="152"/>
        <v>0</v>
      </c>
      <c r="BI75" s="18">
        <f t="shared" si="153"/>
        <v>0</v>
      </c>
      <c r="BJ75" s="18">
        <f t="shared" si="154"/>
        <v>0</v>
      </c>
      <c r="BK75" s="18">
        <f t="shared" si="155"/>
        <v>0</v>
      </c>
      <c r="BL75" s="18">
        <f t="shared" si="156"/>
        <v>0</v>
      </c>
      <c r="BM75" s="18">
        <f t="shared" si="157"/>
        <v>0</v>
      </c>
      <c r="BN75" s="18">
        <f t="shared" si="158"/>
        <v>0</v>
      </c>
      <c r="BO75" s="18">
        <f t="shared" si="159"/>
        <v>0</v>
      </c>
      <c r="BP75" s="18">
        <f t="shared" si="160"/>
        <v>0</v>
      </c>
      <c r="BQ75" s="18">
        <f t="shared" si="161"/>
        <v>0</v>
      </c>
      <c r="BR75" s="18">
        <f t="shared" si="162"/>
        <v>0</v>
      </c>
      <c r="BS75" s="18">
        <f t="shared" si="163"/>
        <v>0</v>
      </c>
      <c r="BT75" s="18">
        <f t="shared" si="164"/>
        <v>0</v>
      </c>
      <c r="BU75" s="18">
        <f t="shared" si="165"/>
        <v>0</v>
      </c>
      <c r="BV75" s="18">
        <f t="shared" si="166"/>
        <v>0</v>
      </c>
      <c r="BW75" s="18">
        <f t="shared" si="167"/>
        <v>0</v>
      </c>
      <c r="BX75" s="18">
        <f t="shared" si="168"/>
        <v>0</v>
      </c>
      <c r="BY75" s="18">
        <f t="shared" si="169"/>
        <v>0</v>
      </c>
      <c r="BZ75" s="18">
        <f t="shared" si="170"/>
        <v>0</v>
      </c>
      <c r="CA75" s="18">
        <f t="shared" si="171"/>
        <v>0</v>
      </c>
      <c r="CB75" s="18">
        <f t="shared" si="172"/>
        <v>0</v>
      </c>
      <c r="CC75" s="18">
        <f t="shared" si="173"/>
        <v>0</v>
      </c>
      <c r="CD75" s="18">
        <f t="shared" si="174"/>
        <v>0</v>
      </c>
      <c r="CE75" s="18">
        <f t="shared" si="175"/>
        <v>0</v>
      </c>
      <c r="CF75" s="18">
        <f t="shared" si="176"/>
        <v>0</v>
      </c>
      <c r="CG75" s="18">
        <f t="shared" si="177"/>
        <v>0</v>
      </c>
      <c r="CH75" s="18">
        <f t="shared" si="178"/>
        <v>0</v>
      </c>
      <c r="CI75" s="18">
        <f t="shared" si="179"/>
        <v>0</v>
      </c>
      <c r="CJ75" s="18">
        <f t="shared" si="180"/>
        <v>0</v>
      </c>
    </row>
    <row r="76" spans="1:88" x14ac:dyDescent="0.3">
      <c r="A76" s="1">
        <v>43942</v>
      </c>
      <c r="B76">
        <v>30636.71</v>
      </c>
      <c r="C76">
        <f>Table1[[#This Row],[Close]]-0.001*Table1[[#This Row],[Close]]</f>
        <v>30606.07329</v>
      </c>
      <c r="D76">
        <f>Table1[[#This Row],[Close]]+0.001*Table1[[#This Row],[Close]]</f>
        <v>30667.346709999998</v>
      </c>
      <c r="E76" t="str">
        <f>IF(Table1[[#This Row],[Close]]&gt;D75,"UP",IF(Table1[[#This Row],[Close]]&lt;C75,"Down","Constant"))</f>
        <v>Down</v>
      </c>
      <c r="F76" s="3">
        <f>IF(Table1[[#This Row],[Column1]]="Up",1,IF(Table1[[#This Row],[Column1]]="Down",-1,0))</f>
        <v>-1</v>
      </c>
      <c r="G76">
        <f t="shared" si="99"/>
        <v>0</v>
      </c>
      <c r="H76" s="18">
        <f t="shared" si="100"/>
        <v>1</v>
      </c>
      <c r="I76" s="18">
        <f t="shared" si="101"/>
        <v>0</v>
      </c>
      <c r="J76" s="18">
        <f t="shared" si="102"/>
        <v>0</v>
      </c>
      <c r="K76" s="18">
        <f t="shared" si="103"/>
        <v>0</v>
      </c>
      <c r="L76" s="18">
        <f t="shared" si="104"/>
        <v>0</v>
      </c>
      <c r="M76" s="18">
        <f t="shared" si="105"/>
        <v>0</v>
      </c>
      <c r="N76" s="18">
        <f t="shared" si="106"/>
        <v>0</v>
      </c>
      <c r="O76" s="18">
        <f t="shared" si="107"/>
        <v>0</v>
      </c>
      <c r="P76" s="18">
        <f t="shared" si="108"/>
        <v>0</v>
      </c>
      <c r="Q76" s="18">
        <f t="shared" si="109"/>
        <v>0</v>
      </c>
      <c r="R76" s="18">
        <f t="shared" si="110"/>
        <v>0</v>
      </c>
      <c r="S76" s="18">
        <f t="shared" si="111"/>
        <v>0</v>
      </c>
      <c r="T76" s="18">
        <f t="shared" si="112"/>
        <v>0</v>
      </c>
      <c r="U76" s="18">
        <f t="shared" si="113"/>
        <v>0</v>
      </c>
      <c r="V76" s="18">
        <f t="shared" si="114"/>
        <v>0</v>
      </c>
      <c r="W76" s="18">
        <f t="shared" si="115"/>
        <v>0</v>
      </c>
      <c r="X76" s="18">
        <f t="shared" si="116"/>
        <v>0</v>
      </c>
      <c r="Y76" s="18">
        <f t="shared" si="117"/>
        <v>0</v>
      </c>
      <c r="Z76" s="18">
        <f t="shared" si="118"/>
        <v>0</v>
      </c>
      <c r="AA76" s="18">
        <f t="shared" si="119"/>
        <v>0</v>
      </c>
      <c r="AB76" s="18">
        <f t="shared" si="120"/>
        <v>0</v>
      </c>
      <c r="AC76" s="18">
        <f t="shared" si="121"/>
        <v>0</v>
      </c>
      <c r="AD76" s="18">
        <f t="shared" si="122"/>
        <v>0</v>
      </c>
      <c r="AE76" s="18">
        <f t="shared" si="123"/>
        <v>0</v>
      </c>
      <c r="AF76" s="18">
        <f t="shared" si="124"/>
        <v>0</v>
      </c>
      <c r="AG76" s="18">
        <f t="shared" si="125"/>
        <v>0</v>
      </c>
      <c r="AH76" s="18">
        <f t="shared" si="126"/>
        <v>0</v>
      </c>
      <c r="AI76" s="18">
        <f t="shared" si="127"/>
        <v>0</v>
      </c>
      <c r="AJ76" s="18">
        <f t="shared" si="128"/>
        <v>0</v>
      </c>
      <c r="AK76" s="18">
        <f t="shared" si="129"/>
        <v>0</v>
      </c>
      <c r="AL76" s="18">
        <f t="shared" si="130"/>
        <v>0</v>
      </c>
      <c r="AM76" s="18">
        <f t="shared" si="131"/>
        <v>0</v>
      </c>
      <c r="AN76" s="18">
        <f t="shared" si="132"/>
        <v>0</v>
      </c>
      <c r="AO76" s="18">
        <f t="shared" si="133"/>
        <v>0</v>
      </c>
      <c r="AP76" s="18">
        <f t="shared" si="134"/>
        <v>0</v>
      </c>
      <c r="AQ76" s="18">
        <f t="shared" si="135"/>
        <v>0</v>
      </c>
      <c r="AR76" s="18">
        <f t="shared" si="136"/>
        <v>0</v>
      </c>
      <c r="AS76" s="18">
        <f t="shared" si="137"/>
        <v>0</v>
      </c>
      <c r="AT76" s="18">
        <f t="shared" si="138"/>
        <v>0</v>
      </c>
      <c r="AU76" s="18">
        <f t="shared" si="139"/>
        <v>0</v>
      </c>
      <c r="AV76" s="18">
        <f t="shared" si="140"/>
        <v>0</v>
      </c>
      <c r="AW76" s="18">
        <f t="shared" si="141"/>
        <v>0</v>
      </c>
      <c r="AX76" s="18">
        <f t="shared" si="142"/>
        <v>0</v>
      </c>
      <c r="AY76" s="18">
        <f t="shared" si="143"/>
        <v>0</v>
      </c>
      <c r="AZ76" s="18">
        <f t="shared" si="144"/>
        <v>0</v>
      </c>
      <c r="BA76" s="18">
        <f t="shared" si="145"/>
        <v>0</v>
      </c>
      <c r="BB76" s="18">
        <f t="shared" si="146"/>
        <v>0</v>
      </c>
      <c r="BC76" s="18">
        <f t="shared" si="147"/>
        <v>0</v>
      </c>
      <c r="BD76" s="18">
        <f t="shared" si="148"/>
        <v>0</v>
      </c>
      <c r="BE76" s="18">
        <f t="shared" si="149"/>
        <v>0</v>
      </c>
      <c r="BF76" s="18">
        <f t="shared" si="150"/>
        <v>0</v>
      </c>
      <c r="BG76" s="18">
        <f t="shared" si="151"/>
        <v>0</v>
      </c>
      <c r="BH76" s="18">
        <f t="shared" si="152"/>
        <v>0</v>
      </c>
      <c r="BI76" s="18">
        <f t="shared" si="153"/>
        <v>0</v>
      </c>
      <c r="BJ76" s="18">
        <f t="shared" si="154"/>
        <v>0</v>
      </c>
      <c r="BK76" s="18">
        <f t="shared" si="155"/>
        <v>0</v>
      </c>
      <c r="BL76" s="18">
        <f t="shared" si="156"/>
        <v>0</v>
      </c>
      <c r="BM76" s="18">
        <f t="shared" si="157"/>
        <v>0</v>
      </c>
      <c r="BN76" s="18">
        <f t="shared" si="158"/>
        <v>0</v>
      </c>
      <c r="BO76" s="18">
        <f t="shared" si="159"/>
        <v>0</v>
      </c>
      <c r="BP76" s="18">
        <f t="shared" si="160"/>
        <v>0</v>
      </c>
      <c r="BQ76" s="18">
        <f t="shared" si="161"/>
        <v>0</v>
      </c>
      <c r="BR76" s="18">
        <f t="shared" si="162"/>
        <v>0</v>
      </c>
      <c r="BS76" s="18">
        <f t="shared" si="163"/>
        <v>0</v>
      </c>
      <c r="BT76" s="18">
        <f t="shared" si="164"/>
        <v>0</v>
      </c>
      <c r="BU76" s="18">
        <f t="shared" si="165"/>
        <v>0</v>
      </c>
      <c r="BV76" s="18">
        <f t="shared" si="166"/>
        <v>0</v>
      </c>
      <c r="BW76" s="18">
        <f t="shared" si="167"/>
        <v>0</v>
      </c>
      <c r="BX76" s="18">
        <f t="shared" si="168"/>
        <v>0</v>
      </c>
      <c r="BY76" s="18">
        <f t="shared" si="169"/>
        <v>0</v>
      </c>
      <c r="BZ76" s="18">
        <f t="shared" si="170"/>
        <v>0</v>
      </c>
      <c r="CA76" s="18">
        <f t="shared" si="171"/>
        <v>0</v>
      </c>
      <c r="CB76" s="18">
        <f t="shared" si="172"/>
        <v>0</v>
      </c>
      <c r="CC76" s="18">
        <f t="shared" si="173"/>
        <v>0</v>
      </c>
      <c r="CD76" s="18">
        <f t="shared" si="174"/>
        <v>0</v>
      </c>
      <c r="CE76" s="18">
        <f t="shared" si="175"/>
        <v>0</v>
      </c>
      <c r="CF76" s="18">
        <f t="shared" si="176"/>
        <v>0</v>
      </c>
      <c r="CG76" s="18">
        <f t="shared" si="177"/>
        <v>0</v>
      </c>
      <c r="CH76" s="18">
        <f t="shared" si="178"/>
        <v>0</v>
      </c>
      <c r="CI76" s="18">
        <f t="shared" si="179"/>
        <v>0</v>
      </c>
      <c r="CJ76" s="18">
        <f t="shared" si="180"/>
        <v>0</v>
      </c>
    </row>
    <row r="77" spans="1:88" x14ac:dyDescent="0.3">
      <c r="A77" s="1">
        <v>43943</v>
      </c>
      <c r="B77">
        <v>31379.55</v>
      </c>
      <c r="C77">
        <f>Table1[[#This Row],[Close]]-0.001*Table1[[#This Row],[Close]]</f>
        <v>31348.170449999998</v>
      </c>
      <c r="D77">
        <f>Table1[[#This Row],[Close]]+0.001*Table1[[#This Row],[Close]]</f>
        <v>31410.929550000001</v>
      </c>
      <c r="E77" t="str">
        <f>IF(Table1[[#This Row],[Close]]&gt;D76,"UP",IF(Table1[[#This Row],[Close]]&lt;C76,"Down","Constant"))</f>
        <v>UP</v>
      </c>
      <c r="F77" s="3">
        <f>IF(Table1[[#This Row],[Column1]]="Up",1,IF(Table1[[#This Row],[Column1]]="Down",-1,0))</f>
        <v>1</v>
      </c>
      <c r="G77">
        <f t="shared" si="99"/>
        <v>0</v>
      </c>
      <c r="H77" s="18">
        <f t="shared" si="100"/>
        <v>0</v>
      </c>
      <c r="I77" s="18">
        <f t="shared" si="101"/>
        <v>0</v>
      </c>
      <c r="J77" s="18">
        <f t="shared" si="102"/>
        <v>0</v>
      </c>
      <c r="K77" s="18">
        <f t="shared" si="103"/>
        <v>0</v>
      </c>
      <c r="L77" s="18">
        <f t="shared" si="104"/>
        <v>0</v>
      </c>
      <c r="M77" s="18">
        <f t="shared" si="105"/>
        <v>0</v>
      </c>
      <c r="N77" s="18">
        <f t="shared" si="106"/>
        <v>0</v>
      </c>
      <c r="O77" s="18">
        <f t="shared" si="107"/>
        <v>0</v>
      </c>
      <c r="P77" s="18">
        <f t="shared" si="108"/>
        <v>0</v>
      </c>
      <c r="Q77" s="18">
        <f t="shared" si="109"/>
        <v>0</v>
      </c>
      <c r="R77" s="18">
        <f t="shared" si="110"/>
        <v>0</v>
      </c>
      <c r="S77" s="18">
        <f t="shared" si="111"/>
        <v>1</v>
      </c>
      <c r="T77" s="18">
        <f t="shared" si="112"/>
        <v>0</v>
      </c>
      <c r="U77" s="18">
        <f t="shared" si="113"/>
        <v>0</v>
      </c>
      <c r="V77" s="18">
        <f t="shared" si="114"/>
        <v>0</v>
      </c>
      <c r="W77" s="18">
        <f t="shared" si="115"/>
        <v>0</v>
      </c>
      <c r="X77" s="18">
        <f t="shared" si="116"/>
        <v>0</v>
      </c>
      <c r="Y77" s="18">
        <f t="shared" si="117"/>
        <v>0</v>
      </c>
      <c r="Z77" s="18">
        <f t="shared" si="118"/>
        <v>0</v>
      </c>
      <c r="AA77" s="18">
        <f t="shared" si="119"/>
        <v>0</v>
      </c>
      <c r="AB77" s="18">
        <f t="shared" si="120"/>
        <v>0</v>
      </c>
      <c r="AC77" s="18">
        <f t="shared" si="121"/>
        <v>0</v>
      </c>
      <c r="AD77" s="18">
        <f t="shared" si="122"/>
        <v>0</v>
      </c>
      <c r="AE77" s="18">
        <f t="shared" si="123"/>
        <v>0</v>
      </c>
      <c r="AF77" s="18">
        <f t="shared" si="124"/>
        <v>0</v>
      </c>
      <c r="AG77" s="18">
        <f t="shared" si="125"/>
        <v>0</v>
      </c>
      <c r="AH77" s="18">
        <f t="shared" si="126"/>
        <v>0</v>
      </c>
      <c r="AI77" s="18">
        <f t="shared" si="127"/>
        <v>0</v>
      </c>
      <c r="AJ77" s="18">
        <f t="shared" si="128"/>
        <v>0</v>
      </c>
      <c r="AK77" s="18">
        <f t="shared" si="129"/>
        <v>0</v>
      </c>
      <c r="AL77" s="18">
        <f t="shared" si="130"/>
        <v>0</v>
      </c>
      <c r="AM77" s="18">
        <f t="shared" si="131"/>
        <v>0</v>
      </c>
      <c r="AN77" s="18">
        <f t="shared" si="132"/>
        <v>0</v>
      </c>
      <c r="AO77" s="18">
        <f t="shared" si="133"/>
        <v>0</v>
      </c>
      <c r="AP77" s="18">
        <f t="shared" si="134"/>
        <v>0</v>
      </c>
      <c r="AQ77" s="18">
        <f t="shared" si="135"/>
        <v>0</v>
      </c>
      <c r="AR77" s="18">
        <f t="shared" si="136"/>
        <v>0</v>
      </c>
      <c r="AS77" s="18">
        <f t="shared" si="137"/>
        <v>0</v>
      </c>
      <c r="AT77" s="18">
        <f t="shared" si="138"/>
        <v>0</v>
      </c>
      <c r="AU77" s="18">
        <f t="shared" si="139"/>
        <v>0</v>
      </c>
      <c r="AV77" s="18">
        <f t="shared" si="140"/>
        <v>0</v>
      </c>
      <c r="AW77" s="18">
        <f t="shared" si="141"/>
        <v>0</v>
      </c>
      <c r="AX77" s="18">
        <f t="shared" si="142"/>
        <v>0</v>
      </c>
      <c r="AY77" s="18">
        <f t="shared" si="143"/>
        <v>0</v>
      </c>
      <c r="AZ77" s="18">
        <f t="shared" si="144"/>
        <v>0</v>
      </c>
      <c r="BA77" s="18">
        <f t="shared" si="145"/>
        <v>0</v>
      </c>
      <c r="BB77" s="18">
        <f t="shared" si="146"/>
        <v>0</v>
      </c>
      <c r="BC77" s="18">
        <f t="shared" si="147"/>
        <v>0</v>
      </c>
      <c r="BD77" s="18">
        <f t="shared" si="148"/>
        <v>0</v>
      </c>
      <c r="BE77" s="18">
        <f t="shared" si="149"/>
        <v>0</v>
      </c>
      <c r="BF77" s="18">
        <f t="shared" si="150"/>
        <v>0</v>
      </c>
      <c r="BG77" s="18">
        <f t="shared" si="151"/>
        <v>0</v>
      </c>
      <c r="BH77" s="18">
        <f t="shared" si="152"/>
        <v>0</v>
      </c>
      <c r="BI77" s="18">
        <f t="shared" si="153"/>
        <v>0</v>
      </c>
      <c r="BJ77" s="18">
        <f t="shared" si="154"/>
        <v>0</v>
      </c>
      <c r="BK77" s="18">
        <f t="shared" si="155"/>
        <v>0</v>
      </c>
      <c r="BL77" s="18">
        <f t="shared" si="156"/>
        <v>0</v>
      </c>
      <c r="BM77" s="18">
        <f t="shared" si="157"/>
        <v>0</v>
      </c>
      <c r="BN77" s="18">
        <f t="shared" si="158"/>
        <v>0</v>
      </c>
      <c r="BO77" s="18">
        <f t="shared" si="159"/>
        <v>0</v>
      </c>
      <c r="BP77" s="18">
        <f t="shared" si="160"/>
        <v>0</v>
      </c>
      <c r="BQ77" s="18">
        <f t="shared" si="161"/>
        <v>0</v>
      </c>
      <c r="BR77" s="18">
        <f t="shared" si="162"/>
        <v>0</v>
      </c>
      <c r="BS77" s="18">
        <f t="shared" si="163"/>
        <v>0</v>
      </c>
      <c r="BT77" s="18">
        <f t="shared" si="164"/>
        <v>0</v>
      </c>
      <c r="BU77" s="18">
        <f t="shared" si="165"/>
        <v>0</v>
      </c>
      <c r="BV77" s="18">
        <f t="shared" si="166"/>
        <v>0</v>
      </c>
      <c r="BW77" s="18">
        <f t="shared" si="167"/>
        <v>0</v>
      </c>
      <c r="BX77" s="18">
        <f t="shared" si="168"/>
        <v>0</v>
      </c>
      <c r="BY77" s="18">
        <f t="shared" si="169"/>
        <v>0</v>
      </c>
      <c r="BZ77" s="18">
        <f t="shared" si="170"/>
        <v>0</v>
      </c>
      <c r="CA77" s="18">
        <f t="shared" si="171"/>
        <v>0</v>
      </c>
      <c r="CB77" s="18">
        <f t="shared" si="172"/>
        <v>0</v>
      </c>
      <c r="CC77" s="18">
        <f t="shared" si="173"/>
        <v>0</v>
      </c>
      <c r="CD77" s="18">
        <f t="shared" si="174"/>
        <v>0</v>
      </c>
      <c r="CE77" s="18">
        <f t="shared" si="175"/>
        <v>0</v>
      </c>
      <c r="CF77" s="18">
        <f t="shared" si="176"/>
        <v>0</v>
      </c>
      <c r="CG77" s="18">
        <f t="shared" si="177"/>
        <v>0</v>
      </c>
      <c r="CH77" s="18">
        <f t="shared" si="178"/>
        <v>0</v>
      </c>
      <c r="CI77" s="18">
        <f t="shared" si="179"/>
        <v>0</v>
      </c>
      <c r="CJ77" s="18">
        <f t="shared" si="180"/>
        <v>0</v>
      </c>
    </row>
    <row r="78" spans="1:88" x14ac:dyDescent="0.3">
      <c r="A78" s="1">
        <v>43944</v>
      </c>
      <c r="B78">
        <v>31863.08</v>
      </c>
      <c r="C78">
        <f>Table1[[#This Row],[Close]]-0.001*Table1[[#This Row],[Close]]</f>
        <v>31831.216920000003</v>
      </c>
      <c r="D78">
        <f>Table1[[#This Row],[Close]]+0.001*Table1[[#This Row],[Close]]</f>
        <v>31894.943080000001</v>
      </c>
      <c r="E78" t="str">
        <f>IF(Table1[[#This Row],[Close]]&gt;D77,"UP",IF(Table1[[#This Row],[Close]]&lt;C77,"Down","Constant"))</f>
        <v>UP</v>
      </c>
      <c r="F78" s="3">
        <f>IF(Table1[[#This Row],[Column1]]="Up",1,IF(Table1[[#This Row],[Column1]]="Down",-1,0))</f>
        <v>1</v>
      </c>
      <c r="G78">
        <f t="shared" si="99"/>
        <v>0</v>
      </c>
      <c r="H78" s="18">
        <f t="shared" si="100"/>
        <v>0</v>
      </c>
      <c r="I78" s="18">
        <f t="shared" si="101"/>
        <v>0</v>
      </c>
      <c r="J78" s="18">
        <f t="shared" si="102"/>
        <v>0</v>
      </c>
      <c r="K78" s="18">
        <f t="shared" si="103"/>
        <v>0</v>
      </c>
      <c r="L78" s="18">
        <f t="shared" si="104"/>
        <v>0</v>
      </c>
      <c r="M78" s="18">
        <f t="shared" si="105"/>
        <v>0</v>
      </c>
      <c r="N78" s="18">
        <f t="shared" si="106"/>
        <v>0</v>
      </c>
      <c r="O78" s="18">
        <f t="shared" si="107"/>
        <v>0</v>
      </c>
      <c r="P78" s="18">
        <f t="shared" si="108"/>
        <v>1</v>
      </c>
      <c r="Q78" s="18">
        <f t="shared" si="109"/>
        <v>0</v>
      </c>
      <c r="R78" s="18">
        <f t="shared" si="110"/>
        <v>0</v>
      </c>
      <c r="S78" s="18">
        <f t="shared" si="111"/>
        <v>0</v>
      </c>
      <c r="T78" s="18">
        <f t="shared" si="112"/>
        <v>0</v>
      </c>
      <c r="U78" s="18">
        <f t="shared" si="113"/>
        <v>0</v>
      </c>
      <c r="V78" s="18">
        <f t="shared" si="114"/>
        <v>0</v>
      </c>
      <c r="W78" s="18">
        <f t="shared" si="115"/>
        <v>0</v>
      </c>
      <c r="X78" s="18">
        <f t="shared" si="116"/>
        <v>0</v>
      </c>
      <c r="Y78" s="18">
        <f t="shared" si="117"/>
        <v>0</v>
      </c>
      <c r="Z78" s="18">
        <f t="shared" si="118"/>
        <v>0</v>
      </c>
      <c r="AA78" s="18">
        <f t="shared" si="119"/>
        <v>0</v>
      </c>
      <c r="AB78" s="18">
        <f t="shared" si="120"/>
        <v>0</v>
      </c>
      <c r="AC78" s="18">
        <f t="shared" si="121"/>
        <v>0</v>
      </c>
      <c r="AD78" s="18">
        <f t="shared" si="122"/>
        <v>0</v>
      </c>
      <c r="AE78" s="18">
        <f t="shared" si="123"/>
        <v>0</v>
      </c>
      <c r="AF78" s="18">
        <f t="shared" si="124"/>
        <v>0</v>
      </c>
      <c r="AG78" s="18">
        <f t="shared" si="125"/>
        <v>0</v>
      </c>
      <c r="AH78" s="18">
        <f t="shared" si="126"/>
        <v>0</v>
      </c>
      <c r="AI78" s="18">
        <f t="shared" si="127"/>
        <v>0</v>
      </c>
      <c r="AJ78" s="18">
        <f t="shared" si="128"/>
        <v>0</v>
      </c>
      <c r="AK78" s="18">
        <f t="shared" si="129"/>
        <v>0</v>
      </c>
      <c r="AL78" s="18">
        <f t="shared" si="130"/>
        <v>0</v>
      </c>
      <c r="AM78" s="18">
        <f t="shared" si="131"/>
        <v>0</v>
      </c>
      <c r="AN78" s="18">
        <f t="shared" si="132"/>
        <v>0</v>
      </c>
      <c r="AO78" s="18">
        <f t="shared" si="133"/>
        <v>0</v>
      </c>
      <c r="AP78" s="18">
        <f t="shared" si="134"/>
        <v>0</v>
      </c>
      <c r="AQ78" s="18">
        <f t="shared" si="135"/>
        <v>0</v>
      </c>
      <c r="AR78" s="18">
        <f t="shared" si="136"/>
        <v>0</v>
      </c>
      <c r="AS78" s="18">
        <f t="shared" si="137"/>
        <v>0</v>
      </c>
      <c r="AT78" s="18">
        <f t="shared" si="138"/>
        <v>0</v>
      </c>
      <c r="AU78" s="18">
        <f t="shared" si="139"/>
        <v>0</v>
      </c>
      <c r="AV78" s="18">
        <f t="shared" si="140"/>
        <v>0</v>
      </c>
      <c r="AW78" s="18">
        <f t="shared" si="141"/>
        <v>0</v>
      </c>
      <c r="AX78" s="18">
        <f t="shared" si="142"/>
        <v>0</v>
      </c>
      <c r="AY78" s="18">
        <f t="shared" si="143"/>
        <v>0</v>
      </c>
      <c r="AZ78" s="18">
        <f t="shared" si="144"/>
        <v>0</v>
      </c>
      <c r="BA78" s="18">
        <f t="shared" si="145"/>
        <v>0</v>
      </c>
      <c r="BB78" s="18">
        <f t="shared" si="146"/>
        <v>0</v>
      </c>
      <c r="BC78" s="18">
        <f t="shared" si="147"/>
        <v>0</v>
      </c>
      <c r="BD78" s="18">
        <f t="shared" si="148"/>
        <v>0</v>
      </c>
      <c r="BE78" s="18">
        <f t="shared" si="149"/>
        <v>0</v>
      </c>
      <c r="BF78" s="18">
        <f t="shared" si="150"/>
        <v>0</v>
      </c>
      <c r="BG78" s="18">
        <f t="shared" si="151"/>
        <v>0</v>
      </c>
      <c r="BH78" s="18">
        <f t="shared" si="152"/>
        <v>0</v>
      </c>
      <c r="BI78" s="18">
        <f t="shared" si="153"/>
        <v>0</v>
      </c>
      <c r="BJ78" s="18">
        <f t="shared" si="154"/>
        <v>0</v>
      </c>
      <c r="BK78" s="18">
        <f t="shared" si="155"/>
        <v>0</v>
      </c>
      <c r="BL78" s="18">
        <f t="shared" si="156"/>
        <v>0</v>
      </c>
      <c r="BM78" s="18">
        <f t="shared" si="157"/>
        <v>0</v>
      </c>
      <c r="BN78" s="18">
        <f t="shared" si="158"/>
        <v>0</v>
      </c>
      <c r="BO78" s="18">
        <f t="shared" si="159"/>
        <v>0</v>
      </c>
      <c r="BP78" s="18">
        <f t="shared" si="160"/>
        <v>0</v>
      </c>
      <c r="BQ78" s="18">
        <f t="shared" si="161"/>
        <v>0</v>
      </c>
      <c r="BR78" s="18">
        <f t="shared" si="162"/>
        <v>0</v>
      </c>
      <c r="BS78" s="18">
        <f t="shared" si="163"/>
        <v>0</v>
      </c>
      <c r="BT78" s="18">
        <f t="shared" si="164"/>
        <v>0</v>
      </c>
      <c r="BU78" s="18">
        <f t="shared" si="165"/>
        <v>0</v>
      </c>
      <c r="BV78" s="18">
        <f t="shared" si="166"/>
        <v>0</v>
      </c>
      <c r="BW78" s="18">
        <f t="shared" si="167"/>
        <v>0</v>
      </c>
      <c r="BX78" s="18">
        <f t="shared" si="168"/>
        <v>0</v>
      </c>
      <c r="BY78" s="18">
        <f t="shared" si="169"/>
        <v>0</v>
      </c>
      <c r="BZ78" s="18">
        <f t="shared" si="170"/>
        <v>0</v>
      </c>
      <c r="CA78" s="18">
        <f t="shared" si="171"/>
        <v>0</v>
      </c>
      <c r="CB78" s="18">
        <f t="shared" si="172"/>
        <v>0</v>
      </c>
      <c r="CC78" s="18">
        <f t="shared" si="173"/>
        <v>0</v>
      </c>
      <c r="CD78" s="18">
        <f t="shared" si="174"/>
        <v>0</v>
      </c>
      <c r="CE78" s="18">
        <f t="shared" si="175"/>
        <v>0</v>
      </c>
      <c r="CF78" s="18">
        <f t="shared" si="176"/>
        <v>0</v>
      </c>
      <c r="CG78" s="18">
        <f t="shared" si="177"/>
        <v>0</v>
      </c>
      <c r="CH78" s="18">
        <f t="shared" si="178"/>
        <v>0</v>
      </c>
      <c r="CI78" s="18">
        <f t="shared" si="179"/>
        <v>0</v>
      </c>
      <c r="CJ78" s="18">
        <f t="shared" si="180"/>
        <v>0</v>
      </c>
    </row>
    <row r="79" spans="1:88" x14ac:dyDescent="0.3">
      <c r="A79" s="1">
        <v>43945</v>
      </c>
      <c r="B79">
        <v>31327.22</v>
      </c>
      <c r="C79">
        <f>Table1[[#This Row],[Close]]-0.001*Table1[[#This Row],[Close]]</f>
        <v>31295.892780000002</v>
      </c>
      <c r="D79">
        <f>Table1[[#This Row],[Close]]+0.001*Table1[[#This Row],[Close]]</f>
        <v>31358.54722</v>
      </c>
      <c r="E79" t="str">
        <f>IF(Table1[[#This Row],[Close]]&gt;D78,"UP",IF(Table1[[#This Row],[Close]]&lt;C78,"Down","Constant"))</f>
        <v>Down</v>
      </c>
      <c r="F79" s="3">
        <f>IF(Table1[[#This Row],[Column1]]="Up",1,IF(Table1[[#This Row],[Column1]]="Down",-1,0))</f>
        <v>-1</v>
      </c>
      <c r="G79">
        <f t="shared" si="99"/>
        <v>0</v>
      </c>
      <c r="H79" s="18">
        <f t="shared" si="100"/>
        <v>0</v>
      </c>
      <c r="I79" s="18">
        <f t="shared" si="101"/>
        <v>0</v>
      </c>
      <c r="J79" s="18">
        <f t="shared" si="102"/>
        <v>0</v>
      </c>
      <c r="K79" s="18">
        <f t="shared" si="103"/>
        <v>1</v>
      </c>
      <c r="L79" s="18">
        <f t="shared" si="104"/>
        <v>0</v>
      </c>
      <c r="M79" s="18">
        <f t="shared" si="105"/>
        <v>0</v>
      </c>
      <c r="N79" s="18">
        <f t="shared" si="106"/>
        <v>0</v>
      </c>
      <c r="O79" s="18">
        <f t="shared" si="107"/>
        <v>0</v>
      </c>
      <c r="P79" s="18">
        <f t="shared" si="108"/>
        <v>0</v>
      </c>
      <c r="Q79" s="18">
        <f t="shared" si="109"/>
        <v>0</v>
      </c>
      <c r="R79" s="18">
        <f t="shared" si="110"/>
        <v>0</v>
      </c>
      <c r="S79" s="18">
        <f t="shared" si="111"/>
        <v>0</v>
      </c>
      <c r="T79" s="18">
        <f t="shared" si="112"/>
        <v>0</v>
      </c>
      <c r="U79" s="18">
        <f t="shared" si="113"/>
        <v>0</v>
      </c>
      <c r="V79" s="18">
        <f t="shared" si="114"/>
        <v>0</v>
      </c>
      <c r="W79" s="18">
        <f t="shared" si="115"/>
        <v>0</v>
      </c>
      <c r="X79" s="18">
        <f t="shared" si="116"/>
        <v>0</v>
      </c>
      <c r="Y79" s="18">
        <f t="shared" si="117"/>
        <v>0</v>
      </c>
      <c r="Z79" s="18">
        <f t="shared" si="118"/>
        <v>0</v>
      </c>
      <c r="AA79" s="18">
        <f t="shared" si="119"/>
        <v>0</v>
      </c>
      <c r="AB79" s="18">
        <f t="shared" si="120"/>
        <v>0</v>
      </c>
      <c r="AC79" s="18">
        <f t="shared" si="121"/>
        <v>0</v>
      </c>
      <c r="AD79" s="18">
        <f t="shared" si="122"/>
        <v>0</v>
      </c>
      <c r="AE79" s="18">
        <f t="shared" si="123"/>
        <v>0</v>
      </c>
      <c r="AF79" s="18">
        <f t="shared" si="124"/>
        <v>0</v>
      </c>
      <c r="AG79" s="18">
        <f t="shared" si="125"/>
        <v>0</v>
      </c>
      <c r="AH79" s="18">
        <f t="shared" si="126"/>
        <v>0</v>
      </c>
      <c r="AI79" s="18">
        <f t="shared" si="127"/>
        <v>0</v>
      </c>
      <c r="AJ79" s="18">
        <f t="shared" si="128"/>
        <v>0</v>
      </c>
      <c r="AK79" s="18">
        <f t="shared" si="129"/>
        <v>0</v>
      </c>
      <c r="AL79" s="18">
        <f t="shared" si="130"/>
        <v>0</v>
      </c>
      <c r="AM79" s="18">
        <f t="shared" si="131"/>
        <v>0</v>
      </c>
      <c r="AN79" s="18">
        <f t="shared" si="132"/>
        <v>0</v>
      </c>
      <c r="AO79" s="18">
        <f t="shared" si="133"/>
        <v>0</v>
      </c>
      <c r="AP79" s="18">
        <f t="shared" si="134"/>
        <v>0</v>
      </c>
      <c r="AQ79" s="18">
        <f t="shared" si="135"/>
        <v>0</v>
      </c>
      <c r="AR79" s="18">
        <f t="shared" si="136"/>
        <v>0</v>
      </c>
      <c r="AS79" s="18">
        <f t="shared" si="137"/>
        <v>0</v>
      </c>
      <c r="AT79" s="18">
        <f t="shared" si="138"/>
        <v>0</v>
      </c>
      <c r="AU79" s="18">
        <f t="shared" si="139"/>
        <v>0</v>
      </c>
      <c r="AV79" s="18">
        <f t="shared" si="140"/>
        <v>0</v>
      </c>
      <c r="AW79" s="18">
        <f t="shared" si="141"/>
        <v>0</v>
      </c>
      <c r="AX79" s="18">
        <f t="shared" si="142"/>
        <v>0</v>
      </c>
      <c r="AY79" s="18">
        <f t="shared" si="143"/>
        <v>0</v>
      </c>
      <c r="AZ79" s="18">
        <f t="shared" si="144"/>
        <v>0</v>
      </c>
      <c r="BA79" s="18">
        <f t="shared" si="145"/>
        <v>0</v>
      </c>
      <c r="BB79" s="18">
        <f t="shared" si="146"/>
        <v>0</v>
      </c>
      <c r="BC79" s="18">
        <f t="shared" si="147"/>
        <v>0</v>
      </c>
      <c r="BD79" s="18">
        <f t="shared" si="148"/>
        <v>0</v>
      </c>
      <c r="BE79" s="18">
        <f t="shared" si="149"/>
        <v>0</v>
      </c>
      <c r="BF79" s="18">
        <f t="shared" si="150"/>
        <v>0</v>
      </c>
      <c r="BG79" s="18">
        <f t="shared" si="151"/>
        <v>0</v>
      </c>
      <c r="BH79" s="18">
        <f t="shared" si="152"/>
        <v>0</v>
      </c>
      <c r="BI79" s="18">
        <f t="shared" si="153"/>
        <v>0</v>
      </c>
      <c r="BJ79" s="18">
        <f t="shared" si="154"/>
        <v>0</v>
      </c>
      <c r="BK79" s="18">
        <f t="shared" si="155"/>
        <v>0</v>
      </c>
      <c r="BL79" s="18">
        <f t="shared" si="156"/>
        <v>0</v>
      </c>
      <c r="BM79" s="18">
        <f t="shared" si="157"/>
        <v>0</v>
      </c>
      <c r="BN79" s="18">
        <f t="shared" si="158"/>
        <v>0</v>
      </c>
      <c r="BO79" s="18">
        <f t="shared" si="159"/>
        <v>0</v>
      </c>
      <c r="BP79" s="18">
        <f t="shared" si="160"/>
        <v>0</v>
      </c>
      <c r="BQ79" s="18">
        <f t="shared" si="161"/>
        <v>0</v>
      </c>
      <c r="BR79" s="18">
        <f t="shared" si="162"/>
        <v>0</v>
      </c>
      <c r="BS79" s="18">
        <f t="shared" si="163"/>
        <v>0</v>
      </c>
      <c r="BT79" s="18">
        <f t="shared" si="164"/>
        <v>0</v>
      </c>
      <c r="BU79" s="18">
        <f t="shared" si="165"/>
        <v>0</v>
      </c>
      <c r="BV79" s="18">
        <f t="shared" si="166"/>
        <v>0</v>
      </c>
      <c r="BW79" s="18">
        <f t="shared" si="167"/>
        <v>0</v>
      </c>
      <c r="BX79" s="18">
        <f t="shared" si="168"/>
        <v>0</v>
      </c>
      <c r="BY79" s="18">
        <f t="shared" si="169"/>
        <v>0</v>
      </c>
      <c r="BZ79" s="18">
        <f t="shared" si="170"/>
        <v>0</v>
      </c>
      <c r="CA79" s="18">
        <f t="shared" si="171"/>
        <v>0</v>
      </c>
      <c r="CB79" s="18">
        <f t="shared" si="172"/>
        <v>0</v>
      </c>
      <c r="CC79" s="18">
        <f t="shared" si="173"/>
        <v>0</v>
      </c>
      <c r="CD79" s="18">
        <f t="shared" si="174"/>
        <v>0</v>
      </c>
      <c r="CE79" s="18">
        <f t="shared" si="175"/>
        <v>0</v>
      </c>
      <c r="CF79" s="18">
        <f t="shared" si="176"/>
        <v>0</v>
      </c>
      <c r="CG79" s="18">
        <f t="shared" si="177"/>
        <v>0</v>
      </c>
      <c r="CH79" s="18">
        <f t="shared" si="178"/>
        <v>0</v>
      </c>
      <c r="CI79" s="18">
        <f t="shared" si="179"/>
        <v>0</v>
      </c>
      <c r="CJ79" s="18">
        <f t="shared" si="180"/>
        <v>0</v>
      </c>
    </row>
    <row r="80" spans="1:88" x14ac:dyDescent="0.3">
      <c r="A80" s="1">
        <v>43948</v>
      </c>
      <c r="B80">
        <v>31743.08</v>
      </c>
      <c r="C80">
        <f>Table1[[#This Row],[Close]]-0.001*Table1[[#This Row],[Close]]</f>
        <v>31711.336920000002</v>
      </c>
      <c r="D80">
        <f>Table1[[#This Row],[Close]]+0.001*Table1[[#This Row],[Close]]</f>
        <v>31774.823080000002</v>
      </c>
      <c r="E80" t="str">
        <f>IF(Table1[[#This Row],[Close]]&gt;D79,"UP",IF(Table1[[#This Row],[Close]]&lt;C79,"Down","Constant"))</f>
        <v>UP</v>
      </c>
      <c r="F80" s="3">
        <f>IF(Table1[[#This Row],[Column1]]="Up",1,IF(Table1[[#This Row],[Column1]]="Down",-1,0))</f>
        <v>1</v>
      </c>
      <c r="G80">
        <f t="shared" si="99"/>
        <v>0</v>
      </c>
      <c r="H80" s="18">
        <f t="shared" si="100"/>
        <v>0</v>
      </c>
      <c r="I80" s="18">
        <f t="shared" si="101"/>
        <v>0</v>
      </c>
      <c r="J80" s="18">
        <f t="shared" si="102"/>
        <v>0</v>
      </c>
      <c r="K80" s="18">
        <f t="shared" si="103"/>
        <v>0</v>
      </c>
      <c r="L80" s="18">
        <f t="shared" si="104"/>
        <v>0</v>
      </c>
      <c r="M80" s="18">
        <f t="shared" si="105"/>
        <v>0</v>
      </c>
      <c r="N80" s="18">
        <f t="shared" si="106"/>
        <v>0</v>
      </c>
      <c r="O80" s="18">
        <f t="shared" si="107"/>
        <v>0</v>
      </c>
      <c r="P80" s="18">
        <f t="shared" si="108"/>
        <v>0</v>
      </c>
      <c r="Q80" s="18">
        <f t="shared" si="109"/>
        <v>0</v>
      </c>
      <c r="R80" s="18">
        <f t="shared" si="110"/>
        <v>0</v>
      </c>
      <c r="S80" s="18">
        <f t="shared" si="111"/>
        <v>1</v>
      </c>
      <c r="T80" s="18">
        <f t="shared" si="112"/>
        <v>0</v>
      </c>
      <c r="U80" s="18">
        <f t="shared" si="113"/>
        <v>0</v>
      </c>
      <c r="V80" s="18">
        <f t="shared" si="114"/>
        <v>0</v>
      </c>
      <c r="W80" s="18">
        <f t="shared" si="115"/>
        <v>0</v>
      </c>
      <c r="X80" s="18">
        <f t="shared" si="116"/>
        <v>0</v>
      </c>
      <c r="Y80" s="18">
        <f t="shared" si="117"/>
        <v>0</v>
      </c>
      <c r="Z80" s="18">
        <f t="shared" si="118"/>
        <v>0</v>
      </c>
      <c r="AA80" s="18">
        <f t="shared" si="119"/>
        <v>0</v>
      </c>
      <c r="AB80" s="18">
        <f t="shared" si="120"/>
        <v>0</v>
      </c>
      <c r="AC80" s="18">
        <f t="shared" si="121"/>
        <v>0</v>
      </c>
      <c r="AD80" s="18">
        <f t="shared" si="122"/>
        <v>0</v>
      </c>
      <c r="AE80" s="18">
        <f t="shared" si="123"/>
        <v>0</v>
      </c>
      <c r="AF80" s="18">
        <f t="shared" si="124"/>
        <v>0</v>
      </c>
      <c r="AG80" s="18">
        <f t="shared" si="125"/>
        <v>0</v>
      </c>
      <c r="AH80" s="18">
        <f t="shared" si="126"/>
        <v>0</v>
      </c>
      <c r="AI80" s="18">
        <f t="shared" si="127"/>
        <v>0</v>
      </c>
      <c r="AJ80" s="18">
        <f t="shared" si="128"/>
        <v>0</v>
      </c>
      <c r="AK80" s="18">
        <f t="shared" si="129"/>
        <v>0</v>
      </c>
      <c r="AL80" s="18">
        <f t="shared" si="130"/>
        <v>0</v>
      </c>
      <c r="AM80" s="18">
        <f t="shared" si="131"/>
        <v>0</v>
      </c>
      <c r="AN80" s="18">
        <f t="shared" si="132"/>
        <v>0</v>
      </c>
      <c r="AO80" s="18">
        <f t="shared" si="133"/>
        <v>0</v>
      </c>
      <c r="AP80" s="18">
        <f t="shared" si="134"/>
        <v>0</v>
      </c>
      <c r="AQ80" s="18">
        <f t="shared" si="135"/>
        <v>0</v>
      </c>
      <c r="AR80" s="18">
        <f t="shared" si="136"/>
        <v>0</v>
      </c>
      <c r="AS80" s="18">
        <f t="shared" si="137"/>
        <v>0</v>
      </c>
      <c r="AT80" s="18">
        <f t="shared" si="138"/>
        <v>0</v>
      </c>
      <c r="AU80" s="18">
        <f t="shared" si="139"/>
        <v>0</v>
      </c>
      <c r="AV80" s="18">
        <f t="shared" si="140"/>
        <v>0</v>
      </c>
      <c r="AW80" s="18">
        <f t="shared" si="141"/>
        <v>0</v>
      </c>
      <c r="AX80" s="18">
        <f t="shared" si="142"/>
        <v>0</v>
      </c>
      <c r="AY80" s="18">
        <f t="shared" si="143"/>
        <v>0</v>
      </c>
      <c r="AZ80" s="18">
        <f t="shared" si="144"/>
        <v>0</v>
      </c>
      <c r="BA80" s="18">
        <f t="shared" si="145"/>
        <v>0</v>
      </c>
      <c r="BB80" s="18">
        <f t="shared" si="146"/>
        <v>0</v>
      </c>
      <c r="BC80" s="18">
        <f t="shared" si="147"/>
        <v>0</v>
      </c>
      <c r="BD80" s="18">
        <f t="shared" si="148"/>
        <v>0</v>
      </c>
      <c r="BE80" s="18">
        <f t="shared" si="149"/>
        <v>0</v>
      </c>
      <c r="BF80" s="18">
        <f t="shared" si="150"/>
        <v>0</v>
      </c>
      <c r="BG80" s="18">
        <f t="shared" si="151"/>
        <v>0</v>
      </c>
      <c r="BH80" s="18">
        <f t="shared" si="152"/>
        <v>0</v>
      </c>
      <c r="BI80" s="18">
        <f t="shared" si="153"/>
        <v>0</v>
      </c>
      <c r="BJ80" s="18">
        <f t="shared" si="154"/>
        <v>0</v>
      </c>
      <c r="BK80" s="18">
        <f t="shared" si="155"/>
        <v>0</v>
      </c>
      <c r="BL80" s="18">
        <f t="shared" si="156"/>
        <v>0</v>
      </c>
      <c r="BM80" s="18">
        <f t="shared" si="157"/>
        <v>0</v>
      </c>
      <c r="BN80" s="18">
        <f t="shared" si="158"/>
        <v>0</v>
      </c>
      <c r="BO80" s="18">
        <f t="shared" si="159"/>
        <v>0</v>
      </c>
      <c r="BP80" s="18">
        <f t="shared" si="160"/>
        <v>0</v>
      </c>
      <c r="BQ80" s="18">
        <f t="shared" si="161"/>
        <v>0</v>
      </c>
      <c r="BR80" s="18">
        <f t="shared" si="162"/>
        <v>0</v>
      </c>
      <c r="BS80" s="18">
        <f t="shared" si="163"/>
        <v>0</v>
      </c>
      <c r="BT80" s="18">
        <f t="shared" si="164"/>
        <v>0</v>
      </c>
      <c r="BU80" s="18">
        <f t="shared" si="165"/>
        <v>0</v>
      </c>
      <c r="BV80" s="18">
        <f t="shared" si="166"/>
        <v>0</v>
      </c>
      <c r="BW80" s="18">
        <f t="shared" si="167"/>
        <v>0</v>
      </c>
      <c r="BX80" s="18">
        <f t="shared" si="168"/>
        <v>0</v>
      </c>
      <c r="BY80" s="18">
        <f t="shared" si="169"/>
        <v>0</v>
      </c>
      <c r="BZ80" s="18">
        <f t="shared" si="170"/>
        <v>0</v>
      </c>
      <c r="CA80" s="18">
        <f t="shared" si="171"/>
        <v>0</v>
      </c>
      <c r="CB80" s="18">
        <f t="shared" si="172"/>
        <v>0</v>
      </c>
      <c r="CC80" s="18">
        <f t="shared" si="173"/>
        <v>0</v>
      </c>
      <c r="CD80" s="18">
        <f t="shared" si="174"/>
        <v>0</v>
      </c>
      <c r="CE80" s="18">
        <f t="shared" si="175"/>
        <v>0</v>
      </c>
      <c r="CF80" s="18">
        <f t="shared" si="176"/>
        <v>0</v>
      </c>
      <c r="CG80" s="18">
        <f t="shared" si="177"/>
        <v>0</v>
      </c>
      <c r="CH80" s="18">
        <f t="shared" si="178"/>
        <v>0</v>
      </c>
      <c r="CI80" s="18">
        <f t="shared" si="179"/>
        <v>0</v>
      </c>
      <c r="CJ80" s="18">
        <f t="shared" si="180"/>
        <v>0</v>
      </c>
    </row>
    <row r="81" spans="1:88" x14ac:dyDescent="0.3">
      <c r="A81" s="1">
        <v>43949</v>
      </c>
      <c r="B81">
        <v>32114.52</v>
      </c>
      <c r="C81">
        <f>Table1[[#This Row],[Close]]-0.001*Table1[[#This Row],[Close]]</f>
        <v>32082.405480000001</v>
      </c>
      <c r="D81">
        <f>Table1[[#This Row],[Close]]+0.001*Table1[[#This Row],[Close]]</f>
        <v>32146.63452</v>
      </c>
      <c r="E81" t="str">
        <f>IF(Table1[[#This Row],[Close]]&gt;D80,"UP",IF(Table1[[#This Row],[Close]]&lt;C80,"Down","Constant"))</f>
        <v>UP</v>
      </c>
      <c r="F81" s="3">
        <f>IF(Table1[[#This Row],[Column1]]="Up",1,IF(Table1[[#This Row],[Column1]]="Down",-1,0))</f>
        <v>1</v>
      </c>
      <c r="G81">
        <f t="shared" si="99"/>
        <v>0</v>
      </c>
      <c r="H81" s="18">
        <f t="shared" si="100"/>
        <v>0</v>
      </c>
      <c r="I81" s="18">
        <f t="shared" si="101"/>
        <v>0</v>
      </c>
      <c r="J81" s="18">
        <f t="shared" si="102"/>
        <v>0</v>
      </c>
      <c r="K81" s="18">
        <f t="shared" si="103"/>
        <v>0</v>
      </c>
      <c r="L81" s="18">
        <f t="shared" si="104"/>
        <v>0</v>
      </c>
      <c r="M81" s="18">
        <f t="shared" si="105"/>
        <v>0</v>
      </c>
      <c r="N81" s="18">
        <f t="shared" si="106"/>
        <v>0</v>
      </c>
      <c r="O81" s="18">
        <f t="shared" si="107"/>
        <v>0</v>
      </c>
      <c r="P81" s="18">
        <f t="shared" si="108"/>
        <v>1</v>
      </c>
      <c r="Q81" s="18">
        <f t="shared" si="109"/>
        <v>0</v>
      </c>
      <c r="R81" s="18">
        <f t="shared" si="110"/>
        <v>0</v>
      </c>
      <c r="S81" s="18">
        <f t="shared" si="111"/>
        <v>0</v>
      </c>
      <c r="T81" s="18">
        <f t="shared" si="112"/>
        <v>0</v>
      </c>
      <c r="U81" s="18">
        <f t="shared" si="113"/>
        <v>0</v>
      </c>
      <c r="V81" s="18">
        <f t="shared" si="114"/>
        <v>0</v>
      </c>
      <c r="W81" s="18">
        <f t="shared" si="115"/>
        <v>0</v>
      </c>
      <c r="X81" s="18">
        <f t="shared" si="116"/>
        <v>0</v>
      </c>
      <c r="Y81" s="18">
        <f t="shared" si="117"/>
        <v>0</v>
      </c>
      <c r="Z81" s="18">
        <f t="shared" si="118"/>
        <v>0</v>
      </c>
      <c r="AA81" s="18">
        <f t="shared" si="119"/>
        <v>0</v>
      </c>
      <c r="AB81" s="18">
        <f t="shared" si="120"/>
        <v>0</v>
      </c>
      <c r="AC81" s="18">
        <f t="shared" si="121"/>
        <v>0</v>
      </c>
      <c r="AD81" s="18">
        <f t="shared" si="122"/>
        <v>0</v>
      </c>
      <c r="AE81" s="18">
        <f t="shared" si="123"/>
        <v>0</v>
      </c>
      <c r="AF81" s="18">
        <f t="shared" si="124"/>
        <v>0</v>
      </c>
      <c r="AG81" s="18">
        <f t="shared" si="125"/>
        <v>0</v>
      </c>
      <c r="AH81" s="18">
        <f t="shared" si="126"/>
        <v>0</v>
      </c>
      <c r="AI81" s="18">
        <f t="shared" si="127"/>
        <v>0</v>
      </c>
      <c r="AJ81" s="18">
        <f t="shared" si="128"/>
        <v>0</v>
      </c>
      <c r="AK81" s="18">
        <f t="shared" si="129"/>
        <v>0</v>
      </c>
      <c r="AL81" s="18">
        <f t="shared" si="130"/>
        <v>0</v>
      </c>
      <c r="AM81" s="18">
        <f t="shared" si="131"/>
        <v>0</v>
      </c>
      <c r="AN81" s="18">
        <f t="shared" si="132"/>
        <v>0</v>
      </c>
      <c r="AO81" s="18">
        <f t="shared" si="133"/>
        <v>0</v>
      </c>
      <c r="AP81" s="18">
        <f t="shared" si="134"/>
        <v>0</v>
      </c>
      <c r="AQ81" s="18">
        <f t="shared" si="135"/>
        <v>0</v>
      </c>
      <c r="AR81" s="18">
        <f t="shared" si="136"/>
        <v>0</v>
      </c>
      <c r="AS81" s="18">
        <f t="shared" si="137"/>
        <v>0</v>
      </c>
      <c r="AT81" s="18">
        <f t="shared" si="138"/>
        <v>0</v>
      </c>
      <c r="AU81" s="18">
        <f t="shared" si="139"/>
        <v>0</v>
      </c>
      <c r="AV81" s="18">
        <f t="shared" si="140"/>
        <v>0</v>
      </c>
      <c r="AW81" s="18">
        <f t="shared" si="141"/>
        <v>0</v>
      </c>
      <c r="AX81" s="18">
        <f t="shared" si="142"/>
        <v>0</v>
      </c>
      <c r="AY81" s="18">
        <f t="shared" si="143"/>
        <v>0</v>
      </c>
      <c r="AZ81" s="18">
        <f t="shared" si="144"/>
        <v>0</v>
      </c>
      <c r="BA81" s="18">
        <f t="shared" si="145"/>
        <v>0</v>
      </c>
      <c r="BB81" s="18">
        <f t="shared" si="146"/>
        <v>0</v>
      </c>
      <c r="BC81" s="18">
        <f t="shared" si="147"/>
        <v>0</v>
      </c>
      <c r="BD81" s="18">
        <f t="shared" si="148"/>
        <v>0</v>
      </c>
      <c r="BE81" s="18">
        <f t="shared" si="149"/>
        <v>0</v>
      </c>
      <c r="BF81" s="18">
        <f t="shared" si="150"/>
        <v>0</v>
      </c>
      <c r="BG81" s="18">
        <f t="shared" si="151"/>
        <v>0</v>
      </c>
      <c r="BH81" s="18">
        <f t="shared" si="152"/>
        <v>0</v>
      </c>
      <c r="BI81" s="18">
        <f t="shared" si="153"/>
        <v>0</v>
      </c>
      <c r="BJ81" s="18">
        <f t="shared" si="154"/>
        <v>0</v>
      </c>
      <c r="BK81" s="18">
        <f t="shared" si="155"/>
        <v>0</v>
      </c>
      <c r="BL81" s="18">
        <f t="shared" si="156"/>
        <v>0</v>
      </c>
      <c r="BM81" s="18">
        <f t="shared" si="157"/>
        <v>0</v>
      </c>
      <c r="BN81" s="18">
        <f t="shared" si="158"/>
        <v>0</v>
      </c>
      <c r="BO81" s="18">
        <f t="shared" si="159"/>
        <v>0</v>
      </c>
      <c r="BP81" s="18">
        <f t="shared" si="160"/>
        <v>0</v>
      </c>
      <c r="BQ81" s="18">
        <f t="shared" si="161"/>
        <v>0</v>
      </c>
      <c r="BR81" s="18">
        <f t="shared" si="162"/>
        <v>0</v>
      </c>
      <c r="BS81" s="18">
        <f t="shared" si="163"/>
        <v>0</v>
      </c>
      <c r="BT81" s="18">
        <f t="shared" si="164"/>
        <v>0</v>
      </c>
      <c r="BU81" s="18">
        <f t="shared" si="165"/>
        <v>0</v>
      </c>
      <c r="BV81" s="18">
        <f t="shared" si="166"/>
        <v>0</v>
      </c>
      <c r="BW81" s="18">
        <f t="shared" si="167"/>
        <v>0</v>
      </c>
      <c r="BX81" s="18">
        <f t="shared" si="168"/>
        <v>0</v>
      </c>
      <c r="BY81" s="18">
        <f t="shared" si="169"/>
        <v>0</v>
      </c>
      <c r="BZ81" s="18">
        <f t="shared" si="170"/>
        <v>0</v>
      </c>
      <c r="CA81" s="18">
        <f t="shared" si="171"/>
        <v>0</v>
      </c>
      <c r="CB81" s="18">
        <f t="shared" si="172"/>
        <v>0</v>
      </c>
      <c r="CC81" s="18">
        <f t="shared" si="173"/>
        <v>0</v>
      </c>
      <c r="CD81" s="18">
        <f t="shared" si="174"/>
        <v>0</v>
      </c>
      <c r="CE81" s="18">
        <f t="shared" si="175"/>
        <v>0</v>
      </c>
      <c r="CF81" s="18">
        <f t="shared" si="176"/>
        <v>0</v>
      </c>
      <c r="CG81" s="18">
        <f t="shared" si="177"/>
        <v>0</v>
      </c>
      <c r="CH81" s="18">
        <f t="shared" si="178"/>
        <v>0</v>
      </c>
      <c r="CI81" s="18">
        <f t="shared" si="179"/>
        <v>0</v>
      </c>
      <c r="CJ81" s="18">
        <f t="shared" si="180"/>
        <v>0</v>
      </c>
    </row>
    <row r="82" spans="1:88" x14ac:dyDescent="0.3">
      <c r="A82" s="1">
        <v>43950</v>
      </c>
      <c r="B82">
        <v>32720.16</v>
      </c>
      <c r="C82">
        <f>Table1[[#This Row],[Close]]-0.001*Table1[[#This Row],[Close]]</f>
        <v>32687.439839999999</v>
      </c>
      <c r="D82">
        <f>Table1[[#This Row],[Close]]+0.001*Table1[[#This Row],[Close]]</f>
        <v>32752.880160000001</v>
      </c>
      <c r="E82" t="str">
        <f>IF(Table1[[#This Row],[Close]]&gt;D81,"UP",IF(Table1[[#This Row],[Close]]&lt;C81,"Down","Constant"))</f>
        <v>UP</v>
      </c>
      <c r="F82" s="3">
        <f>IF(Table1[[#This Row],[Column1]]="Up",1,IF(Table1[[#This Row],[Column1]]="Down",-1,0))</f>
        <v>1</v>
      </c>
      <c r="G82">
        <f t="shared" si="99"/>
        <v>0</v>
      </c>
      <c r="H82" s="18">
        <f t="shared" si="100"/>
        <v>0</v>
      </c>
      <c r="I82" s="18">
        <f t="shared" si="101"/>
        <v>0</v>
      </c>
      <c r="J82" s="18">
        <f t="shared" si="102"/>
        <v>0</v>
      </c>
      <c r="K82" s="18">
        <f t="shared" si="103"/>
        <v>0</v>
      </c>
      <c r="L82" s="18">
        <f t="shared" si="104"/>
        <v>0</v>
      </c>
      <c r="M82" s="18">
        <f t="shared" si="105"/>
        <v>1</v>
      </c>
      <c r="N82" s="18">
        <f t="shared" si="106"/>
        <v>0</v>
      </c>
      <c r="O82" s="18">
        <f t="shared" si="107"/>
        <v>0</v>
      </c>
      <c r="P82" s="18">
        <f t="shared" si="108"/>
        <v>0</v>
      </c>
      <c r="Q82" s="18">
        <f t="shared" si="109"/>
        <v>0</v>
      </c>
      <c r="R82" s="18">
        <f t="shared" si="110"/>
        <v>0</v>
      </c>
      <c r="S82" s="18">
        <f t="shared" si="111"/>
        <v>0</v>
      </c>
      <c r="T82" s="18">
        <f t="shared" si="112"/>
        <v>0</v>
      </c>
      <c r="U82" s="18">
        <f t="shared" si="113"/>
        <v>0</v>
      </c>
      <c r="V82" s="18">
        <f t="shared" si="114"/>
        <v>0</v>
      </c>
      <c r="W82" s="18">
        <f t="shared" si="115"/>
        <v>0</v>
      </c>
      <c r="X82" s="18">
        <f t="shared" si="116"/>
        <v>0</v>
      </c>
      <c r="Y82" s="18">
        <f t="shared" si="117"/>
        <v>0</v>
      </c>
      <c r="Z82" s="18">
        <f t="shared" si="118"/>
        <v>0</v>
      </c>
      <c r="AA82" s="18">
        <f t="shared" si="119"/>
        <v>0</v>
      </c>
      <c r="AB82" s="18">
        <f t="shared" si="120"/>
        <v>0</v>
      </c>
      <c r="AC82" s="18">
        <f t="shared" si="121"/>
        <v>0</v>
      </c>
      <c r="AD82" s="18">
        <f t="shared" si="122"/>
        <v>0</v>
      </c>
      <c r="AE82" s="18">
        <f t="shared" si="123"/>
        <v>0</v>
      </c>
      <c r="AF82" s="18">
        <f t="shared" si="124"/>
        <v>0</v>
      </c>
      <c r="AG82" s="18">
        <f t="shared" si="125"/>
        <v>0</v>
      </c>
      <c r="AH82" s="18">
        <f t="shared" si="126"/>
        <v>0</v>
      </c>
      <c r="AI82" s="18">
        <f t="shared" si="127"/>
        <v>0</v>
      </c>
      <c r="AJ82" s="18">
        <f t="shared" si="128"/>
        <v>0</v>
      </c>
      <c r="AK82" s="18">
        <f t="shared" si="129"/>
        <v>0</v>
      </c>
      <c r="AL82" s="18">
        <f t="shared" si="130"/>
        <v>0</v>
      </c>
      <c r="AM82" s="18">
        <f t="shared" si="131"/>
        <v>0</v>
      </c>
      <c r="AN82" s="18">
        <f t="shared" si="132"/>
        <v>0</v>
      </c>
      <c r="AO82" s="18">
        <f t="shared" si="133"/>
        <v>0</v>
      </c>
      <c r="AP82" s="18">
        <f t="shared" si="134"/>
        <v>0</v>
      </c>
      <c r="AQ82" s="18">
        <f t="shared" si="135"/>
        <v>0</v>
      </c>
      <c r="AR82" s="18">
        <f t="shared" si="136"/>
        <v>0</v>
      </c>
      <c r="AS82" s="18">
        <f t="shared" si="137"/>
        <v>0</v>
      </c>
      <c r="AT82" s="18">
        <f t="shared" si="138"/>
        <v>0</v>
      </c>
      <c r="AU82" s="18">
        <f t="shared" si="139"/>
        <v>0</v>
      </c>
      <c r="AV82" s="18">
        <f t="shared" si="140"/>
        <v>0</v>
      </c>
      <c r="AW82" s="18">
        <f t="shared" si="141"/>
        <v>0</v>
      </c>
      <c r="AX82" s="18">
        <f t="shared" si="142"/>
        <v>0</v>
      </c>
      <c r="AY82" s="18">
        <f t="shared" si="143"/>
        <v>0</v>
      </c>
      <c r="AZ82" s="18">
        <f t="shared" si="144"/>
        <v>0</v>
      </c>
      <c r="BA82" s="18">
        <f t="shared" si="145"/>
        <v>0</v>
      </c>
      <c r="BB82" s="18">
        <f t="shared" si="146"/>
        <v>0</v>
      </c>
      <c r="BC82" s="18">
        <f t="shared" si="147"/>
        <v>0</v>
      </c>
      <c r="BD82" s="18">
        <f t="shared" si="148"/>
        <v>0</v>
      </c>
      <c r="BE82" s="18">
        <f t="shared" si="149"/>
        <v>0</v>
      </c>
      <c r="BF82" s="18">
        <f t="shared" si="150"/>
        <v>0</v>
      </c>
      <c r="BG82" s="18">
        <f t="shared" si="151"/>
        <v>0</v>
      </c>
      <c r="BH82" s="18">
        <f t="shared" si="152"/>
        <v>0</v>
      </c>
      <c r="BI82" s="18">
        <f t="shared" si="153"/>
        <v>0</v>
      </c>
      <c r="BJ82" s="18">
        <f t="shared" si="154"/>
        <v>0</v>
      </c>
      <c r="BK82" s="18">
        <f t="shared" si="155"/>
        <v>0</v>
      </c>
      <c r="BL82" s="18">
        <f t="shared" si="156"/>
        <v>0</v>
      </c>
      <c r="BM82" s="18">
        <f t="shared" si="157"/>
        <v>0</v>
      </c>
      <c r="BN82" s="18">
        <f t="shared" si="158"/>
        <v>0</v>
      </c>
      <c r="BO82" s="18">
        <f t="shared" si="159"/>
        <v>0</v>
      </c>
      <c r="BP82" s="18">
        <f t="shared" si="160"/>
        <v>0</v>
      </c>
      <c r="BQ82" s="18">
        <f t="shared" si="161"/>
        <v>0</v>
      </c>
      <c r="BR82" s="18">
        <f t="shared" si="162"/>
        <v>0</v>
      </c>
      <c r="BS82" s="18">
        <f t="shared" si="163"/>
        <v>0</v>
      </c>
      <c r="BT82" s="18">
        <f t="shared" si="164"/>
        <v>0</v>
      </c>
      <c r="BU82" s="18">
        <f t="shared" si="165"/>
        <v>0</v>
      </c>
      <c r="BV82" s="18">
        <f t="shared" si="166"/>
        <v>0</v>
      </c>
      <c r="BW82" s="18">
        <f t="shared" si="167"/>
        <v>0</v>
      </c>
      <c r="BX82" s="18">
        <f t="shared" si="168"/>
        <v>0</v>
      </c>
      <c r="BY82" s="18">
        <f t="shared" si="169"/>
        <v>0</v>
      </c>
      <c r="BZ82" s="18">
        <f t="shared" si="170"/>
        <v>0</v>
      </c>
      <c r="CA82" s="18">
        <f t="shared" si="171"/>
        <v>0</v>
      </c>
      <c r="CB82" s="18">
        <f t="shared" si="172"/>
        <v>0</v>
      </c>
      <c r="CC82" s="18">
        <f t="shared" si="173"/>
        <v>0</v>
      </c>
      <c r="CD82" s="18">
        <f t="shared" si="174"/>
        <v>0</v>
      </c>
      <c r="CE82" s="18">
        <f t="shared" si="175"/>
        <v>0</v>
      </c>
      <c r="CF82" s="18">
        <f t="shared" si="176"/>
        <v>0</v>
      </c>
      <c r="CG82" s="18">
        <f t="shared" si="177"/>
        <v>0</v>
      </c>
      <c r="CH82" s="18">
        <f t="shared" si="178"/>
        <v>0</v>
      </c>
      <c r="CI82" s="18">
        <f t="shared" si="179"/>
        <v>0</v>
      </c>
      <c r="CJ82" s="18">
        <f t="shared" si="180"/>
        <v>0</v>
      </c>
    </row>
    <row r="83" spans="1:88" x14ac:dyDescent="0.3">
      <c r="A83" s="1">
        <v>43951</v>
      </c>
      <c r="B83">
        <v>33717.620000000003</v>
      </c>
      <c r="C83">
        <f>Table1[[#This Row],[Close]]-0.001*Table1[[#This Row],[Close]]</f>
        <v>33683.90238</v>
      </c>
      <c r="D83">
        <f>Table1[[#This Row],[Close]]+0.001*Table1[[#This Row],[Close]]</f>
        <v>33751.337620000006</v>
      </c>
      <c r="E83" t="str">
        <f>IF(Table1[[#This Row],[Close]]&gt;D82,"UP",IF(Table1[[#This Row],[Close]]&lt;C82,"Down","Constant"))</f>
        <v>UP</v>
      </c>
      <c r="F83" s="3">
        <f>IF(Table1[[#This Row],[Column1]]="Up",1,IF(Table1[[#This Row],[Column1]]="Down",-1,0))</f>
        <v>1</v>
      </c>
      <c r="G83">
        <f t="shared" si="99"/>
        <v>0</v>
      </c>
      <c r="H83" s="18">
        <f t="shared" si="100"/>
        <v>0</v>
      </c>
      <c r="I83" s="18">
        <f t="shared" si="101"/>
        <v>0</v>
      </c>
      <c r="J83" s="18">
        <f t="shared" si="102"/>
        <v>1</v>
      </c>
      <c r="K83" s="18">
        <f t="shared" si="103"/>
        <v>0</v>
      </c>
      <c r="L83" s="18">
        <f t="shared" si="104"/>
        <v>0</v>
      </c>
      <c r="M83" s="18">
        <f t="shared" si="105"/>
        <v>0</v>
      </c>
      <c r="N83" s="18">
        <f t="shared" si="106"/>
        <v>0</v>
      </c>
      <c r="O83" s="18">
        <f t="shared" si="107"/>
        <v>0</v>
      </c>
      <c r="P83" s="18">
        <f t="shared" si="108"/>
        <v>0</v>
      </c>
      <c r="Q83" s="18">
        <f t="shared" si="109"/>
        <v>0</v>
      </c>
      <c r="R83" s="18">
        <f t="shared" si="110"/>
        <v>0</v>
      </c>
      <c r="S83" s="18">
        <f t="shared" si="111"/>
        <v>0</v>
      </c>
      <c r="T83" s="18">
        <f t="shared" si="112"/>
        <v>0</v>
      </c>
      <c r="U83" s="18">
        <f t="shared" si="113"/>
        <v>0</v>
      </c>
      <c r="V83" s="18">
        <f t="shared" si="114"/>
        <v>0</v>
      </c>
      <c r="W83" s="18">
        <f t="shared" si="115"/>
        <v>0</v>
      </c>
      <c r="X83" s="18">
        <f t="shared" si="116"/>
        <v>0</v>
      </c>
      <c r="Y83" s="18">
        <f t="shared" si="117"/>
        <v>0</v>
      </c>
      <c r="Z83" s="18">
        <f t="shared" si="118"/>
        <v>0</v>
      </c>
      <c r="AA83" s="18">
        <f t="shared" si="119"/>
        <v>0</v>
      </c>
      <c r="AB83" s="18">
        <f t="shared" si="120"/>
        <v>0</v>
      </c>
      <c r="AC83" s="18">
        <f t="shared" si="121"/>
        <v>0</v>
      </c>
      <c r="AD83" s="18">
        <f t="shared" si="122"/>
        <v>0</v>
      </c>
      <c r="AE83" s="18">
        <f t="shared" si="123"/>
        <v>0</v>
      </c>
      <c r="AF83" s="18">
        <f t="shared" si="124"/>
        <v>0</v>
      </c>
      <c r="AG83" s="18">
        <f t="shared" si="125"/>
        <v>0</v>
      </c>
      <c r="AH83" s="18">
        <f t="shared" si="126"/>
        <v>0</v>
      </c>
      <c r="AI83" s="18">
        <f t="shared" si="127"/>
        <v>0</v>
      </c>
      <c r="AJ83" s="18">
        <f t="shared" si="128"/>
        <v>0</v>
      </c>
      <c r="AK83" s="18">
        <f t="shared" si="129"/>
        <v>0</v>
      </c>
      <c r="AL83" s="18">
        <f t="shared" si="130"/>
        <v>0</v>
      </c>
      <c r="AM83" s="18">
        <f t="shared" si="131"/>
        <v>0</v>
      </c>
      <c r="AN83" s="18">
        <f t="shared" si="132"/>
        <v>0</v>
      </c>
      <c r="AO83" s="18">
        <f t="shared" si="133"/>
        <v>0</v>
      </c>
      <c r="AP83" s="18">
        <f t="shared" si="134"/>
        <v>0</v>
      </c>
      <c r="AQ83" s="18">
        <f t="shared" si="135"/>
        <v>0</v>
      </c>
      <c r="AR83" s="18">
        <f t="shared" si="136"/>
        <v>0</v>
      </c>
      <c r="AS83" s="18">
        <f t="shared" si="137"/>
        <v>0</v>
      </c>
      <c r="AT83" s="18">
        <f t="shared" si="138"/>
        <v>0</v>
      </c>
      <c r="AU83" s="18">
        <f t="shared" si="139"/>
        <v>0</v>
      </c>
      <c r="AV83" s="18">
        <f t="shared" si="140"/>
        <v>0</v>
      </c>
      <c r="AW83" s="18">
        <f t="shared" si="141"/>
        <v>0</v>
      </c>
      <c r="AX83" s="18">
        <f t="shared" si="142"/>
        <v>0</v>
      </c>
      <c r="AY83" s="18">
        <f t="shared" si="143"/>
        <v>0</v>
      </c>
      <c r="AZ83" s="18">
        <f t="shared" si="144"/>
        <v>0</v>
      </c>
      <c r="BA83" s="18">
        <f t="shared" si="145"/>
        <v>0</v>
      </c>
      <c r="BB83" s="18">
        <f t="shared" si="146"/>
        <v>0</v>
      </c>
      <c r="BC83" s="18">
        <f t="shared" si="147"/>
        <v>0</v>
      </c>
      <c r="BD83" s="18">
        <f t="shared" si="148"/>
        <v>0</v>
      </c>
      <c r="BE83" s="18">
        <f t="shared" si="149"/>
        <v>0</v>
      </c>
      <c r="BF83" s="18">
        <f t="shared" si="150"/>
        <v>0</v>
      </c>
      <c r="BG83" s="18">
        <f t="shared" si="151"/>
        <v>0</v>
      </c>
      <c r="BH83" s="18">
        <f t="shared" si="152"/>
        <v>0</v>
      </c>
      <c r="BI83" s="18">
        <f t="shared" si="153"/>
        <v>0</v>
      </c>
      <c r="BJ83" s="18">
        <f t="shared" si="154"/>
        <v>0</v>
      </c>
      <c r="BK83" s="18">
        <f t="shared" si="155"/>
        <v>0</v>
      </c>
      <c r="BL83" s="18">
        <f t="shared" si="156"/>
        <v>0</v>
      </c>
      <c r="BM83" s="18">
        <f t="shared" si="157"/>
        <v>0</v>
      </c>
      <c r="BN83" s="18">
        <f t="shared" si="158"/>
        <v>0</v>
      </c>
      <c r="BO83" s="18">
        <f t="shared" si="159"/>
        <v>0</v>
      </c>
      <c r="BP83" s="18">
        <f t="shared" si="160"/>
        <v>0</v>
      </c>
      <c r="BQ83" s="18">
        <f t="shared" si="161"/>
        <v>0</v>
      </c>
      <c r="BR83" s="18">
        <f t="shared" si="162"/>
        <v>0</v>
      </c>
      <c r="BS83" s="18">
        <f t="shared" si="163"/>
        <v>0</v>
      </c>
      <c r="BT83" s="18">
        <f t="shared" si="164"/>
        <v>0</v>
      </c>
      <c r="BU83" s="18">
        <f t="shared" si="165"/>
        <v>0</v>
      </c>
      <c r="BV83" s="18">
        <f t="shared" si="166"/>
        <v>0</v>
      </c>
      <c r="BW83" s="18">
        <f t="shared" si="167"/>
        <v>0</v>
      </c>
      <c r="BX83" s="18">
        <f t="shared" si="168"/>
        <v>0</v>
      </c>
      <c r="BY83" s="18">
        <f t="shared" si="169"/>
        <v>0</v>
      </c>
      <c r="BZ83" s="18">
        <f t="shared" si="170"/>
        <v>0</v>
      </c>
      <c r="CA83" s="18">
        <f t="shared" si="171"/>
        <v>0</v>
      </c>
      <c r="CB83" s="18">
        <f t="shared" si="172"/>
        <v>0</v>
      </c>
      <c r="CC83" s="18">
        <f t="shared" si="173"/>
        <v>0</v>
      </c>
      <c r="CD83" s="18">
        <f t="shared" si="174"/>
        <v>0</v>
      </c>
      <c r="CE83" s="18">
        <f t="shared" si="175"/>
        <v>0</v>
      </c>
      <c r="CF83" s="18">
        <f t="shared" si="176"/>
        <v>0</v>
      </c>
      <c r="CG83" s="18">
        <f t="shared" si="177"/>
        <v>0</v>
      </c>
      <c r="CH83" s="18">
        <f t="shared" si="178"/>
        <v>0</v>
      </c>
      <c r="CI83" s="18">
        <f t="shared" si="179"/>
        <v>0</v>
      </c>
      <c r="CJ83" s="18">
        <f t="shared" si="180"/>
        <v>0</v>
      </c>
    </row>
    <row r="84" spans="1:88" x14ac:dyDescent="0.3">
      <c r="A84" s="1">
        <v>43955</v>
      </c>
      <c r="B84">
        <v>31715.35</v>
      </c>
      <c r="C84">
        <f>Table1[[#This Row],[Close]]-0.001*Table1[[#This Row],[Close]]</f>
        <v>31683.63465</v>
      </c>
      <c r="D84">
        <f>Table1[[#This Row],[Close]]+0.001*Table1[[#This Row],[Close]]</f>
        <v>31747.065349999997</v>
      </c>
      <c r="E84" t="str">
        <f>IF(Table1[[#This Row],[Close]]&gt;D83,"UP",IF(Table1[[#This Row],[Close]]&lt;C83,"Down","Constant"))</f>
        <v>Down</v>
      </c>
      <c r="F84" s="3">
        <f>IF(Table1[[#This Row],[Column1]]="Up",1,IF(Table1[[#This Row],[Column1]]="Down",-1,0))</f>
        <v>-1</v>
      </c>
      <c r="G84">
        <f t="shared" si="99"/>
        <v>0</v>
      </c>
      <c r="H84" s="18">
        <f t="shared" si="100"/>
        <v>1</v>
      </c>
      <c r="I84" s="18">
        <f t="shared" si="101"/>
        <v>0</v>
      </c>
      <c r="J84" s="18">
        <f t="shared" si="102"/>
        <v>0</v>
      </c>
      <c r="K84" s="18">
        <f t="shared" si="103"/>
        <v>0</v>
      </c>
      <c r="L84" s="18">
        <f t="shared" si="104"/>
        <v>0</v>
      </c>
      <c r="M84" s="18">
        <f t="shared" si="105"/>
        <v>0</v>
      </c>
      <c r="N84" s="18">
        <f t="shared" si="106"/>
        <v>0</v>
      </c>
      <c r="O84" s="18">
        <f t="shared" si="107"/>
        <v>0</v>
      </c>
      <c r="P84" s="18">
        <f t="shared" si="108"/>
        <v>0</v>
      </c>
      <c r="Q84" s="18">
        <f t="shared" si="109"/>
        <v>0</v>
      </c>
      <c r="R84" s="18">
        <f t="shared" si="110"/>
        <v>0</v>
      </c>
      <c r="S84" s="18">
        <f t="shared" si="111"/>
        <v>0</v>
      </c>
      <c r="T84" s="18">
        <f t="shared" si="112"/>
        <v>0</v>
      </c>
      <c r="U84" s="18">
        <f t="shared" si="113"/>
        <v>0</v>
      </c>
      <c r="V84" s="18">
        <f t="shared" si="114"/>
        <v>0</v>
      </c>
      <c r="W84" s="18">
        <f t="shared" si="115"/>
        <v>0</v>
      </c>
      <c r="X84" s="18">
        <f t="shared" si="116"/>
        <v>0</v>
      </c>
      <c r="Y84" s="18">
        <f t="shared" si="117"/>
        <v>0</v>
      </c>
      <c r="Z84" s="18">
        <f t="shared" si="118"/>
        <v>0</v>
      </c>
      <c r="AA84" s="18">
        <f t="shared" si="119"/>
        <v>0</v>
      </c>
      <c r="AB84" s="18">
        <f t="shared" si="120"/>
        <v>0</v>
      </c>
      <c r="AC84" s="18">
        <f t="shared" si="121"/>
        <v>0</v>
      </c>
      <c r="AD84" s="18">
        <f t="shared" si="122"/>
        <v>0</v>
      </c>
      <c r="AE84" s="18">
        <f t="shared" si="123"/>
        <v>0</v>
      </c>
      <c r="AF84" s="18">
        <f t="shared" si="124"/>
        <v>0</v>
      </c>
      <c r="AG84" s="18">
        <f t="shared" si="125"/>
        <v>0</v>
      </c>
      <c r="AH84" s="18">
        <f t="shared" si="126"/>
        <v>0</v>
      </c>
      <c r="AI84" s="18">
        <f t="shared" si="127"/>
        <v>0</v>
      </c>
      <c r="AJ84" s="18">
        <f t="shared" si="128"/>
        <v>0</v>
      </c>
      <c r="AK84" s="18">
        <f t="shared" si="129"/>
        <v>0</v>
      </c>
      <c r="AL84" s="18">
        <f t="shared" si="130"/>
        <v>0</v>
      </c>
      <c r="AM84" s="18">
        <f t="shared" si="131"/>
        <v>0</v>
      </c>
      <c r="AN84" s="18">
        <f t="shared" si="132"/>
        <v>0</v>
      </c>
      <c r="AO84" s="18">
        <f t="shared" si="133"/>
        <v>0</v>
      </c>
      <c r="AP84" s="18">
        <f t="shared" si="134"/>
        <v>0</v>
      </c>
      <c r="AQ84" s="18">
        <f t="shared" si="135"/>
        <v>0</v>
      </c>
      <c r="AR84" s="18">
        <f t="shared" si="136"/>
        <v>0</v>
      </c>
      <c r="AS84" s="18">
        <f t="shared" si="137"/>
        <v>0</v>
      </c>
      <c r="AT84" s="18">
        <f t="shared" si="138"/>
        <v>0</v>
      </c>
      <c r="AU84" s="18">
        <f t="shared" si="139"/>
        <v>0</v>
      </c>
      <c r="AV84" s="18">
        <f t="shared" si="140"/>
        <v>0</v>
      </c>
      <c r="AW84" s="18">
        <f t="shared" si="141"/>
        <v>0</v>
      </c>
      <c r="AX84" s="18">
        <f t="shared" si="142"/>
        <v>0</v>
      </c>
      <c r="AY84" s="18">
        <f t="shared" si="143"/>
        <v>0</v>
      </c>
      <c r="AZ84" s="18">
        <f t="shared" si="144"/>
        <v>0</v>
      </c>
      <c r="BA84" s="18">
        <f t="shared" si="145"/>
        <v>0</v>
      </c>
      <c r="BB84" s="18">
        <f t="shared" si="146"/>
        <v>0</v>
      </c>
      <c r="BC84" s="18">
        <f t="shared" si="147"/>
        <v>0</v>
      </c>
      <c r="BD84" s="18">
        <f t="shared" si="148"/>
        <v>0</v>
      </c>
      <c r="BE84" s="18">
        <f t="shared" si="149"/>
        <v>0</v>
      </c>
      <c r="BF84" s="18">
        <f t="shared" si="150"/>
        <v>0</v>
      </c>
      <c r="BG84" s="18">
        <f t="shared" si="151"/>
        <v>0</v>
      </c>
      <c r="BH84" s="18">
        <f t="shared" si="152"/>
        <v>0</v>
      </c>
      <c r="BI84" s="18">
        <f t="shared" si="153"/>
        <v>0</v>
      </c>
      <c r="BJ84" s="18">
        <f t="shared" si="154"/>
        <v>0</v>
      </c>
      <c r="BK84" s="18">
        <f t="shared" si="155"/>
        <v>0</v>
      </c>
      <c r="BL84" s="18">
        <f t="shared" si="156"/>
        <v>0</v>
      </c>
      <c r="BM84" s="18">
        <f t="shared" si="157"/>
        <v>0</v>
      </c>
      <c r="BN84" s="18">
        <f t="shared" si="158"/>
        <v>0</v>
      </c>
      <c r="BO84" s="18">
        <f t="shared" si="159"/>
        <v>0</v>
      </c>
      <c r="BP84" s="18">
        <f t="shared" si="160"/>
        <v>0</v>
      </c>
      <c r="BQ84" s="18">
        <f t="shared" si="161"/>
        <v>0</v>
      </c>
      <c r="BR84" s="18">
        <f t="shared" si="162"/>
        <v>0</v>
      </c>
      <c r="BS84" s="18">
        <f t="shared" si="163"/>
        <v>0</v>
      </c>
      <c r="BT84" s="18">
        <f t="shared" si="164"/>
        <v>0</v>
      </c>
      <c r="BU84" s="18">
        <f t="shared" si="165"/>
        <v>0</v>
      </c>
      <c r="BV84" s="18">
        <f t="shared" si="166"/>
        <v>0</v>
      </c>
      <c r="BW84" s="18">
        <f t="shared" si="167"/>
        <v>0</v>
      </c>
      <c r="BX84" s="18">
        <f t="shared" si="168"/>
        <v>0</v>
      </c>
      <c r="BY84" s="18">
        <f t="shared" si="169"/>
        <v>0</v>
      </c>
      <c r="BZ84" s="18">
        <f t="shared" si="170"/>
        <v>0</v>
      </c>
      <c r="CA84" s="18">
        <f t="shared" si="171"/>
        <v>0</v>
      </c>
      <c r="CB84" s="18">
        <f t="shared" si="172"/>
        <v>0</v>
      </c>
      <c r="CC84" s="18">
        <f t="shared" si="173"/>
        <v>0</v>
      </c>
      <c r="CD84" s="18">
        <f t="shared" si="174"/>
        <v>0</v>
      </c>
      <c r="CE84" s="18">
        <f t="shared" si="175"/>
        <v>0</v>
      </c>
      <c r="CF84" s="18">
        <f t="shared" si="176"/>
        <v>0</v>
      </c>
      <c r="CG84" s="18">
        <f t="shared" si="177"/>
        <v>0</v>
      </c>
      <c r="CH84" s="18">
        <f t="shared" si="178"/>
        <v>0</v>
      </c>
      <c r="CI84" s="18">
        <f t="shared" si="179"/>
        <v>0</v>
      </c>
      <c r="CJ84" s="18">
        <f t="shared" si="180"/>
        <v>0</v>
      </c>
    </row>
    <row r="85" spans="1:88" x14ac:dyDescent="0.3">
      <c r="A85" s="1">
        <v>43956</v>
      </c>
      <c r="B85">
        <v>31453.51</v>
      </c>
      <c r="C85">
        <f>Table1[[#This Row],[Close]]-0.001*Table1[[#This Row],[Close]]</f>
        <v>31422.056489999999</v>
      </c>
      <c r="D85">
        <f>Table1[[#This Row],[Close]]+0.001*Table1[[#This Row],[Close]]</f>
        <v>31484.963509999998</v>
      </c>
      <c r="E85" t="str">
        <f>IF(Table1[[#This Row],[Close]]&gt;D84,"UP",IF(Table1[[#This Row],[Close]]&lt;C84,"Down","Constant"))</f>
        <v>Down</v>
      </c>
      <c r="F85" s="3">
        <f>IF(Table1[[#This Row],[Column1]]="Up",1,IF(Table1[[#This Row],[Column1]]="Down",-1,0))</f>
        <v>-1</v>
      </c>
      <c r="G85">
        <f t="shared" si="99"/>
        <v>0</v>
      </c>
      <c r="H85" s="18">
        <f t="shared" si="100"/>
        <v>0</v>
      </c>
      <c r="I85" s="18">
        <f t="shared" si="101"/>
        <v>0</v>
      </c>
      <c r="J85" s="18">
        <f t="shared" si="102"/>
        <v>0</v>
      </c>
      <c r="K85" s="18">
        <f t="shared" si="103"/>
        <v>0</v>
      </c>
      <c r="L85" s="18">
        <f t="shared" si="104"/>
        <v>0</v>
      </c>
      <c r="M85" s="18">
        <f t="shared" si="105"/>
        <v>0</v>
      </c>
      <c r="N85" s="18">
        <f t="shared" si="106"/>
        <v>0</v>
      </c>
      <c r="O85" s="18">
        <f t="shared" si="107"/>
        <v>0</v>
      </c>
      <c r="P85" s="18">
        <f t="shared" si="108"/>
        <v>0</v>
      </c>
      <c r="Q85" s="18">
        <f t="shared" si="109"/>
        <v>1</v>
      </c>
      <c r="R85" s="18">
        <f t="shared" si="110"/>
        <v>0</v>
      </c>
      <c r="S85" s="18">
        <f t="shared" si="111"/>
        <v>0</v>
      </c>
      <c r="T85" s="18">
        <f t="shared" si="112"/>
        <v>0</v>
      </c>
      <c r="U85" s="18">
        <f t="shared" si="113"/>
        <v>0</v>
      </c>
      <c r="V85" s="18">
        <f t="shared" si="114"/>
        <v>0</v>
      </c>
      <c r="W85" s="18">
        <f t="shared" si="115"/>
        <v>0</v>
      </c>
      <c r="X85" s="18">
        <f t="shared" si="116"/>
        <v>0</v>
      </c>
      <c r="Y85" s="18">
        <f t="shared" si="117"/>
        <v>0</v>
      </c>
      <c r="Z85" s="18">
        <f t="shared" si="118"/>
        <v>0</v>
      </c>
      <c r="AA85" s="18">
        <f t="shared" si="119"/>
        <v>0</v>
      </c>
      <c r="AB85" s="18">
        <f t="shared" si="120"/>
        <v>0</v>
      </c>
      <c r="AC85" s="18">
        <f t="shared" si="121"/>
        <v>0</v>
      </c>
      <c r="AD85" s="18">
        <f t="shared" si="122"/>
        <v>0</v>
      </c>
      <c r="AE85" s="18">
        <f t="shared" si="123"/>
        <v>0</v>
      </c>
      <c r="AF85" s="18">
        <f t="shared" si="124"/>
        <v>0</v>
      </c>
      <c r="AG85" s="18">
        <f t="shared" si="125"/>
        <v>0</v>
      </c>
      <c r="AH85" s="18">
        <f t="shared" si="126"/>
        <v>0</v>
      </c>
      <c r="AI85" s="18">
        <f t="shared" si="127"/>
        <v>0</v>
      </c>
      <c r="AJ85" s="18">
        <f t="shared" si="128"/>
        <v>0</v>
      </c>
      <c r="AK85" s="18">
        <f t="shared" si="129"/>
        <v>0</v>
      </c>
      <c r="AL85" s="18">
        <f t="shared" si="130"/>
        <v>0</v>
      </c>
      <c r="AM85" s="18">
        <f t="shared" si="131"/>
        <v>0</v>
      </c>
      <c r="AN85" s="18">
        <f t="shared" si="132"/>
        <v>0</v>
      </c>
      <c r="AO85" s="18">
        <f t="shared" si="133"/>
        <v>0</v>
      </c>
      <c r="AP85" s="18">
        <f t="shared" si="134"/>
        <v>0</v>
      </c>
      <c r="AQ85" s="18">
        <f t="shared" si="135"/>
        <v>0</v>
      </c>
      <c r="AR85" s="18">
        <f t="shared" si="136"/>
        <v>0</v>
      </c>
      <c r="AS85" s="18">
        <f t="shared" si="137"/>
        <v>0</v>
      </c>
      <c r="AT85" s="18">
        <f t="shared" si="138"/>
        <v>0</v>
      </c>
      <c r="AU85" s="18">
        <f t="shared" si="139"/>
        <v>0</v>
      </c>
      <c r="AV85" s="18">
        <f t="shared" si="140"/>
        <v>0</v>
      </c>
      <c r="AW85" s="18">
        <f t="shared" si="141"/>
        <v>0</v>
      </c>
      <c r="AX85" s="18">
        <f t="shared" si="142"/>
        <v>0</v>
      </c>
      <c r="AY85" s="18">
        <f t="shared" si="143"/>
        <v>0</v>
      </c>
      <c r="AZ85" s="18">
        <f t="shared" si="144"/>
        <v>0</v>
      </c>
      <c r="BA85" s="18">
        <f t="shared" si="145"/>
        <v>0</v>
      </c>
      <c r="BB85" s="18">
        <f t="shared" si="146"/>
        <v>0</v>
      </c>
      <c r="BC85" s="18">
        <f t="shared" si="147"/>
        <v>0</v>
      </c>
      <c r="BD85" s="18">
        <f t="shared" si="148"/>
        <v>0</v>
      </c>
      <c r="BE85" s="18">
        <f t="shared" si="149"/>
        <v>0</v>
      </c>
      <c r="BF85" s="18">
        <f t="shared" si="150"/>
        <v>0</v>
      </c>
      <c r="BG85" s="18">
        <f t="shared" si="151"/>
        <v>0</v>
      </c>
      <c r="BH85" s="18">
        <f t="shared" si="152"/>
        <v>0</v>
      </c>
      <c r="BI85" s="18">
        <f t="shared" si="153"/>
        <v>0</v>
      </c>
      <c r="BJ85" s="18">
        <f t="shared" si="154"/>
        <v>0</v>
      </c>
      <c r="BK85" s="18">
        <f t="shared" si="155"/>
        <v>0</v>
      </c>
      <c r="BL85" s="18">
        <f t="shared" si="156"/>
        <v>0</v>
      </c>
      <c r="BM85" s="18">
        <f t="shared" si="157"/>
        <v>0</v>
      </c>
      <c r="BN85" s="18">
        <f t="shared" si="158"/>
        <v>0</v>
      </c>
      <c r="BO85" s="18">
        <f t="shared" si="159"/>
        <v>0</v>
      </c>
      <c r="BP85" s="18">
        <f t="shared" si="160"/>
        <v>0</v>
      </c>
      <c r="BQ85" s="18">
        <f t="shared" si="161"/>
        <v>0</v>
      </c>
      <c r="BR85" s="18">
        <f t="shared" si="162"/>
        <v>0</v>
      </c>
      <c r="BS85" s="18">
        <f t="shared" si="163"/>
        <v>0</v>
      </c>
      <c r="BT85" s="18">
        <f t="shared" si="164"/>
        <v>0</v>
      </c>
      <c r="BU85" s="18">
        <f t="shared" si="165"/>
        <v>0</v>
      </c>
      <c r="BV85" s="18">
        <f t="shared" si="166"/>
        <v>0</v>
      </c>
      <c r="BW85" s="18">
        <f t="shared" si="167"/>
        <v>0</v>
      </c>
      <c r="BX85" s="18">
        <f t="shared" si="168"/>
        <v>0</v>
      </c>
      <c r="BY85" s="18">
        <f t="shared" si="169"/>
        <v>0</v>
      </c>
      <c r="BZ85" s="18">
        <f t="shared" si="170"/>
        <v>0</v>
      </c>
      <c r="CA85" s="18">
        <f t="shared" si="171"/>
        <v>0</v>
      </c>
      <c r="CB85" s="18">
        <f t="shared" si="172"/>
        <v>0</v>
      </c>
      <c r="CC85" s="18">
        <f t="shared" si="173"/>
        <v>0</v>
      </c>
      <c r="CD85" s="18">
        <f t="shared" si="174"/>
        <v>0</v>
      </c>
      <c r="CE85" s="18">
        <f t="shared" si="175"/>
        <v>0</v>
      </c>
      <c r="CF85" s="18">
        <f t="shared" si="176"/>
        <v>0</v>
      </c>
      <c r="CG85" s="18">
        <f t="shared" si="177"/>
        <v>0</v>
      </c>
      <c r="CH85" s="18">
        <f t="shared" si="178"/>
        <v>0</v>
      </c>
      <c r="CI85" s="18">
        <f t="shared" si="179"/>
        <v>0</v>
      </c>
      <c r="CJ85" s="18">
        <f t="shared" si="180"/>
        <v>0</v>
      </c>
    </row>
    <row r="86" spans="1:88" x14ac:dyDescent="0.3">
      <c r="A86" s="1">
        <v>43957</v>
      </c>
      <c r="B86">
        <v>31685.75</v>
      </c>
      <c r="C86">
        <f>Table1[[#This Row],[Close]]-0.001*Table1[[#This Row],[Close]]</f>
        <v>31654.064249999999</v>
      </c>
      <c r="D86">
        <f>Table1[[#This Row],[Close]]+0.001*Table1[[#This Row],[Close]]</f>
        <v>31717.435750000001</v>
      </c>
      <c r="E86" t="str">
        <f>IF(Table1[[#This Row],[Close]]&gt;D85,"UP",IF(Table1[[#This Row],[Close]]&lt;C85,"Down","Constant"))</f>
        <v>UP</v>
      </c>
      <c r="F86" s="3">
        <f>IF(Table1[[#This Row],[Column1]]="Up",1,IF(Table1[[#This Row],[Column1]]="Down",-1,0))</f>
        <v>1</v>
      </c>
      <c r="G86">
        <f t="shared" si="99"/>
        <v>0</v>
      </c>
      <c r="H86" s="18">
        <f t="shared" si="100"/>
        <v>0</v>
      </c>
      <c r="I86" s="18">
        <f t="shared" si="101"/>
        <v>0</v>
      </c>
      <c r="J86" s="18">
        <f t="shared" si="102"/>
        <v>0</v>
      </c>
      <c r="K86" s="18">
        <f t="shared" si="103"/>
        <v>0</v>
      </c>
      <c r="L86" s="18">
        <f t="shared" si="104"/>
        <v>0</v>
      </c>
      <c r="M86" s="18">
        <f t="shared" si="105"/>
        <v>0</v>
      </c>
      <c r="N86" s="18">
        <f t="shared" si="106"/>
        <v>0</v>
      </c>
      <c r="O86" s="18">
        <f t="shared" si="107"/>
        <v>0</v>
      </c>
      <c r="P86" s="18">
        <f t="shared" si="108"/>
        <v>0</v>
      </c>
      <c r="Q86" s="18">
        <f t="shared" si="109"/>
        <v>0</v>
      </c>
      <c r="R86" s="18">
        <f t="shared" si="110"/>
        <v>0</v>
      </c>
      <c r="S86" s="18">
        <f t="shared" si="111"/>
        <v>0</v>
      </c>
      <c r="T86" s="18">
        <f t="shared" si="112"/>
        <v>0</v>
      </c>
      <c r="U86" s="18">
        <f t="shared" si="113"/>
        <v>0</v>
      </c>
      <c r="V86" s="18">
        <f t="shared" si="114"/>
        <v>0</v>
      </c>
      <c r="W86" s="18">
        <f t="shared" si="115"/>
        <v>0</v>
      </c>
      <c r="X86" s="18">
        <f t="shared" si="116"/>
        <v>0</v>
      </c>
      <c r="Y86" s="18">
        <f t="shared" si="117"/>
        <v>1</v>
      </c>
      <c r="Z86" s="18">
        <f t="shared" si="118"/>
        <v>0</v>
      </c>
      <c r="AA86" s="18">
        <f t="shared" si="119"/>
        <v>0</v>
      </c>
      <c r="AB86" s="18">
        <f t="shared" si="120"/>
        <v>0</v>
      </c>
      <c r="AC86" s="18">
        <f t="shared" si="121"/>
        <v>0</v>
      </c>
      <c r="AD86" s="18">
        <f t="shared" si="122"/>
        <v>0</v>
      </c>
      <c r="AE86" s="18">
        <f t="shared" si="123"/>
        <v>0</v>
      </c>
      <c r="AF86" s="18">
        <f t="shared" si="124"/>
        <v>0</v>
      </c>
      <c r="AG86" s="18">
        <f t="shared" si="125"/>
        <v>0</v>
      </c>
      <c r="AH86" s="18">
        <f t="shared" si="126"/>
        <v>0</v>
      </c>
      <c r="AI86" s="18">
        <f t="shared" si="127"/>
        <v>0</v>
      </c>
      <c r="AJ86" s="18">
        <f t="shared" si="128"/>
        <v>0</v>
      </c>
      <c r="AK86" s="18">
        <f t="shared" si="129"/>
        <v>0</v>
      </c>
      <c r="AL86" s="18">
        <f t="shared" si="130"/>
        <v>0</v>
      </c>
      <c r="AM86" s="18">
        <f t="shared" si="131"/>
        <v>0</v>
      </c>
      <c r="AN86" s="18">
        <f t="shared" si="132"/>
        <v>0</v>
      </c>
      <c r="AO86" s="18">
        <f t="shared" si="133"/>
        <v>0</v>
      </c>
      <c r="AP86" s="18">
        <f t="shared" si="134"/>
        <v>0</v>
      </c>
      <c r="AQ86" s="18">
        <f t="shared" si="135"/>
        <v>0</v>
      </c>
      <c r="AR86" s="18">
        <f t="shared" si="136"/>
        <v>0</v>
      </c>
      <c r="AS86" s="18">
        <f t="shared" si="137"/>
        <v>0</v>
      </c>
      <c r="AT86" s="18">
        <f t="shared" si="138"/>
        <v>0</v>
      </c>
      <c r="AU86" s="18">
        <f t="shared" si="139"/>
        <v>0</v>
      </c>
      <c r="AV86" s="18">
        <f t="shared" si="140"/>
        <v>0</v>
      </c>
      <c r="AW86" s="18">
        <f t="shared" si="141"/>
        <v>0</v>
      </c>
      <c r="AX86" s="18">
        <f t="shared" si="142"/>
        <v>0</v>
      </c>
      <c r="AY86" s="18">
        <f t="shared" si="143"/>
        <v>0</v>
      </c>
      <c r="AZ86" s="18">
        <f t="shared" si="144"/>
        <v>0</v>
      </c>
      <c r="BA86" s="18">
        <f t="shared" si="145"/>
        <v>0</v>
      </c>
      <c r="BB86" s="18">
        <f t="shared" si="146"/>
        <v>0</v>
      </c>
      <c r="BC86" s="18">
        <f t="shared" si="147"/>
        <v>0</v>
      </c>
      <c r="BD86" s="18">
        <f t="shared" si="148"/>
        <v>0</v>
      </c>
      <c r="BE86" s="18">
        <f t="shared" si="149"/>
        <v>0</v>
      </c>
      <c r="BF86" s="18">
        <f t="shared" si="150"/>
        <v>0</v>
      </c>
      <c r="BG86" s="18">
        <f t="shared" si="151"/>
        <v>0</v>
      </c>
      <c r="BH86" s="18">
        <f t="shared" si="152"/>
        <v>0</v>
      </c>
      <c r="BI86" s="18">
        <f t="shared" si="153"/>
        <v>0</v>
      </c>
      <c r="BJ86" s="18">
        <f t="shared" si="154"/>
        <v>0</v>
      </c>
      <c r="BK86" s="18">
        <f t="shared" si="155"/>
        <v>0</v>
      </c>
      <c r="BL86" s="18">
        <f t="shared" si="156"/>
        <v>0</v>
      </c>
      <c r="BM86" s="18">
        <f t="shared" si="157"/>
        <v>0</v>
      </c>
      <c r="BN86" s="18">
        <f t="shared" si="158"/>
        <v>0</v>
      </c>
      <c r="BO86" s="18">
        <f t="shared" si="159"/>
        <v>0</v>
      </c>
      <c r="BP86" s="18">
        <f t="shared" si="160"/>
        <v>0</v>
      </c>
      <c r="BQ86" s="18">
        <f t="shared" si="161"/>
        <v>0</v>
      </c>
      <c r="BR86" s="18">
        <f t="shared" si="162"/>
        <v>0</v>
      </c>
      <c r="BS86" s="18">
        <f t="shared" si="163"/>
        <v>0</v>
      </c>
      <c r="BT86" s="18">
        <f t="shared" si="164"/>
        <v>0</v>
      </c>
      <c r="BU86" s="18">
        <f t="shared" si="165"/>
        <v>0</v>
      </c>
      <c r="BV86" s="18">
        <f t="shared" si="166"/>
        <v>0</v>
      </c>
      <c r="BW86" s="18">
        <f t="shared" si="167"/>
        <v>0</v>
      </c>
      <c r="BX86" s="18">
        <f t="shared" si="168"/>
        <v>0</v>
      </c>
      <c r="BY86" s="18">
        <f t="shared" si="169"/>
        <v>0</v>
      </c>
      <c r="BZ86" s="18">
        <f t="shared" si="170"/>
        <v>0</v>
      </c>
      <c r="CA86" s="18">
        <f t="shared" si="171"/>
        <v>0</v>
      </c>
      <c r="CB86" s="18">
        <f t="shared" si="172"/>
        <v>0</v>
      </c>
      <c r="CC86" s="18">
        <f t="shared" si="173"/>
        <v>0</v>
      </c>
      <c r="CD86" s="18">
        <f t="shared" si="174"/>
        <v>0</v>
      </c>
      <c r="CE86" s="18">
        <f t="shared" si="175"/>
        <v>0</v>
      </c>
      <c r="CF86" s="18">
        <f t="shared" si="176"/>
        <v>0</v>
      </c>
      <c r="CG86" s="18">
        <f t="shared" si="177"/>
        <v>0</v>
      </c>
      <c r="CH86" s="18">
        <f t="shared" si="178"/>
        <v>0</v>
      </c>
      <c r="CI86" s="18">
        <f t="shared" si="179"/>
        <v>0</v>
      </c>
      <c r="CJ86" s="18">
        <f t="shared" si="180"/>
        <v>0</v>
      </c>
    </row>
    <row r="87" spans="1:88" x14ac:dyDescent="0.3">
      <c r="A87" s="1">
        <v>43958</v>
      </c>
      <c r="B87">
        <v>31443.38</v>
      </c>
      <c r="C87">
        <f>Table1[[#This Row],[Close]]-0.001*Table1[[#This Row],[Close]]</f>
        <v>31411.93662</v>
      </c>
      <c r="D87">
        <f>Table1[[#This Row],[Close]]+0.001*Table1[[#This Row],[Close]]</f>
        <v>31474.823380000002</v>
      </c>
      <c r="E87" t="str">
        <f>IF(Table1[[#This Row],[Close]]&gt;D86,"UP",IF(Table1[[#This Row],[Close]]&lt;C86,"Down","Constant"))</f>
        <v>Down</v>
      </c>
      <c r="F87" s="3">
        <f>IF(Table1[[#This Row],[Column1]]="Up",1,IF(Table1[[#This Row],[Column1]]="Down",-1,0))</f>
        <v>-1</v>
      </c>
      <c r="G87">
        <f t="shared" si="99"/>
        <v>0</v>
      </c>
      <c r="H87" s="18">
        <f t="shared" si="100"/>
        <v>0</v>
      </c>
      <c r="I87" s="18">
        <f t="shared" si="101"/>
        <v>0</v>
      </c>
      <c r="J87" s="18">
        <f t="shared" si="102"/>
        <v>0</v>
      </c>
      <c r="K87" s="18">
        <f t="shared" si="103"/>
        <v>0</v>
      </c>
      <c r="L87" s="18">
        <f t="shared" si="104"/>
        <v>0</v>
      </c>
      <c r="M87" s="18">
        <f t="shared" si="105"/>
        <v>0</v>
      </c>
      <c r="N87" s="18">
        <f t="shared" si="106"/>
        <v>0</v>
      </c>
      <c r="O87" s="18">
        <f t="shared" si="107"/>
        <v>0</v>
      </c>
      <c r="P87" s="18">
        <f t="shared" si="108"/>
        <v>0</v>
      </c>
      <c r="Q87" s="18">
        <f t="shared" si="109"/>
        <v>0</v>
      </c>
      <c r="R87" s="18">
        <f t="shared" si="110"/>
        <v>0</v>
      </c>
      <c r="S87" s="18">
        <f t="shared" si="111"/>
        <v>0</v>
      </c>
      <c r="T87" s="18">
        <f t="shared" si="112"/>
        <v>1</v>
      </c>
      <c r="U87" s="18">
        <f t="shared" si="113"/>
        <v>0</v>
      </c>
      <c r="V87" s="18">
        <f t="shared" si="114"/>
        <v>0</v>
      </c>
      <c r="W87" s="18">
        <f t="shared" si="115"/>
        <v>0</v>
      </c>
      <c r="X87" s="18">
        <f t="shared" si="116"/>
        <v>0</v>
      </c>
      <c r="Y87" s="18">
        <f t="shared" si="117"/>
        <v>0</v>
      </c>
      <c r="Z87" s="18">
        <f t="shared" si="118"/>
        <v>0</v>
      </c>
      <c r="AA87" s="18">
        <f t="shared" si="119"/>
        <v>0</v>
      </c>
      <c r="AB87" s="18">
        <f t="shared" si="120"/>
        <v>0</v>
      </c>
      <c r="AC87" s="18">
        <f t="shared" si="121"/>
        <v>0</v>
      </c>
      <c r="AD87" s="18">
        <f t="shared" si="122"/>
        <v>0</v>
      </c>
      <c r="AE87" s="18">
        <f t="shared" si="123"/>
        <v>0</v>
      </c>
      <c r="AF87" s="18">
        <f t="shared" si="124"/>
        <v>0</v>
      </c>
      <c r="AG87" s="18">
        <f t="shared" si="125"/>
        <v>0</v>
      </c>
      <c r="AH87" s="18">
        <f t="shared" si="126"/>
        <v>0</v>
      </c>
      <c r="AI87" s="18">
        <f t="shared" si="127"/>
        <v>0</v>
      </c>
      <c r="AJ87" s="18">
        <f t="shared" si="128"/>
        <v>0</v>
      </c>
      <c r="AK87" s="18">
        <f t="shared" si="129"/>
        <v>0</v>
      </c>
      <c r="AL87" s="18">
        <f t="shared" si="130"/>
        <v>0</v>
      </c>
      <c r="AM87" s="18">
        <f t="shared" si="131"/>
        <v>0</v>
      </c>
      <c r="AN87" s="18">
        <f t="shared" si="132"/>
        <v>0</v>
      </c>
      <c r="AO87" s="18">
        <f t="shared" si="133"/>
        <v>0</v>
      </c>
      <c r="AP87" s="18">
        <f t="shared" si="134"/>
        <v>0</v>
      </c>
      <c r="AQ87" s="18">
        <f t="shared" si="135"/>
        <v>0</v>
      </c>
      <c r="AR87" s="18">
        <f t="shared" si="136"/>
        <v>0</v>
      </c>
      <c r="AS87" s="18">
        <f t="shared" si="137"/>
        <v>0</v>
      </c>
      <c r="AT87" s="18">
        <f t="shared" si="138"/>
        <v>0</v>
      </c>
      <c r="AU87" s="18">
        <f t="shared" si="139"/>
        <v>0</v>
      </c>
      <c r="AV87" s="18">
        <f t="shared" si="140"/>
        <v>0</v>
      </c>
      <c r="AW87" s="18">
        <f t="shared" si="141"/>
        <v>0</v>
      </c>
      <c r="AX87" s="18">
        <f t="shared" si="142"/>
        <v>0</v>
      </c>
      <c r="AY87" s="18">
        <f t="shared" si="143"/>
        <v>0</v>
      </c>
      <c r="AZ87" s="18">
        <f t="shared" si="144"/>
        <v>0</v>
      </c>
      <c r="BA87" s="18">
        <f t="shared" si="145"/>
        <v>0</v>
      </c>
      <c r="BB87" s="18">
        <f t="shared" si="146"/>
        <v>0</v>
      </c>
      <c r="BC87" s="18">
        <f t="shared" si="147"/>
        <v>0</v>
      </c>
      <c r="BD87" s="18">
        <f t="shared" si="148"/>
        <v>0</v>
      </c>
      <c r="BE87" s="18">
        <f t="shared" si="149"/>
        <v>0</v>
      </c>
      <c r="BF87" s="18">
        <f t="shared" si="150"/>
        <v>0</v>
      </c>
      <c r="BG87" s="18">
        <f t="shared" si="151"/>
        <v>0</v>
      </c>
      <c r="BH87" s="18">
        <f t="shared" si="152"/>
        <v>0</v>
      </c>
      <c r="BI87" s="18">
        <f t="shared" si="153"/>
        <v>0</v>
      </c>
      <c r="BJ87" s="18">
        <f t="shared" si="154"/>
        <v>0</v>
      </c>
      <c r="BK87" s="18">
        <f t="shared" si="155"/>
        <v>0</v>
      </c>
      <c r="BL87" s="18">
        <f t="shared" si="156"/>
        <v>0</v>
      </c>
      <c r="BM87" s="18">
        <f t="shared" si="157"/>
        <v>0</v>
      </c>
      <c r="BN87" s="18">
        <f t="shared" si="158"/>
        <v>0</v>
      </c>
      <c r="BO87" s="18">
        <f t="shared" si="159"/>
        <v>0</v>
      </c>
      <c r="BP87" s="18">
        <f t="shared" si="160"/>
        <v>0</v>
      </c>
      <c r="BQ87" s="18">
        <f t="shared" si="161"/>
        <v>0</v>
      </c>
      <c r="BR87" s="18">
        <f t="shared" si="162"/>
        <v>0</v>
      </c>
      <c r="BS87" s="18">
        <f t="shared" si="163"/>
        <v>0</v>
      </c>
      <c r="BT87" s="18">
        <f t="shared" si="164"/>
        <v>0</v>
      </c>
      <c r="BU87" s="18">
        <f t="shared" si="165"/>
        <v>0</v>
      </c>
      <c r="BV87" s="18">
        <f t="shared" si="166"/>
        <v>0</v>
      </c>
      <c r="BW87" s="18">
        <f t="shared" si="167"/>
        <v>0</v>
      </c>
      <c r="BX87" s="18">
        <f t="shared" si="168"/>
        <v>0</v>
      </c>
      <c r="BY87" s="18">
        <f t="shared" si="169"/>
        <v>0</v>
      </c>
      <c r="BZ87" s="18">
        <f t="shared" si="170"/>
        <v>0</v>
      </c>
      <c r="CA87" s="18">
        <f t="shared" si="171"/>
        <v>0</v>
      </c>
      <c r="CB87" s="18">
        <f t="shared" si="172"/>
        <v>0</v>
      </c>
      <c r="CC87" s="18">
        <f t="shared" si="173"/>
        <v>0</v>
      </c>
      <c r="CD87" s="18">
        <f t="shared" si="174"/>
        <v>0</v>
      </c>
      <c r="CE87" s="18">
        <f t="shared" si="175"/>
        <v>0</v>
      </c>
      <c r="CF87" s="18">
        <f t="shared" si="176"/>
        <v>0</v>
      </c>
      <c r="CG87" s="18">
        <f t="shared" si="177"/>
        <v>0</v>
      </c>
      <c r="CH87" s="18">
        <f t="shared" si="178"/>
        <v>0</v>
      </c>
      <c r="CI87" s="18">
        <f t="shared" si="179"/>
        <v>0</v>
      </c>
      <c r="CJ87" s="18">
        <f t="shared" si="180"/>
        <v>0</v>
      </c>
    </row>
    <row r="88" spans="1:88" x14ac:dyDescent="0.3">
      <c r="A88" s="1">
        <v>43959</v>
      </c>
      <c r="B88">
        <v>31642.7</v>
      </c>
      <c r="C88">
        <f>Table1[[#This Row],[Close]]-0.001*Table1[[#This Row],[Close]]</f>
        <v>31611.0573</v>
      </c>
      <c r="D88">
        <f>Table1[[#This Row],[Close]]+0.001*Table1[[#This Row],[Close]]</f>
        <v>31674.342700000001</v>
      </c>
      <c r="E88" t="str">
        <f>IF(Table1[[#This Row],[Close]]&gt;D87,"UP",IF(Table1[[#This Row],[Close]]&lt;C87,"Down","Constant"))</f>
        <v>UP</v>
      </c>
      <c r="F88" s="3">
        <f>IF(Table1[[#This Row],[Column1]]="Up",1,IF(Table1[[#This Row],[Column1]]="Down",-1,0))</f>
        <v>1</v>
      </c>
      <c r="G88">
        <f t="shared" si="99"/>
        <v>0</v>
      </c>
      <c r="H88" s="18">
        <f t="shared" si="100"/>
        <v>0</v>
      </c>
      <c r="I88" s="18">
        <f t="shared" si="101"/>
        <v>0</v>
      </c>
      <c r="J88" s="18">
        <f t="shared" si="102"/>
        <v>0</v>
      </c>
      <c r="K88" s="18">
        <f t="shared" si="103"/>
        <v>0</v>
      </c>
      <c r="L88" s="18">
        <f t="shared" si="104"/>
        <v>0</v>
      </c>
      <c r="M88" s="18">
        <f t="shared" si="105"/>
        <v>0</v>
      </c>
      <c r="N88" s="18">
        <f t="shared" si="106"/>
        <v>0</v>
      </c>
      <c r="O88" s="18">
        <f t="shared" si="107"/>
        <v>0</v>
      </c>
      <c r="P88" s="18">
        <f t="shared" si="108"/>
        <v>0</v>
      </c>
      <c r="Q88" s="18">
        <f t="shared" si="109"/>
        <v>0</v>
      </c>
      <c r="R88" s="18">
        <f t="shared" si="110"/>
        <v>0</v>
      </c>
      <c r="S88" s="18">
        <f t="shared" si="111"/>
        <v>0</v>
      </c>
      <c r="T88" s="18">
        <f t="shared" si="112"/>
        <v>0</v>
      </c>
      <c r="U88" s="18">
        <f t="shared" si="113"/>
        <v>0</v>
      </c>
      <c r="V88" s="18">
        <f t="shared" si="114"/>
        <v>0</v>
      </c>
      <c r="W88" s="18">
        <f t="shared" si="115"/>
        <v>0</v>
      </c>
      <c r="X88" s="18">
        <f t="shared" si="116"/>
        <v>0</v>
      </c>
      <c r="Y88" s="18">
        <f t="shared" si="117"/>
        <v>0</v>
      </c>
      <c r="Z88" s="18">
        <f t="shared" si="118"/>
        <v>0</v>
      </c>
      <c r="AA88" s="18">
        <f t="shared" si="119"/>
        <v>0</v>
      </c>
      <c r="AB88" s="18">
        <f t="shared" si="120"/>
        <v>0</v>
      </c>
      <c r="AC88" s="18">
        <f t="shared" si="121"/>
        <v>0</v>
      </c>
      <c r="AD88" s="18">
        <f t="shared" si="122"/>
        <v>0</v>
      </c>
      <c r="AE88" s="18">
        <f t="shared" si="123"/>
        <v>1</v>
      </c>
      <c r="AF88" s="18">
        <f t="shared" si="124"/>
        <v>0</v>
      </c>
      <c r="AG88" s="18">
        <f t="shared" si="125"/>
        <v>0</v>
      </c>
      <c r="AH88" s="18">
        <f t="shared" si="126"/>
        <v>0</v>
      </c>
      <c r="AI88" s="18">
        <f t="shared" si="127"/>
        <v>0</v>
      </c>
      <c r="AJ88" s="18">
        <f t="shared" si="128"/>
        <v>0</v>
      </c>
      <c r="AK88" s="18">
        <f t="shared" si="129"/>
        <v>0</v>
      </c>
      <c r="AL88" s="18">
        <f t="shared" si="130"/>
        <v>0</v>
      </c>
      <c r="AM88" s="18">
        <f t="shared" si="131"/>
        <v>0</v>
      </c>
      <c r="AN88" s="18">
        <f t="shared" si="132"/>
        <v>0</v>
      </c>
      <c r="AO88" s="18">
        <f t="shared" si="133"/>
        <v>0</v>
      </c>
      <c r="AP88" s="18">
        <f t="shared" si="134"/>
        <v>0</v>
      </c>
      <c r="AQ88" s="18">
        <f t="shared" si="135"/>
        <v>0</v>
      </c>
      <c r="AR88" s="18">
        <f t="shared" si="136"/>
        <v>0</v>
      </c>
      <c r="AS88" s="18">
        <f t="shared" si="137"/>
        <v>0</v>
      </c>
      <c r="AT88" s="18">
        <f t="shared" si="138"/>
        <v>0</v>
      </c>
      <c r="AU88" s="18">
        <f t="shared" si="139"/>
        <v>0</v>
      </c>
      <c r="AV88" s="18">
        <f t="shared" si="140"/>
        <v>0</v>
      </c>
      <c r="AW88" s="18">
        <f t="shared" si="141"/>
        <v>0</v>
      </c>
      <c r="AX88" s="18">
        <f t="shared" si="142"/>
        <v>0</v>
      </c>
      <c r="AY88" s="18">
        <f t="shared" si="143"/>
        <v>0</v>
      </c>
      <c r="AZ88" s="18">
        <f t="shared" si="144"/>
        <v>0</v>
      </c>
      <c r="BA88" s="18">
        <f t="shared" si="145"/>
        <v>0</v>
      </c>
      <c r="BB88" s="18">
        <f t="shared" si="146"/>
        <v>0</v>
      </c>
      <c r="BC88" s="18">
        <f t="shared" si="147"/>
        <v>0</v>
      </c>
      <c r="BD88" s="18">
        <f t="shared" si="148"/>
        <v>0</v>
      </c>
      <c r="BE88" s="18">
        <f t="shared" si="149"/>
        <v>0</v>
      </c>
      <c r="BF88" s="18">
        <f t="shared" si="150"/>
        <v>0</v>
      </c>
      <c r="BG88" s="18">
        <f t="shared" si="151"/>
        <v>0</v>
      </c>
      <c r="BH88" s="18">
        <f t="shared" si="152"/>
        <v>0</v>
      </c>
      <c r="BI88" s="18">
        <f t="shared" si="153"/>
        <v>0</v>
      </c>
      <c r="BJ88" s="18">
        <f t="shared" si="154"/>
        <v>0</v>
      </c>
      <c r="BK88" s="18">
        <f t="shared" si="155"/>
        <v>0</v>
      </c>
      <c r="BL88" s="18">
        <f t="shared" si="156"/>
        <v>0</v>
      </c>
      <c r="BM88" s="18">
        <f t="shared" si="157"/>
        <v>0</v>
      </c>
      <c r="BN88" s="18">
        <f t="shared" si="158"/>
        <v>0</v>
      </c>
      <c r="BO88" s="18">
        <f t="shared" si="159"/>
        <v>0</v>
      </c>
      <c r="BP88" s="18">
        <f t="shared" si="160"/>
        <v>0</v>
      </c>
      <c r="BQ88" s="18">
        <f t="shared" si="161"/>
        <v>0</v>
      </c>
      <c r="BR88" s="18">
        <f t="shared" si="162"/>
        <v>0</v>
      </c>
      <c r="BS88" s="18">
        <f t="shared" si="163"/>
        <v>0</v>
      </c>
      <c r="BT88" s="18">
        <f t="shared" si="164"/>
        <v>0</v>
      </c>
      <c r="BU88" s="18">
        <f t="shared" si="165"/>
        <v>0</v>
      </c>
      <c r="BV88" s="18">
        <f t="shared" si="166"/>
        <v>0</v>
      </c>
      <c r="BW88" s="18">
        <f t="shared" si="167"/>
        <v>0</v>
      </c>
      <c r="BX88" s="18">
        <f t="shared" si="168"/>
        <v>0</v>
      </c>
      <c r="BY88" s="18">
        <f t="shared" si="169"/>
        <v>0</v>
      </c>
      <c r="BZ88" s="18">
        <f t="shared" si="170"/>
        <v>0</v>
      </c>
      <c r="CA88" s="18">
        <f t="shared" si="171"/>
        <v>0</v>
      </c>
      <c r="CB88" s="18">
        <f t="shared" si="172"/>
        <v>0</v>
      </c>
      <c r="CC88" s="18">
        <f t="shared" si="173"/>
        <v>0</v>
      </c>
      <c r="CD88" s="18">
        <f t="shared" si="174"/>
        <v>0</v>
      </c>
      <c r="CE88" s="18">
        <f t="shared" si="175"/>
        <v>0</v>
      </c>
      <c r="CF88" s="18">
        <f t="shared" si="176"/>
        <v>0</v>
      </c>
      <c r="CG88" s="18">
        <f t="shared" si="177"/>
        <v>0</v>
      </c>
      <c r="CH88" s="18">
        <f t="shared" si="178"/>
        <v>0</v>
      </c>
      <c r="CI88" s="18">
        <f t="shared" si="179"/>
        <v>0</v>
      </c>
      <c r="CJ88" s="18">
        <f t="shared" si="180"/>
        <v>0</v>
      </c>
    </row>
    <row r="89" spans="1:88" x14ac:dyDescent="0.3">
      <c r="A89" s="1">
        <v>43962</v>
      </c>
      <c r="B89">
        <v>31561.22</v>
      </c>
      <c r="C89">
        <f>Table1[[#This Row],[Close]]-0.001*Table1[[#This Row],[Close]]</f>
        <v>31529.658780000002</v>
      </c>
      <c r="D89">
        <f>Table1[[#This Row],[Close]]+0.001*Table1[[#This Row],[Close]]</f>
        <v>31592.781220000001</v>
      </c>
      <c r="E89" t="str">
        <f>IF(Table1[[#This Row],[Close]]&gt;D88,"UP",IF(Table1[[#This Row],[Close]]&lt;C88,"Down","Constant"))</f>
        <v>Down</v>
      </c>
      <c r="F89" s="3">
        <f>IF(Table1[[#This Row],[Column1]]="Up",1,IF(Table1[[#This Row],[Column1]]="Down",-1,0))</f>
        <v>-1</v>
      </c>
      <c r="G89">
        <f t="shared" si="99"/>
        <v>0</v>
      </c>
      <c r="H89" s="18">
        <f t="shared" si="100"/>
        <v>0</v>
      </c>
      <c r="I89" s="18">
        <f t="shared" si="101"/>
        <v>0</v>
      </c>
      <c r="J89" s="18">
        <f t="shared" si="102"/>
        <v>0</v>
      </c>
      <c r="K89" s="18">
        <f t="shared" si="103"/>
        <v>0</v>
      </c>
      <c r="L89" s="18">
        <f t="shared" si="104"/>
        <v>0</v>
      </c>
      <c r="M89" s="18">
        <f t="shared" si="105"/>
        <v>0</v>
      </c>
      <c r="N89" s="18">
        <f t="shared" si="106"/>
        <v>1</v>
      </c>
      <c r="O89" s="18">
        <f t="shared" si="107"/>
        <v>0</v>
      </c>
      <c r="P89" s="18">
        <f t="shared" si="108"/>
        <v>0</v>
      </c>
      <c r="Q89" s="18">
        <f t="shared" si="109"/>
        <v>0</v>
      </c>
      <c r="R89" s="18">
        <f t="shared" si="110"/>
        <v>0</v>
      </c>
      <c r="S89" s="18">
        <f t="shared" si="111"/>
        <v>0</v>
      </c>
      <c r="T89" s="18">
        <f t="shared" si="112"/>
        <v>0</v>
      </c>
      <c r="U89" s="18">
        <f t="shared" si="113"/>
        <v>0</v>
      </c>
      <c r="V89" s="18">
        <f t="shared" si="114"/>
        <v>0</v>
      </c>
      <c r="W89" s="18">
        <f t="shared" si="115"/>
        <v>0</v>
      </c>
      <c r="X89" s="18">
        <f t="shared" si="116"/>
        <v>0</v>
      </c>
      <c r="Y89" s="18">
        <f t="shared" si="117"/>
        <v>0</v>
      </c>
      <c r="Z89" s="18">
        <f t="shared" si="118"/>
        <v>0</v>
      </c>
      <c r="AA89" s="18">
        <f t="shared" si="119"/>
        <v>0</v>
      </c>
      <c r="AB89" s="18">
        <f t="shared" si="120"/>
        <v>0</v>
      </c>
      <c r="AC89" s="18">
        <f t="shared" si="121"/>
        <v>0</v>
      </c>
      <c r="AD89" s="18">
        <f t="shared" si="122"/>
        <v>0</v>
      </c>
      <c r="AE89" s="18">
        <f t="shared" si="123"/>
        <v>0</v>
      </c>
      <c r="AF89" s="18">
        <f t="shared" si="124"/>
        <v>0</v>
      </c>
      <c r="AG89" s="18">
        <f t="shared" si="125"/>
        <v>0</v>
      </c>
      <c r="AH89" s="18">
        <f t="shared" si="126"/>
        <v>0</v>
      </c>
      <c r="AI89" s="18">
        <f t="shared" si="127"/>
        <v>0</v>
      </c>
      <c r="AJ89" s="18">
        <f t="shared" si="128"/>
        <v>0</v>
      </c>
      <c r="AK89" s="18">
        <f t="shared" si="129"/>
        <v>0</v>
      </c>
      <c r="AL89" s="18">
        <f t="shared" si="130"/>
        <v>0</v>
      </c>
      <c r="AM89" s="18">
        <f t="shared" si="131"/>
        <v>0</v>
      </c>
      <c r="AN89" s="18">
        <f t="shared" si="132"/>
        <v>0</v>
      </c>
      <c r="AO89" s="18">
        <f t="shared" si="133"/>
        <v>0</v>
      </c>
      <c r="AP89" s="18">
        <f t="shared" si="134"/>
        <v>0</v>
      </c>
      <c r="AQ89" s="18">
        <f t="shared" si="135"/>
        <v>0</v>
      </c>
      <c r="AR89" s="18">
        <f t="shared" si="136"/>
        <v>0</v>
      </c>
      <c r="AS89" s="18">
        <f t="shared" si="137"/>
        <v>0</v>
      </c>
      <c r="AT89" s="18">
        <f t="shared" si="138"/>
        <v>0</v>
      </c>
      <c r="AU89" s="18">
        <f t="shared" si="139"/>
        <v>0</v>
      </c>
      <c r="AV89" s="18">
        <f t="shared" si="140"/>
        <v>0</v>
      </c>
      <c r="AW89" s="18">
        <f t="shared" si="141"/>
        <v>0</v>
      </c>
      <c r="AX89" s="18">
        <f t="shared" si="142"/>
        <v>0</v>
      </c>
      <c r="AY89" s="18">
        <f t="shared" si="143"/>
        <v>0</v>
      </c>
      <c r="AZ89" s="18">
        <f t="shared" si="144"/>
        <v>0</v>
      </c>
      <c r="BA89" s="18">
        <f t="shared" si="145"/>
        <v>0</v>
      </c>
      <c r="BB89" s="18">
        <f t="shared" si="146"/>
        <v>0</v>
      </c>
      <c r="BC89" s="18">
        <f t="shared" si="147"/>
        <v>0</v>
      </c>
      <c r="BD89" s="18">
        <f t="shared" si="148"/>
        <v>0</v>
      </c>
      <c r="BE89" s="18">
        <f t="shared" si="149"/>
        <v>0</v>
      </c>
      <c r="BF89" s="18">
        <f t="shared" si="150"/>
        <v>0</v>
      </c>
      <c r="BG89" s="18">
        <f t="shared" si="151"/>
        <v>0</v>
      </c>
      <c r="BH89" s="18">
        <f t="shared" si="152"/>
        <v>0</v>
      </c>
      <c r="BI89" s="18">
        <f t="shared" si="153"/>
        <v>0</v>
      </c>
      <c r="BJ89" s="18">
        <f t="shared" si="154"/>
        <v>0</v>
      </c>
      <c r="BK89" s="18">
        <f t="shared" si="155"/>
        <v>0</v>
      </c>
      <c r="BL89" s="18">
        <f t="shared" si="156"/>
        <v>0</v>
      </c>
      <c r="BM89" s="18">
        <f t="shared" si="157"/>
        <v>0</v>
      </c>
      <c r="BN89" s="18">
        <f t="shared" si="158"/>
        <v>0</v>
      </c>
      <c r="BO89" s="18">
        <f t="shared" si="159"/>
        <v>0</v>
      </c>
      <c r="BP89" s="18">
        <f t="shared" si="160"/>
        <v>0</v>
      </c>
      <c r="BQ89" s="18">
        <f t="shared" si="161"/>
        <v>0</v>
      </c>
      <c r="BR89" s="18">
        <f t="shared" si="162"/>
        <v>0</v>
      </c>
      <c r="BS89" s="18">
        <f t="shared" si="163"/>
        <v>0</v>
      </c>
      <c r="BT89" s="18">
        <f t="shared" si="164"/>
        <v>0</v>
      </c>
      <c r="BU89" s="18">
        <f t="shared" si="165"/>
        <v>0</v>
      </c>
      <c r="BV89" s="18">
        <f t="shared" si="166"/>
        <v>0</v>
      </c>
      <c r="BW89" s="18">
        <f t="shared" si="167"/>
        <v>0</v>
      </c>
      <c r="BX89" s="18">
        <f t="shared" si="168"/>
        <v>0</v>
      </c>
      <c r="BY89" s="18">
        <f t="shared" si="169"/>
        <v>0</v>
      </c>
      <c r="BZ89" s="18">
        <f t="shared" si="170"/>
        <v>0</v>
      </c>
      <c r="CA89" s="18">
        <f t="shared" si="171"/>
        <v>0</v>
      </c>
      <c r="CB89" s="18">
        <f t="shared" si="172"/>
        <v>0</v>
      </c>
      <c r="CC89" s="18">
        <f t="shared" si="173"/>
        <v>0</v>
      </c>
      <c r="CD89" s="18">
        <f t="shared" si="174"/>
        <v>0</v>
      </c>
      <c r="CE89" s="18">
        <f t="shared" si="175"/>
        <v>0</v>
      </c>
      <c r="CF89" s="18">
        <f t="shared" si="176"/>
        <v>0</v>
      </c>
      <c r="CG89" s="18">
        <f t="shared" si="177"/>
        <v>0</v>
      </c>
      <c r="CH89" s="18">
        <f t="shared" si="178"/>
        <v>0</v>
      </c>
      <c r="CI89" s="18">
        <f t="shared" si="179"/>
        <v>0</v>
      </c>
      <c r="CJ89" s="18">
        <f t="shared" si="180"/>
        <v>0</v>
      </c>
    </row>
    <row r="90" spans="1:88" x14ac:dyDescent="0.3">
      <c r="A90" s="1">
        <v>43963</v>
      </c>
      <c r="B90">
        <v>31371.119999999999</v>
      </c>
      <c r="C90">
        <f>Table1[[#This Row],[Close]]-0.001*Table1[[#This Row],[Close]]</f>
        <v>31339.748879999999</v>
      </c>
      <c r="D90">
        <f>Table1[[#This Row],[Close]]+0.001*Table1[[#This Row],[Close]]</f>
        <v>31402.491119999999</v>
      </c>
      <c r="E90" t="str">
        <f>IF(Table1[[#This Row],[Close]]&gt;D89,"UP",IF(Table1[[#This Row],[Close]]&lt;C89,"Down","Constant"))</f>
        <v>Down</v>
      </c>
      <c r="F90" s="3">
        <f>IF(Table1[[#This Row],[Column1]]="Up",1,IF(Table1[[#This Row],[Column1]]="Down",-1,0))</f>
        <v>-1</v>
      </c>
      <c r="G90">
        <f t="shared" si="99"/>
        <v>0</v>
      </c>
      <c r="H90" s="18">
        <f t="shared" si="100"/>
        <v>0</v>
      </c>
      <c r="I90" s="18">
        <f t="shared" si="101"/>
        <v>0</v>
      </c>
      <c r="J90" s="18">
        <f t="shared" si="102"/>
        <v>0</v>
      </c>
      <c r="K90" s="18">
        <f t="shared" si="103"/>
        <v>0</v>
      </c>
      <c r="L90" s="18">
        <f t="shared" si="104"/>
        <v>0</v>
      </c>
      <c r="M90" s="18">
        <f t="shared" si="105"/>
        <v>0</v>
      </c>
      <c r="N90" s="18">
        <f t="shared" si="106"/>
        <v>0</v>
      </c>
      <c r="O90" s="18">
        <f t="shared" si="107"/>
        <v>0</v>
      </c>
      <c r="P90" s="18">
        <f t="shared" si="108"/>
        <v>0</v>
      </c>
      <c r="Q90" s="18">
        <f t="shared" si="109"/>
        <v>0</v>
      </c>
      <c r="R90" s="18">
        <f t="shared" si="110"/>
        <v>0</v>
      </c>
      <c r="S90" s="18">
        <f t="shared" si="111"/>
        <v>0</v>
      </c>
      <c r="T90" s="18">
        <f t="shared" si="112"/>
        <v>0</v>
      </c>
      <c r="U90" s="18">
        <f t="shared" si="113"/>
        <v>0</v>
      </c>
      <c r="V90" s="18">
        <f t="shared" si="114"/>
        <v>0</v>
      </c>
      <c r="W90" s="18">
        <f t="shared" si="115"/>
        <v>0</v>
      </c>
      <c r="X90" s="18">
        <f t="shared" si="116"/>
        <v>0</v>
      </c>
      <c r="Y90" s="18">
        <f t="shared" si="117"/>
        <v>0</v>
      </c>
      <c r="Z90" s="18">
        <f t="shared" si="118"/>
        <v>0</v>
      </c>
      <c r="AA90" s="18">
        <f t="shared" si="119"/>
        <v>0</v>
      </c>
      <c r="AB90" s="18">
        <f t="shared" si="120"/>
        <v>0</v>
      </c>
      <c r="AC90" s="18">
        <f t="shared" si="121"/>
        <v>1</v>
      </c>
      <c r="AD90" s="18">
        <f t="shared" si="122"/>
        <v>0</v>
      </c>
      <c r="AE90" s="18">
        <f t="shared" si="123"/>
        <v>0</v>
      </c>
      <c r="AF90" s="18">
        <f t="shared" si="124"/>
        <v>0</v>
      </c>
      <c r="AG90" s="18">
        <f t="shared" si="125"/>
        <v>0</v>
      </c>
      <c r="AH90" s="18">
        <f t="shared" si="126"/>
        <v>0</v>
      </c>
      <c r="AI90" s="18">
        <f t="shared" si="127"/>
        <v>0</v>
      </c>
      <c r="AJ90" s="18">
        <f t="shared" si="128"/>
        <v>0</v>
      </c>
      <c r="AK90" s="18">
        <f t="shared" si="129"/>
        <v>0</v>
      </c>
      <c r="AL90" s="18">
        <f t="shared" si="130"/>
        <v>0</v>
      </c>
      <c r="AM90" s="18">
        <f t="shared" si="131"/>
        <v>0</v>
      </c>
      <c r="AN90" s="18">
        <f t="shared" si="132"/>
        <v>0</v>
      </c>
      <c r="AO90" s="18">
        <f t="shared" si="133"/>
        <v>0</v>
      </c>
      <c r="AP90" s="18">
        <f t="shared" si="134"/>
        <v>0</v>
      </c>
      <c r="AQ90" s="18">
        <f t="shared" si="135"/>
        <v>0</v>
      </c>
      <c r="AR90" s="18">
        <f t="shared" si="136"/>
        <v>0</v>
      </c>
      <c r="AS90" s="18">
        <f t="shared" si="137"/>
        <v>0</v>
      </c>
      <c r="AT90" s="18">
        <f t="shared" si="138"/>
        <v>0</v>
      </c>
      <c r="AU90" s="18">
        <f t="shared" si="139"/>
        <v>0</v>
      </c>
      <c r="AV90" s="18">
        <f t="shared" si="140"/>
        <v>0</v>
      </c>
      <c r="AW90" s="18">
        <f t="shared" si="141"/>
        <v>0</v>
      </c>
      <c r="AX90" s="18">
        <f t="shared" si="142"/>
        <v>0</v>
      </c>
      <c r="AY90" s="18">
        <f t="shared" si="143"/>
        <v>0</v>
      </c>
      <c r="AZ90" s="18">
        <f t="shared" si="144"/>
        <v>0</v>
      </c>
      <c r="BA90" s="18">
        <f t="shared" si="145"/>
        <v>0</v>
      </c>
      <c r="BB90" s="18">
        <f t="shared" si="146"/>
        <v>0</v>
      </c>
      <c r="BC90" s="18">
        <f t="shared" si="147"/>
        <v>0</v>
      </c>
      <c r="BD90" s="18">
        <f t="shared" si="148"/>
        <v>0</v>
      </c>
      <c r="BE90" s="18">
        <f t="shared" si="149"/>
        <v>0</v>
      </c>
      <c r="BF90" s="18">
        <f t="shared" si="150"/>
        <v>0</v>
      </c>
      <c r="BG90" s="18">
        <f t="shared" si="151"/>
        <v>0</v>
      </c>
      <c r="BH90" s="18">
        <f t="shared" si="152"/>
        <v>0</v>
      </c>
      <c r="BI90" s="18">
        <f t="shared" si="153"/>
        <v>0</v>
      </c>
      <c r="BJ90" s="18">
        <f t="shared" si="154"/>
        <v>0</v>
      </c>
      <c r="BK90" s="18">
        <f t="shared" si="155"/>
        <v>0</v>
      </c>
      <c r="BL90" s="18">
        <f t="shared" si="156"/>
        <v>0</v>
      </c>
      <c r="BM90" s="18">
        <f t="shared" si="157"/>
        <v>0</v>
      </c>
      <c r="BN90" s="18">
        <f t="shared" si="158"/>
        <v>0</v>
      </c>
      <c r="BO90" s="18">
        <f t="shared" si="159"/>
        <v>0</v>
      </c>
      <c r="BP90" s="18">
        <f t="shared" si="160"/>
        <v>0</v>
      </c>
      <c r="BQ90" s="18">
        <f t="shared" si="161"/>
        <v>0</v>
      </c>
      <c r="BR90" s="18">
        <f t="shared" si="162"/>
        <v>0</v>
      </c>
      <c r="BS90" s="18">
        <f t="shared" si="163"/>
        <v>0</v>
      </c>
      <c r="BT90" s="18">
        <f t="shared" si="164"/>
        <v>0</v>
      </c>
      <c r="BU90" s="18">
        <f t="shared" si="165"/>
        <v>0</v>
      </c>
      <c r="BV90" s="18">
        <f t="shared" si="166"/>
        <v>0</v>
      </c>
      <c r="BW90" s="18">
        <f t="shared" si="167"/>
        <v>0</v>
      </c>
      <c r="BX90" s="18">
        <f t="shared" si="168"/>
        <v>0</v>
      </c>
      <c r="BY90" s="18">
        <f t="shared" si="169"/>
        <v>0</v>
      </c>
      <c r="BZ90" s="18">
        <f t="shared" si="170"/>
        <v>0</v>
      </c>
      <c r="CA90" s="18">
        <f t="shared" si="171"/>
        <v>0</v>
      </c>
      <c r="CB90" s="18">
        <f t="shared" si="172"/>
        <v>0</v>
      </c>
      <c r="CC90" s="18">
        <f t="shared" si="173"/>
        <v>0</v>
      </c>
      <c r="CD90" s="18">
        <f t="shared" si="174"/>
        <v>0</v>
      </c>
      <c r="CE90" s="18">
        <f t="shared" si="175"/>
        <v>0</v>
      </c>
      <c r="CF90" s="18">
        <f t="shared" si="176"/>
        <v>0</v>
      </c>
      <c r="CG90" s="18">
        <f t="shared" si="177"/>
        <v>0</v>
      </c>
      <c r="CH90" s="18">
        <f t="shared" si="178"/>
        <v>0</v>
      </c>
      <c r="CI90" s="18">
        <f t="shared" si="179"/>
        <v>0</v>
      </c>
      <c r="CJ90" s="18">
        <f t="shared" si="180"/>
        <v>0</v>
      </c>
    </row>
    <row r="91" spans="1:88" x14ac:dyDescent="0.3">
      <c r="A91" s="1">
        <v>43964</v>
      </c>
      <c r="B91">
        <v>32008.61</v>
      </c>
      <c r="C91">
        <f>Table1[[#This Row],[Close]]-0.001*Table1[[#This Row],[Close]]</f>
        <v>31976.60139</v>
      </c>
      <c r="D91">
        <f>Table1[[#This Row],[Close]]+0.001*Table1[[#This Row],[Close]]</f>
        <v>32040.618610000001</v>
      </c>
      <c r="E91" t="str">
        <f>IF(Table1[[#This Row],[Close]]&gt;D90,"UP",IF(Table1[[#This Row],[Close]]&lt;C90,"Down","Constant"))</f>
        <v>UP</v>
      </c>
      <c r="F91" s="3">
        <f>IF(Table1[[#This Row],[Column1]]="Up",1,IF(Table1[[#This Row],[Column1]]="Down",-1,0))</f>
        <v>1</v>
      </c>
      <c r="G91">
        <f t="shared" si="99"/>
        <v>0</v>
      </c>
      <c r="H91" s="18">
        <f t="shared" si="100"/>
        <v>0</v>
      </c>
      <c r="I91" s="18">
        <f t="shared" si="101"/>
        <v>0</v>
      </c>
      <c r="J91" s="18">
        <f t="shared" si="102"/>
        <v>0</v>
      </c>
      <c r="K91" s="18">
        <f t="shared" si="103"/>
        <v>0</v>
      </c>
      <c r="L91" s="18">
        <f t="shared" si="104"/>
        <v>0</v>
      </c>
      <c r="M91" s="18">
        <f t="shared" si="105"/>
        <v>0</v>
      </c>
      <c r="N91" s="18">
        <f t="shared" si="106"/>
        <v>0</v>
      </c>
      <c r="O91" s="18">
        <f t="shared" si="107"/>
        <v>0</v>
      </c>
      <c r="P91" s="18">
        <f t="shared" si="108"/>
        <v>0</v>
      </c>
      <c r="Q91" s="18">
        <f t="shared" si="109"/>
        <v>0</v>
      </c>
      <c r="R91" s="18">
        <f t="shared" si="110"/>
        <v>0</v>
      </c>
      <c r="S91" s="18">
        <f t="shared" si="111"/>
        <v>0</v>
      </c>
      <c r="T91" s="18">
        <f t="shared" si="112"/>
        <v>0</v>
      </c>
      <c r="U91" s="18">
        <f t="shared" si="113"/>
        <v>0</v>
      </c>
      <c r="V91" s="18">
        <f t="shared" si="114"/>
        <v>0</v>
      </c>
      <c r="W91" s="18">
        <f t="shared" si="115"/>
        <v>0</v>
      </c>
      <c r="X91" s="18">
        <f t="shared" si="116"/>
        <v>0</v>
      </c>
      <c r="Y91" s="18">
        <f t="shared" si="117"/>
        <v>1</v>
      </c>
      <c r="Z91" s="18">
        <f t="shared" si="118"/>
        <v>0</v>
      </c>
      <c r="AA91" s="18">
        <f t="shared" si="119"/>
        <v>0</v>
      </c>
      <c r="AB91" s="18">
        <f t="shared" si="120"/>
        <v>0</v>
      </c>
      <c r="AC91" s="18">
        <f t="shared" si="121"/>
        <v>0</v>
      </c>
      <c r="AD91" s="18">
        <f t="shared" si="122"/>
        <v>0</v>
      </c>
      <c r="AE91" s="18">
        <f t="shared" si="123"/>
        <v>0</v>
      </c>
      <c r="AF91" s="18">
        <f t="shared" si="124"/>
        <v>0</v>
      </c>
      <c r="AG91" s="18">
        <f t="shared" si="125"/>
        <v>0</v>
      </c>
      <c r="AH91" s="18">
        <f t="shared" si="126"/>
        <v>0</v>
      </c>
      <c r="AI91" s="18">
        <f t="shared" si="127"/>
        <v>0</v>
      </c>
      <c r="AJ91" s="18">
        <f t="shared" si="128"/>
        <v>0</v>
      </c>
      <c r="AK91" s="18">
        <f t="shared" si="129"/>
        <v>0</v>
      </c>
      <c r="AL91" s="18">
        <f t="shared" si="130"/>
        <v>0</v>
      </c>
      <c r="AM91" s="18">
        <f t="shared" si="131"/>
        <v>0</v>
      </c>
      <c r="AN91" s="18">
        <f t="shared" si="132"/>
        <v>0</v>
      </c>
      <c r="AO91" s="18">
        <f t="shared" si="133"/>
        <v>0</v>
      </c>
      <c r="AP91" s="18">
        <f t="shared" si="134"/>
        <v>0</v>
      </c>
      <c r="AQ91" s="18">
        <f t="shared" si="135"/>
        <v>0</v>
      </c>
      <c r="AR91" s="18">
        <f t="shared" si="136"/>
        <v>0</v>
      </c>
      <c r="AS91" s="18">
        <f t="shared" si="137"/>
        <v>0</v>
      </c>
      <c r="AT91" s="18">
        <f t="shared" si="138"/>
        <v>0</v>
      </c>
      <c r="AU91" s="18">
        <f t="shared" si="139"/>
        <v>0</v>
      </c>
      <c r="AV91" s="18">
        <f t="shared" si="140"/>
        <v>0</v>
      </c>
      <c r="AW91" s="18">
        <f t="shared" si="141"/>
        <v>0</v>
      </c>
      <c r="AX91" s="18">
        <f t="shared" si="142"/>
        <v>0</v>
      </c>
      <c r="AY91" s="18">
        <f t="shared" si="143"/>
        <v>0</v>
      </c>
      <c r="AZ91" s="18">
        <f t="shared" si="144"/>
        <v>0</v>
      </c>
      <c r="BA91" s="18">
        <f t="shared" si="145"/>
        <v>0</v>
      </c>
      <c r="BB91" s="18">
        <f t="shared" si="146"/>
        <v>0</v>
      </c>
      <c r="BC91" s="18">
        <f t="shared" si="147"/>
        <v>0</v>
      </c>
      <c r="BD91" s="18">
        <f t="shared" si="148"/>
        <v>0</v>
      </c>
      <c r="BE91" s="18">
        <f t="shared" si="149"/>
        <v>0</v>
      </c>
      <c r="BF91" s="18">
        <f t="shared" si="150"/>
        <v>0</v>
      </c>
      <c r="BG91" s="18">
        <f t="shared" si="151"/>
        <v>0</v>
      </c>
      <c r="BH91" s="18">
        <f t="shared" si="152"/>
        <v>0</v>
      </c>
      <c r="BI91" s="18">
        <f t="shared" si="153"/>
        <v>0</v>
      </c>
      <c r="BJ91" s="18">
        <f t="shared" si="154"/>
        <v>0</v>
      </c>
      <c r="BK91" s="18">
        <f t="shared" si="155"/>
        <v>0</v>
      </c>
      <c r="BL91" s="18">
        <f t="shared" si="156"/>
        <v>0</v>
      </c>
      <c r="BM91" s="18">
        <f t="shared" si="157"/>
        <v>0</v>
      </c>
      <c r="BN91" s="18">
        <f t="shared" si="158"/>
        <v>0</v>
      </c>
      <c r="BO91" s="18">
        <f t="shared" si="159"/>
        <v>0</v>
      </c>
      <c r="BP91" s="18">
        <f t="shared" si="160"/>
        <v>0</v>
      </c>
      <c r="BQ91" s="18">
        <f t="shared" si="161"/>
        <v>0</v>
      </c>
      <c r="BR91" s="18">
        <f t="shared" si="162"/>
        <v>0</v>
      </c>
      <c r="BS91" s="18">
        <f t="shared" si="163"/>
        <v>0</v>
      </c>
      <c r="BT91" s="18">
        <f t="shared" si="164"/>
        <v>0</v>
      </c>
      <c r="BU91" s="18">
        <f t="shared" si="165"/>
        <v>0</v>
      </c>
      <c r="BV91" s="18">
        <f t="shared" si="166"/>
        <v>0</v>
      </c>
      <c r="BW91" s="18">
        <f t="shared" si="167"/>
        <v>0</v>
      </c>
      <c r="BX91" s="18">
        <f t="shared" si="168"/>
        <v>0</v>
      </c>
      <c r="BY91" s="18">
        <f t="shared" si="169"/>
        <v>0</v>
      </c>
      <c r="BZ91" s="18">
        <f t="shared" si="170"/>
        <v>0</v>
      </c>
      <c r="CA91" s="18">
        <f t="shared" si="171"/>
        <v>0</v>
      </c>
      <c r="CB91" s="18">
        <f t="shared" si="172"/>
        <v>0</v>
      </c>
      <c r="CC91" s="18">
        <f t="shared" si="173"/>
        <v>0</v>
      </c>
      <c r="CD91" s="18">
        <f t="shared" si="174"/>
        <v>0</v>
      </c>
      <c r="CE91" s="18">
        <f t="shared" si="175"/>
        <v>0</v>
      </c>
      <c r="CF91" s="18">
        <f t="shared" si="176"/>
        <v>0</v>
      </c>
      <c r="CG91" s="18">
        <f t="shared" si="177"/>
        <v>0</v>
      </c>
      <c r="CH91" s="18">
        <f t="shared" si="178"/>
        <v>0</v>
      </c>
      <c r="CI91" s="18">
        <f t="shared" si="179"/>
        <v>0</v>
      </c>
      <c r="CJ91" s="18">
        <f t="shared" si="180"/>
        <v>0</v>
      </c>
    </row>
    <row r="92" spans="1:88" x14ac:dyDescent="0.3">
      <c r="A92" s="1">
        <v>43965</v>
      </c>
      <c r="B92">
        <v>31122.89</v>
      </c>
      <c r="C92">
        <f>Table1[[#This Row],[Close]]-0.001*Table1[[#This Row],[Close]]</f>
        <v>31091.767110000001</v>
      </c>
      <c r="D92">
        <f>Table1[[#This Row],[Close]]+0.001*Table1[[#This Row],[Close]]</f>
        <v>31154.012889999998</v>
      </c>
      <c r="E92" t="str">
        <f>IF(Table1[[#This Row],[Close]]&gt;D91,"UP",IF(Table1[[#This Row],[Close]]&lt;C91,"Down","Constant"))</f>
        <v>Down</v>
      </c>
      <c r="F92" s="3">
        <f>IF(Table1[[#This Row],[Column1]]="Up",1,IF(Table1[[#This Row],[Column1]]="Down",-1,0))</f>
        <v>-1</v>
      </c>
      <c r="G92">
        <f t="shared" si="99"/>
        <v>0</v>
      </c>
      <c r="H92" s="18">
        <f t="shared" si="100"/>
        <v>0</v>
      </c>
      <c r="I92" s="18">
        <f t="shared" si="101"/>
        <v>0</v>
      </c>
      <c r="J92" s="18">
        <f t="shared" si="102"/>
        <v>0</v>
      </c>
      <c r="K92" s="18">
        <f t="shared" si="103"/>
        <v>0</v>
      </c>
      <c r="L92" s="18">
        <f t="shared" si="104"/>
        <v>0</v>
      </c>
      <c r="M92" s="18">
        <f t="shared" si="105"/>
        <v>0</v>
      </c>
      <c r="N92" s="18">
        <f t="shared" si="106"/>
        <v>0</v>
      </c>
      <c r="O92" s="18">
        <f t="shared" si="107"/>
        <v>0</v>
      </c>
      <c r="P92" s="18">
        <f t="shared" si="108"/>
        <v>0</v>
      </c>
      <c r="Q92" s="18">
        <f t="shared" si="109"/>
        <v>0</v>
      </c>
      <c r="R92" s="18">
        <f t="shared" si="110"/>
        <v>0</v>
      </c>
      <c r="S92" s="18">
        <f t="shared" si="111"/>
        <v>0</v>
      </c>
      <c r="T92" s="18">
        <f t="shared" si="112"/>
        <v>1</v>
      </c>
      <c r="U92" s="18">
        <f t="shared" si="113"/>
        <v>0</v>
      </c>
      <c r="V92" s="18">
        <f t="shared" si="114"/>
        <v>0</v>
      </c>
      <c r="W92" s="18">
        <f t="shared" si="115"/>
        <v>0</v>
      </c>
      <c r="X92" s="18">
        <f t="shared" si="116"/>
        <v>0</v>
      </c>
      <c r="Y92" s="18">
        <f t="shared" si="117"/>
        <v>0</v>
      </c>
      <c r="Z92" s="18">
        <f t="shared" si="118"/>
        <v>0</v>
      </c>
      <c r="AA92" s="18">
        <f t="shared" si="119"/>
        <v>0</v>
      </c>
      <c r="AB92" s="18">
        <f t="shared" si="120"/>
        <v>0</v>
      </c>
      <c r="AC92" s="18">
        <f t="shared" si="121"/>
        <v>0</v>
      </c>
      <c r="AD92" s="18">
        <f t="shared" si="122"/>
        <v>0</v>
      </c>
      <c r="AE92" s="18">
        <f t="shared" si="123"/>
        <v>0</v>
      </c>
      <c r="AF92" s="18">
        <f t="shared" si="124"/>
        <v>0</v>
      </c>
      <c r="AG92" s="18">
        <f t="shared" si="125"/>
        <v>0</v>
      </c>
      <c r="AH92" s="18">
        <f t="shared" si="126"/>
        <v>0</v>
      </c>
      <c r="AI92" s="18">
        <f t="shared" si="127"/>
        <v>0</v>
      </c>
      <c r="AJ92" s="18">
        <f t="shared" si="128"/>
        <v>0</v>
      </c>
      <c r="AK92" s="18">
        <f t="shared" si="129"/>
        <v>0</v>
      </c>
      <c r="AL92" s="18">
        <f t="shared" si="130"/>
        <v>0</v>
      </c>
      <c r="AM92" s="18">
        <f t="shared" si="131"/>
        <v>0</v>
      </c>
      <c r="AN92" s="18">
        <f t="shared" si="132"/>
        <v>0</v>
      </c>
      <c r="AO92" s="18">
        <f t="shared" si="133"/>
        <v>0</v>
      </c>
      <c r="AP92" s="18">
        <f t="shared" si="134"/>
        <v>0</v>
      </c>
      <c r="AQ92" s="18">
        <f t="shared" si="135"/>
        <v>0</v>
      </c>
      <c r="AR92" s="18">
        <f t="shared" si="136"/>
        <v>0</v>
      </c>
      <c r="AS92" s="18">
        <f t="shared" si="137"/>
        <v>0</v>
      </c>
      <c r="AT92" s="18">
        <f t="shared" si="138"/>
        <v>0</v>
      </c>
      <c r="AU92" s="18">
        <f t="shared" si="139"/>
        <v>0</v>
      </c>
      <c r="AV92" s="18">
        <f t="shared" si="140"/>
        <v>0</v>
      </c>
      <c r="AW92" s="18">
        <f t="shared" si="141"/>
        <v>0</v>
      </c>
      <c r="AX92" s="18">
        <f t="shared" si="142"/>
        <v>0</v>
      </c>
      <c r="AY92" s="18">
        <f t="shared" si="143"/>
        <v>0</v>
      </c>
      <c r="AZ92" s="18">
        <f t="shared" si="144"/>
        <v>0</v>
      </c>
      <c r="BA92" s="18">
        <f t="shared" si="145"/>
        <v>0</v>
      </c>
      <c r="BB92" s="18">
        <f t="shared" si="146"/>
        <v>0</v>
      </c>
      <c r="BC92" s="18">
        <f t="shared" si="147"/>
        <v>0</v>
      </c>
      <c r="BD92" s="18">
        <f t="shared" si="148"/>
        <v>0</v>
      </c>
      <c r="BE92" s="18">
        <f t="shared" si="149"/>
        <v>0</v>
      </c>
      <c r="BF92" s="18">
        <f t="shared" si="150"/>
        <v>0</v>
      </c>
      <c r="BG92" s="18">
        <f t="shared" si="151"/>
        <v>0</v>
      </c>
      <c r="BH92" s="18">
        <f t="shared" si="152"/>
        <v>0</v>
      </c>
      <c r="BI92" s="18">
        <f t="shared" si="153"/>
        <v>0</v>
      </c>
      <c r="BJ92" s="18">
        <f t="shared" si="154"/>
        <v>0</v>
      </c>
      <c r="BK92" s="18">
        <f t="shared" si="155"/>
        <v>0</v>
      </c>
      <c r="BL92" s="18">
        <f t="shared" si="156"/>
        <v>0</v>
      </c>
      <c r="BM92" s="18">
        <f t="shared" si="157"/>
        <v>0</v>
      </c>
      <c r="BN92" s="18">
        <f t="shared" si="158"/>
        <v>0</v>
      </c>
      <c r="BO92" s="18">
        <f t="shared" si="159"/>
        <v>0</v>
      </c>
      <c r="BP92" s="18">
        <f t="shared" si="160"/>
        <v>0</v>
      </c>
      <c r="BQ92" s="18">
        <f t="shared" si="161"/>
        <v>0</v>
      </c>
      <c r="BR92" s="18">
        <f t="shared" si="162"/>
        <v>0</v>
      </c>
      <c r="BS92" s="18">
        <f t="shared" si="163"/>
        <v>0</v>
      </c>
      <c r="BT92" s="18">
        <f t="shared" si="164"/>
        <v>0</v>
      </c>
      <c r="BU92" s="18">
        <f t="shared" si="165"/>
        <v>0</v>
      </c>
      <c r="BV92" s="18">
        <f t="shared" si="166"/>
        <v>0</v>
      </c>
      <c r="BW92" s="18">
        <f t="shared" si="167"/>
        <v>0</v>
      </c>
      <c r="BX92" s="18">
        <f t="shared" si="168"/>
        <v>0</v>
      </c>
      <c r="BY92" s="18">
        <f t="shared" si="169"/>
        <v>0</v>
      </c>
      <c r="BZ92" s="18">
        <f t="shared" si="170"/>
        <v>0</v>
      </c>
      <c r="CA92" s="18">
        <f t="shared" si="171"/>
        <v>0</v>
      </c>
      <c r="CB92" s="18">
        <f t="shared" si="172"/>
        <v>0</v>
      </c>
      <c r="CC92" s="18">
        <f t="shared" si="173"/>
        <v>0</v>
      </c>
      <c r="CD92" s="18">
        <f t="shared" si="174"/>
        <v>0</v>
      </c>
      <c r="CE92" s="18">
        <f t="shared" si="175"/>
        <v>0</v>
      </c>
      <c r="CF92" s="18">
        <f t="shared" si="176"/>
        <v>0</v>
      </c>
      <c r="CG92" s="18">
        <f t="shared" si="177"/>
        <v>0</v>
      </c>
      <c r="CH92" s="18">
        <f t="shared" si="178"/>
        <v>0</v>
      </c>
      <c r="CI92" s="18">
        <f t="shared" si="179"/>
        <v>0</v>
      </c>
      <c r="CJ92" s="18">
        <f t="shared" si="180"/>
        <v>0</v>
      </c>
    </row>
    <row r="93" spans="1:88" x14ac:dyDescent="0.3">
      <c r="A93" s="1">
        <v>43966</v>
      </c>
      <c r="B93">
        <v>31097.73</v>
      </c>
      <c r="C93">
        <f>Table1[[#This Row],[Close]]-0.001*Table1[[#This Row],[Close]]</f>
        <v>31066.632269999998</v>
      </c>
      <c r="D93">
        <f>Table1[[#This Row],[Close]]+0.001*Table1[[#This Row],[Close]]</f>
        <v>31128.827730000001</v>
      </c>
      <c r="E93" t="str">
        <f>IF(Table1[[#This Row],[Close]]&gt;D92,"UP",IF(Table1[[#This Row],[Close]]&lt;C92,"Down","Constant"))</f>
        <v>Constant</v>
      </c>
      <c r="F93" s="3">
        <f>IF(Table1[[#This Row],[Column1]]="Up",1,IF(Table1[[#This Row],[Column1]]="Down",-1,0))</f>
        <v>0</v>
      </c>
      <c r="G93">
        <f t="shared" si="99"/>
        <v>0</v>
      </c>
      <c r="H93" s="18">
        <f t="shared" si="100"/>
        <v>0</v>
      </c>
      <c r="I93" s="18">
        <f t="shared" si="101"/>
        <v>0</v>
      </c>
      <c r="J93" s="18">
        <f t="shared" si="102"/>
        <v>0</v>
      </c>
      <c r="K93" s="18">
        <f t="shared" si="103"/>
        <v>0</v>
      </c>
      <c r="L93" s="18">
        <f t="shared" si="104"/>
        <v>0</v>
      </c>
      <c r="M93" s="18">
        <f t="shared" si="105"/>
        <v>0</v>
      </c>
      <c r="N93" s="18">
        <f t="shared" si="106"/>
        <v>0</v>
      </c>
      <c r="O93" s="18">
        <f t="shared" si="107"/>
        <v>0</v>
      </c>
      <c r="P93" s="18">
        <f t="shared" si="108"/>
        <v>0</v>
      </c>
      <c r="Q93" s="18">
        <f t="shared" si="109"/>
        <v>0</v>
      </c>
      <c r="R93" s="18">
        <f t="shared" si="110"/>
        <v>0</v>
      </c>
      <c r="S93" s="18">
        <f t="shared" si="111"/>
        <v>0</v>
      </c>
      <c r="T93" s="18">
        <f t="shared" si="112"/>
        <v>0</v>
      </c>
      <c r="U93" s="18">
        <f t="shared" si="113"/>
        <v>0</v>
      </c>
      <c r="V93" s="18">
        <f t="shared" si="114"/>
        <v>0</v>
      </c>
      <c r="W93" s="18">
        <f t="shared" si="115"/>
        <v>0</v>
      </c>
      <c r="X93" s="18">
        <f t="shared" si="116"/>
        <v>0</v>
      </c>
      <c r="Y93" s="18">
        <f t="shared" si="117"/>
        <v>0</v>
      </c>
      <c r="Z93" s="18">
        <f t="shared" si="118"/>
        <v>0</v>
      </c>
      <c r="AA93" s="18">
        <f t="shared" si="119"/>
        <v>0</v>
      </c>
      <c r="AB93" s="18">
        <f t="shared" si="120"/>
        <v>0</v>
      </c>
      <c r="AC93" s="18">
        <f t="shared" si="121"/>
        <v>0</v>
      </c>
      <c r="AD93" s="18">
        <f t="shared" si="122"/>
        <v>1</v>
      </c>
      <c r="AE93" s="18">
        <f t="shared" si="123"/>
        <v>0</v>
      </c>
      <c r="AF93" s="18">
        <f t="shared" si="124"/>
        <v>0</v>
      </c>
      <c r="AG93" s="18">
        <f t="shared" si="125"/>
        <v>0</v>
      </c>
      <c r="AH93" s="18">
        <f t="shared" si="126"/>
        <v>0</v>
      </c>
      <c r="AI93" s="18">
        <f t="shared" si="127"/>
        <v>0</v>
      </c>
      <c r="AJ93" s="18">
        <f t="shared" si="128"/>
        <v>0</v>
      </c>
      <c r="AK93" s="18">
        <f t="shared" si="129"/>
        <v>0</v>
      </c>
      <c r="AL93" s="18">
        <f t="shared" si="130"/>
        <v>0</v>
      </c>
      <c r="AM93" s="18">
        <f t="shared" si="131"/>
        <v>0</v>
      </c>
      <c r="AN93" s="18">
        <f t="shared" si="132"/>
        <v>0</v>
      </c>
      <c r="AO93" s="18">
        <f t="shared" si="133"/>
        <v>0</v>
      </c>
      <c r="AP93" s="18">
        <f t="shared" si="134"/>
        <v>0</v>
      </c>
      <c r="AQ93" s="18">
        <f t="shared" si="135"/>
        <v>0</v>
      </c>
      <c r="AR93" s="18">
        <f t="shared" si="136"/>
        <v>0</v>
      </c>
      <c r="AS93" s="18">
        <f t="shared" si="137"/>
        <v>0</v>
      </c>
      <c r="AT93" s="18">
        <f t="shared" si="138"/>
        <v>0</v>
      </c>
      <c r="AU93" s="18">
        <f t="shared" si="139"/>
        <v>0</v>
      </c>
      <c r="AV93" s="18">
        <f t="shared" si="140"/>
        <v>0</v>
      </c>
      <c r="AW93" s="18">
        <f t="shared" si="141"/>
        <v>0</v>
      </c>
      <c r="AX93" s="18">
        <f t="shared" si="142"/>
        <v>0</v>
      </c>
      <c r="AY93" s="18">
        <f t="shared" si="143"/>
        <v>0</v>
      </c>
      <c r="AZ93" s="18">
        <f t="shared" si="144"/>
        <v>0</v>
      </c>
      <c r="BA93" s="18">
        <f t="shared" si="145"/>
        <v>0</v>
      </c>
      <c r="BB93" s="18">
        <f t="shared" si="146"/>
        <v>0</v>
      </c>
      <c r="BC93" s="18">
        <f t="shared" si="147"/>
        <v>0</v>
      </c>
      <c r="BD93" s="18">
        <f t="shared" si="148"/>
        <v>0</v>
      </c>
      <c r="BE93" s="18">
        <f t="shared" si="149"/>
        <v>0</v>
      </c>
      <c r="BF93" s="18">
        <f t="shared" si="150"/>
        <v>0</v>
      </c>
      <c r="BG93" s="18">
        <f t="shared" si="151"/>
        <v>0</v>
      </c>
      <c r="BH93" s="18">
        <f t="shared" si="152"/>
        <v>0</v>
      </c>
      <c r="BI93" s="18">
        <f t="shared" si="153"/>
        <v>0</v>
      </c>
      <c r="BJ93" s="18">
        <f t="shared" si="154"/>
        <v>0</v>
      </c>
      <c r="BK93" s="18">
        <f t="shared" si="155"/>
        <v>0</v>
      </c>
      <c r="BL93" s="18">
        <f t="shared" si="156"/>
        <v>0</v>
      </c>
      <c r="BM93" s="18">
        <f t="shared" si="157"/>
        <v>0</v>
      </c>
      <c r="BN93" s="18">
        <f t="shared" si="158"/>
        <v>0</v>
      </c>
      <c r="BO93" s="18">
        <f t="shared" si="159"/>
        <v>0</v>
      </c>
      <c r="BP93" s="18">
        <f t="shared" si="160"/>
        <v>0</v>
      </c>
      <c r="BQ93" s="18">
        <f t="shared" si="161"/>
        <v>0</v>
      </c>
      <c r="BR93" s="18">
        <f t="shared" si="162"/>
        <v>0</v>
      </c>
      <c r="BS93" s="18">
        <f t="shared" si="163"/>
        <v>0</v>
      </c>
      <c r="BT93" s="18">
        <f t="shared" si="164"/>
        <v>0</v>
      </c>
      <c r="BU93" s="18">
        <f t="shared" si="165"/>
        <v>0</v>
      </c>
      <c r="BV93" s="18">
        <f t="shared" si="166"/>
        <v>0</v>
      </c>
      <c r="BW93" s="18">
        <f t="shared" si="167"/>
        <v>0</v>
      </c>
      <c r="BX93" s="18">
        <f t="shared" si="168"/>
        <v>0</v>
      </c>
      <c r="BY93" s="18">
        <f t="shared" si="169"/>
        <v>0</v>
      </c>
      <c r="BZ93" s="18">
        <f t="shared" si="170"/>
        <v>0</v>
      </c>
      <c r="CA93" s="18">
        <f t="shared" si="171"/>
        <v>0</v>
      </c>
      <c r="CB93" s="18">
        <f t="shared" si="172"/>
        <v>0</v>
      </c>
      <c r="CC93" s="18">
        <f t="shared" si="173"/>
        <v>0</v>
      </c>
      <c r="CD93" s="18">
        <f t="shared" si="174"/>
        <v>0</v>
      </c>
      <c r="CE93" s="18">
        <f t="shared" si="175"/>
        <v>0</v>
      </c>
      <c r="CF93" s="18">
        <f t="shared" si="176"/>
        <v>0</v>
      </c>
      <c r="CG93" s="18">
        <f t="shared" si="177"/>
        <v>0</v>
      </c>
      <c r="CH93" s="18">
        <f t="shared" si="178"/>
        <v>0</v>
      </c>
      <c r="CI93" s="18">
        <f t="shared" si="179"/>
        <v>0</v>
      </c>
      <c r="CJ93" s="18">
        <f t="shared" si="180"/>
        <v>0</v>
      </c>
    </row>
    <row r="94" spans="1:88" x14ac:dyDescent="0.3">
      <c r="A94" s="1">
        <v>43969</v>
      </c>
      <c r="B94">
        <v>30028.98</v>
      </c>
      <c r="C94">
        <f>Table1[[#This Row],[Close]]-0.001*Table1[[#This Row],[Close]]</f>
        <v>29998.95102</v>
      </c>
      <c r="D94">
        <f>Table1[[#This Row],[Close]]+0.001*Table1[[#This Row],[Close]]</f>
        <v>30059.008979999999</v>
      </c>
      <c r="E94" t="str">
        <f>IF(Table1[[#This Row],[Close]]&gt;D93,"UP",IF(Table1[[#This Row],[Close]]&lt;C93,"Down","Constant"))</f>
        <v>Down</v>
      </c>
      <c r="F94" s="3">
        <f>IF(Table1[[#This Row],[Column1]]="Up",1,IF(Table1[[#This Row],[Column1]]="Down",-1,0))</f>
        <v>-1</v>
      </c>
      <c r="G94">
        <f t="shared" si="99"/>
        <v>0</v>
      </c>
      <c r="H94" s="18">
        <f t="shared" si="100"/>
        <v>0</v>
      </c>
      <c r="I94" s="18">
        <f t="shared" si="101"/>
        <v>0</v>
      </c>
      <c r="J94" s="18">
        <f t="shared" si="102"/>
        <v>0</v>
      </c>
      <c r="K94" s="18">
        <f t="shared" si="103"/>
        <v>0</v>
      </c>
      <c r="L94" s="18">
        <f t="shared" si="104"/>
        <v>0</v>
      </c>
      <c r="M94" s="18">
        <f t="shared" si="105"/>
        <v>0</v>
      </c>
      <c r="N94" s="18">
        <f t="shared" si="106"/>
        <v>0</v>
      </c>
      <c r="O94" s="18">
        <f t="shared" si="107"/>
        <v>0</v>
      </c>
      <c r="P94" s="18">
        <f t="shared" si="108"/>
        <v>0</v>
      </c>
      <c r="Q94" s="18">
        <f t="shared" si="109"/>
        <v>0</v>
      </c>
      <c r="R94" s="18">
        <f t="shared" si="110"/>
        <v>0</v>
      </c>
      <c r="S94" s="18">
        <f t="shared" si="111"/>
        <v>0</v>
      </c>
      <c r="T94" s="18">
        <f t="shared" si="112"/>
        <v>0</v>
      </c>
      <c r="U94" s="18">
        <f t="shared" si="113"/>
        <v>0</v>
      </c>
      <c r="V94" s="18">
        <f t="shared" si="114"/>
        <v>0</v>
      </c>
      <c r="W94" s="18">
        <f t="shared" si="115"/>
        <v>0</v>
      </c>
      <c r="X94" s="18">
        <f t="shared" si="116"/>
        <v>0</v>
      </c>
      <c r="Y94" s="18">
        <f t="shared" si="117"/>
        <v>0</v>
      </c>
      <c r="Z94" s="18">
        <f t="shared" si="118"/>
        <v>0</v>
      </c>
      <c r="AA94" s="18">
        <f t="shared" si="119"/>
        <v>0</v>
      </c>
      <c r="AB94" s="18">
        <f t="shared" si="120"/>
        <v>0</v>
      </c>
      <c r="AC94" s="18">
        <f t="shared" si="121"/>
        <v>0</v>
      </c>
      <c r="AD94" s="18">
        <f t="shared" si="122"/>
        <v>0</v>
      </c>
      <c r="AE94" s="18">
        <f t="shared" si="123"/>
        <v>0</v>
      </c>
      <c r="AF94" s="18">
        <f t="shared" si="124"/>
        <v>0</v>
      </c>
      <c r="AG94" s="18">
        <f t="shared" si="125"/>
        <v>0</v>
      </c>
      <c r="AH94" s="18">
        <f t="shared" si="126"/>
        <v>0</v>
      </c>
      <c r="AI94" s="18">
        <f t="shared" si="127"/>
        <v>0</v>
      </c>
      <c r="AJ94" s="18">
        <f t="shared" si="128"/>
        <v>0</v>
      </c>
      <c r="AK94" s="18">
        <f t="shared" si="129"/>
        <v>0</v>
      </c>
      <c r="AL94" s="18">
        <f t="shared" si="130"/>
        <v>0</v>
      </c>
      <c r="AM94" s="18">
        <f t="shared" si="131"/>
        <v>0</v>
      </c>
      <c r="AN94" s="18">
        <f t="shared" si="132"/>
        <v>0</v>
      </c>
      <c r="AO94" s="18">
        <f t="shared" si="133"/>
        <v>0</v>
      </c>
      <c r="AP94" s="18">
        <f t="shared" si="134"/>
        <v>0</v>
      </c>
      <c r="AQ94" s="18">
        <f t="shared" si="135"/>
        <v>0</v>
      </c>
      <c r="AR94" s="18">
        <f t="shared" si="136"/>
        <v>0</v>
      </c>
      <c r="AS94" s="18">
        <f t="shared" si="137"/>
        <v>0</v>
      </c>
      <c r="AT94" s="18">
        <f t="shared" si="138"/>
        <v>0</v>
      </c>
      <c r="AU94" s="18">
        <f t="shared" si="139"/>
        <v>0</v>
      </c>
      <c r="AV94" s="18">
        <f t="shared" si="140"/>
        <v>0</v>
      </c>
      <c r="AW94" s="18">
        <f t="shared" si="141"/>
        <v>0</v>
      </c>
      <c r="AX94" s="18">
        <f t="shared" si="142"/>
        <v>0</v>
      </c>
      <c r="AY94" s="18">
        <f t="shared" si="143"/>
        <v>0</v>
      </c>
      <c r="AZ94" s="18">
        <f t="shared" si="144"/>
        <v>0</v>
      </c>
      <c r="BA94" s="18">
        <f t="shared" si="145"/>
        <v>0</v>
      </c>
      <c r="BB94" s="18">
        <f t="shared" si="146"/>
        <v>0</v>
      </c>
      <c r="BC94" s="18">
        <f t="shared" si="147"/>
        <v>0</v>
      </c>
      <c r="BD94" s="18">
        <f t="shared" si="148"/>
        <v>0</v>
      </c>
      <c r="BE94" s="18">
        <f t="shared" si="149"/>
        <v>0</v>
      </c>
      <c r="BF94" s="18">
        <f t="shared" si="150"/>
        <v>0</v>
      </c>
      <c r="BG94" s="18">
        <f t="shared" si="151"/>
        <v>0</v>
      </c>
      <c r="BH94" s="18">
        <f t="shared" si="152"/>
        <v>0</v>
      </c>
      <c r="BI94" s="18">
        <f t="shared" si="153"/>
        <v>0</v>
      </c>
      <c r="BJ94" s="18">
        <f t="shared" si="154"/>
        <v>1</v>
      </c>
      <c r="BK94" s="18">
        <f t="shared" si="155"/>
        <v>0</v>
      </c>
      <c r="BL94" s="18">
        <f t="shared" si="156"/>
        <v>0</v>
      </c>
      <c r="BM94" s="18">
        <f t="shared" si="157"/>
        <v>0</v>
      </c>
      <c r="BN94" s="18">
        <f t="shared" si="158"/>
        <v>0</v>
      </c>
      <c r="BO94" s="18">
        <f t="shared" si="159"/>
        <v>0</v>
      </c>
      <c r="BP94" s="18">
        <f t="shared" si="160"/>
        <v>0</v>
      </c>
      <c r="BQ94" s="18">
        <f t="shared" si="161"/>
        <v>0</v>
      </c>
      <c r="BR94" s="18">
        <f t="shared" si="162"/>
        <v>0</v>
      </c>
      <c r="BS94" s="18">
        <f t="shared" si="163"/>
        <v>0</v>
      </c>
      <c r="BT94" s="18">
        <f t="shared" si="164"/>
        <v>0</v>
      </c>
      <c r="BU94" s="18">
        <f t="shared" si="165"/>
        <v>0</v>
      </c>
      <c r="BV94" s="18">
        <f t="shared" si="166"/>
        <v>0</v>
      </c>
      <c r="BW94" s="18">
        <f t="shared" si="167"/>
        <v>0</v>
      </c>
      <c r="BX94" s="18">
        <f t="shared" si="168"/>
        <v>0</v>
      </c>
      <c r="BY94" s="18">
        <f t="shared" si="169"/>
        <v>0</v>
      </c>
      <c r="BZ94" s="18">
        <f t="shared" si="170"/>
        <v>0</v>
      </c>
      <c r="CA94" s="18">
        <f t="shared" si="171"/>
        <v>0</v>
      </c>
      <c r="CB94" s="18">
        <f t="shared" si="172"/>
        <v>0</v>
      </c>
      <c r="CC94" s="18">
        <f t="shared" si="173"/>
        <v>0</v>
      </c>
      <c r="CD94" s="18">
        <f t="shared" si="174"/>
        <v>0</v>
      </c>
      <c r="CE94" s="18">
        <f t="shared" si="175"/>
        <v>0</v>
      </c>
      <c r="CF94" s="18">
        <f t="shared" si="176"/>
        <v>0</v>
      </c>
      <c r="CG94" s="18">
        <f t="shared" si="177"/>
        <v>0</v>
      </c>
      <c r="CH94" s="18">
        <f t="shared" si="178"/>
        <v>0</v>
      </c>
      <c r="CI94" s="18">
        <f t="shared" si="179"/>
        <v>0</v>
      </c>
      <c r="CJ94" s="18">
        <f t="shared" si="180"/>
        <v>0</v>
      </c>
    </row>
    <row r="95" spans="1:88" x14ac:dyDescent="0.3">
      <c r="A95" s="1">
        <v>43970</v>
      </c>
      <c r="B95">
        <v>30196.17</v>
      </c>
      <c r="C95">
        <f>Table1[[#This Row],[Close]]-0.001*Table1[[#This Row],[Close]]</f>
        <v>30165.973829999999</v>
      </c>
      <c r="D95">
        <f>Table1[[#This Row],[Close]]+0.001*Table1[[#This Row],[Close]]</f>
        <v>30226.366169999998</v>
      </c>
      <c r="E95" t="str">
        <f>IF(Table1[[#This Row],[Close]]&gt;D94,"UP",IF(Table1[[#This Row],[Close]]&lt;C94,"Down","Constant"))</f>
        <v>UP</v>
      </c>
      <c r="F95" s="3">
        <f>IF(Table1[[#This Row],[Column1]]="Up",1,IF(Table1[[#This Row],[Column1]]="Down",-1,0))</f>
        <v>1</v>
      </c>
      <c r="G95">
        <f t="shared" si="99"/>
        <v>0</v>
      </c>
      <c r="H95" s="18">
        <f t="shared" si="100"/>
        <v>0</v>
      </c>
      <c r="I95" s="18">
        <f t="shared" si="101"/>
        <v>0</v>
      </c>
      <c r="J95" s="18">
        <f t="shared" si="102"/>
        <v>0</v>
      </c>
      <c r="K95" s="18">
        <f t="shared" si="103"/>
        <v>0</v>
      </c>
      <c r="L95" s="18">
        <f t="shared" si="104"/>
        <v>0</v>
      </c>
      <c r="M95" s="18">
        <f t="shared" si="105"/>
        <v>0</v>
      </c>
      <c r="N95" s="18">
        <f t="shared" si="106"/>
        <v>0</v>
      </c>
      <c r="O95" s="18">
        <f t="shared" si="107"/>
        <v>0</v>
      </c>
      <c r="P95" s="18">
        <f t="shared" si="108"/>
        <v>0</v>
      </c>
      <c r="Q95" s="18">
        <f t="shared" si="109"/>
        <v>0</v>
      </c>
      <c r="R95" s="18">
        <f t="shared" si="110"/>
        <v>0</v>
      </c>
      <c r="S95" s="18">
        <f t="shared" si="111"/>
        <v>0</v>
      </c>
      <c r="T95" s="18">
        <f t="shared" si="112"/>
        <v>0</v>
      </c>
      <c r="U95" s="18">
        <f t="shared" si="113"/>
        <v>0</v>
      </c>
      <c r="V95" s="18">
        <f t="shared" si="114"/>
        <v>0</v>
      </c>
      <c r="W95" s="18">
        <f t="shared" si="115"/>
        <v>0</v>
      </c>
      <c r="X95" s="18">
        <f t="shared" si="116"/>
        <v>0</v>
      </c>
      <c r="Y95" s="18">
        <f t="shared" si="117"/>
        <v>0</v>
      </c>
      <c r="Z95" s="18">
        <f t="shared" si="118"/>
        <v>0</v>
      </c>
      <c r="AA95" s="18">
        <f t="shared" si="119"/>
        <v>0</v>
      </c>
      <c r="AB95" s="18">
        <f t="shared" si="120"/>
        <v>0</v>
      </c>
      <c r="AC95" s="18">
        <f t="shared" si="121"/>
        <v>0</v>
      </c>
      <c r="AD95" s="18">
        <f t="shared" si="122"/>
        <v>0</v>
      </c>
      <c r="AE95" s="18">
        <f t="shared" si="123"/>
        <v>0</v>
      </c>
      <c r="AF95" s="18">
        <f t="shared" si="124"/>
        <v>0</v>
      </c>
      <c r="AG95" s="18">
        <f t="shared" si="125"/>
        <v>0</v>
      </c>
      <c r="AH95" s="18">
        <f t="shared" si="126"/>
        <v>0</v>
      </c>
      <c r="AI95" s="18">
        <f t="shared" si="127"/>
        <v>0</v>
      </c>
      <c r="AJ95" s="18">
        <f t="shared" si="128"/>
        <v>0</v>
      </c>
      <c r="AK95" s="18">
        <f t="shared" si="129"/>
        <v>0</v>
      </c>
      <c r="AL95" s="18">
        <f t="shared" si="130"/>
        <v>0</v>
      </c>
      <c r="AM95" s="18">
        <f t="shared" si="131"/>
        <v>0</v>
      </c>
      <c r="AN95" s="18">
        <f t="shared" si="132"/>
        <v>0</v>
      </c>
      <c r="AO95" s="18">
        <f t="shared" si="133"/>
        <v>0</v>
      </c>
      <c r="AP95" s="18">
        <f t="shared" si="134"/>
        <v>0</v>
      </c>
      <c r="AQ95" s="18">
        <f t="shared" si="135"/>
        <v>0</v>
      </c>
      <c r="AR95" s="18">
        <f t="shared" si="136"/>
        <v>0</v>
      </c>
      <c r="AS95" s="18">
        <f t="shared" si="137"/>
        <v>0</v>
      </c>
      <c r="AT95" s="18">
        <f t="shared" si="138"/>
        <v>0</v>
      </c>
      <c r="AU95" s="18">
        <f t="shared" si="139"/>
        <v>0</v>
      </c>
      <c r="AV95" s="18">
        <f t="shared" si="140"/>
        <v>0</v>
      </c>
      <c r="AW95" s="18">
        <f t="shared" si="141"/>
        <v>0</v>
      </c>
      <c r="AX95" s="18">
        <f t="shared" si="142"/>
        <v>0</v>
      </c>
      <c r="AY95" s="18">
        <f t="shared" si="143"/>
        <v>0</v>
      </c>
      <c r="AZ95" s="18">
        <f t="shared" si="144"/>
        <v>0</v>
      </c>
      <c r="BA95" s="18">
        <f t="shared" si="145"/>
        <v>0</v>
      </c>
      <c r="BB95" s="18">
        <f t="shared" si="146"/>
        <v>0</v>
      </c>
      <c r="BC95" s="18">
        <f t="shared" si="147"/>
        <v>1</v>
      </c>
      <c r="BD95" s="18">
        <f t="shared" si="148"/>
        <v>0</v>
      </c>
      <c r="BE95" s="18">
        <f t="shared" si="149"/>
        <v>0</v>
      </c>
      <c r="BF95" s="18">
        <f t="shared" si="150"/>
        <v>0</v>
      </c>
      <c r="BG95" s="18">
        <f t="shared" si="151"/>
        <v>0</v>
      </c>
      <c r="BH95" s="18">
        <f t="shared" si="152"/>
        <v>0</v>
      </c>
      <c r="BI95" s="18">
        <f t="shared" si="153"/>
        <v>0</v>
      </c>
      <c r="BJ95" s="18">
        <f t="shared" si="154"/>
        <v>0</v>
      </c>
      <c r="BK95" s="18">
        <f t="shared" si="155"/>
        <v>0</v>
      </c>
      <c r="BL95" s="18">
        <f t="shared" si="156"/>
        <v>0</v>
      </c>
      <c r="BM95" s="18">
        <f t="shared" si="157"/>
        <v>0</v>
      </c>
      <c r="BN95" s="18">
        <f t="shared" si="158"/>
        <v>0</v>
      </c>
      <c r="BO95" s="18">
        <f t="shared" si="159"/>
        <v>0</v>
      </c>
      <c r="BP95" s="18">
        <f t="shared" si="160"/>
        <v>0</v>
      </c>
      <c r="BQ95" s="18">
        <f t="shared" si="161"/>
        <v>0</v>
      </c>
      <c r="BR95" s="18">
        <f t="shared" si="162"/>
        <v>0</v>
      </c>
      <c r="BS95" s="18">
        <f t="shared" si="163"/>
        <v>0</v>
      </c>
      <c r="BT95" s="18">
        <f t="shared" si="164"/>
        <v>0</v>
      </c>
      <c r="BU95" s="18">
        <f t="shared" si="165"/>
        <v>0</v>
      </c>
      <c r="BV95" s="18">
        <f t="shared" si="166"/>
        <v>0</v>
      </c>
      <c r="BW95" s="18">
        <f t="shared" si="167"/>
        <v>0</v>
      </c>
      <c r="BX95" s="18">
        <f t="shared" si="168"/>
        <v>0</v>
      </c>
      <c r="BY95" s="18">
        <f t="shared" si="169"/>
        <v>0</v>
      </c>
      <c r="BZ95" s="18">
        <f t="shared" si="170"/>
        <v>0</v>
      </c>
      <c r="CA95" s="18">
        <f t="shared" si="171"/>
        <v>0</v>
      </c>
      <c r="CB95" s="18">
        <f t="shared" si="172"/>
        <v>0</v>
      </c>
      <c r="CC95" s="18">
        <f t="shared" si="173"/>
        <v>0</v>
      </c>
      <c r="CD95" s="18">
        <f t="shared" si="174"/>
        <v>0</v>
      </c>
      <c r="CE95" s="18">
        <f t="shared" si="175"/>
        <v>0</v>
      </c>
      <c r="CF95" s="18">
        <f t="shared" si="176"/>
        <v>0</v>
      </c>
      <c r="CG95" s="18">
        <f t="shared" si="177"/>
        <v>0</v>
      </c>
      <c r="CH95" s="18">
        <f t="shared" si="178"/>
        <v>0</v>
      </c>
      <c r="CI95" s="18">
        <f t="shared" si="179"/>
        <v>0</v>
      </c>
      <c r="CJ95" s="18">
        <f t="shared" si="180"/>
        <v>0</v>
      </c>
    </row>
    <row r="96" spans="1:88" x14ac:dyDescent="0.3">
      <c r="A96" s="1">
        <v>43971</v>
      </c>
      <c r="B96">
        <v>30818.61</v>
      </c>
      <c r="C96">
        <f>Table1[[#This Row],[Close]]-0.001*Table1[[#This Row],[Close]]</f>
        <v>30787.791390000002</v>
      </c>
      <c r="D96">
        <f>Table1[[#This Row],[Close]]+0.001*Table1[[#This Row],[Close]]</f>
        <v>30849.428609999999</v>
      </c>
      <c r="E96" t="str">
        <f>IF(Table1[[#This Row],[Close]]&gt;D95,"UP",IF(Table1[[#This Row],[Close]]&lt;C95,"Down","Constant"))</f>
        <v>UP</v>
      </c>
      <c r="F96" s="3">
        <f>IF(Table1[[#This Row],[Column1]]="Up",1,IF(Table1[[#This Row],[Column1]]="Down",-1,0))</f>
        <v>1</v>
      </c>
      <c r="G96">
        <f t="shared" si="99"/>
        <v>0</v>
      </c>
      <c r="H96" s="18">
        <f t="shared" si="100"/>
        <v>0</v>
      </c>
      <c r="I96" s="18">
        <f t="shared" si="101"/>
        <v>0</v>
      </c>
      <c r="J96" s="18">
        <f t="shared" si="102"/>
        <v>0</v>
      </c>
      <c r="K96" s="18">
        <f t="shared" si="103"/>
        <v>0</v>
      </c>
      <c r="L96" s="18">
        <f t="shared" si="104"/>
        <v>0</v>
      </c>
      <c r="M96" s="18">
        <f t="shared" si="105"/>
        <v>0</v>
      </c>
      <c r="N96" s="18">
        <f t="shared" si="106"/>
        <v>0</v>
      </c>
      <c r="O96" s="18">
        <f t="shared" si="107"/>
        <v>0</v>
      </c>
      <c r="P96" s="18">
        <f t="shared" si="108"/>
        <v>0</v>
      </c>
      <c r="Q96" s="18">
        <f t="shared" si="109"/>
        <v>0</v>
      </c>
      <c r="R96" s="18">
        <f t="shared" si="110"/>
        <v>0</v>
      </c>
      <c r="S96" s="18">
        <f t="shared" si="111"/>
        <v>0</v>
      </c>
      <c r="T96" s="18">
        <f t="shared" si="112"/>
        <v>0</v>
      </c>
      <c r="U96" s="18">
        <f t="shared" si="113"/>
        <v>0</v>
      </c>
      <c r="V96" s="18">
        <f t="shared" si="114"/>
        <v>0</v>
      </c>
      <c r="W96" s="18">
        <f t="shared" si="115"/>
        <v>0</v>
      </c>
      <c r="X96" s="18">
        <f t="shared" si="116"/>
        <v>0</v>
      </c>
      <c r="Y96" s="18">
        <f t="shared" si="117"/>
        <v>0</v>
      </c>
      <c r="Z96" s="18">
        <f t="shared" si="118"/>
        <v>0</v>
      </c>
      <c r="AA96" s="18">
        <f t="shared" si="119"/>
        <v>0</v>
      </c>
      <c r="AB96" s="18">
        <f t="shared" si="120"/>
        <v>0</v>
      </c>
      <c r="AC96" s="18">
        <f t="shared" si="121"/>
        <v>0</v>
      </c>
      <c r="AD96" s="18">
        <f t="shared" si="122"/>
        <v>0</v>
      </c>
      <c r="AE96" s="18">
        <f t="shared" si="123"/>
        <v>0</v>
      </c>
      <c r="AF96" s="18">
        <f t="shared" si="124"/>
        <v>0</v>
      </c>
      <c r="AG96" s="18">
        <f t="shared" si="125"/>
        <v>0</v>
      </c>
      <c r="AH96" s="18">
        <f t="shared" si="126"/>
        <v>0</v>
      </c>
      <c r="AI96" s="18">
        <f t="shared" si="127"/>
        <v>0</v>
      </c>
      <c r="AJ96" s="18">
        <f t="shared" si="128"/>
        <v>0</v>
      </c>
      <c r="AK96" s="18">
        <f t="shared" si="129"/>
        <v>0</v>
      </c>
      <c r="AL96" s="18">
        <f t="shared" si="130"/>
        <v>0</v>
      </c>
      <c r="AM96" s="18">
        <f t="shared" si="131"/>
        <v>0</v>
      </c>
      <c r="AN96" s="18">
        <f t="shared" si="132"/>
        <v>0</v>
      </c>
      <c r="AO96" s="18">
        <f t="shared" si="133"/>
        <v>0</v>
      </c>
      <c r="AP96" s="18">
        <f t="shared" si="134"/>
        <v>0</v>
      </c>
      <c r="AQ96" s="18">
        <f t="shared" si="135"/>
        <v>0</v>
      </c>
      <c r="AR96" s="18">
        <f t="shared" si="136"/>
        <v>0</v>
      </c>
      <c r="AS96" s="18">
        <f t="shared" si="137"/>
        <v>0</v>
      </c>
      <c r="AT96" s="18">
        <f t="shared" si="138"/>
        <v>0</v>
      </c>
      <c r="AU96" s="18">
        <f t="shared" si="139"/>
        <v>0</v>
      </c>
      <c r="AV96" s="18">
        <f t="shared" si="140"/>
        <v>0</v>
      </c>
      <c r="AW96" s="18">
        <f t="shared" si="141"/>
        <v>0</v>
      </c>
      <c r="AX96" s="18">
        <f t="shared" si="142"/>
        <v>0</v>
      </c>
      <c r="AY96" s="18">
        <f t="shared" si="143"/>
        <v>0</v>
      </c>
      <c r="AZ96" s="18">
        <f t="shared" si="144"/>
        <v>0</v>
      </c>
      <c r="BA96" s="18">
        <f t="shared" si="145"/>
        <v>0</v>
      </c>
      <c r="BB96" s="18">
        <f t="shared" si="146"/>
        <v>0</v>
      </c>
      <c r="BC96" s="18">
        <f t="shared" si="147"/>
        <v>0</v>
      </c>
      <c r="BD96" s="18">
        <f t="shared" si="148"/>
        <v>0</v>
      </c>
      <c r="BE96" s="18">
        <f t="shared" si="149"/>
        <v>0</v>
      </c>
      <c r="BF96" s="18">
        <f t="shared" si="150"/>
        <v>0</v>
      </c>
      <c r="BG96" s="18">
        <f t="shared" si="151"/>
        <v>0</v>
      </c>
      <c r="BH96" s="18">
        <f t="shared" si="152"/>
        <v>0</v>
      </c>
      <c r="BI96" s="18">
        <f t="shared" si="153"/>
        <v>0</v>
      </c>
      <c r="BJ96" s="18">
        <f t="shared" si="154"/>
        <v>0</v>
      </c>
      <c r="BK96" s="18">
        <f t="shared" si="155"/>
        <v>0</v>
      </c>
      <c r="BL96" s="18">
        <f t="shared" si="156"/>
        <v>0</v>
      </c>
      <c r="BM96" s="18">
        <f t="shared" si="157"/>
        <v>0</v>
      </c>
      <c r="BN96" s="18">
        <f t="shared" si="158"/>
        <v>0</v>
      </c>
      <c r="BO96" s="18">
        <f t="shared" si="159"/>
        <v>0</v>
      </c>
      <c r="BP96" s="18">
        <f t="shared" si="160"/>
        <v>0</v>
      </c>
      <c r="BQ96" s="18">
        <f t="shared" si="161"/>
        <v>0</v>
      </c>
      <c r="BR96" s="18">
        <f t="shared" si="162"/>
        <v>0</v>
      </c>
      <c r="BS96" s="18">
        <f t="shared" si="163"/>
        <v>0</v>
      </c>
      <c r="BT96" s="18">
        <f t="shared" si="164"/>
        <v>0</v>
      </c>
      <c r="BU96" s="18">
        <f t="shared" si="165"/>
        <v>1</v>
      </c>
      <c r="BV96" s="18">
        <f t="shared" si="166"/>
        <v>0</v>
      </c>
      <c r="BW96" s="18">
        <f t="shared" si="167"/>
        <v>0</v>
      </c>
      <c r="BX96" s="18">
        <f t="shared" si="168"/>
        <v>0</v>
      </c>
      <c r="BY96" s="18">
        <f t="shared" si="169"/>
        <v>0</v>
      </c>
      <c r="BZ96" s="18">
        <f t="shared" si="170"/>
        <v>0</v>
      </c>
      <c r="CA96" s="18">
        <f t="shared" si="171"/>
        <v>0</v>
      </c>
      <c r="CB96" s="18">
        <f t="shared" si="172"/>
        <v>0</v>
      </c>
      <c r="CC96" s="18">
        <f t="shared" si="173"/>
        <v>0</v>
      </c>
      <c r="CD96" s="18">
        <f t="shared" si="174"/>
        <v>0</v>
      </c>
      <c r="CE96" s="18">
        <f t="shared" si="175"/>
        <v>0</v>
      </c>
      <c r="CF96" s="18">
        <f t="shared" si="176"/>
        <v>0</v>
      </c>
      <c r="CG96" s="18">
        <f t="shared" si="177"/>
        <v>0</v>
      </c>
      <c r="CH96" s="18">
        <f t="shared" si="178"/>
        <v>0</v>
      </c>
      <c r="CI96" s="18">
        <f t="shared" si="179"/>
        <v>0</v>
      </c>
      <c r="CJ96" s="18">
        <f t="shared" si="180"/>
        <v>0</v>
      </c>
    </row>
    <row r="97" spans="1:88" x14ac:dyDescent="0.3">
      <c r="A97" s="1">
        <v>43972</v>
      </c>
      <c r="B97">
        <v>30932.9</v>
      </c>
      <c r="C97">
        <f>Table1[[#This Row],[Close]]-0.001*Table1[[#This Row],[Close]]</f>
        <v>30901.967100000002</v>
      </c>
      <c r="D97">
        <f>Table1[[#This Row],[Close]]+0.001*Table1[[#This Row],[Close]]</f>
        <v>30963.832900000001</v>
      </c>
      <c r="E97" t="str">
        <f>IF(Table1[[#This Row],[Close]]&gt;D96,"UP",IF(Table1[[#This Row],[Close]]&lt;C96,"Down","Constant"))</f>
        <v>UP</v>
      </c>
      <c r="F97" s="3">
        <f>IF(Table1[[#This Row],[Column1]]="Up",1,IF(Table1[[#This Row],[Column1]]="Down",-1,0))</f>
        <v>1</v>
      </c>
      <c r="G97">
        <f t="shared" si="99"/>
        <v>0</v>
      </c>
      <c r="H97" s="18">
        <f t="shared" si="100"/>
        <v>0</v>
      </c>
      <c r="I97" s="18">
        <f t="shared" si="101"/>
        <v>0</v>
      </c>
      <c r="J97" s="18">
        <f t="shared" si="102"/>
        <v>0</v>
      </c>
      <c r="K97" s="18">
        <f t="shared" si="103"/>
        <v>0</v>
      </c>
      <c r="L97" s="18">
        <f t="shared" si="104"/>
        <v>0</v>
      </c>
      <c r="M97" s="18">
        <f t="shared" si="105"/>
        <v>1</v>
      </c>
      <c r="N97" s="18">
        <f t="shared" si="106"/>
        <v>0</v>
      </c>
      <c r="O97" s="18">
        <f t="shared" si="107"/>
        <v>0</v>
      </c>
      <c r="P97" s="18">
        <f t="shared" si="108"/>
        <v>0</v>
      </c>
      <c r="Q97" s="18">
        <f t="shared" si="109"/>
        <v>0</v>
      </c>
      <c r="R97" s="18">
        <f t="shared" si="110"/>
        <v>0</v>
      </c>
      <c r="S97" s="18">
        <f t="shared" si="111"/>
        <v>0</v>
      </c>
      <c r="T97" s="18">
        <f t="shared" si="112"/>
        <v>0</v>
      </c>
      <c r="U97" s="18">
        <f t="shared" si="113"/>
        <v>0</v>
      </c>
      <c r="V97" s="18">
        <f t="shared" si="114"/>
        <v>0</v>
      </c>
      <c r="W97" s="18">
        <f t="shared" si="115"/>
        <v>0</v>
      </c>
      <c r="X97" s="18">
        <f t="shared" si="116"/>
        <v>0</v>
      </c>
      <c r="Y97" s="18">
        <f t="shared" si="117"/>
        <v>0</v>
      </c>
      <c r="Z97" s="18">
        <f t="shared" si="118"/>
        <v>0</v>
      </c>
      <c r="AA97" s="18">
        <f t="shared" si="119"/>
        <v>0</v>
      </c>
      <c r="AB97" s="18">
        <f t="shared" si="120"/>
        <v>0</v>
      </c>
      <c r="AC97" s="18">
        <f t="shared" si="121"/>
        <v>0</v>
      </c>
      <c r="AD97" s="18">
        <f t="shared" si="122"/>
        <v>0</v>
      </c>
      <c r="AE97" s="18">
        <f t="shared" si="123"/>
        <v>0</v>
      </c>
      <c r="AF97" s="18">
        <f t="shared" si="124"/>
        <v>0</v>
      </c>
      <c r="AG97" s="18">
        <f t="shared" si="125"/>
        <v>0</v>
      </c>
      <c r="AH97" s="18">
        <f t="shared" si="126"/>
        <v>0</v>
      </c>
      <c r="AI97" s="18">
        <f t="shared" si="127"/>
        <v>0</v>
      </c>
      <c r="AJ97" s="18">
        <f t="shared" si="128"/>
        <v>0</v>
      </c>
      <c r="AK97" s="18">
        <f t="shared" si="129"/>
        <v>0</v>
      </c>
      <c r="AL97" s="18">
        <f t="shared" si="130"/>
        <v>0</v>
      </c>
      <c r="AM97" s="18">
        <f t="shared" si="131"/>
        <v>0</v>
      </c>
      <c r="AN97" s="18">
        <f t="shared" si="132"/>
        <v>0</v>
      </c>
      <c r="AO97" s="18">
        <f t="shared" si="133"/>
        <v>0</v>
      </c>
      <c r="AP97" s="18">
        <f t="shared" si="134"/>
        <v>0</v>
      </c>
      <c r="AQ97" s="18">
        <f t="shared" si="135"/>
        <v>0</v>
      </c>
      <c r="AR97" s="18">
        <f t="shared" si="136"/>
        <v>0</v>
      </c>
      <c r="AS97" s="18">
        <f t="shared" si="137"/>
        <v>0</v>
      </c>
      <c r="AT97" s="18">
        <f t="shared" si="138"/>
        <v>0</v>
      </c>
      <c r="AU97" s="18">
        <f t="shared" si="139"/>
        <v>0</v>
      </c>
      <c r="AV97" s="18">
        <f t="shared" si="140"/>
        <v>0</v>
      </c>
      <c r="AW97" s="18">
        <f t="shared" si="141"/>
        <v>0</v>
      </c>
      <c r="AX97" s="18">
        <f t="shared" si="142"/>
        <v>0</v>
      </c>
      <c r="AY97" s="18">
        <f t="shared" si="143"/>
        <v>0</v>
      </c>
      <c r="AZ97" s="18">
        <f t="shared" si="144"/>
        <v>0</v>
      </c>
      <c r="BA97" s="18">
        <f t="shared" si="145"/>
        <v>0</v>
      </c>
      <c r="BB97" s="18">
        <f t="shared" si="146"/>
        <v>0</v>
      </c>
      <c r="BC97" s="18">
        <f t="shared" si="147"/>
        <v>0</v>
      </c>
      <c r="BD97" s="18">
        <f t="shared" si="148"/>
        <v>0</v>
      </c>
      <c r="BE97" s="18">
        <f t="shared" si="149"/>
        <v>0</v>
      </c>
      <c r="BF97" s="18">
        <f t="shared" si="150"/>
        <v>0</v>
      </c>
      <c r="BG97" s="18">
        <f t="shared" si="151"/>
        <v>0</v>
      </c>
      <c r="BH97" s="18">
        <f t="shared" si="152"/>
        <v>0</v>
      </c>
      <c r="BI97" s="18">
        <f t="shared" si="153"/>
        <v>0</v>
      </c>
      <c r="BJ97" s="18">
        <f t="shared" si="154"/>
        <v>0</v>
      </c>
      <c r="BK97" s="18">
        <f t="shared" si="155"/>
        <v>0</v>
      </c>
      <c r="BL97" s="18">
        <f t="shared" si="156"/>
        <v>0</v>
      </c>
      <c r="BM97" s="18">
        <f t="shared" si="157"/>
        <v>0</v>
      </c>
      <c r="BN97" s="18">
        <f t="shared" si="158"/>
        <v>0</v>
      </c>
      <c r="BO97" s="18">
        <f t="shared" si="159"/>
        <v>0</v>
      </c>
      <c r="BP97" s="18">
        <f t="shared" si="160"/>
        <v>0</v>
      </c>
      <c r="BQ97" s="18">
        <f t="shared" si="161"/>
        <v>0</v>
      </c>
      <c r="BR97" s="18">
        <f t="shared" si="162"/>
        <v>0</v>
      </c>
      <c r="BS97" s="18">
        <f t="shared" si="163"/>
        <v>0</v>
      </c>
      <c r="BT97" s="18">
        <f t="shared" si="164"/>
        <v>0</v>
      </c>
      <c r="BU97" s="18">
        <f t="shared" si="165"/>
        <v>0</v>
      </c>
      <c r="BV97" s="18">
        <f t="shared" si="166"/>
        <v>0</v>
      </c>
      <c r="BW97" s="18">
        <f t="shared" si="167"/>
        <v>0</v>
      </c>
      <c r="BX97" s="18">
        <f t="shared" si="168"/>
        <v>0</v>
      </c>
      <c r="BY97" s="18">
        <f t="shared" si="169"/>
        <v>0</v>
      </c>
      <c r="BZ97" s="18">
        <f t="shared" si="170"/>
        <v>0</v>
      </c>
      <c r="CA97" s="18">
        <f t="shared" si="171"/>
        <v>0</v>
      </c>
      <c r="CB97" s="18">
        <f t="shared" si="172"/>
        <v>0</v>
      </c>
      <c r="CC97" s="18">
        <f t="shared" si="173"/>
        <v>0</v>
      </c>
      <c r="CD97" s="18">
        <f t="shared" si="174"/>
        <v>0</v>
      </c>
      <c r="CE97" s="18">
        <f t="shared" si="175"/>
        <v>0</v>
      </c>
      <c r="CF97" s="18">
        <f t="shared" si="176"/>
        <v>0</v>
      </c>
      <c r="CG97" s="18">
        <f t="shared" si="177"/>
        <v>0</v>
      </c>
      <c r="CH97" s="18">
        <f t="shared" si="178"/>
        <v>0</v>
      </c>
      <c r="CI97" s="18">
        <f t="shared" si="179"/>
        <v>0</v>
      </c>
      <c r="CJ97" s="18">
        <f t="shared" si="180"/>
        <v>0</v>
      </c>
    </row>
    <row r="98" spans="1:88" x14ac:dyDescent="0.3">
      <c r="A98" s="1">
        <v>43973</v>
      </c>
      <c r="B98">
        <v>30672.59</v>
      </c>
      <c r="C98">
        <f>Table1[[#This Row],[Close]]-0.001*Table1[[#This Row],[Close]]</f>
        <v>30641.917410000002</v>
      </c>
      <c r="D98">
        <f>Table1[[#This Row],[Close]]+0.001*Table1[[#This Row],[Close]]</f>
        <v>30703.262589999998</v>
      </c>
      <c r="E98" t="str">
        <f>IF(Table1[[#This Row],[Close]]&gt;D97,"UP",IF(Table1[[#This Row],[Close]]&lt;C97,"Down","Constant"))</f>
        <v>Down</v>
      </c>
      <c r="F98" s="3">
        <f>IF(Table1[[#This Row],[Column1]]="Up",1,IF(Table1[[#This Row],[Column1]]="Down",-1,0))</f>
        <v>-1</v>
      </c>
      <c r="G98">
        <f t="shared" si="99"/>
        <v>0</v>
      </c>
      <c r="H98" s="18">
        <f t="shared" si="100"/>
        <v>1</v>
      </c>
      <c r="I98" s="18">
        <f t="shared" si="101"/>
        <v>0</v>
      </c>
      <c r="J98" s="18">
        <f t="shared" si="102"/>
        <v>0</v>
      </c>
      <c r="K98" s="18">
        <f t="shared" si="103"/>
        <v>0</v>
      </c>
      <c r="L98" s="18">
        <f t="shared" si="104"/>
        <v>0</v>
      </c>
      <c r="M98" s="18">
        <f t="shared" si="105"/>
        <v>0</v>
      </c>
      <c r="N98" s="18">
        <f t="shared" si="106"/>
        <v>0</v>
      </c>
      <c r="O98" s="18">
        <f t="shared" si="107"/>
        <v>0</v>
      </c>
      <c r="P98" s="18">
        <f t="shared" si="108"/>
        <v>0</v>
      </c>
      <c r="Q98" s="18">
        <f t="shared" si="109"/>
        <v>0</v>
      </c>
      <c r="R98" s="18">
        <f t="shared" si="110"/>
        <v>0</v>
      </c>
      <c r="S98" s="18">
        <f t="shared" si="111"/>
        <v>0</v>
      </c>
      <c r="T98" s="18">
        <f t="shared" si="112"/>
        <v>0</v>
      </c>
      <c r="U98" s="18">
        <f t="shared" si="113"/>
        <v>0</v>
      </c>
      <c r="V98" s="18">
        <f t="shared" si="114"/>
        <v>0</v>
      </c>
      <c r="W98" s="18">
        <f t="shared" si="115"/>
        <v>0</v>
      </c>
      <c r="X98" s="18">
        <f t="shared" si="116"/>
        <v>0</v>
      </c>
      <c r="Y98" s="18">
        <f t="shared" si="117"/>
        <v>0</v>
      </c>
      <c r="Z98" s="18">
        <f t="shared" si="118"/>
        <v>0</v>
      </c>
      <c r="AA98" s="18">
        <f t="shared" si="119"/>
        <v>0</v>
      </c>
      <c r="AB98" s="18">
        <f t="shared" si="120"/>
        <v>0</v>
      </c>
      <c r="AC98" s="18">
        <f t="shared" si="121"/>
        <v>0</v>
      </c>
      <c r="AD98" s="18">
        <f t="shared" si="122"/>
        <v>0</v>
      </c>
      <c r="AE98" s="18">
        <f t="shared" si="123"/>
        <v>0</v>
      </c>
      <c r="AF98" s="18">
        <f t="shared" si="124"/>
        <v>0</v>
      </c>
      <c r="AG98" s="18">
        <f t="shared" si="125"/>
        <v>0</v>
      </c>
      <c r="AH98" s="18">
        <f t="shared" si="126"/>
        <v>0</v>
      </c>
      <c r="AI98" s="18">
        <f t="shared" si="127"/>
        <v>0</v>
      </c>
      <c r="AJ98" s="18">
        <f t="shared" si="128"/>
        <v>0</v>
      </c>
      <c r="AK98" s="18">
        <f t="shared" si="129"/>
        <v>0</v>
      </c>
      <c r="AL98" s="18">
        <f t="shared" si="130"/>
        <v>0</v>
      </c>
      <c r="AM98" s="18">
        <f t="shared" si="131"/>
        <v>0</v>
      </c>
      <c r="AN98" s="18">
        <f t="shared" si="132"/>
        <v>0</v>
      </c>
      <c r="AO98" s="18">
        <f t="shared" si="133"/>
        <v>0</v>
      </c>
      <c r="AP98" s="18">
        <f t="shared" si="134"/>
        <v>0</v>
      </c>
      <c r="AQ98" s="18">
        <f t="shared" si="135"/>
        <v>0</v>
      </c>
      <c r="AR98" s="18">
        <f t="shared" si="136"/>
        <v>0</v>
      </c>
      <c r="AS98" s="18">
        <f t="shared" si="137"/>
        <v>0</v>
      </c>
      <c r="AT98" s="18">
        <f t="shared" si="138"/>
        <v>0</v>
      </c>
      <c r="AU98" s="18">
        <f t="shared" si="139"/>
        <v>0</v>
      </c>
      <c r="AV98" s="18">
        <f t="shared" si="140"/>
        <v>0</v>
      </c>
      <c r="AW98" s="18">
        <f t="shared" si="141"/>
        <v>0</v>
      </c>
      <c r="AX98" s="18">
        <f t="shared" si="142"/>
        <v>0</v>
      </c>
      <c r="AY98" s="18">
        <f t="shared" si="143"/>
        <v>0</v>
      </c>
      <c r="AZ98" s="18">
        <f t="shared" si="144"/>
        <v>0</v>
      </c>
      <c r="BA98" s="18">
        <f t="shared" si="145"/>
        <v>0</v>
      </c>
      <c r="BB98" s="18">
        <f t="shared" si="146"/>
        <v>0</v>
      </c>
      <c r="BC98" s="18">
        <f t="shared" si="147"/>
        <v>0</v>
      </c>
      <c r="BD98" s="18">
        <f t="shared" si="148"/>
        <v>0</v>
      </c>
      <c r="BE98" s="18">
        <f t="shared" si="149"/>
        <v>0</v>
      </c>
      <c r="BF98" s="18">
        <f t="shared" si="150"/>
        <v>0</v>
      </c>
      <c r="BG98" s="18">
        <f t="shared" si="151"/>
        <v>0</v>
      </c>
      <c r="BH98" s="18">
        <f t="shared" si="152"/>
        <v>0</v>
      </c>
      <c r="BI98" s="18">
        <f t="shared" si="153"/>
        <v>0</v>
      </c>
      <c r="BJ98" s="18">
        <f t="shared" si="154"/>
        <v>0</v>
      </c>
      <c r="BK98" s="18">
        <f t="shared" si="155"/>
        <v>0</v>
      </c>
      <c r="BL98" s="18">
        <f t="shared" si="156"/>
        <v>0</v>
      </c>
      <c r="BM98" s="18">
        <f t="shared" si="157"/>
        <v>0</v>
      </c>
      <c r="BN98" s="18">
        <f t="shared" si="158"/>
        <v>0</v>
      </c>
      <c r="BO98" s="18">
        <f t="shared" si="159"/>
        <v>0</v>
      </c>
      <c r="BP98" s="18">
        <f t="shared" si="160"/>
        <v>0</v>
      </c>
      <c r="BQ98" s="18">
        <f t="shared" si="161"/>
        <v>0</v>
      </c>
      <c r="BR98" s="18">
        <f t="shared" si="162"/>
        <v>0</v>
      </c>
      <c r="BS98" s="18">
        <f t="shared" si="163"/>
        <v>0</v>
      </c>
      <c r="BT98" s="18">
        <f t="shared" si="164"/>
        <v>0</v>
      </c>
      <c r="BU98" s="18">
        <f t="shared" si="165"/>
        <v>0</v>
      </c>
      <c r="BV98" s="18">
        <f t="shared" si="166"/>
        <v>0</v>
      </c>
      <c r="BW98" s="18">
        <f t="shared" si="167"/>
        <v>0</v>
      </c>
      <c r="BX98" s="18">
        <f t="shared" si="168"/>
        <v>0</v>
      </c>
      <c r="BY98" s="18">
        <f t="shared" si="169"/>
        <v>0</v>
      </c>
      <c r="BZ98" s="18">
        <f t="shared" si="170"/>
        <v>0</v>
      </c>
      <c r="CA98" s="18">
        <f t="shared" si="171"/>
        <v>0</v>
      </c>
      <c r="CB98" s="18">
        <f t="shared" si="172"/>
        <v>0</v>
      </c>
      <c r="CC98" s="18">
        <f t="shared" si="173"/>
        <v>0</v>
      </c>
      <c r="CD98" s="18">
        <f t="shared" si="174"/>
        <v>0</v>
      </c>
      <c r="CE98" s="18">
        <f t="shared" si="175"/>
        <v>0</v>
      </c>
      <c r="CF98" s="18">
        <f t="shared" si="176"/>
        <v>0</v>
      </c>
      <c r="CG98" s="18">
        <f t="shared" si="177"/>
        <v>0</v>
      </c>
      <c r="CH98" s="18">
        <f t="shared" si="178"/>
        <v>0</v>
      </c>
      <c r="CI98" s="18">
        <f t="shared" si="179"/>
        <v>0</v>
      </c>
      <c r="CJ98" s="18">
        <f t="shared" si="180"/>
        <v>0</v>
      </c>
    </row>
    <row r="99" spans="1:88" x14ac:dyDescent="0.3">
      <c r="A99" s="1">
        <v>43977</v>
      </c>
      <c r="B99">
        <v>30609.3</v>
      </c>
      <c r="C99">
        <f>Table1[[#This Row],[Close]]-0.001*Table1[[#This Row],[Close]]</f>
        <v>30578.690699999999</v>
      </c>
      <c r="D99">
        <f>Table1[[#This Row],[Close]]+0.001*Table1[[#This Row],[Close]]</f>
        <v>30639.909299999999</v>
      </c>
      <c r="E99" t="str">
        <f>IF(Table1[[#This Row],[Close]]&gt;D98,"UP",IF(Table1[[#This Row],[Close]]&lt;C98,"Down","Constant"))</f>
        <v>Down</v>
      </c>
      <c r="F99" s="3">
        <f>IF(Table1[[#This Row],[Column1]]="Up",1,IF(Table1[[#This Row],[Column1]]="Down",-1,0))</f>
        <v>-1</v>
      </c>
      <c r="G99">
        <f t="shared" si="99"/>
        <v>0</v>
      </c>
      <c r="H99" s="18">
        <f t="shared" si="100"/>
        <v>0</v>
      </c>
      <c r="I99" s="18">
        <f t="shared" si="101"/>
        <v>0</v>
      </c>
      <c r="J99" s="18">
        <f t="shared" si="102"/>
        <v>0</v>
      </c>
      <c r="K99" s="18">
        <f t="shared" si="103"/>
        <v>0</v>
      </c>
      <c r="L99" s="18">
        <f t="shared" si="104"/>
        <v>0</v>
      </c>
      <c r="M99" s="18">
        <f t="shared" si="105"/>
        <v>0</v>
      </c>
      <c r="N99" s="18">
        <f t="shared" si="106"/>
        <v>0</v>
      </c>
      <c r="O99" s="18">
        <f t="shared" si="107"/>
        <v>0</v>
      </c>
      <c r="P99" s="18">
        <f t="shared" si="108"/>
        <v>0</v>
      </c>
      <c r="Q99" s="18">
        <f t="shared" si="109"/>
        <v>1</v>
      </c>
      <c r="R99" s="18">
        <f t="shared" si="110"/>
        <v>0</v>
      </c>
      <c r="S99" s="18">
        <f t="shared" si="111"/>
        <v>0</v>
      </c>
      <c r="T99" s="18">
        <f t="shared" si="112"/>
        <v>0</v>
      </c>
      <c r="U99" s="18">
        <f t="shared" si="113"/>
        <v>0</v>
      </c>
      <c r="V99" s="18">
        <f t="shared" si="114"/>
        <v>0</v>
      </c>
      <c r="W99" s="18">
        <f t="shared" si="115"/>
        <v>0</v>
      </c>
      <c r="X99" s="18">
        <f t="shared" si="116"/>
        <v>0</v>
      </c>
      <c r="Y99" s="18">
        <f t="shared" si="117"/>
        <v>0</v>
      </c>
      <c r="Z99" s="18">
        <f t="shared" si="118"/>
        <v>0</v>
      </c>
      <c r="AA99" s="18">
        <f t="shared" si="119"/>
        <v>0</v>
      </c>
      <c r="AB99" s="18">
        <f t="shared" si="120"/>
        <v>0</v>
      </c>
      <c r="AC99" s="18">
        <f t="shared" si="121"/>
        <v>0</v>
      </c>
      <c r="AD99" s="18">
        <f t="shared" si="122"/>
        <v>0</v>
      </c>
      <c r="AE99" s="18">
        <f t="shared" si="123"/>
        <v>0</v>
      </c>
      <c r="AF99" s="18">
        <f t="shared" si="124"/>
        <v>0</v>
      </c>
      <c r="AG99" s="18">
        <f t="shared" si="125"/>
        <v>0</v>
      </c>
      <c r="AH99" s="18">
        <f t="shared" si="126"/>
        <v>0</v>
      </c>
      <c r="AI99" s="18">
        <f t="shared" si="127"/>
        <v>0</v>
      </c>
      <c r="AJ99" s="18">
        <f t="shared" si="128"/>
        <v>0</v>
      </c>
      <c r="AK99" s="18">
        <f t="shared" si="129"/>
        <v>0</v>
      </c>
      <c r="AL99" s="18">
        <f t="shared" si="130"/>
        <v>0</v>
      </c>
      <c r="AM99" s="18">
        <f t="shared" si="131"/>
        <v>0</v>
      </c>
      <c r="AN99" s="18">
        <f t="shared" si="132"/>
        <v>0</v>
      </c>
      <c r="AO99" s="18">
        <f t="shared" si="133"/>
        <v>0</v>
      </c>
      <c r="AP99" s="18">
        <f t="shared" si="134"/>
        <v>0</v>
      </c>
      <c r="AQ99" s="18">
        <f t="shared" si="135"/>
        <v>0</v>
      </c>
      <c r="AR99" s="18">
        <f t="shared" si="136"/>
        <v>0</v>
      </c>
      <c r="AS99" s="18">
        <f t="shared" si="137"/>
        <v>0</v>
      </c>
      <c r="AT99" s="18">
        <f t="shared" si="138"/>
        <v>0</v>
      </c>
      <c r="AU99" s="18">
        <f t="shared" si="139"/>
        <v>0</v>
      </c>
      <c r="AV99" s="18">
        <f t="shared" si="140"/>
        <v>0</v>
      </c>
      <c r="AW99" s="18">
        <f t="shared" si="141"/>
        <v>0</v>
      </c>
      <c r="AX99" s="18">
        <f t="shared" si="142"/>
        <v>0</v>
      </c>
      <c r="AY99" s="18">
        <f t="shared" si="143"/>
        <v>0</v>
      </c>
      <c r="AZ99" s="18">
        <f t="shared" si="144"/>
        <v>0</v>
      </c>
      <c r="BA99" s="18">
        <f t="shared" si="145"/>
        <v>0</v>
      </c>
      <c r="BB99" s="18">
        <f t="shared" si="146"/>
        <v>0</v>
      </c>
      <c r="BC99" s="18">
        <f t="shared" si="147"/>
        <v>0</v>
      </c>
      <c r="BD99" s="18">
        <f t="shared" si="148"/>
        <v>0</v>
      </c>
      <c r="BE99" s="18">
        <f t="shared" si="149"/>
        <v>0</v>
      </c>
      <c r="BF99" s="18">
        <f t="shared" si="150"/>
        <v>0</v>
      </c>
      <c r="BG99" s="18">
        <f t="shared" si="151"/>
        <v>0</v>
      </c>
      <c r="BH99" s="18">
        <f t="shared" si="152"/>
        <v>0</v>
      </c>
      <c r="BI99" s="18">
        <f t="shared" si="153"/>
        <v>0</v>
      </c>
      <c r="BJ99" s="18">
        <f t="shared" si="154"/>
        <v>0</v>
      </c>
      <c r="BK99" s="18">
        <f t="shared" si="155"/>
        <v>0</v>
      </c>
      <c r="BL99" s="18">
        <f t="shared" si="156"/>
        <v>0</v>
      </c>
      <c r="BM99" s="18">
        <f t="shared" si="157"/>
        <v>0</v>
      </c>
      <c r="BN99" s="18">
        <f t="shared" si="158"/>
        <v>0</v>
      </c>
      <c r="BO99" s="18">
        <f t="shared" si="159"/>
        <v>0</v>
      </c>
      <c r="BP99" s="18">
        <f t="shared" si="160"/>
        <v>0</v>
      </c>
      <c r="BQ99" s="18">
        <f t="shared" si="161"/>
        <v>0</v>
      </c>
      <c r="BR99" s="18">
        <f t="shared" si="162"/>
        <v>0</v>
      </c>
      <c r="BS99" s="18">
        <f t="shared" si="163"/>
        <v>0</v>
      </c>
      <c r="BT99" s="18">
        <f t="shared" si="164"/>
        <v>0</v>
      </c>
      <c r="BU99" s="18">
        <f t="shared" si="165"/>
        <v>0</v>
      </c>
      <c r="BV99" s="18">
        <f t="shared" si="166"/>
        <v>0</v>
      </c>
      <c r="BW99" s="18">
        <f t="shared" si="167"/>
        <v>0</v>
      </c>
      <c r="BX99" s="18">
        <f t="shared" si="168"/>
        <v>0</v>
      </c>
      <c r="BY99" s="18">
        <f t="shared" si="169"/>
        <v>0</v>
      </c>
      <c r="BZ99" s="18">
        <f t="shared" si="170"/>
        <v>0</v>
      </c>
      <c r="CA99" s="18">
        <f t="shared" si="171"/>
        <v>0</v>
      </c>
      <c r="CB99" s="18">
        <f t="shared" si="172"/>
        <v>0</v>
      </c>
      <c r="CC99" s="18">
        <f t="shared" si="173"/>
        <v>0</v>
      </c>
      <c r="CD99" s="18">
        <f t="shared" si="174"/>
        <v>0</v>
      </c>
      <c r="CE99" s="18">
        <f t="shared" si="175"/>
        <v>0</v>
      </c>
      <c r="CF99" s="18">
        <f t="shared" si="176"/>
        <v>0</v>
      </c>
      <c r="CG99" s="18">
        <f t="shared" si="177"/>
        <v>0</v>
      </c>
      <c r="CH99" s="18">
        <f t="shared" si="178"/>
        <v>0</v>
      </c>
      <c r="CI99" s="18">
        <f t="shared" si="179"/>
        <v>0</v>
      </c>
      <c r="CJ99" s="18">
        <f t="shared" si="180"/>
        <v>0</v>
      </c>
    </row>
    <row r="100" spans="1:88" x14ac:dyDescent="0.3">
      <c r="A100" s="1">
        <v>43978</v>
      </c>
      <c r="B100">
        <v>31605.22</v>
      </c>
      <c r="C100">
        <f>Table1[[#This Row],[Close]]-0.001*Table1[[#This Row],[Close]]</f>
        <v>31573.61478</v>
      </c>
      <c r="D100">
        <f>Table1[[#This Row],[Close]]+0.001*Table1[[#This Row],[Close]]</f>
        <v>31636.825220000002</v>
      </c>
      <c r="E100" t="str">
        <f>IF(Table1[[#This Row],[Close]]&gt;D99,"UP",IF(Table1[[#This Row],[Close]]&lt;C99,"Down","Constant"))</f>
        <v>UP</v>
      </c>
      <c r="F100" s="3">
        <f>IF(Table1[[#This Row],[Column1]]="Up",1,IF(Table1[[#This Row],[Column1]]="Down",-1,0))</f>
        <v>1</v>
      </c>
      <c r="G100">
        <f t="shared" si="99"/>
        <v>0</v>
      </c>
      <c r="H100" s="18">
        <f t="shared" si="100"/>
        <v>0</v>
      </c>
      <c r="I100" s="18">
        <f t="shared" si="101"/>
        <v>0</v>
      </c>
      <c r="J100" s="18">
        <f t="shared" si="102"/>
        <v>0</v>
      </c>
      <c r="K100" s="18">
        <f t="shared" si="103"/>
        <v>0</v>
      </c>
      <c r="L100" s="18">
        <f t="shared" si="104"/>
        <v>0</v>
      </c>
      <c r="M100" s="18">
        <f t="shared" si="105"/>
        <v>0</v>
      </c>
      <c r="N100" s="18">
        <f t="shared" si="106"/>
        <v>0</v>
      </c>
      <c r="O100" s="18">
        <f t="shared" si="107"/>
        <v>0</v>
      </c>
      <c r="P100" s="18">
        <f t="shared" si="108"/>
        <v>0</v>
      </c>
      <c r="Q100" s="18">
        <f t="shared" si="109"/>
        <v>0</v>
      </c>
      <c r="R100" s="18">
        <f t="shared" si="110"/>
        <v>0</v>
      </c>
      <c r="S100" s="18">
        <f t="shared" si="111"/>
        <v>0</v>
      </c>
      <c r="T100" s="18">
        <f t="shared" si="112"/>
        <v>0</v>
      </c>
      <c r="U100" s="18">
        <f t="shared" si="113"/>
        <v>0</v>
      </c>
      <c r="V100" s="18">
        <f t="shared" si="114"/>
        <v>0</v>
      </c>
      <c r="W100" s="18">
        <f t="shared" si="115"/>
        <v>0</v>
      </c>
      <c r="X100" s="18">
        <f t="shared" si="116"/>
        <v>0</v>
      </c>
      <c r="Y100" s="18">
        <f t="shared" si="117"/>
        <v>1</v>
      </c>
      <c r="Z100" s="18">
        <f t="shared" si="118"/>
        <v>0</v>
      </c>
      <c r="AA100" s="18">
        <f t="shared" si="119"/>
        <v>0</v>
      </c>
      <c r="AB100" s="18">
        <f t="shared" si="120"/>
        <v>0</v>
      </c>
      <c r="AC100" s="18">
        <f t="shared" si="121"/>
        <v>0</v>
      </c>
      <c r="AD100" s="18">
        <f t="shared" si="122"/>
        <v>0</v>
      </c>
      <c r="AE100" s="18">
        <f t="shared" si="123"/>
        <v>0</v>
      </c>
      <c r="AF100" s="18">
        <f t="shared" si="124"/>
        <v>0</v>
      </c>
      <c r="AG100" s="18">
        <f t="shared" si="125"/>
        <v>0</v>
      </c>
      <c r="AH100" s="18">
        <f t="shared" si="126"/>
        <v>0</v>
      </c>
      <c r="AI100" s="18">
        <f t="shared" si="127"/>
        <v>0</v>
      </c>
      <c r="AJ100" s="18">
        <f t="shared" si="128"/>
        <v>0</v>
      </c>
      <c r="AK100" s="18">
        <f t="shared" si="129"/>
        <v>0</v>
      </c>
      <c r="AL100" s="18">
        <f t="shared" si="130"/>
        <v>0</v>
      </c>
      <c r="AM100" s="18">
        <f t="shared" si="131"/>
        <v>0</v>
      </c>
      <c r="AN100" s="18">
        <f t="shared" si="132"/>
        <v>0</v>
      </c>
      <c r="AO100" s="18">
        <f t="shared" si="133"/>
        <v>0</v>
      </c>
      <c r="AP100" s="18">
        <f t="shared" si="134"/>
        <v>0</v>
      </c>
      <c r="AQ100" s="18">
        <f t="shared" si="135"/>
        <v>0</v>
      </c>
      <c r="AR100" s="18">
        <f t="shared" si="136"/>
        <v>0</v>
      </c>
      <c r="AS100" s="18">
        <f t="shared" si="137"/>
        <v>0</v>
      </c>
      <c r="AT100" s="18">
        <f t="shared" si="138"/>
        <v>0</v>
      </c>
      <c r="AU100" s="18">
        <f t="shared" si="139"/>
        <v>0</v>
      </c>
      <c r="AV100" s="18">
        <f t="shared" si="140"/>
        <v>0</v>
      </c>
      <c r="AW100" s="18">
        <f t="shared" si="141"/>
        <v>0</v>
      </c>
      <c r="AX100" s="18">
        <f t="shared" si="142"/>
        <v>0</v>
      </c>
      <c r="AY100" s="18">
        <f t="shared" si="143"/>
        <v>0</v>
      </c>
      <c r="AZ100" s="18">
        <f t="shared" si="144"/>
        <v>0</v>
      </c>
      <c r="BA100" s="18">
        <f t="shared" si="145"/>
        <v>0</v>
      </c>
      <c r="BB100" s="18">
        <f t="shared" si="146"/>
        <v>0</v>
      </c>
      <c r="BC100" s="18">
        <f t="shared" si="147"/>
        <v>0</v>
      </c>
      <c r="BD100" s="18">
        <f t="shared" si="148"/>
        <v>0</v>
      </c>
      <c r="BE100" s="18">
        <f t="shared" si="149"/>
        <v>0</v>
      </c>
      <c r="BF100" s="18">
        <f t="shared" si="150"/>
        <v>0</v>
      </c>
      <c r="BG100" s="18">
        <f t="shared" si="151"/>
        <v>0</v>
      </c>
      <c r="BH100" s="18">
        <f t="shared" si="152"/>
        <v>0</v>
      </c>
      <c r="BI100" s="18">
        <f t="shared" si="153"/>
        <v>0</v>
      </c>
      <c r="BJ100" s="18">
        <f t="shared" si="154"/>
        <v>0</v>
      </c>
      <c r="BK100" s="18">
        <f t="shared" si="155"/>
        <v>0</v>
      </c>
      <c r="BL100" s="18">
        <f t="shared" si="156"/>
        <v>0</v>
      </c>
      <c r="BM100" s="18">
        <f t="shared" si="157"/>
        <v>0</v>
      </c>
      <c r="BN100" s="18">
        <f t="shared" si="158"/>
        <v>0</v>
      </c>
      <c r="BO100" s="18">
        <f t="shared" si="159"/>
        <v>0</v>
      </c>
      <c r="BP100" s="18">
        <f t="shared" si="160"/>
        <v>0</v>
      </c>
      <c r="BQ100" s="18">
        <f t="shared" si="161"/>
        <v>0</v>
      </c>
      <c r="BR100" s="18">
        <f t="shared" si="162"/>
        <v>0</v>
      </c>
      <c r="BS100" s="18">
        <f t="shared" si="163"/>
        <v>0</v>
      </c>
      <c r="BT100" s="18">
        <f t="shared" si="164"/>
        <v>0</v>
      </c>
      <c r="BU100" s="18">
        <f t="shared" si="165"/>
        <v>0</v>
      </c>
      <c r="BV100" s="18">
        <f t="shared" si="166"/>
        <v>0</v>
      </c>
      <c r="BW100" s="18">
        <f t="shared" si="167"/>
        <v>0</v>
      </c>
      <c r="BX100" s="18">
        <f t="shared" si="168"/>
        <v>0</v>
      </c>
      <c r="BY100" s="18">
        <f t="shared" si="169"/>
        <v>0</v>
      </c>
      <c r="BZ100" s="18">
        <f t="shared" si="170"/>
        <v>0</v>
      </c>
      <c r="CA100" s="18">
        <f t="shared" si="171"/>
        <v>0</v>
      </c>
      <c r="CB100" s="18">
        <f t="shared" si="172"/>
        <v>0</v>
      </c>
      <c r="CC100" s="18">
        <f t="shared" si="173"/>
        <v>0</v>
      </c>
      <c r="CD100" s="18">
        <f t="shared" si="174"/>
        <v>0</v>
      </c>
      <c r="CE100" s="18">
        <f t="shared" si="175"/>
        <v>0</v>
      </c>
      <c r="CF100" s="18">
        <f t="shared" si="176"/>
        <v>0</v>
      </c>
      <c r="CG100" s="18">
        <f t="shared" si="177"/>
        <v>0</v>
      </c>
      <c r="CH100" s="18">
        <f t="shared" si="178"/>
        <v>0</v>
      </c>
      <c r="CI100" s="18">
        <f t="shared" si="179"/>
        <v>0</v>
      </c>
      <c r="CJ100" s="18">
        <f t="shared" si="180"/>
        <v>0</v>
      </c>
    </row>
    <row r="101" spans="1:88" x14ac:dyDescent="0.3">
      <c r="A101" s="1">
        <v>43979</v>
      </c>
      <c r="B101">
        <v>32200.59</v>
      </c>
      <c r="C101">
        <f>Table1[[#This Row],[Close]]-0.001*Table1[[#This Row],[Close]]</f>
        <v>32168.38941</v>
      </c>
      <c r="D101">
        <f>Table1[[#This Row],[Close]]+0.001*Table1[[#This Row],[Close]]</f>
        <v>32232.790590000001</v>
      </c>
      <c r="E101" t="str">
        <f>IF(Table1[[#This Row],[Close]]&gt;D100,"UP",IF(Table1[[#This Row],[Close]]&lt;C100,"Down","Constant"))</f>
        <v>UP</v>
      </c>
      <c r="F101" s="3">
        <f>IF(Table1[[#This Row],[Column1]]="Up",1,IF(Table1[[#This Row],[Column1]]="Down",-1,0))</f>
        <v>1</v>
      </c>
      <c r="G101">
        <f t="shared" si="99"/>
        <v>0</v>
      </c>
      <c r="H101" s="18">
        <f t="shared" si="100"/>
        <v>0</v>
      </c>
      <c r="I101" s="18">
        <f t="shared" si="101"/>
        <v>0</v>
      </c>
      <c r="J101" s="18">
        <f t="shared" si="102"/>
        <v>0</v>
      </c>
      <c r="K101" s="18">
        <f t="shared" si="103"/>
        <v>0</v>
      </c>
      <c r="L101" s="18">
        <f t="shared" si="104"/>
        <v>0</v>
      </c>
      <c r="M101" s="18">
        <f t="shared" si="105"/>
        <v>0</v>
      </c>
      <c r="N101" s="18">
        <f t="shared" si="106"/>
        <v>0</v>
      </c>
      <c r="O101" s="18">
        <f t="shared" si="107"/>
        <v>0</v>
      </c>
      <c r="P101" s="18">
        <f t="shared" si="108"/>
        <v>0</v>
      </c>
      <c r="Q101" s="18">
        <f t="shared" si="109"/>
        <v>0</v>
      </c>
      <c r="R101" s="18">
        <f t="shared" si="110"/>
        <v>0</v>
      </c>
      <c r="S101" s="18">
        <f t="shared" si="111"/>
        <v>0</v>
      </c>
      <c r="T101" s="18">
        <f t="shared" si="112"/>
        <v>0</v>
      </c>
      <c r="U101" s="18">
        <f t="shared" si="113"/>
        <v>0</v>
      </c>
      <c r="V101" s="18">
        <f t="shared" si="114"/>
        <v>1</v>
      </c>
      <c r="W101" s="18">
        <f t="shared" si="115"/>
        <v>0</v>
      </c>
      <c r="X101" s="18">
        <f t="shared" si="116"/>
        <v>0</v>
      </c>
      <c r="Y101" s="18">
        <f t="shared" si="117"/>
        <v>0</v>
      </c>
      <c r="Z101" s="18">
        <f t="shared" si="118"/>
        <v>0</v>
      </c>
      <c r="AA101" s="18">
        <f t="shared" si="119"/>
        <v>0</v>
      </c>
      <c r="AB101" s="18">
        <f t="shared" si="120"/>
        <v>0</v>
      </c>
      <c r="AC101" s="18">
        <f t="shared" si="121"/>
        <v>0</v>
      </c>
      <c r="AD101" s="18">
        <f t="shared" si="122"/>
        <v>0</v>
      </c>
      <c r="AE101" s="18">
        <f t="shared" si="123"/>
        <v>0</v>
      </c>
      <c r="AF101" s="18">
        <f t="shared" si="124"/>
        <v>0</v>
      </c>
      <c r="AG101" s="18">
        <f t="shared" si="125"/>
        <v>0</v>
      </c>
      <c r="AH101" s="18">
        <f t="shared" si="126"/>
        <v>0</v>
      </c>
      <c r="AI101" s="18">
        <f t="shared" si="127"/>
        <v>0</v>
      </c>
      <c r="AJ101" s="18">
        <f t="shared" si="128"/>
        <v>0</v>
      </c>
      <c r="AK101" s="18">
        <f t="shared" si="129"/>
        <v>0</v>
      </c>
      <c r="AL101" s="18">
        <f t="shared" si="130"/>
        <v>0</v>
      </c>
      <c r="AM101" s="18">
        <f t="shared" si="131"/>
        <v>0</v>
      </c>
      <c r="AN101" s="18">
        <f t="shared" si="132"/>
        <v>0</v>
      </c>
      <c r="AO101" s="18">
        <f t="shared" si="133"/>
        <v>0</v>
      </c>
      <c r="AP101" s="18">
        <f t="shared" si="134"/>
        <v>0</v>
      </c>
      <c r="AQ101" s="18">
        <f t="shared" si="135"/>
        <v>0</v>
      </c>
      <c r="AR101" s="18">
        <f t="shared" si="136"/>
        <v>0</v>
      </c>
      <c r="AS101" s="18">
        <f t="shared" si="137"/>
        <v>0</v>
      </c>
      <c r="AT101" s="18">
        <f t="shared" si="138"/>
        <v>0</v>
      </c>
      <c r="AU101" s="18">
        <f t="shared" si="139"/>
        <v>0</v>
      </c>
      <c r="AV101" s="18">
        <f t="shared" si="140"/>
        <v>0</v>
      </c>
      <c r="AW101" s="18">
        <f t="shared" si="141"/>
        <v>0</v>
      </c>
      <c r="AX101" s="18">
        <f t="shared" si="142"/>
        <v>0</v>
      </c>
      <c r="AY101" s="18">
        <f t="shared" si="143"/>
        <v>0</v>
      </c>
      <c r="AZ101" s="18">
        <f t="shared" si="144"/>
        <v>0</v>
      </c>
      <c r="BA101" s="18">
        <f t="shared" si="145"/>
        <v>0</v>
      </c>
      <c r="BB101" s="18">
        <f t="shared" si="146"/>
        <v>0</v>
      </c>
      <c r="BC101" s="18">
        <f t="shared" si="147"/>
        <v>0</v>
      </c>
      <c r="BD101" s="18">
        <f t="shared" si="148"/>
        <v>0</v>
      </c>
      <c r="BE101" s="18">
        <f t="shared" si="149"/>
        <v>0</v>
      </c>
      <c r="BF101" s="18">
        <f t="shared" si="150"/>
        <v>0</v>
      </c>
      <c r="BG101" s="18">
        <f t="shared" si="151"/>
        <v>0</v>
      </c>
      <c r="BH101" s="18">
        <f t="shared" si="152"/>
        <v>0</v>
      </c>
      <c r="BI101" s="18">
        <f t="shared" si="153"/>
        <v>0</v>
      </c>
      <c r="BJ101" s="18">
        <f t="shared" si="154"/>
        <v>0</v>
      </c>
      <c r="BK101" s="18">
        <f t="shared" si="155"/>
        <v>0</v>
      </c>
      <c r="BL101" s="18">
        <f t="shared" si="156"/>
        <v>0</v>
      </c>
      <c r="BM101" s="18">
        <f t="shared" si="157"/>
        <v>0</v>
      </c>
      <c r="BN101" s="18">
        <f t="shared" si="158"/>
        <v>0</v>
      </c>
      <c r="BO101" s="18">
        <f t="shared" si="159"/>
        <v>0</v>
      </c>
      <c r="BP101" s="18">
        <f t="shared" si="160"/>
        <v>0</v>
      </c>
      <c r="BQ101" s="18">
        <f t="shared" si="161"/>
        <v>0</v>
      </c>
      <c r="BR101" s="18">
        <f t="shared" si="162"/>
        <v>0</v>
      </c>
      <c r="BS101" s="18">
        <f t="shared" si="163"/>
        <v>0</v>
      </c>
      <c r="BT101" s="18">
        <f t="shared" si="164"/>
        <v>0</v>
      </c>
      <c r="BU101" s="18">
        <f t="shared" si="165"/>
        <v>0</v>
      </c>
      <c r="BV101" s="18">
        <f t="shared" si="166"/>
        <v>0</v>
      </c>
      <c r="BW101" s="18">
        <f t="shared" si="167"/>
        <v>0</v>
      </c>
      <c r="BX101" s="18">
        <f t="shared" si="168"/>
        <v>0</v>
      </c>
      <c r="BY101" s="18">
        <f t="shared" si="169"/>
        <v>0</v>
      </c>
      <c r="BZ101" s="18">
        <f t="shared" si="170"/>
        <v>0</v>
      </c>
      <c r="CA101" s="18">
        <f t="shared" si="171"/>
        <v>0</v>
      </c>
      <c r="CB101" s="18">
        <f t="shared" si="172"/>
        <v>0</v>
      </c>
      <c r="CC101" s="18">
        <f t="shared" si="173"/>
        <v>0</v>
      </c>
      <c r="CD101" s="18">
        <f t="shared" si="174"/>
        <v>0</v>
      </c>
      <c r="CE101" s="18">
        <f t="shared" si="175"/>
        <v>0</v>
      </c>
      <c r="CF101" s="18">
        <f t="shared" si="176"/>
        <v>0</v>
      </c>
      <c r="CG101" s="18">
        <f t="shared" si="177"/>
        <v>0</v>
      </c>
      <c r="CH101" s="18">
        <f t="shared" si="178"/>
        <v>0</v>
      </c>
      <c r="CI101" s="18">
        <f t="shared" si="179"/>
        <v>0</v>
      </c>
      <c r="CJ101" s="18">
        <f t="shared" si="180"/>
        <v>0</v>
      </c>
    </row>
    <row r="102" spans="1:88" x14ac:dyDescent="0.3">
      <c r="A102" s="1">
        <v>43980</v>
      </c>
      <c r="B102">
        <v>32424.1</v>
      </c>
      <c r="C102">
        <f>Table1[[#This Row],[Close]]-0.001*Table1[[#This Row],[Close]]</f>
        <v>32391.675899999998</v>
      </c>
      <c r="D102">
        <f>Table1[[#This Row],[Close]]+0.001*Table1[[#This Row],[Close]]</f>
        <v>32456.524099999999</v>
      </c>
      <c r="E102" t="str">
        <f>IF(Table1[[#This Row],[Close]]&gt;D101,"UP",IF(Table1[[#This Row],[Close]]&lt;C101,"Down","Constant"))</f>
        <v>UP</v>
      </c>
      <c r="F102" s="3">
        <f>IF(Table1[[#This Row],[Column1]]="Up",1,IF(Table1[[#This Row],[Column1]]="Down",-1,0))</f>
        <v>1</v>
      </c>
      <c r="G102">
        <f t="shared" si="99"/>
        <v>0</v>
      </c>
      <c r="H102" s="18">
        <f t="shared" si="100"/>
        <v>0</v>
      </c>
      <c r="I102" s="18">
        <f t="shared" si="101"/>
        <v>0</v>
      </c>
      <c r="J102" s="18">
        <f t="shared" si="102"/>
        <v>0</v>
      </c>
      <c r="K102" s="18">
        <f t="shared" si="103"/>
        <v>0</v>
      </c>
      <c r="L102" s="18">
        <f t="shared" si="104"/>
        <v>0</v>
      </c>
      <c r="M102" s="18">
        <f t="shared" si="105"/>
        <v>1</v>
      </c>
      <c r="N102" s="18">
        <f t="shared" si="106"/>
        <v>0</v>
      </c>
      <c r="O102" s="18">
        <f t="shared" si="107"/>
        <v>0</v>
      </c>
      <c r="P102" s="18">
        <f t="shared" si="108"/>
        <v>0</v>
      </c>
      <c r="Q102" s="18">
        <f t="shared" si="109"/>
        <v>0</v>
      </c>
      <c r="R102" s="18">
        <f t="shared" si="110"/>
        <v>0</v>
      </c>
      <c r="S102" s="18">
        <f t="shared" si="111"/>
        <v>0</v>
      </c>
      <c r="T102" s="18">
        <f t="shared" si="112"/>
        <v>0</v>
      </c>
      <c r="U102" s="18">
        <f t="shared" si="113"/>
        <v>0</v>
      </c>
      <c r="V102" s="18">
        <f t="shared" si="114"/>
        <v>0</v>
      </c>
      <c r="W102" s="18">
        <f t="shared" si="115"/>
        <v>0</v>
      </c>
      <c r="X102" s="18">
        <f t="shared" si="116"/>
        <v>0</v>
      </c>
      <c r="Y102" s="18">
        <f t="shared" si="117"/>
        <v>0</v>
      </c>
      <c r="Z102" s="18">
        <f t="shared" si="118"/>
        <v>0</v>
      </c>
      <c r="AA102" s="18">
        <f t="shared" si="119"/>
        <v>0</v>
      </c>
      <c r="AB102" s="18">
        <f t="shared" si="120"/>
        <v>0</v>
      </c>
      <c r="AC102" s="18">
        <f t="shared" si="121"/>
        <v>0</v>
      </c>
      <c r="AD102" s="18">
        <f t="shared" si="122"/>
        <v>0</v>
      </c>
      <c r="AE102" s="18">
        <f t="shared" si="123"/>
        <v>0</v>
      </c>
      <c r="AF102" s="18">
        <f t="shared" si="124"/>
        <v>0</v>
      </c>
      <c r="AG102" s="18">
        <f t="shared" si="125"/>
        <v>0</v>
      </c>
      <c r="AH102" s="18">
        <f t="shared" si="126"/>
        <v>0</v>
      </c>
      <c r="AI102" s="18">
        <f t="shared" si="127"/>
        <v>0</v>
      </c>
      <c r="AJ102" s="18">
        <f t="shared" si="128"/>
        <v>0</v>
      </c>
      <c r="AK102" s="18">
        <f t="shared" si="129"/>
        <v>0</v>
      </c>
      <c r="AL102" s="18">
        <f t="shared" si="130"/>
        <v>0</v>
      </c>
      <c r="AM102" s="18">
        <f t="shared" si="131"/>
        <v>0</v>
      </c>
      <c r="AN102" s="18">
        <f t="shared" si="132"/>
        <v>0</v>
      </c>
      <c r="AO102" s="18">
        <f t="shared" si="133"/>
        <v>0</v>
      </c>
      <c r="AP102" s="18">
        <f t="shared" si="134"/>
        <v>0</v>
      </c>
      <c r="AQ102" s="18">
        <f t="shared" si="135"/>
        <v>0</v>
      </c>
      <c r="AR102" s="18">
        <f t="shared" si="136"/>
        <v>0</v>
      </c>
      <c r="AS102" s="18">
        <f t="shared" si="137"/>
        <v>0</v>
      </c>
      <c r="AT102" s="18">
        <f t="shared" si="138"/>
        <v>0</v>
      </c>
      <c r="AU102" s="18">
        <f t="shared" si="139"/>
        <v>0</v>
      </c>
      <c r="AV102" s="18">
        <f t="shared" si="140"/>
        <v>0</v>
      </c>
      <c r="AW102" s="18">
        <f t="shared" si="141"/>
        <v>0</v>
      </c>
      <c r="AX102" s="18">
        <f t="shared" si="142"/>
        <v>0</v>
      </c>
      <c r="AY102" s="18">
        <f t="shared" si="143"/>
        <v>0</v>
      </c>
      <c r="AZ102" s="18">
        <f t="shared" si="144"/>
        <v>0</v>
      </c>
      <c r="BA102" s="18">
        <f t="shared" si="145"/>
        <v>0</v>
      </c>
      <c r="BB102" s="18">
        <f t="shared" si="146"/>
        <v>0</v>
      </c>
      <c r="BC102" s="18">
        <f t="shared" si="147"/>
        <v>0</v>
      </c>
      <c r="BD102" s="18">
        <f t="shared" si="148"/>
        <v>0</v>
      </c>
      <c r="BE102" s="18">
        <f t="shared" si="149"/>
        <v>0</v>
      </c>
      <c r="BF102" s="18">
        <f t="shared" si="150"/>
        <v>0</v>
      </c>
      <c r="BG102" s="18">
        <f t="shared" si="151"/>
        <v>0</v>
      </c>
      <c r="BH102" s="18">
        <f t="shared" si="152"/>
        <v>0</v>
      </c>
      <c r="BI102" s="18">
        <f t="shared" si="153"/>
        <v>0</v>
      </c>
      <c r="BJ102" s="18">
        <f t="shared" si="154"/>
        <v>0</v>
      </c>
      <c r="BK102" s="18">
        <f t="shared" si="155"/>
        <v>0</v>
      </c>
      <c r="BL102" s="18">
        <f t="shared" si="156"/>
        <v>0</v>
      </c>
      <c r="BM102" s="18">
        <f t="shared" si="157"/>
        <v>0</v>
      </c>
      <c r="BN102" s="18">
        <f t="shared" si="158"/>
        <v>0</v>
      </c>
      <c r="BO102" s="18">
        <f t="shared" si="159"/>
        <v>0</v>
      </c>
      <c r="BP102" s="18">
        <f t="shared" si="160"/>
        <v>0</v>
      </c>
      <c r="BQ102" s="18">
        <f t="shared" si="161"/>
        <v>0</v>
      </c>
      <c r="BR102" s="18">
        <f t="shared" si="162"/>
        <v>0</v>
      </c>
      <c r="BS102" s="18">
        <f t="shared" si="163"/>
        <v>0</v>
      </c>
      <c r="BT102" s="18">
        <f t="shared" si="164"/>
        <v>0</v>
      </c>
      <c r="BU102" s="18">
        <f t="shared" si="165"/>
        <v>0</v>
      </c>
      <c r="BV102" s="18">
        <f t="shared" si="166"/>
        <v>0</v>
      </c>
      <c r="BW102" s="18">
        <f t="shared" si="167"/>
        <v>0</v>
      </c>
      <c r="BX102" s="18">
        <f t="shared" si="168"/>
        <v>0</v>
      </c>
      <c r="BY102" s="18">
        <f t="shared" si="169"/>
        <v>0</v>
      </c>
      <c r="BZ102" s="18">
        <f t="shared" si="170"/>
        <v>0</v>
      </c>
      <c r="CA102" s="18">
        <f t="shared" si="171"/>
        <v>0</v>
      </c>
      <c r="CB102" s="18">
        <f t="shared" si="172"/>
        <v>0</v>
      </c>
      <c r="CC102" s="18">
        <f t="shared" si="173"/>
        <v>0</v>
      </c>
      <c r="CD102" s="18">
        <f t="shared" si="174"/>
        <v>0</v>
      </c>
      <c r="CE102" s="18">
        <f t="shared" si="175"/>
        <v>0</v>
      </c>
      <c r="CF102" s="18">
        <f t="shared" si="176"/>
        <v>0</v>
      </c>
      <c r="CG102" s="18">
        <f t="shared" si="177"/>
        <v>0</v>
      </c>
      <c r="CH102" s="18">
        <f t="shared" si="178"/>
        <v>0</v>
      </c>
      <c r="CI102" s="18">
        <f t="shared" si="179"/>
        <v>0</v>
      </c>
      <c r="CJ102" s="18">
        <f t="shared" si="180"/>
        <v>0</v>
      </c>
    </row>
    <row r="103" spans="1:88" x14ac:dyDescent="0.3">
      <c r="A103" s="1">
        <v>43983</v>
      </c>
      <c r="B103">
        <v>33303.519999999997</v>
      </c>
      <c r="C103">
        <f>Table1[[#This Row],[Close]]-0.001*Table1[[#This Row],[Close]]</f>
        <v>33270.216479999995</v>
      </c>
      <c r="D103">
        <f>Table1[[#This Row],[Close]]+0.001*Table1[[#This Row],[Close]]</f>
        <v>33336.823519999998</v>
      </c>
      <c r="E103" t="str">
        <f>IF(Table1[[#This Row],[Close]]&gt;D102,"UP",IF(Table1[[#This Row],[Close]]&lt;C102,"Down","Constant"))</f>
        <v>UP</v>
      </c>
      <c r="F103" s="3">
        <f>IF(Table1[[#This Row],[Column1]]="Up",1,IF(Table1[[#This Row],[Column1]]="Down",-1,0))</f>
        <v>1</v>
      </c>
      <c r="G103">
        <f t="shared" si="99"/>
        <v>0</v>
      </c>
      <c r="H103" s="18">
        <f t="shared" si="100"/>
        <v>0</v>
      </c>
      <c r="I103" s="18">
        <f t="shared" si="101"/>
        <v>0</v>
      </c>
      <c r="J103" s="18">
        <f t="shared" si="102"/>
        <v>1</v>
      </c>
      <c r="K103" s="18">
        <f t="shared" si="103"/>
        <v>0</v>
      </c>
      <c r="L103" s="18">
        <f t="shared" si="104"/>
        <v>0</v>
      </c>
      <c r="M103" s="18">
        <f t="shared" si="105"/>
        <v>0</v>
      </c>
      <c r="N103" s="18">
        <f t="shared" si="106"/>
        <v>0</v>
      </c>
      <c r="O103" s="18">
        <f t="shared" si="107"/>
        <v>0</v>
      </c>
      <c r="P103" s="18">
        <f t="shared" si="108"/>
        <v>0</v>
      </c>
      <c r="Q103" s="18">
        <f t="shared" si="109"/>
        <v>0</v>
      </c>
      <c r="R103" s="18">
        <f t="shared" si="110"/>
        <v>0</v>
      </c>
      <c r="S103" s="18">
        <f t="shared" si="111"/>
        <v>0</v>
      </c>
      <c r="T103" s="18">
        <f t="shared" si="112"/>
        <v>0</v>
      </c>
      <c r="U103" s="18">
        <f t="shared" si="113"/>
        <v>0</v>
      </c>
      <c r="V103" s="18">
        <f t="shared" si="114"/>
        <v>0</v>
      </c>
      <c r="W103" s="18">
        <f t="shared" si="115"/>
        <v>0</v>
      </c>
      <c r="X103" s="18">
        <f t="shared" si="116"/>
        <v>0</v>
      </c>
      <c r="Y103" s="18">
        <f t="shared" si="117"/>
        <v>0</v>
      </c>
      <c r="Z103" s="18">
        <f t="shared" si="118"/>
        <v>0</v>
      </c>
      <c r="AA103" s="18">
        <f t="shared" si="119"/>
        <v>0</v>
      </c>
      <c r="AB103" s="18">
        <f t="shared" si="120"/>
        <v>0</v>
      </c>
      <c r="AC103" s="18">
        <f t="shared" si="121"/>
        <v>0</v>
      </c>
      <c r="AD103" s="18">
        <f t="shared" si="122"/>
        <v>0</v>
      </c>
      <c r="AE103" s="18">
        <f t="shared" si="123"/>
        <v>0</v>
      </c>
      <c r="AF103" s="18">
        <f t="shared" si="124"/>
        <v>0</v>
      </c>
      <c r="AG103" s="18">
        <f t="shared" si="125"/>
        <v>0</v>
      </c>
      <c r="AH103" s="18">
        <f t="shared" si="126"/>
        <v>0</v>
      </c>
      <c r="AI103" s="18">
        <f t="shared" si="127"/>
        <v>0</v>
      </c>
      <c r="AJ103" s="18">
        <f t="shared" si="128"/>
        <v>0</v>
      </c>
      <c r="AK103" s="18">
        <f t="shared" si="129"/>
        <v>0</v>
      </c>
      <c r="AL103" s="18">
        <f t="shared" si="130"/>
        <v>0</v>
      </c>
      <c r="AM103" s="18">
        <f t="shared" si="131"/>
        <v>0</v>
      </c>
      <c r="AN103" s="18">
        <f t="shared" si="132"/>
        <v>0</v>
      </c>
      <c r="AO103" s="18">
        <f t="shared" si="133"/>
        <v>0</v>
      </c>
      <c r="AP103" s="18">
        <f t="shared" si="134"/>
        <v>0</v>
      </c>
      <c r="AQ103" s="18">
        <f t="shared" si="135"/>
        <v>0</v>
      </c>
      <c r="AR103" s="18">
        <f t="shared" si="136"/>
        <v>0</v>
      </c>
      <c r="AS103" s="18">
        <f t="shared" si="137"/>
        <v>0</v>
      </c>
      <c r="AT103" s="18">
        <f t="shared" si="138"/>
        <v>0</v>
      </c>
      <c r="AU103" s="18">
        <f t="shared" si="139"/>
        <v>0</v>
      </c>
      <c r="AV103" s="18">
        <f t="shared" si="140"/>
        <v>0</v>
      </c>
      <c r="AW103" s="18">
        <f t="shared" si="141"/>
        <v>0</v>
      </c>
      <c r="AX103" s="18">
        <f t="shared" si="142"/>
        <v>0</v>
      </c>
      <c r="AY103" s="18">
        <f t="shared" si="143"/>
        <v>0</v>
      </c>
      <c r="AZ103" s="18">
        <f t="shared" si="144"/>
        <v>0</v>
      </c>
      <c r="BA103" s="18">
        <f t="shared" si="145"/>
        <v>0</v>
      </c>
      <c r="BB103" s="18">
        <f t="shared" si="146"/>
        <v>0</v>
      </c>
      <c r="BC103" s="18">
        <f t="shared" si="147"/>
        <v>0</v>
      </c>
      <c r="BD103" s="18">
        <f t="shared" si="148"/>
        <v>0</v>
      </c>
      <c r="BE103" s="18">
        <f t="shared" si="149"/>
        <v>0</v>
      </c>
      <c r="BF103" s="18">
        <f t="shared" si="150"/>
        <v>0</v>
      </c>
      <c r="BG103" s="18">
        <f t="shared" si="151"/>
        <v>0</v>
      </c>
      <c r="BH103" s="18">
        <f t="shared" si="152"/>
        <v>0</v>
      </c>
      <c r="BI103" s="18">
        <f t="shared" si="153"/>
        <v>0</v>
      </c>
      <c r="BJ103" s="18">
        <f t="shared" si="154"/>
        <v>0</v>
      </c>
      <c r="BK103" s="18">
        <f t="shared" si="155"/>
        <v>0</v>
      </c>
      <c r="BL103" s="18">
        <f t="shared" si="156"/>
        <v>0</v>
      </c>
      <c r="BM103" s="18">
        <f t="shared" si="157"/>
        <v>0</v>
      </c>
      <c r="BN103" s="18">
        <f t="shared" si="158"/>
        <v>0</v>
      </c>
      <c r="BO103" s="18">
        <f t="shared" si="159"/>
        <v>0</v>
      </c>
      <c r="BP103" s="18">
        <f t="shared" si="160"/>
        <v>0</v>
      </c>
      <c r="BQ103" s="18">
        <f t="shared" si="161"/>
        <v>0</v>
      </c>
      <c r="BR103" s="18">
        <f t="shared" si="162"/>
        <v>0</v>
      </c>
      <c r="BS103" s="18">
        <f t="shared" si="163"/>
        <v>0</v>
      </c>
      <c r="BT103" s="18">
        <f t="shared" si="164"/>
        <v>0</v>
      </c>
      <c r="BU103" s="18">
        <f t="shared" si="165"/>
        <v>0</v>
      </c>
      <c r="BV103" s="18">
        <f t="shared" si="166"/>
        <v>0</v>
      </c>
      <c r="BW103" s="18">
        <f t="shared" si="167"/>
        <v>0</v>
      </c>
      <c r="BX103" s="18">
        <f t="shared" si="168"/>
        <v>0</v>
      </c>
      <c r="BY103" s="18">
        <f t="shared" si="169"/>
        <v>0</v>
      </c>
      <c r="BZ103" s="18">
        <f t="shared" si="170"/>
        <v>0</v>
      </c>
      <c r="CA103" s="18">
        <f t="shared" si="171"/>
        <v>0</v>
      </c>
      <c r="CB103" s="18">
        <f t="shared" si="172"/>
        <v>0</v>
      </c>
      <c r="CC103" s="18">
        <f t="shared" si="173"/>
        <v>0</v>
      </c>
      <c r="CD103" s="18">
        <f t="shared" si="174"/>
        <v>0</v>
      </c>
      <c r="CE103" s="18">
        <f t="shared" si="175"/>
        <v>0</v>
      </c>
      <c r="CF103" s="18">
        <f t="shared" si="176"/>
        <v>0</v>
      </c>
      <c r="CG103" s="18">
        <f t="shared" si="177"/>
        <v>0</v>
      </c>
      <c r="CH103" s="18">
        <f t="shared" si="178"/>
        <v>0</v>
      </c>
      <c r="CI103" s="18">
        <f t="shared" si="179"/>
        <v>0</v>
      </c>
      <c r="CJ103" s="18">
        <f t="shared" si="180"/>
        <v>0</v>
      </c>
    </row>
    <row r="104" spans="1:88" x14ac:dyDescent="0.3">
      <c r="A104" s="1">
        <v>43984</v>
      </c>
      <c r="B104">
        <v>33825.53</v>
      </c>
      <c r="C104">
        <f>Table1[[#This Row],[Close]]-0.001*Table1[[#This Row],[Close]]</f>
        <v>33791.704469999997</v>
      </c>
      <c r="D104">
        <f>Table1[[#This Row],[Close]]+0.001*Table1[[#This Row],[Close]]</f>
        <v>33859.355530000001</v>
      </c>
      <c r="E104" t="str">
        <f>IF(Table1[[#This Row],[Close]]&gt;D103,"UP",IF(Table1[[#This Row],[Close]]&lt;C103,"Down","Constant"))</f>
        <v>UP</v>
      </c>
      <c r="F104" s="3">
        <f>IF(Table1[[#This Row],[Column1]]="Up",1,IF(Table1[[#This Row],[Column1]]="Down",-1,0))</f>
        <v>1</v>
      </c>
      <c r="G104">
        <f t="shared" si="99"/>
        <v>0</v>
      </c>
      <c r="H104" s="18">
        <f t="shared" si="100"/>
        <v>0</v>
      </c>
      <c r="I104" s="18">
        <f t="shared" si="101"/>
        <v>0</v>
      </c>
      <c r="J104" s="18">
        <f t="shared" si="102"/>
        <v>1</v>
      </c>
      <c r="K104" s="18">
        <f t="shared" si="103"/>
        <v>0</v>
      </c>
      <c r="L104" s="18">
        <f t="shared" si="104"/>
        <v>0</v>
      </c>
      <c r="M104" s="18">
        <f t="shared" si="105"/>
        <v>0</v>
      </c>
      <c r="N104" s="18">
        <f t="shared" si="106"/>
        <v>0</v>
      </c>
      <c r="O104" s="18">
        <f t="shared" si="107"/>
        <v>0</v>
      </c>
      <c r="P104" s="18">
        <f t="shared" si="108"/>
        <v>0</v>
      </c>
      <c r="Q104" s="18">
        <f t="shared" si="109"/>
        <v>0</v>
      </c>
      <c r="R104" s="18">
        <f t="shared" si="110"/>
        <v>0</v>
      </c>
      <c r="S104" s="18">
        <f t="shared" si="111"/>
        <v>0</v>
      </c>
      <c r="T104" s="18">
        <f t="shared" si="112"/>
        <v>0</v>
      </c>
      <c r="U104" s="18">
        <f t="shared" si="113"/>
        <v>0</v>
      </c>
      <c r="V104" s="18">
        <f t="shared" si="114"/>
        <v>0</v>
      </c>
      <c r="W104" s="18">
        <f t="shared" si="115"/>
        <v>0</v>
      </c>
      <c r="X104" s="18">
        <f t="shared" si="116"/>
        <v>0</v>
      </c>
      <c r="Y104" s="18">
        <f t="shared" si="117"/>
        <v>0</v>
      </c>
      <c r="Z104" s="18">
        <f t="shared" si="118"/>
        <v>0</v>
      </c>
      <c r="AA104" s="18">
        <f t="shared" si="119"/>
        <v>0</v>
      </c>
      <c r="AB104" s="18">
        <f t="shared" si="120"/>
        <v>0</v>
      </c>
      <c r="AC104" s="18">
        <f t="shared" si="121"/>
        <v>0</v>
      </c>
      <c r="AD104" s="18">
        <f t="shared" si="122"/>
        <v>0</v>
      </c>
      <c r="AE104" s="18">
        <f t="shared" si="123"/>
        <v>0</v>
      </c>
      <c r="AF104" s="18">
        <f t="shared" si="124"/>
        <v>0</v>
      </c>
      <c r="AG104" s="18">
        <f t="shared" si="125"/>
        <v>0</v>
      </c>
      <c r="AH104" s="18">
        <f t="shared" si="126"/>
        <v>0</v>
      </c>
      <c r="AI104" s="18">
        <f t="shared" si="127"/>
        <v>0</v>
      </c>
      <c r="AJ104" s="18">
        <f t="shared" si="128"/>
        <v>0</v>
      </c>
      <c r="AK104" s="18">
        <f t="shared" si="129"/>
        <v>0</v>
      </c>
      <c r="AL104" s="18">
        <f t="shared" si="130"/>
        <v>0</v>
      </c>
      <c r="AM104" s="18">
        <f t="shared" si="131"/>
        <v>0</v>
      </c>
      <c r="AN104" s="18">
        <f t="shared" si="132"/>
        <v>0</v>
      </c>
      <c r="AO104" s="18">
        <f t="shared" si="133"/>
        <v>0</v>
      </c>
      <c r="AP104" s="18">
        <f t="shared" si="134"/>
        <v>0</v>
      </c>
      <c r="AQ104" s="18">
        <f t="shared" si="135"/>
        <v>0</v>
      </c>
      <c r="AR104" s="18">
        <f t="shared" si="136"/>
        <v>0</v>
      </c>
      <c r="AS104" s="18">
        <f t="shared" si="137"/>
        <v>0</v>
      </c>
      <c r="AT104" s="18">
        <f t="shared" si="138"/>
        <v>0</v>
      </c>
      <c r="AU104" s="18">
        <f t="shared" si="139"/>
        <v>0</v>
      </c>
      <c r="AV104" s="18">
        <f t="shared" si="140"/>
        <v>0</v>
      </c>
      <c r="AW104" s="18">
        <f t="shared" si="141"/>
        <v>0</v>
      </c>
      <c r="AX104" s="18">
        <f t="shared" si="142"/>
        <v>0</v>
      </c>
      <c r="AY104" s="18">
        <f t="shared" si="143"/>
        <v>0</v>
      </c>
      <c r="AZ104" s="18">
        <f t="shared" si="144"/>
        <v>0</v>
      </c>
      <c r="BA104" s="18">
        <f t="shared" si="145"/>
        <v>0</v>
      </c>
      <c r="BB104" s="18">
        <f t="shared" si="146"/>
        <v>0</v>
      </c>
      <c r="BC104" s="18">
        <f t="shared" si="147"/>
        <v>0</v>
      </c>
      <c r="BD104" s="18">
        <f t="shared" si="148"/>
        <v>0</v>
      </c>
      <c r="BE104" s="18">
        <f t="shared" si="149"/>
        <v>0</v>
      </c>
      <c r="BF104" s="18">
        <f t="shared" si="150"/>
        <v>0</v>
      </c>
      <c r="BG104" s="18">
        <f t="shared" si="151"/>
        <v>0</v>
      </c>
      <c r="BH104" s="18">
        <f t="shared" si="152"/>
        <v>0</v>
      </c>
      <c r="BI104" s="18">
        <f t="shared" si="153"/>
        <v>0</v>
      </c>
      <c r="BJ104" s="18">
        <f t="shared" si="154"/>
        <v>0</v>
      </c>
      <c r="BK104" s="18">
        <f t="shared" si="155"/>
        <v>0</v>
      </c>
      <c r="BL104" s="18">
        <f t="shared" si="156"/>
        <v>0</v>
      </c>
      <c r="BM104" s="18">
        <f t="shared" si="157"/>
        <v>0</v>
      </c>
      <c r="BN104" s="18">
        <f t="shared" si="158"/>
        <v>0</v>
      </c>
      <c r="BO104" s="18">
        <f t="shared" si="159"/>
        <v>0</v>
      </c>
      <c r="BP104" s="18">
        <f t="shared" si="160"/>
        <v>0</v>
      </c>
      <c r="BQ104" s="18">
        <f t="shared" si="161"/>
        <v>0</v>
      </c>
      <c r="BR104" s="18">
        <f t="shared" si="162"/>
        <v>0</v>
      </c>
      <c r="BS104" s="18">
        <f t="shared" si="163"/>
        <v>0</v>
      </c>
      <c r="BT104" s="18">
        <f t="shared" si="164"/>
        <v>0</v>
      </c>
      <c r="BU104" s="18">
        <f t="shared" si="165"/>
        <v>0</v>
      </c>
      <c r="BV104" s="18">
        <f t="shared" si="166"/>
        <v>0</v>
      </c>
      <c r="BW104" s="18">
        <f t="shared" si="167"/>
        <v>0</v>
      </c>
      <c r="BX104" s="18">
        <f t="shared" si="168"/>
        <v>0</v>
      </c>
      <c r="BY104" s="18">
        <f t="shared" si="169"/>
        <v>0</v>
      </c>
      <c r="BZ104" s="18">
        <f t="shared" si="170"/>
        <v>0</v>
      </c>
      <c r="CA104" s="18">
        <f t="shared" si="171"/>
        <v>0</v>
      </c>
      <c r="CB104" s="18">
        <f t="shared" si="172"/>
        <v>0</v>
      </c>
      <c r="CC104" s="18">
        <f t="shared" si="173"/>
        <v>0</v>
      </c>
      <c r="CD104" s="18">
        <f t="shared" si="174"/>
        <v>0</v>
      </c>
      <c r="CE104" s="18">
        <f t="shared" si="175"/>
        <v>0</v>
      </c>
      <c r="CF104" s="18">
        <f t="shared" si="176"/>
        <v>0</v>
      </c>
      <c r="CG104" s="18">
        <f t="shared" si="177"/>
        <v>0</v>
      </c>
      <c r="CH104" s="18">
        <f t="shared" si="178"/>
        <v>0</v>
      </c>
      <c r="CI104" s="18">
        <f t="shared" si="179"/>
        <v>0</v>
      </c>
      <c r="CJ104" s="18">
        <f t="shared" si="180"/>
        <v>0</v>
      </c>
    </row>
    <row r="105" spans="1:88" x14ac:dyDescent="0.3">
      <c r="A105" s="1">
        <v>43985</v>
      </c>
      <c r="B105">
        <v>34109.54</v>
      </c>
      <c r="C105">
        <f>Table1[[#This Row],[Close]]-0.001*Table1[[#This Row],[Close]]</f>
        <v>34075.430460000003</v>
      </c>
      <c r="D105">
        <f>Table1[[#This Row],[Close]]+0.001*Table1[[#This Row],[Close]]</f>
        <v>34143.649539999999</v>
      </c>
      <c r="E105" t="str">
        <f>IF(Table1[[#This Row],[Close]]&gt;D104,"UP",IF(Table1[[#This Row],[Close]]&lt;C104,"Down","Constant"))</f>
        <v>UP</v>
      </c>
      <c r="F105" s="3">
        <f>IF(Table1[[#This Row],[Column1]]="Up",1,IF(Table1[[#This Row],[Column1]]="Down",-1,0))</f>
        <v>1</v>
      </c>
      <c r="G105">
        <f t="shared" si="99"/>
        <v>0</v>
      </c>
      <c r="H105" s="18">
        <f t="shared" si="100"/>
        <v>0</v>
      </c>
      <c r="I105" s="18">
        <f t="shared" si="101"/>
        <v>0</v>
      </c>
      <c r="J105" s="18">
        <f t="shared" si="102"/>
        <v>1</v>
      </c>
      <c r="K105" s="18">
        <f t="shared" si="103"/>
        <v>0</v>
      </c>
      <c r="L105" s="18">
        <f t="shared" si="104"/>
        <v>0</v>
      </c>
      <c r="M105" s="18">
        <f t="shared" si="105"/>
        <v>0</v>
      </c>
      <c r="N105" s="18">
        <f t="shared" si="106"/>
        <v>0</v>
      </c>
      <c r="O105" s="18">
        <f t="shared" si="107"/>
        <v>0</v>
      </c>
      <c r="P105" s="18">
        <f t="shared" si="108"/>
        <v>0</v>
      </c>
      <c r="Q105" s="18">
        <f t="shared" si="109"/>
        <v>0</v>
      </c>
      <c r="R105" s="18">
        <f t="shared" si="110"/>
        <v>0</v>
      </c>
      <c r="S105" s="18">
        <f t="shared" si="111"/>
        <v>0</v>
      </c>
      <c r="T105" s="18">
        <f t="shared" si="112"/>
        <v>0</v>
      </c>
      <c r="U105" s="18">
        <f t="shared" si="113"/>
        <v>0</v>
      </c>
      <c r="V105" s="18">
        <f t="shared" si="114"/>
        <v>0</v>
      </c>
      <c r="W105" s="18">
        <f t="shared" si="115"/>
        <v>0</v>
      </c>
      <c r="X105" s="18">
        <f t="shared" si="116"/>
        <v>0</v>
      </c>
      <c r="Y105" s="18">
        <f t="shared" si="117"/>
        <v>0</v>
      </c>
      <c r="Z105" s="18">
        <f t="shared" si="118"/>
        <v>0</v>
      </c>
      <c r="AA105" s="18">
        <f t="shared" si="119"/>
        <v>0</v>
      </c>
      <c r="AB105" s="18">
        <f t="shared" si="120"/>
        <v>0</v>
      </c>
      <c r="AC105" s="18">
        <f t="shared" si="121"/>
        <v>0</v>
      </c>
      <c r="AD105" s="18">
        <f t="shared" si="122"/>
        <v>0</v>
      </c>
      <c r="AE105" s="18">
        <f t="shared" si="123"/>
        <v>0</v>
      </c>
      <c r="AF105" s="18">
        <f t="shared" si="124"/>
        <v>0</v>
      </c>
      <c r="AG105" s="18">
        <f t="shared" si="125"/>
        <v>0</v>
      </c>
      <c r="AH105" s="18">
        <f t="shared" si="126"/>
        <v>0</v>
      </c>
      <c r="AI105" s="18">
        <f t="shared" si="127"/>
        <v>0</v>
      </c>
      <c r="AJ105" s="18">
        <f t="shared" si="128"/>
        <v>0</v>
      </c>
      <c r="AK105" s="18">
        <f t="shared" si="129"/>
        <v>0</v>
      </c>
      <c r="AL105" s="18">
        <f t="shared" si="130"/>
        <v>0</v>
      </c>
      <c r="AM105" s="18">
        <f t="shared" si="131"/>
        <v>0</v>
      </c>
      <c r="AN105" s="18">
        <f t="shared" si="132"/>
        <v>0</v>
      </c>
      <c r="AO105" s="18">
        <f t="shared" si="133"/>
        <v>0</v>
      </c>
      <c r="AP105" s="18">
        <f t="shared" si="134"/>
        <v>0</v>
      </c>
      <c r="AQ105" s="18">
        <f t="shared" si="135"/>
        <v>0</v>
      </c>
      <c r="AR105" s="18">
        <f t="shared" si="136"/>
        <v>0</v>
      </c>
      <c r="AS105" s="18">
        <f t="shared" si="137"/>
        <v>0</v>
      </c>
      <c r="AT105" s="18">
        <f t="shared" si="138"/>
        <v>0</v>
      </c>
      <c r="AU105" s="18">
        <f t="shared" si="139"/>
        <v>0</v>
      </c>
      <c r="AV105" s="18">
        <f t="shared" si="140"/>
        <v>0</v>
      </c>
      <c r="AW105" s="18">
        <f t="shared" si="141"/>
        <v>0</v>
      </c>
      <c r="AX105" s="18">
        <f t="shared" si="142"/>
        <v>0</v>
      </c>
      <c r="AY105" s="18">
        <f t="shared" si="143"/>
        <v>0</v>
      </c>
      <c r="AZ105" s="18">
        <f t="shared" si="144"/>
        <v>0</v>
      </c>
      <c r="BA105" s="18">
        <f t="shared" si="145"/>
        <v>0</v>
      </c>
      <c r="BB105" s="18">
        <f t="shared" si="146"/>
        <v>0</v>
      </c>
      <c r="BC105" s="18">
        <f t="shared" si="147"/>
        <v>0</v>
      </c>
      <c r="BD105" s="18">
        <f t="shared" si="148"/>
        <v>0</v>
      </c>
      <c r="BE105" s="18">
        <f t="shared" si="149"/>
        <v>0</v>
      </c>
      <c r="BF105" s="18">
        <f t="shared" si="150"/>
        <v>0</v>
      </c>
      <c r="BG105" s="18">
        <f t="shared" si="151"/>
        <v>0</v>
      </c>
      <c r="BH105" s="18">
        <f t="shared" si="152"/>
        <v>0</v>
      </c>
      <c r="BI105" s="18">
        <f t="shared" si="153"/>
        <v>0</v>
      </c>
      <c r="BJ105" s="18">
        <f t="shared" si="154"/>
        <v>0</v>
      </c>
      <c r="BK105" s="18">
        <f t="shared" si="155"/>
        <v>0</v>
      </c>
      <c r="BL105" s="18">
        <f t="shared" si="156"/>
        <v>0</v>
      </c>
      <c r="BM105" s="18">
        <f t="shared" si="157"/>
        <v>0</v>
      </c>
      <c r="BN105" s="18">
        <f t="shared" si="158"/>
        <v>0</v>
      </c>
      <c r="BO105" s="18">
        <f t="shared" si="159"/>
        <v>0</v>
      </c>
      <c r="BP105" s="18">
        <f t="shared" si="160"/>
        <v>0</v>
      </c>
      <c r="BQ105" s="18">
        <f t="shared" si="161"/>
        <v>0</v>
      </c>
      <c r="BR105" s="18">
        <f t="shared" si="162"/>
        <v>0</v>
      </c>
      <c r="BS105" s="18">
        <f t="shared" si="163"/>
        <v>0</v>
      </c>
      <c r="BT105" s="18">
        <f t="shared" si="164"/>
        <v>0</v>
      </c>
      <c r="BU105" s="18">
        <f t="shared" si="165"/>
        <v>0</v>
      </c>
      <c r="BV105" s="18">
        <f t="shared" si="166"/>
        <v>0</v>
      </c>
      <c r="BW105" s="18">
        <f t="shared" si="167"/>
        <v>0</v>
      </c>
      <c r="BX105" s="18">
        <f t="shared" si="168"/>
        <v>0</v>
      </c>
      <c r="BY105" s="18">
        <f t="shared" si="169"/>
        <v>0</v>
      </c>
      <c r="BZ105" s="18">
        <f t="shared" si="170"/>
        <v>0</v>
      </c>
      <c r="CA105" s="18">
        <f t="shared" si="171"/>
        <v>0</v>
      </c>
      <c r="CB105" s="18">
        <f t="shared" si="172"/>
        <v>0</v>
      </c>
      <c r="CC105" s="18">
        <f t="shared" si="173"/>
        <v>0</v>
      </c>
      <c r="CD105" s="18">
        <f t="shared" si="174"/>
        <v>0</v>
      </c>
      <c r="CE105" s="18">
        <f t="shared" si="175"/>
        <v>0</v>
      </c>
      <c r="CF105" s="18">
        <f t="shared" si="176"/>
        <v>0</v>
      </c>
      <c r="CG105" s="18">
        <f t="shared" si="177"/>
        <v>0</v>
      </c>
      <c r="CH105" s="18">
        <f t="shared" si="178"/>
        <v>0</v>
      </c>
      <c r="CI105" s="18">
        <f t="shared" si="179"/>
        <v>0</v>
      </c>
      <c r="CJ105" s="18">
        <f t="shared" si="180"/>
        <v>0</v>
      </c>
    </row>
    <row r="106" spans="1:88" x14ac:dyDescent="0.3">
      <c r="A106" s="1">
        <v>43986</v>
      </c>
      <c r="B106">
        <v>33980.699999999997</v>
      </c>
      <c r="C106">
        <f>Table1[[#This Row],[Close]]-0.001*Table1[[#This Row],[Close]]</f>
        <v>33946.719299999997</v>
      </c>
      <c r="D106">
        <f>Table1[[#This Row],[Close]]+0.001*Table1[[#This Row],[Close]]</f>
        <v>34014.680699999997</v>
      </c>
      <c r="E106" t="str">
        <f>IF(Table1[[#This Row],[Close]]&gt;D105,"UP",IF(Table1[[#This Row],[Close]]&lt;C105,"Down","Constant"))</f>
        <v>Down</v>
      </c>
      <c r="F106" s="3">
        <f>IF(Table1[[#This Row],[Column1]]="Up",1,IF(Table1[[#This Row],[Column1]]="Down",-1,0))</f>
        <v>-1</v>
      </c>
      <c r="G106">
        <f t="shared" si="99"/>
        <v>0</v>
      </c>
      <c r="H106" s="18">
        <f t="shared" si="100"/>
        <v>1</v>
      </c>
      <c r="I106" s="18">
        <f t="shared" si="101"/>
        <v>0</v>
      </c>
      <c r="J106" s="18">
        <f t="shared" si="102"/>
        <v>0</v>
      </c>
      <c r="K106" s="18">
        <f t="shared" si="103"/>
        <v>0</v>
      </c>
      <c r="L106" s="18">
        <f t="shared" si="104"/>
        <v>0</v>
      </c>
      <c r="M106" s="18">
        <f t="shared" si="105"/>
        <v>0</v>
      </c>
      <c r="N106" s="18">
        <f t="shared" si="106"/>
        <v>0</v>
      </c>
      <c r="O106" s="18">
        <f t="shared" si="107"/>
        <v>0</v>
      </c>
      <c r="P106" s="18">
        <f t="shared" si="108"/>
        <v>0</v>
      </c>
      <c r="Q106" s="18">
        <f t="shared" si="109"/>
        <v>0</v>
      </c>
      <c r="R106" s="18">
        <f t="shared" si="110"/>
        <v>0</v>
      </c>
      <c r="S106" s="18">
        <f t="shared" si="111"/>
        <v>0</v>
      </c>
      <c r="T106" s="18">
        <f t="shared" si="112"/>
        <v>0</v>
      </c>
      <c r="U106" s="18">
        <f t="shared" si="113"/>
        <v>0</v>
      </c>
      <c r="V106" s="18">
        <f t="shared" si="114"/>
        <v>0</v>
      </c>
      <c r="W106" s="18">
        <f t="shared" si="115"/>
        <v>0</v>
      </c>
      <c r="X106" s="18">
        <f t="shared" si="116"/>
        <v>0</v>
      </c>
      <c r="Y106" s="18">
        <f t="shared" si="117"/>
        <v>0</v>
      </c>
      <c r="Z106" s="18">
        <f t="shared" si="118"/>
        <v>0</v>
      </c>
      <c r="AA106" s="18">
        <f t="shared" si="119"/>
        <v>0</v>
      </c>
      <c r="AB106" s="18">
        <f t="shared" si="120"/>
        <v>0</v>
      </c>
      <c r="AC106" s="18">
        <f t="shared" si="121"/>
        <v>0</v>
      </c>
      <c r="AD106" s="18">
        <f t="shared" si="122"/>
        <v>0</v>
      </c>
      <c r="AE106" s="18">
        <f t="shared" si="123"/>
        <v>0</v>
      </c>
      <c r="AF106" s="18">
        <f t="shared" si="124"/>
        <v>0</v>
      </c>
      <c r="AG106" s="18">
        <f t="shared" si="125"/>
        <v>0</v>
      </c>
      <c r="AH106" s="18">
        <f t="shared" si="126"/>
        <v>0</v>
      </c>
      <c r="AI106" s="18">
        <f t="shared" si="127"/>
        <v>0</v>
      </c>
      <c r="AJ106" s="18">
        <f t="shared" si="128"/>
        <v>0</v>
      </c>
      <c r="AK106" s="18">
        <f t="shared" si="129"/>
        <v>0</v>
      </c>
      <c r="AL106" s="18">
        <f t="shared" si="130"/>
        <v>0</v>
      </c>
      <c r="AM106" s="18">
        <f t="shared" si="131"/>
        <v>0</v>
      </c>
      <c r="AN106" s="18">
        <f t="shared" si="132"/>
        <v>0</v>
      </c>
      <c r="AO106" s="18">
        <f t="shared" si="133"/>
        <v>0</v>
      </c>
      <c r="AP106" s="18">
        <f t="shared" si="134"/>
        <v>0</v>
      </c>
      <c r="AQ106" s="18">
        <f t="shared" si="135"/>
        <v>0</v>
      </c>
      <c r="AR106" s="18">
        <f t="shared" si="136"/>
        <v>0</v>
      </c>
      <c r="AS106" s="18">
        <f t="shared" si="137"/>
        <v>0</v>
      </c>
      <c r="AT106" s="18">
        <f t="shared" si="138"/>
        <v>0</v>
      </c>
      <c r="AU106" s="18">
        <f t="shared" si="139"/>
        <v>0</v>
      </c>
      <c r="AV106" s="18">
        <f t="shared" si="140"/>
        <v>0</v>
      </c>
      <c r="AW106" s="18">
        <f t="shared" si="141"/>
        <v>0</v>
      </c>
      <c r="AX106" s="18">
        <f t="shared" si="142"/>
        <v>0</v>
      </c>
      <c r="AY106" s="18">
        <f t="shared" si="143"/>
        <v>0</v>
      </c>
      <c r="AZ106" s="18">
        <f t="shared" si="144"/>
        <v>0</v>
      </c>
      <c r="BA106" s="18">
        <f t="shared" si="145"/>
        <v>0</v>
      </c>
      <c r="BB106" s="18">
        <f t="shared" si="146"/>
        <v>0</v>
      </c>
      <c r="BC106" s="18">
        <f t="shared" si="147"/>
        <v>0</v>
      </c>
      <c r="BD106" s="18">
        <f t="shared" si="148"/>
        <v>0</v>
      </c>
      <c r="BE106" s="18">
        <f t="shared" si="149"/>
        <v>0</v>
      </c>
      <c r="BF106" s="18">
        <f t="shared" si="150"/>
        <v>0</v>
      </c>
      <c r="BG106" s="18">
        <f t="shared" si="151"/>
        <v>0</v>
      </c>
      <c r="BH106" s="18">
        <f t="shared" si="152"/>
        <v>0</v>
      </c>
      <c r="BI106" s="18">
        <f t="shared" si="153"/>
        <v>0</v>
      </c>
      <c r="BJ106" s="18">
        <f t="shared" si="154"/>
        <v>0</v>
      </c>
      <c r="BK106" s="18">
        <f t="shared" si="155"/>
        <v>0</v>
      </c>
      <c r="BL106" s="18">
        <f t="shared" si="156"/>
        <v>0</v>
      </c>
      <c r="BM106" s="18">
        <f t="shared" si="157"/>
        <v>0</v>
      </c>
      <c r="BN106" s="18">
        <f t="shared" si="158"/>
        <v>0</v>
      </c>
      <c r="BO106" s="18">
        <f t="shared" si="159"/>
        <v>0</v>
      </c>
      <c r="BP106" s="18">
        <f t="shared" si="160"/>
        <v>0</v>
      </c>
      <c r="BQ106" s="18">
        <f t="shared" si="161"/>
        <v>0</v>
      </c>
      <c r="BR106" s="18">
        <f t="shared" si="162"/>
        <v>0</v>
      </c>
      <c r="BS106" s="18">
        <f t="shared" si="163"/>
        <v>0</v>
      </c>
      <c r="BT106" s="18">
        <f t="shared" si="164"/>
        <v>0</v>
      </c>
      <c r="BU106" s="18">
        <f t="shared" si="165"/>
        <v>0</v>
      </c>
      <c r="BV106" s="18">
        <f t="shared" si="166"/>
        <v>0</v>
      </c>
      <c r="BW106" s="18">
        <f t="shared" si="167"/>
        <v>0</v>
      </c>
      <c r="BX106" s="18">
        <f t="shared" si="168"/>
        <v>0</v>
      </c>
      <c r="BY106" s="18">
        <f t="shared" si="169"/>
        <v>0</v>
      </c>
      <c r="BZ106" s="18">
        <f t="shared" si="170"/>
        <v>0</v>
      </c>
      <c r="CA106" s="18">
        <f t="shared" si="171"/>
        <v>0</v>
      </c>
      <c r="CB106" s="18">
        <f t="shared" si="172"/>
        <v>0</v>
      </c>
      <c r="CC106" s="18">
        <f t="shared" si="173"/>
        <v>0</v>
      </c>
      <c r="CD106" s="18">
        <f t="shared" si="174"/>
        <v>0</v>
      </c>
      <c r="CE106" s="18">
        <f t="shared" si="175"/>
        <v>0</v>
      </c>
      <c r="CF106" s="18">
        <f t="shared" si="176"/>
        <v>0</v>
      </c>
      <c r="CG106" s="18">
        <f t="shared" si="177"/>
        <v>0</v>
      </c>
      <c r="CH106" s="18">
        <f t="shared" si="178"/>
        <v>0</v>
      </c>
      <c r="CI106" s="18">
        <f t="shared" si="179"/>
        <v>0</v>
      </c>
      <c r="CJ106" s="18">
        <f t="shared" si="180"/>
        <v>0</v>
      </c>
    </row>
    <row r="107" spans="1:88" x14ac:dyDescent="0.3">
      <c r="A107" s="1">
        <v>43987</v>
      </c>
      <c r="B107">
        <v>34287.24</v>
      </c>
      <c r="C107">
        <f>Table1[[#This Row],[Close]]-0.001*Table1[[#This Row],[Close]]</f>
        <v>34252.95276</v>
      </c>
      <c r="D107">
        <f>Table1[[#This Row],[Close]]+0.001*Table1[[#This Row],[Close]]</f>
        <v>34321.527239999996</v>
      </c>
      <c r="E107" t="str">
        <f>IF(Table1[[#This Row],[Close]]&gt;D106,"UP",IF(Table1[[#This Row],[Close]]&lt;C106,"Down","Constant"))</f>
        <v>UP</v>
      </c>
      <c r="F107" s="3">
        <f>IF(Table1[[#This Row],[Column1]]="Up",1,IF(Table1[[#This Row],[Column1]]="Down",-1,0))</f>
        <v>1</v>
      </c>
      <c r="G107">
        <f t="shared" si="99"/>
        <v>0</v>
      </c>
      <c r="H107" s="18">
        <f t="shared" si="100"/>
        <v>0</v>
      </c>
      <c r="I107" s="18">
        <f t="shared" si="101"/>
        <v>0</v>
      </c>
      <c r="J107" s="18">
        <f t="shared" si="102"/>
        <v>0</v>
      </c>
      <c r="K107" s="18">
        <f t="shared" si="103"/>
        <v>0</v>
      </c>
      <c r="L107" s="18">
        <f t="shared" si="104"/>
        <v>0</v>
      </c>
      <c r="M107" s="18">
        <f t="shared" si="105"/>
        <v>0</v>
      </c>
      <c r="N107" s="18">
        <f t="shared" si="106"/>
        <v>0</v>
      </c>
      <c r="O107" s="18">
        <f t="shared" si="107"/>
        <v>0</v>
      </c>
      <c r="P107" s="18">
        <f t="shared" si="108"/>
        <v>0</v>
      </c>
      <c r="Q107" s="18">
        <f t="shared" si="109"/>
        <v>0</v>
      </c>
      <c r="R107" s="18">
        <f t="shared" si="110"/>
        <v>0</v>
      </c>
      <c r="S107" s="18">
        <f t="shared" si="111"/>
        <v>1</v>
      </c>
      <c r="T107" s="18">
        <f t="shared" si="112"/>
        <v>0</v>
      </c>
      <c r="U107" s="18">
        <f t="shared" si="113"/>
        <v>0</v>
      </c>
      <c r="V107" s="18">
        <f t="shared" si="114"/>
        <v>0</v>
      </c>
      <c r="W107" s="18">
        <f t="shared" si="115"/>
        <v>0</v>
      </c>
      <c r="X107" s="18">
        <f t="shared" si="116"/>
        <v>0</v>
      </c>
      <c r="Y107" s="18">
        <f t="shared" si="117"/>
        <v>0</v>
      </c>
      <c r="Z107" s="18">
        <f t="shared" si="118"/>
        <v>0</v>
      </c>
      <c r="AA107" s="18">
        <f t="shared" si="119"/>
        <v>0</v>
      </c>
      <c r="AB107" s="18">
        <f t="shared" si="120"/>
        <v>0</v>
      </c>
      <c r="AC107" s="18">
        <f t="shared" si="121"/>
        <v>0</v>
      </c>
      <c r="AD107" s="18">
        <f t="shared" si="122"/>
        <v>0</v>
      </c>
      <c r="AE107" s="18">
        <f t="shared" si="123"/>
        <v>0</v>
      </c>
      <c r="AF107" s="18">
        <f t="shared" si="124"/>
        <v>0</v>
      </c>
      <c r="AG107" s="18">
        <f t="shared" si="125"/>
        <v>0</v>
      </c>
      <c r="AH107" s="18">
        <f t="shared" si="126"/>
        <v>0</v>
      </c>
      <c r="AI107" s="18">
        <f t="shared" si="127"/>
        <v>0</v>
      </c>
      <c r="AJ107" s="18">
        <f t="shared" si="128"/>
        <v>0</v>
      </c>
      <c r="AK107" s="18">
        <f t="shared" si="129"/>
        <v>0</v>
      </c>
      <c r="AL107" s="18">
        <f t="shared" si="130"/>
        <v>0</v>
      </c>
      <c r="AM107" s="18">
        <f t="shared" si="131"/>
        <v>0</v>
      </c>
      <c r="AN107" s="18">
        <f t="shared" si="132"/>
        <v>0</v>
      </c>
      <c r="AO107" s="18">
        <f t="shared" si="133"/>
        <v>0</v>
      </c>
      <c r="AP107" s="18">
        <f t="shared" si="134"/>
        <v>0</v>
      </c>
      <c r="AQ107" s="18">
        <f t="shared" si="135"/>
        <v>0</v>
      </c>
      <c r="AR107" s="18">
        <f t="shared" si="136"/>
        <v>0</v>
      </c>
      <c r="AS107" s="18">
        <f t="shared" si="137"/>
        <v>0</v>
      </c>
      <c r="AT107" s="18">
        <f t="shared" si="138"/>
        <v>0</v>
      </c>
      <c r="AU107" s="18">
        <f t="shared" si="139"/>
        <v>0</v>
      </c>
      <c r="AV107" s="18">
        <f t="shared" si="140"/>
        <v>0</v>
      </c>
      <c r="AW107" s="18">
        <f t="shared" si="141"/>
        <v>0</v>
      </c>
      <c r="AX107" s="18">
        <f t="shared" si="142"/>
        <v>0</v>
      </c>
      <c r="AY107" s="18">
        <f t="shared" si="143"/>
        <v>0</v>
      </c>
      <c r="AZ107" s="18">
        <f t="shared" si="144"/>
        <v>0</v>
      </c>
      <c r="BA107" s="18">
        <f t="shared" si="145"/>
        <v>0</v>
      </c>
      <c r="BB107" s="18">
        <f t="shared" si="146"/>
        <v>0</v>
      </c>
      <c r="BC107" s="18">
        <f t="shared" si="147"/>
        <v>0</v>
      </c>
      <c r="BD107" s="18">
        <f t="shared" si="148"/>
        <v>0</v>
      </c>
      <c r="BE107" s="18">
        <f t="shared" si="149"/>
        <v>0</v>
      </c>
      <c r="BF107" s="18">
        <f t="shared" si="150"/>
        <v>0</v>
      </c>
      <c r="BG107" s="18">
        <f t="shared" si="151"/>
        <v>0</v>
      </c>
      <c r="BH107" s="18">
        <f t="shared" si="152"/>
        <v>0</v>
      </c>
      <c r="BI107" s="18">
        <f t="shared" si="153"/>
        <v>0</v>
      </c>
      <c r="BJ107" s="18">
        <f t="shared" si="154"/>
        <v>0</v>
      </c>
      <c r="BK107" s="18">
        <f t="shared" si="155"/>
        <v>0</v>
      </c>
      <c r="BL107" s="18">
        <f t="shared" si="156"/>
        <v>0</v>
      </c>
      <c r="BM107" s="18">
        <f t="shared" si="157"/>
        <v>0</v>
      </c>
      <c r="BN107" s="18">
        <f t="shared" si="158"/>
        <v>0</v>
      </c>
      <c r="BO107" s="18">
        <f t="shared" si="159"/>
        <v>0</v>
      </c>
      <c r="BP107" s="18">
        <f t="shared" si="160"/>
        <v>0</v>
      </c>
      <c r="BQ107" s="18">
        <f t="shared" si="161"/>
        <v>0</v>
      </c>
      <c r="BR107" s="18">
        <f t="shared" si="162"/>
        <v>0</v>
      </c>
      <c r="BS107" s="18">
        <f t="shared" si="163"/>
        <v>0</v>
      </c>
      <c r="BT107" s="18">
        <f t="shared" si="164"/>
        <v>0</v>
      </c>
      <c r="BU107" s="18">
        <f t="shared" si="165"/>
        <v>0</v>
      </c>
      <c r="BV107" s="18">
        <f t="shared" si="166"/>
        <v>0</v>
      </c>
      <c r="BW107" s="18">
        <f t="shared" si="167"/>
        <v>0</v>
      </c>
      <c r="BX107" s="18">
        <f t="shared" si="168"/>
        <v>0</v>
      </c>
      <c r="BY107" s="18">
        <f t="shared" si="169"/>
        <v>0</v>
      </c>
      <c r="BZ107" s="18">
        <f t="shared" si="170"/>
        <v>0</v>
      </c>
      <c r="CA107" s="18">
        <f t="shared" si="171"/>
        <v>0</v>
      </c>
      <c r="CB107" s="18">
        <f t="shared" si="172"/>
        <v>0</v>
      </c>
      <c r="CC107" s="18">
        <f t="shared" si="173"/>
        <v>0</v>
      </c>
      <c r="CD107" s="18">
        <f t="shared" si="174"/>
        <v>0</v>
      </c>
      <c r="CE107" s="18">
        <f t="shared" si="175"/>
        <v>0</v>
      </c>
      <c r="CF107" s="18">
        <f t="shared" si="176"/>
        <v>0</v>
      </c>
      <c r="CG107" s="18">
        <f t="shared" si="177"/>
        <v>0</v>
      </c>
      <c r="CH107" s="18">
        <f t="shared" si="178"/>
        <v>0</v>
      </c>
      <c r="CI107" s="18">
        <f t="shared" si="179"/>
        <v>0</v>
      </c>
      <c r="CJ107" s="18">
        <f t="shared" si="180"/>
        <v>0</v>
      </c>
    </row>
    <row r="108" spans="1:88" x14ac:dyDescent="0.3">
      <c r="A108" s="1">
        <v>43990</v>
      </c>
      <c r="B108">
        <v>34370.58</v>
      </c>
      <c r="C108">
        <f>Table1[[#This Row],[Close]]-0.001*Table1[[#This Row],[Close]]</f>
        <v>34336.209419999999</v>
      </c>
      <c r="D108">
        <f>Table1[[#This Row],[Close]]+0.001*Table1[[#This Row],[Close]]</f>
        <v>34404.950580000004</v>
      </c>
      <c r="E108" t="str">
        <f>IF(Table1[[#This Row],[Close]]&gt;D107,"UP",IF(Table1[[#This Row],[Close]]&lt;C107,"Down","Constant"))</f>
        <v>UP</v>
      </c>
      <c r="F108" s="3">
        <f>IF(Table1[[#This Row],[Column1]]="Up",1,IF(Table1[[#This Row],[Column1]]="Down",-1,0))</f>
        <v>1</v>
      </c>
      <c r="G108">
        <f t="shared" si="99"/>
        <v>0</v>
      </c>
      <c r="H108" s="18">
        <f t="shared" si="100"/>
        <v>0</v>
      </c>
      <c r="I108" s="18">
        <f t="shared" si="101"/>
        <v>0</v>
      </c>
      <c r="J108" s="18">
        <f t="shared" si="102"/>
        <v>0</v>
      </c>
      <c r="K108" s="18">
        <f t="shared" si="103"/>
        <v>0</v>
      </c>
      <c r="L108" s="18">
        <f t="shared" si="104"/>
        <v>0</v>
      </c>
      <c r="M108" s="18">
        <f t="shared" si="105"/>
        <v>0</v>
      </c>
      <c r="N108" s="18">
        <f t="shared" si="106"/>
        <v>0</v>
      </c>
      <c r="O108" s="18">
        <f t="shared" si="107"/>
        <v>0</v>
      </c>
      <c r="P108" s="18">
        <f t="shared" si="108"/>
        <v>1</v>
      </c>
      <c r="Q108" s="18">
        <f t="shared" si="109"/>
        <v>0</v>
      </c>
      <c r="R108" s="18">
        <f t="shared" si="110"/>
        <v>0</v>
      </c>
      <c r="S108" s="18">
        <f t="shared" si="111"/>
        <v>0</v>
      </c>
      <c r="T108" s="18">
        <f t="shared" si="112"/>
        <v>0</v>
      </c>
      <c r="U108" s="18">
        <f t="shared" si="113"/>
        <v>0</v>
      </c>
      <c r="V108" s="18">
        <f t="shared" si="114"/>
        <v>0</v>
      </c>
      <c r="W108" s="18">
        <f t="shared" si="115"/>
        <v>0</v>
      </c>
      <c r="X108" s="18">
        <f t="shared" si="116"/>
        <v>0</v>
      </c>
      <c r="Y108" s="18">
        <f t="shared" si="117"/>
        <v>0</v>
      </c>
      <c r="Z108" s="18">
        <f t="shared" si="118"/>
        <v>0</v>
      </c>
      <c r="AA108" s="18">
        <f t="shared" si="119"/>
        <v>0</v>
      </c>
      <c r="AB108" s="18">
        <f t="shared" si="120"/>
        <v>0</v>
      </c>
      <c r="AC108" s="18">
        <f t="shared" si="121"/>
        <v>0</v>
      </c>
      <c r="AD108" s="18">
        <f t="shared" si="122"/>
        <v>0</v>
      </c>
      <c r="AE108" s="18">
        <f t="shared" si="123"/>
        <v>0</v>
      </c>
      <c r="AF108" s="18">
        <f t="shared" si="124"/>
        <v>0</v>
      </c>
      <c r="AG108" s="18">
        <f t="shared" si="125"/>
        <v>0</v>
      </c>
      <c r="AH108" s="18">
        <f t="shared" si="126"/>
        <v>0</v>
      </c>
      <c r="AI108" s="18">
        <f t="shared" si="127"/>
        <v>0</v>
      </c>
      <c r="AJ108" s="18">
        <f t="shared" si="128"/>
        <v>0</v>
      </c>
      <c r="AK108" s="18">
        <f t="shared" si="129"/>
        <v>0</v>
      </c>
      <c r="AL108" s="18">
        <f t="shared" si="130"/>
        <v>0</v>
      </c>
      <c r="AM108" s="18">
        <f t="shared" si="131"/>
        <v>0</v>
      </c>
      <c r="AN108" s="18">
        <f t="shared" si="132"/>
        <v>0</v>
      </c>
      <c r="AO108" s="18">
        <f t="shared" si="133"/>
        <v>0</v>
      </c>
      <c r="AP108" s="18">
        <f t="shared" si="134"/>
        <v>0</v>
      </c>
      <c r="AQ108" s="18">
        <f t="shared" si="135"/>
        <v>0</v>
      </c>
      <c r="AR108" s="18">
        <f t="shared" si="136"/>
        <v>0</v>
      </c>
      <c r="AS108" s="18">
        <f t="shared" si="137"/>
        <v>0</v>
      </c>
      <c r="AT108" s="18">
        <f t="shared" si="138"/>
        <v>0</v>
      </c>
      <c r="AU108" s="18">
        <f t="shared" si="139"/>
        <v>0</v>
      </c>
      <c r="AV108" s="18">
        <f t="shared" si="140"/>
        <v>0</v>
      </c>
      <c r="AW108" s="18">
        <f t="shared" si="141"/>
        <v>0</v>
      </c>
      <c r="AX108" s="18">
        <f t="shared" si="142"/>
        <v>0</v>
      </c>
      <c r="AY108" s="18">
        <f t="shared" si="143"/>
        <v>0</v>
      </c>
      <c r="AZ108" s="18">
        <f t="shared" si="144"/>
        <v>0</v>
      </c>
      <c r="BA108" s="18">
        <f t="shared" si="145"/>
        <v>0</v>
      </c>
      <c r="BB108" s="18">
        <f t="shared" si="146"/>
        <v>0</v>
      </c>
      <c r="BC108" s="18">
        <f t="shared" si="147"/>
        <v>0</v>
      </c>
      <c r="BD108" s="18">
        <f t="shared" si="148"/>
        <v>0</v>
      </c>
      <c r="BE108" s="18">
        <f t="shared" si="149"/>
        <v>0</v>
      </c>
      <c r="BF108" s="18">
        <f t="shared" si="150"/>
        <v>0</v>
      </c>
      <c r="BG108" s="18">
        <f t="shared" si="151"/>
        <v>0</v>
      </c>
      <c r="BH108" s="18">
        <f t="shared" si="152"/>
        <v>0</v>
      </c>
      <c r="BI108" s="18">
        <f t="shared" si="153"/>
        <v>0</v>
      </c>
      <c r="BJ108" s="18">
        <f t="shared" si="154"/>
        <v>0</v>
      </c>
      <c r="BK108" s="18">
        <f t="shared" si="155"/>
        <v>0</v>
      </c>
      <c r="BL108" s="18">
        <f t="shared" si="156"/>
        <v>0</v>
      </c>
      <c r="BM108" s="18">
        <f t="shared" si="157"/>
        <v>0</v>
      </c>
      <c r="BN108" s="18">
        <f t="shared" si="158"/>
        <v>0</v>
      </c>
      <c r="BO108" s="18">
        <f t="shared" si="159"/>
        <v>0</v>
      </c>
      <c r="BP108" s="18">
        <f t="shared" si="160"/>
        <v>0</v>
      </c>
      <c r="BQ108" s="18">
        <f t="shared" si="161"/>
        <v>0</v>
      </c>
      <c r="BR108" s="18">
        <f t="shared" si="162"/>
        <v>0</v>
      </c>
      <c r="BS108" s="18">
        <f t="shared" si="163"/>
        <v>0</v>
      </c>
      <c r="BT108" s="18">
        <f t="shared" si="164"/>
        <v>0</v>
      </c>
      <c r="BU108" s="18">
        <f t="shared" si="165"/>
        <v>0</v>
      </c>
      <c r="BV108" s="18">
        <f t="shared" si="166"/>
        <v>0</v>
      </c>
      <c r="BW108" s="18">
        <f t="shared" si="167"/>
        <v>0</v>
      </c>
      <c r="BX108" s="18">
        <f t="shared" si="168"/>
        <v>0</v>
      </c>
      <c r="BY108" s="18">
        <f t="shared" si="169"/>
        <v>0</v>
      </c>
      <c r="BZ108" s="18">
        <f t="shared" si="170"/>
        <v>0</v>
      </c>
      <c r="CA108" s="18">
        <f t="shared" si="171"/>
        <v>0</v>
      </c>
      <c r="CB108" s="18">
        <f t="shared" si="172"/>
        <v>0</v>
      </c>
      <c r="CC108" s="18">
        <f t="shared" si="173"/>
        <v>0</v>
      </c>
      <c r="CD108" s="18">
        <f t="shared" si="174"/>
        <v>0</v>
      </c>
      <c r="CE108" s="18">
        <f t="shared" si="175"/>
        <v>0</v>
      </c>
      <c r="CF108" s="18">
        <f t="shared" si="176"/>
        <v>0</v>
      </c>
      <c r="CG108" s="18">
        <f t="shared" si="177"/>
        <v>0</v>
      </c>
      <c r="CH108" s="18">
        <f t="shared" si="178"/>
        <v>0</v>
      </c>
      <c r="CI108" s="18">
        <f t="shared" si="179"/>
        <v>0</v>
      </c>
      <c r="CJ108" s="18">
        <f t="shared" si="180"/>
        <v>0</v>
      </c>
    </row>
    <row r="109" spans="1:88" x14ac:dyDescent="0.3">
      <c r="A109" s="1">
        <v>43991</v>
      </c>
      <c r="B109">
        <v>33956.69</v>
      </c>
      <c r="C109">
        <f>Table1[[#This Row],[Close]]-0.001*Table1[[#This Row],[Close]]</f>
        <v>33922.733310000003</v>
      </c>
      <c r="D109">
        <f>Table1[[#This Row],[Close]]+0.001*Table1[[#This Row],[Close]]</f>
        <v>33990.646690000001</v>
      </c>
      <c r="E109" t="str">
        <f>IF(Table1[[#This Row],[Close]]&gt;D108,"UP",IF(Table1[[#This Row],[Close]]&lt;C108,"Down","Constant"))</f>
        <v>Down</v>
      </c>
      <c r="F109" s="3">
        <f>IF(Table1[[#This Row],[Column1]]="Up",1,IF(Table1[[#This Row],[Column1]]="Down",-1,0))</f>
        <v>-1</v>
      </c>
      <c r="G109">
        <f t="shared" si="99"/>
        <v>0</v>
      </c>
      <c r="H109" s="18">
        <f t="shared" si="100"/>
        <v>0</v>
      </c>
      <c r="I109" s="18">
        <f t="shared" si="101"/>
        <v>0</v>
      </c>
      <c r="J109" s="18">
        <f t="shared" si="102"/>
        <v>0</v>
      </c>
      <c r="K109" s="18">
        <f t="shared" si="103"/>
        <v>1</v>
      </c>
      <c r="L109" s="18">
        <f t="shared" si="104"/>
        <v>0</v>
      </c>
      <c r="M109" s="18">
        <f t="shared" si="105"/>
        <v>0</v>
      </c>
      <c r="N109" s="18">
        <f t="shared" si="106"/>
        <v>0</v>
      </c>
      <c r="O109" s="18">
        <f t="shared" si="107"/>
        <v>0</v>
      </c>
      <c r="P109" s="18">
        <f t="shared" si="108"/>
        <v>0</v>
      </c>
      <c r="Q109" s="18">
        <f t="shared" si="109"/>
        <v>0</v>
      </c>
      <c r="R109" s="18">
        <f t="shared" si="110"/>
        <v>0</v>
      </c>
      <c r="S109" s="18">
        <f t="shared" si="111"/>
        <v>0</v>
      </c>
      <c r="T109" s="18">
        <f t="shared" si="112"/>
        <v>0</v>
      </c>
      <c r="U109" s="18">
        <f t="shared" si="113"/>
        <v>0</v>
      </c>
      <c r="V109" s="18">
        <f t="shared" si="114"/>
        <v>0</v>
      </c>
      <c r="W109" s="18">
        <f t="shared" si="115"/>
        <v>0</v>
      </c>
      <c r="X109" s="18">
        <f t="shared" si="116"/>
        <v>0</v>
      </c>
      <c r="Y109" s="18">
        <f t="shared" si="117"/>
        <v>0</v>
      </c>
      <c r="Z109" s="18">
        <f t="shared" si="118"/>
        <v>0</v>
      </c>
      <c r="AA109" s="18">
        <f t="shared" si="119"/>
        <v>0</v>
      </c>
      <c r="AB109" s="18">
        <f t="shared" si="120"/>
        <v>0</v>
      </c>
      <c r="AC109" s="18">
        <f t="shared" si="121"/>
        <v>0</v>
      </c>
      <c r="AD109" s="18">
        <f t="shared" si="122"/>
        <v>0</v>
      </c>
      <c r="AE109" s="18">
        <f t="shared" si="123"/>
        <v>0</v>
      </c>
      <c r="AF109" s="18">
        <f t="shared" si="124"/>
        <v>0</v>
      </c>
      <c r="AG109" s="18">
        <f t="shared" si="125"/>
        <v>0</v>
      </c>
      <c r="AH109" s="18">
        <f t="shared" si="126"/>
        <v>0</v>
      </c>
      <c r="AI109" s="18">
        <f t="shared" si="127"/>
        <v>0</v>
      </c>
      <c r="AJ109" s="18">
        <f t="shared" si="128"/>
        <v>0</v>
      </c>
      <c r="AK109" s="18">
        <f t="shared" si="129"/>
        <v>0</v>
      </c>
      <c r="AL109" s="18">
        <f t="shared" si="130"/>
        <v>0</v>
      </c>
      <c r="AM109" s="18">
        <f t="shared" si="131"/>
        <v>0</v>
      </c>
      <c r="AN109" s="18">
        <f t="shared" si="132"/>
        <v>0</v>
      </c>
      <c r="AO109" s="18">
        <f t="shared" si="133"/>
        <v>0</v>
      </c>
      <c r="AP109" s="18">
        <f t="shared" si="134"/>
        <v>0</v>
      </c>
      <c r="AQ109" s="18">
        <f t="shared" si="135"/>
        <v>0</v>
      </c>
      <c r="AR109" s="18">
        <f t="shared" si="136"/>
        <v>0</v>
      </c>
      <c r="AS109" s="18">
        <f t="shared" si="137"/>
        <v>0</v>
      </c>
      <c r="AT109" s="18">
        <f t="shared" si="138"/>
        <v>0</v>
      </c>
      <c r="AU109" s="18">
        <f t="shared" si="139"/>
        <v>0</v>
      </c>
      <c r="AV109" s="18">
        <f t="shared" si="140"/>
        <v>0</v>
      </c>
      <c r="AW109" s="18">
        <f t="shared" si="141"/>
        <v>0</v>
      </c>
      <c r="AX109" s="18">
        <f t="shared" si="142"/>
        <v>0</v>
      </c>
      <c r="AY109" s="18">
        <f t="shared" si="143"/>
        <v>0</v>
      </c>
      <c r="AZ109" s="18">
        <f t="shared" si="144"/>
        <v>0</v>
      </c>
      <c r="BA109" s="18">
        <f t="shared" si="145"/>
        <v>0</v>
      </c>
      <c r="BB109" s="18">
        <f t="shared" si="146"/>
        <v>0</v>
      </c>
      <c r="BC109" s="18">
        <f t="shared" si="147"/>
        <v>0</v>
      </c>
      <c r="BD109" s="18">
        <f t="shared" si="148"/>
        <v>0</v>
      </c>
      <c r="BE109" s="18">
        <f t="shared" si="149"/>
        <v>0</v>
      </c>
      <c r="BF109" s="18">
        <f t="shared" si="150"/>
        <v>0</v>
      </c>
      <c r="BG109" s="18">
        <f t="shared" si="151"/>
        <v>0</v>
      </c>
      <c r="BH109" s="18">
        <f t="shared" si="152"/>
        <v>0</v>
      </c>
      <c r="BI109" s="18">
        <f t="shared" si="153"/>
        <v>0</v>
      </c>
      <c r="BJ109" s="18">
        <f t="shared" si="154"/>
        <v>0</v>
      </c>
      <c r="BK109" s="18">
        <f t="shared" si="155"/>
        <v>0</v>
      </c>
      <c r="BL109" s="18">
        <f t="shared" si="156"/>
        <v>0</v>
      </c>
      <c r="BM109" s="18">
        <f t="shared" si="157"/>
        <v>0</v>
      </c>
      <c r="BN109" s="18">
        <f t="shared" si="158"/>
        <v>0</v>
      </c>
      <c r="BO109" s="18">
        <f t="shared" si="159"/>
        <v>0</v>
      </c>
      <c r="BP109" s="18">
        <f t="shared" si="160"/>
        <v>0</v>
      </c>
      <c r="BQ109" s="18">
        <f t="shared" si="161"/>
        <v>0</v>
      </c>
      <c r="BR109" s="18">
        <f t="shared" si="162"/>
        <v>0</v>
      </c>
      <c r="BS109" s="18">
        <f t="shared" si="163"/>
        <v>0</v>
      </c>
      <c r="BT109" s="18">
        <f t="shared" si="164"/>
        <v>0</v>
      </c>
      <c r="BU109" s="18">
        <f t="shared" si="165"/>
        <v>0</v>
      </c>
      <c r="BV109" s="18">
        <f t="shared" si="166"/>
        <v>0</v>
      </c>
      <c r="BW109" s="18">
        <f t="shared" si="167"/>
        <v>0</v>
      </c>
      <c r="BX109" s="18">
        <f t="shared" si="168"/>
        <v>0</v>
      </c>
      <c r="BY109" s="18">
        <f t="shared" si="169"/>
        <v>0</v>
      </c>
      <c r="BZ109" s="18">
        <f t="shared" si="170"/>
        <v>0</v>
      </c>
      <c r="CA109" s="18">
        <f t="shared" si="171"/>
        <v>0</v>
      </c>
      <c r="CB109" s="18">
        <f t="shared" si="172"/>
        <v>0</v>
      </c>
      <c r="CC109" s="18">
        <f t="shared" si="173"/>
        <v>0</v>
      </c>
      <c r="CD109" s="18">
        <f t="shared" si="174"/>
        <v>0</v>
      </c>
      <c r="CE109" s="18">
        <f t="shared" si="175"/>
        <v>0</v>
      </c>
      <c r="CF109" s="18">
        <f t="shared" si="176"/>
        <v>0</v>
      </c>
      <c r="CG109" s="18">
        <f t="shared" si="177"/>
        <v>0</v>
      </c>
      <c r="CH109" s="18">
        <f t="shared" si="178"/>
        <v>0</v>
      </c>
      <c r="CI109" s="18">
        <f t="shared" si="179"/>
        <v>0</v>
      </c>
      <c r="CJ109" s="18">
        <f t="shared" si="180"/>
        <v>0</v>
      </c>
    </row>
    <row r="110" spans="1:88" x14ac:dyDescent="0.3">
      <c r="A110" s="1">
        <v>43992</v>
      </c>
      <c r="B110">
        <v>34247.050000000003</v>
      </c>
      <c r="C110">
        <f>Table1[[#This Row],[Close]]-0.001*Table1[[#This Row],[Close]]</f>
        <v>34212.802950000005</v>
      </c>
      <c r="D110">
        <f>Table1[[#This Row],[Close]]+0.001*Table1[[#This Row],[Close]]</f>
        <v>34281.297050000001</v>
      </c>
      <c r="E110" t="str">
        <f>IF(Table1[[#This Row],[Close]]&gt;D109,"UP",IF(Table1[[#This Row],[Close]]&lt;C109,"Down","Constant"))</f>
        <v>UP</v>
      </c>
      <c r="F110" s="3">
        <f>IF(Table1[[#This Row],[Column1]]="Up",1,IF(Table1[[#This Row],[Column1]]="Down",-1,0))</f>
        <v>1</v>
      </c>
      <c r="G110">
        <f t="shared" si="99"/>
        <v>0</v>
      </c>
      <c r="H110" s="18">
        <f t="shared" si="100"/>
        <v>0</v>
      </c>
      <c r="I110" s="18">
        <f t="shared" si="101"/>
        <v>0</v>
      </c>
      <c r="J110" s="18">
        <f t="shared" si="102"/>
        <v>0</v>
      </c>
      <c r="K110" s="18">
        <f t="shared" si="103"/>
        <v>0</v>
      </c>
      <c r="L110" s="18">
        <f t="shared" si="104"/>
        <v>0</v>
      </c>
      <c r="M110" s="18">
        <f t="shared" si="105"/>
        <v>0</v>
      </c>
      <c r="N110" s="18">
        <f t="shared" si="106"/>
        <v>0</v>
      </c>
      <c r="O110" s="18">
        <f t="shared" si="107"/>
        <v>0</v>
      </c>
      <c r="P110" s="18">
        <f t="shared" si="108"/>
        <v>0</v>
      </c>
      <c r="Q110" s="18">
        <f t="shared" si="109"/>
        <v>0</v>
      </c>
      <c r="R110" s="18">
        <f t="shared" si="110"/>
        <v>0</v>
      </c>
      <c r="S110" s="18">
        <f t="shared" si="111"/>
        <v>1</v>
      </c>
      <c r="T110" s="18">
        <f t="shared" si="112"/>
        <v>0</v>
      </c>
      <c r="U110" s="18">
        <f t="shared" si="113"/>
        <v>0</v>
      </c>
      <c r="V110" s="18">
        <f t="shared" si="114"/>
        <v>0</v>
      </c>
      <c r="W110" s="18">
        <f t="shared" si="115"/>
        <v>0</v>
      </c>
      <c r="X110" s="18">
        <f t="shared" si="116"/>
        <v>0</v>
      </c>
      <c r="Y110" s="18">
        <f t="shared" si="117"/>
        <v>0</v>
      </c>
      <c r="Z110" s="18">
        <f t="shared" si="118"/>
        <v>0</v>
      </c>
      <c r="AA110" s="18">
        <f t="shared" si="119"/>
        <v>0</v>
      </c>
      <c r="AB110" s="18">
        <f t="shared" si="120"/>
        <v>0</v>
      </c>
      <c r="AC110" s="18">
        <f t="shared" si="121"/>
        <v>0</v>
      </c>
      <c r="AD110" s="18">
        <f t="shared" si="122"/>
        <v>0</v>
      </c>
      <c r="AE110" s="18">
        <f t="shared" si="123"/>
        <v>0</v>
      </c>
      <c r="AF110" s="18">
        <f t="shared" si="124"/>
        <v>0</v>
      </c>
      <c r="AG110" s="18">
        <f t="shared" si="125"/>
        <v>0</v>
      </c>
      <c r="AH110" s="18">
        <f t="shared" si="126"/>
        <v>0</v>
      </c>
      <c r="AI110" s="18">
        <f t="shared" si="127"/>
        <v>0</v>
      </c>
      <c r="AJ110" s="18">
        <f t="shared" si="128"/>
        <v>0</v>
      </c>
      <c r="AK110" s="18">
        <f t="shared" si="129"/>
        <v>0</v>
      </c>
      <c r="AL110" s="18">
        <f t="shared" si="130"/>
        <v>0</v>
      </c>
      <c r="AM110" s="18">
        <f t="shared" si="131"/>
        <v>0</v>
      </c>
      <c r="AN110" s="18">
        <f t="shared" si="132"/>
        <v>0</v>
      </c>
      <c r="AO110" s="18">
        <f t="shared" si="133"/>
        <v>0</v>
      </c>
      <c r="AP110" s="18">
        <f t="shared" si="134"/>
        <v>0</v>
      </c>
      <c r="AQ110" s="18">
        <f t="shared" si="135"/>
        <v>0</v>
      </c>
      <c r="AR110" s="18">
        <f t="shared" si="136"/>
        <v>0</v>
      </c>
      <c r="AS110" s="18">
        <f t="shared" si="137"/>
        <v>0</v>
      </c>
      <c r="AT110" s="18">
        <f t="shared" si="138"/>
        <v>0</v>
      </c>
      <c r="AU110" s="18">
        <f t="shared" si="139"/>
        <v>0</v>
      </c>
      <c r="AV110" s="18">
        <f t="shared" si="140"/>
        <v>0</v>
      </c>
      <c r="AW110" s="18">
        <f t="shared" si="141"/>
        <v>0</v>
      </c>
      <c r="AX110" s="18">
        <f t="shared" si="142"/>
        <v>0</v>
      </c>
      <c r="AY110" s="18">
        <f t="shared" si="143"/>
        <v>0</v>
      </c>
      <c r="AZ110" s="18">
        <f t="shared" si="144"/>
        <v>0</v>
      </c>
      <c r="BA110" s="18">
        <f t="shared" si="145"/>
        <v>0</v>
      </c>
      <c r="BB110" s="18">
        <f t="shared" si="146"/>
        <v>0</v>
      </c>
      <c r="BC110" s="18">
        <f t="shared" si="147"/>
        <v>0</v>
      </c>
      <c r="BD110" s="18">
        <f t="shared" si="148"/>
        <v>0</v>
      </c>
      <c r="BE110" s="18">
        <f t="shared" si="149"/>
        <v>0</v>
      </c>
      <c r="BF110" s="18">
        <f t="shared" si="150"/>
        <v>0</v>
      </c>
      <c r="BG110" s="18">
        <f t="shared" si="151"/>
        <v>0</v>
      </c>
      <c r="BH110" s="18">
        <f t="shared" si="152"/>
        <v>0</v>
      </c>
      <c r="BI110" s="18">
        <f t="shared" si="153"/>
        <v>0</v>
      </c>
      <c r="BJ110" s="18">
        <f t="shared" si="154"/>
        <v>0</v>
      </c>
      <c r="BK110" s="18">
        <f t="shared" si="155"/>
        <v>0</v>
      </c>
      <c r="BL110" s="18">
        <f t="shared" si="156"/>
        <v>0</v>
      </c>
      <c r="BM110" s="18">
        <f t="shared" si="157"/>
        <v>0</v>
      </c>
      <c r="BN110" s="18">
        <f t="shared" si="158"/>
        <v>0</v>
      </c>
      <c r="BO110" s="18">
        <f t="shared" si="159"/>
        <v>0</v>
      </c>
      <c r="BP110" s="18">
        <f t="shared" si="160"/>
        <v>0</v>
      </c>
      <c r="BQ110" s="18">
        <f t="shared" si="161"/>
        <v>0</v>
      </c>
      <c r="BR110" s="18">
        <f t="shared" si="162"/>
        <v>0</v>
      </c>
      <c r="BS110" s="18">
        <f t="shared" si="163"/>
        <v>0</v>
      </c>
      <c r="BT110" s="18">
        <f t="shared" si="164"/>
        <v>0</v>
      </c>
      <c r="BU110" s="18">
        <f t="shared" si="165"/>
        <v>0</v>
      </c>
      <c r="BV110" s="18">
        <f t="shared" si="166"/>
        <v>0</v>
      </c>
      <c r="BW110" s="18">
        <f t="shared" si="167"/>
        <v>0</v>
      </c>
      <c r="BX110" s="18">
        <f t="shared" si="168"/>
        <v>0</v>
      </c>
      <c r="BY110" s="18">
        <f t="shared" si="169"/>
        <v>0</v>
      </c>
      <c r="BZ110" s="18">
        <f t="shared" si="170"/>
        <v>0</v>
      </c>
      <c r="CA110" s="18">
        <f t="shared" si="171"/>
        <v>0</v>
      </c>
      <c r="CB110" s="18">
        <f t="shared" si="172"/>
        <v>0</v>
      </c>
      <c r="CC110" s="18">
        <f t="shared" si="173"/>
        <v>0</v>
      </c>
      <c r="CD110" s="18">
        <f t="shared" si="174"/>
        <v>0</v>
      </c>
      <c r="CE110" s="18">
        <f t="shared" si="175"/>
        <v>0</v>
      </c>
      <c r="CF110" s="18">
        <f t="shared" si="176"/>
        <v>0</v>
      </c>
      <c r="CG110" s="18">
        <f t="shared" si="177"/>
        <v>0</v>
      </c>
      <c r="CH110" s="18">
        <f t="shared" si="178"/>
        <v>0</v>
      </c>
      <c r="CI110" s="18">
        <f t="shared" si="179"/>
        <v>0</v>
      </c>
      <c r="CJ110" s="18">
        <f t="shared" si="180"/>
        <v>0</v>
      </c>
    </row>
    <row r="111" spans="1:88" x14ac:dyDescent="0.3">
      <c r="A111" s="1">
        <v>43993</v>
      </c>
      <c r="B111">
        <v>33538.370000000003</v>
      </c>
      <c r="C111">
        <f>Table1[[#This Row],[Close]]-0.001*Table1[[#This Row],[Close]]</f>
        <v>33504.831630000001</v>
      </c>
      <c r="D111">
        <f>Table1[[#This Row],[Close]]+0.001*Table1[[#This Row],[Close]]</f>
        <v>33571.908370000005</v>
      </c>
      <c r="E111" t="str">
        <f>IF(Table1[[#This Row],[Close]]&gt;D110,"UP",IF(Table1[[#This Row],[Close]]&lt;C110,"Down","Constant"))</f>
        <v>Down</v>
      </c>
      <c r="F111" s="3">
        <f>IF(Table1[[#This Row],[Column1]]="Up",1,IF(Table1[[#This Row],[Column1]]="Down",-1,0))</f>
        <v>-1</v>
      </c>
      <c r="G111">
        <f t="shared" si="99"/>
        <v>0</v>
      </c>
      <c r="H111" s="18">
        <f t="shared" si="100"/>
        <v>0</v>
      </c>
      <c r="I111" s="18">
        <f t="shared" si="101"/>
        <v>0</v>
      </c>
      <c r="J111" s="18">
        <f t="shared" si="102"/>
        <v>0</v>
      </c>
      <c r="K111" s="18">
        <f t="shared" si="103"/>
        <v>0</v>
      </c>
      <c r="L111" s="18">
        <f t="shared" si="104"/>
        <v>0</v>
      </c>
      <c r="M111" s="18">
        <f t="shared" si="105"/>
        <v>0</v>
      </c>
      <c r="N111" s="18">
        <f t="shared" si="106"/>
        <v>1</v>
      </c>
      <c r="O111" s="18">
        <f t="shared" si="107"/>
        <v>0</v>
      </c>
      <c r="P111" s="18">
        <f t="shared" si="108"/>
        <v>0</v>
      </c>
      <c r="Q111" s="18">
        <f t="shared" si="109"/>
        <v>0</v>
      </c>
      <c r="R111" s="18">
        <f t="shared" si="110"/>
        <v>0</v>
      </c>
      <c r="S111" s="18">
        <f t="shared" si="111"/>
        <v>0</v>
      </c>
      <c r="T111" s="18">
        <f t="shared" si="112"/>
        <v>0</v>
      </c>
      <c r="U111" s="18">
        <f t="shared" si="113"/>
        <v>0</v>
      </c>
      <c r="V111" s="18">
        <f t="shared" si="114"/>
        <v>0</v>
      </c>
      <c r="W111" s="18">
        <f t="shared" si="115"/>
        <v>0</v>
      </c>
      <c r="X111" s="18">
        <f t="shared" si="116"/>
        <v>0</v>
      </c>
      <c r="Y111" s="18">
        <f t="shared" si="117"/>
        <v>0</v>
      </c>
      <c r="Z111" s="18">
        <f t="shared" si="118"/>
        <v>0</v>
      </c>
      <c r="AA111" s="18">
        <f t="shared" si="119"/>
        <v>0</v>
      </c>
      <c r="AB111" s="18">
        <f t="shared" si="120"/>
        <v>0</v>
      </c>
      <c r="AC111" s="18">
        <f t="shared" si="121"/>
        <v>0</v>
      </c>
      <c r="AD111" s="18">
        <f t="shared" si="122"/>
        <v>0</v>
      </c>
      <c r="AE111" s="18">
        <f t="shared" si="123"/>
        <v>0</v>
      </c>
      <c r="AF111" s="18">
        <f t="shared" si="124"/>
        <v>0</v>
      </c>
      <c r="AG111" s="18">
        <f t="shared" si="125"/>
        <v>0</v>
      </c>
      <c r="AH111" s="18">
        <f t="shared" si="126"/>
        <v>0</v>
      </c>
      <c r="AI111" s="18">
        <f t="shared" si="127"/>
        <v>0</v>
      </c>
      <c r="AJ111" s="18">
        <f t="shared" si="128"/>
        <v>0</v>
      </c>
      <c r="AK111" s="18">
        <f t="shared" si="129"/>
        <v>0</v>
      </c>
      <c r="AL111" s="18">
        <f t="shared" si="130"/>
        <v>0</v>
      </c>
      <c r="AM111" s="18">
        <f t="shared" si="131"/>
        <v>0</v>
      </c>
      <c r="AN111" s="18">
        <f t="shared" si="132"/>
        <v>0</v>
      </c>
      <c r="AO111" s="18">
        <f t="shared" si="133"/>
        <v>0</v>
      </c>
      <c r="AP111" s="18">
        <f t="shared" si="134"/>
        <v>0</v>
      </c>
      <c r="AQ111" s="18">
        <f t="shared" si="135"/>
        <v>0</v>
      </c>
      <c r="AR111" s="18">
        <f t="shared" si="136"/>
        <v>0</v>
      </c>
      <c r="AS111" s="18">
        <f t="shared" si="137"/>
        <v>0</v>
      </c>
      <c r="AT111" s="18">
        <f t="shared" si="138"/>
        <v>0</v>
      </c>
      <c r="AU111" s="18">
        <f t="shared" si="139"/>
        <v>0</v>
      </c>
      <c r="AV111" s="18">
        <f t="shared" si="140"/>
        <v>0</v>
      </c>
      <c r="AW111" s="18">
        <f t="shared" si="141"/>
        <v>0</v>
      </c>
      <c r="AX111" s="18">
        <f t="shared" si="142"/>
        <v>0</v>
      </c>
      <c r="AY111" s="18">
        <f t="shared" si="143"/>
        <v>0</v>
      </c>
      <c r="AZ111" s="18">
        <f t="shared" si="144"/>
        <v>0</v>
      </c>
      <c r="BA111" s="18">
        <f t="shared" si="145"/>
        <v>0</v>
      </c>
      <c r="BB111" s="18">
        <f t="shared" si="146"/>
        <v>0</v>
      </c>
      <c r="BC111" s="18">
        <f t="shared" si="147"/>
        <v>0</v>
      </c>
      <c r="BD111" s="18">
        <f t="shared" si="148"/>
        <v>0</v>
      </c>
      <c r="BE111" s="18">
        <f t="shared" si="149"/>
        <v>0</v>
      </c>
      <c r="BF111" s="18">
        <f t="shared" si="150"/>
        <v>0</v>
      </c>
      <c r="BG111" s="18">
        <f t="shared" si="151"/>
        <v>0</v>
      </c>
      <c r="BH111" s="18">
        <f t="shared" si="152"/>
        <v>0</v>
      </c>
      <c r="BI111" s="18">
        <f t="shared" si="153"/>
        <v>0</v>
      </c>
      <c r="BJ111" s="18">
        <f t="shared" si="154"/>
        <v>0</v>
      </c>
      <c r="BK111" s="18">
        <f t="shared" si="155"/>
        <v>0</v>
      </c>
      <c r="BL111" s="18">
        <f t="shared" si="156"/>
        <v>0</v>
      </c>
      <c r="BM111" s="18">
        <f t="shared" si="157"/>
        <v>0</v>
      </c>
      <c r="BN111" s="18">
        <f t="shared" si="158"/>
        <v>0</v>
      </c>
      <c r="BO111" s="18">
        <f t="shared" si="159"/>
        <v>0</v>
      </c>
      <c r="BP111" s="18">
        <f t="shared" si="160"/>
        <v>0</v>
      </c>
      <c r="BQ111" s="18">
        <f t="shared" si="161"/>
        <v>0</v>
      </c>
      <c r="BR111" s="18">
        <f t="shared" si="162"/>
        <v>0</v>
      </c>
      <c r="BS111" s="18">
        <f t="shared" si="163"/>
        <v>0</v>
      </c>
      <c r="BT111" s="18">
        <f t="shared" si="164"/>
        <v>0</v>
      </c>
      <c r="BU111" s="18">
        <f t="shared" si="165"/>
        <v>0</v>
      </c>
      <c r="BV111" s="18">
        <f t="shared" si="166"/>
        <v>0</v>
      </c>
      <c r="BW111" s="18">
        <f t="shared" si="167"/>
        <v>0</v>
      </c>
      <c r="BX111" s="18">
        <f t="shared" si="168"/>
        <v>0</v>
      </c>
      <c r="BY111" s="18">
        <f t="shared" si="169"/>
        <v>0</v>
      </c>
      <c r="BZ111" s="18">
        <f t="shared" si="170"/>
        <v>0</v>
      </c>
      <c r="CA111" s="18">
        <f t="shared" si="171"/>
        <v>0</v>
      </c>
      <c r="CB111" s="18">
        <f t="shared" si="172"/>
        <v>0</v>
      </c>
      <c r="CC111" s="18">
        <f t="shared" si="173"/>
        <v>0</v>
      </c>
      <c r="CD111" s="18">
        <f t="shared" si="174"/>
        <v>0</v>
      </c>
      <c r="CE111" s="18">
        <f t="shared" si="175"/>
        <v>0</v>
      </c>
      <c r="CF111" s="18">
        <f t="shared" si="176"/>
        <v>0</v>
      </c>
      <c r="CG111" s="18">
        <f t="shared" si="177"/>
        <v>0</v>
      </c>
      <c r="CH111" s="18">
        <f t="shared" si="178"/>
        <v>0</v>
      </c>
      <c r="CI111" s="18">
        <f t="shared" si="179"/>
        <v>0</v>
      </c>
      <c r="CJ111" s="18">
        <f t="shared" si="180"/>
        <v>0</v>
      </c>
    </row>
    <row r="112" spans="1:88" x14ac:dyDescent="0.3">
      <c r="A112" s="1">
        <v>43994</v>
      </c>
      <c r="B112">
        <v>33780.89</v>
      </c>
      <c r="C112">
        <f>Table1[[#This Row],[Close]]-0.001*Table1[[#This Row],[Close]]</f>
        <v>33747.109109999998</v>
      </c>
      <c r="D112">
        <f>Table1[[#This Row],[Close]]+0.001*Table1[[#This Row],[Close]]</f>
        <v>33814.670890000001</v>
      </c>
      <c r="E112" t="str">
        <f>IF(Table1[[#This Row],[Close]]&gt;D111,"UP",IF(Table1[[#This Row],[Close]]&lt;C111,"Down","Constant"))</f>
        <v>UP</v>
      </c>
      <c r="F112" s="3">
        <f>IF(Table1[[#This Row],[Column1]]="Up",1,IF(Table1[[#This Row],[Column1]]="Down",-1,0))</f>
        <v>1</v>
      </c>
      <c r="G112">
        <f t="shared" si="99"/>
        <v>0</v>
      </c>
      <c r="H112" s="18">
        <f t="shared" si="100"/>
        <v>0</v>
      </c>
      <c r="I112" s="18">
        <f t="shared" si="101"/>
        <v>0</v>
      </c>
      <c r="J112" s="18">
        <f t="shared" si="102"/>
        <v>0</v>
      </c>
      <c r="K112" s="18">
        <f t="shared" si="103"/>
        <v>0</v>
      </c>
      <c r="L112" s="18">
        <f t="shared" si="104"/>
        <v>0</v>
      </c>
      <c r="M112" s="18">
        <f t="shared" si="105"/>
        <v>0</v>
      </c>
      <c r="N112" s="18">
        <f t="shared" si="106"/>
        <v>0</v>
      </c>
      <c r="O112" s="18">
        <f t="shared" si="107"/>
        <v>0</v>
      </c>
      <c r="P112" s="18">
        <f t="shared" si="108"/>
        <v>0</v>
      </c>
      <c r="Q112" s="18">
        <f t="shared" si="109"/>
        <v>0</v>
      </c>
      <c r="R112" s="18">
        <f t="shared" si="110"/>
        <v>0</v>
      </c>
      <c r="S112" s="18">
        <f t="shared" si="111"/>
        <v>0</v>
      </c>
      <c r="T112" s="18">
        <f t="shared" si="112"/>
        <v>0</v>
      </c>
      <c r="U112" s="18">
        <f t="shared" si="113"/>
        <v>0</v>
      </c>
      <c r="V112" s="18">
        <f t="shared" si="114"/>
        <v>0</v>
      </c>
      <c r="W112" s="18">
        <f t="shared" si="115"/>
        <v>0</v>
      </c>
      <c r="X112" s="18">
        <f t="shared" si="116"/>
        <v>0</v>
      </c>
      <c r="Y112" s="18">
        <f t="shared" si="117"/>
        <v>0</v>
      </c>
      <c r="Z112" s="18">
        <f t="shared" si="118"/>
        <v>0</v>
      </c>
      <c r="AA112" s="18">
        <f t="shared" si="119"/>
        <v>0</v>
      </c>
      <c r="AB112" s="18">
        <f t="shared" si="120"/>
        <v>0</v>
      </c>
      <c r="AC112" s="18">
        <f t="shared" si="121"/>
        <v>0</v>
      </c>
      <c r="AD112" s="18">
        <f t="shared" si="122"/>
        <v>0</v>
      </c>
      <c r="AE112" s="18">
        <f t="shared" si="123"/>
        <v>1</v>
      </c>
      <c r="AF112" s="18">
        <f t="shared" si="124"/>
        <v>0</v>
      </c>
      <c r="AG112" s="18">
        <f t="shared" si="125"/>
        <v>0</v>
      </c>
      <c r="AH112" s="18">
        <f t="shared" si="126"/>
        <v>0</v>
      </c>
      <c r="AI112" s="18">
        <f t="shared" si="127"/>
        <v>0</v>
      </c>
      <c r="AJ112" s="18">
        <f t="shared" si="128"/>
        <v>0</v>
      </c>
      <c r="AK112" s="18">
        <f t="shared" si="129"/>
        <v>0</v>
      </c>
      <c r="AL112" s="18">
        <f t="shared" si="130"/>
        <v>0</v>
      </c>
      <c r="AM112" s="18">
        <f t="shared" si="131"/>
        <v>0</v>
      </c>
      <c r="AN112" s="18">
        <f t="shared" si="132"/>
        <v>0</v>
      </c>
      <c r="AO112" s="18">
        <f t="shared" si="133"/>
        <v>0</v>
      </c>
      <c r="AP112" s="18">
        <f t="shared" si="134"/>
        <v>0</v>
      </c>
      <c r="AQ112" s="18">
        <f t="shared" si="135"/>
        <v>0</v>
      </c>
      <c r="AR112" s="18">
        <f t="shared" si="136"/>
        <v>0</v>
      </c>
      <c r="AS112" s="18">
        <f t="shared" si="137"/>
        <v>0</v>
      </c>
      <c r="AT112" s="18">
        <f t="shared" si="138"/>
        <v>0</v>
      </c>
      <c r="AU112" s="18">
        <f t="shared" si="139"/>
        <v>0</v>
      </c>
      <c r="AV112" s="18">
        <f t="shared" si="140"/>
        <v>0</v>
      </c>
      <c r="AW112" s="18">
        <f t="shared" si="141"/>
        <v>0</v>
      </c>
      <c r="AX112" s="18">
        <f t="shared" si="142"/>
        <v>0</v>
      </c>
      <c r="AY112" s="18">
        <f t="shared" si="143"/>
        <v>0</v>
      </c>
      <c r="AZ112" s="18">
        <f t="shared" si="144"/>
        <v>0</v>
      </c>
      <c r="BA112" s="18">
        <f t="shared" si="145"/>
        <v>0</v>
      </c>
      <c r="BB112" s="18">
        <f t="shared" si="146"/>
        <v>0</v>
      </c>
      <c r="BC112" s="18">
        <f t="shared" si="147"/>
        <v>0</v>
      </c>
      <c r="BD112" s="18">
        <f t="shared" si="148"/>
        <v>0</v>
      </c>
      <c r="BE112" s="18">
        <f t="shared" si="149"/>
        <v>0</v>
      </c>
      <c r="BF112" s="18">
        <f t="shared" si="150"/>
        <v>0</v>
      </c>
      <c r="BG112" s="18">
        <f t="shared" si="151"/>
        <v>0</v>
      </c>
      <c r="BH112" s="18">
        <f t="shared" si="152"/>
        <v>0</v>
      </c>
      <c r="BI112" s="18">
        <f t="shared" si="153"/>
        <v>0</v>
      </c>
      <c r="BJ112" s="18">
        <f t="shared" si="154"/>
        <v>0</v>
      </c>
      <c r="BK112" s="18">
        <f t="shared" si="155"/>
        <v>0</v>
      </c>
      <c r="BL112" s="18">
        <f t="shared" si="156"/>
        <v>0</v>
      </c>
      <c r="BM112" s="18">
        <f t="shared" si="157"/>
        <v>0</v>
      </c>
      <c r="BN112" s="18">
        <f t="shared" si="158"/>
        <v>0</v>
      </c>
      <c r="BO112" s="18">
        <f t="shared" si="159"/>
        <v>0</v>
      </c>
      <c r="BP112" s="18">
        <f t="shared" si="160"/>
        <v>0</v>
      </c>
      <c r="BQ112" s="18">
        <f t="shared" si="161"/>
        <v>0</v>
      </c>
      <c r="BR112" s="18">
        <f t="shared" si="162"/>
        <v>0</v>
      </c>
      <c r="BS112" s="18">
        <f t="shared" si="163"/>
        <v>0</v>
      </c>
      <c r="BT112" s="18">
        <f t="shared" si="164"/>
        <v>0</v>
      </c>
      <c r="BU112" s="18">
        <f t="shared" si="165"/>
        <v>0</v>
      </c>
      <c r="BV112" s="18">
        <f t="shared" si="166"/>
        <v>0</v>
      </c>
      <c r="BW112" s="18">
        <f t="shared" si="167"/>
        <v>0</v>
      </c>
      <c r="BX112" s="18">
        <f t="shared" si="168"/>
        <v>0</v>
      </c>
      <c r="BY112" s="18">
        <f t="shared" si="169"/>
        <v>0</v>
      </c>
      <c r="BZ112" s="18">
        <f t="shared" si="170"/>
        <v>0</v>
      </c>
      <c r="CA112" s="18">
        <f t="shared" si="171"/>
        <v>0</v>
      </c>
      <c r="CB112" s="18">
        <f t="shared" si="172"/>
        <v>0</v>
      </c>
      <c r="CC112" s="18">
        <f t="shared" si="173"/>
        <v>0</v>
      </c>
      <c r="CD112" s="18">
        <f t="shared" si="174"/>
        <v>0</v>
      </c>
      <c r="CE112" s="18">
        <f t="shared" si="175"/>
        <v>0</v>
      </c>
      <c r="CF112" s="18">
        <f t="shared" si="176"/>
        <v>0</v>
      </c>
      <c r="CG112" s="18">
        <f t="shared" si="177"/>
        <v>0</v>
      </c>
      <c r="CH112" s="18">
        <f t="shared" si="178"/>
        <v>0</v>
      </c>
      <c r="CI112" s="18">
        <f t="shared" si="179"/>
        <v>0</v>
      </c>
      <c r="CJ112" s="18">
        <f t="shared" si="180"/>
        <v>0</v>
      </c>
    </row>
    <row r="113" spans="1:88" x14ac:dyDescent="0.3">
      <c r="A113" s="1">
        <v>43997</v>
      </c>
      <c r="B113">
        <v>33228.800000000003</v>
      </c>
      <c r="C113">
        <f>Table1[[#This Row],[Close]]-0.001*Table1[[#This Row],[Close]]</f>
        <v>33195.571200000006</v>
      </c>
      <c r="D113">
        <f>Table1[[#This Row],[Close]]+0.001*Table1[[#This Row],[Close]]</f>
        <v>33262.0288</v>
      </c>
      <c r="E113" t="str">
        <f>IF(Table1[[#This Row],[Close]]&gt;D112,"UP",IF(Table1[[#This Row],[Close]]&lt;C112,"Down","Constant"))</f>
        <v>Down</v>
      </c>
      <c r="F113" s="3">
        <f>IF(Table1[[#This Row],[Column1]]="Up",1,IF(Table1[[#This Row],[Column1]]="Down",-1,0))</f>
        <v>-1</v>
      </c>
      <c r="G113">
        <f t="shared" si="99"/>
        <v>0</v>
      </c>
      <c r="H113" s="18">
        <f t="shared" si="100"/>
        <v>0</v>
      </c>
      <c r="I113" s="18">
        <f t="shared" si="101"/>
        <v>0</v>
      </c>
      <c r="J113" s="18">
        <f t="shared" si="102"/>
        <v>0</v>
      </c>
      <c r="K113" s="18">
        <f t="shared" si="103"/>
        <v>0</v>
      </c>
      <c r="L113" s="18">
        <f t="shared" si="104"/>
        <v>0</v>
      </c>
      <c r="M113" s="18">
        <f t="shared" si="105"/>
        <v>0</v>
      </c>
      <c r="N113" s="18">
        <f t="shared" si="106"/>
        <v>1</v>
      </c>
      <c r="O113" s="18">
        <f t="shared" si="107"/>
        <v>0</v>
      </c>
      <c r="P113" s="18">
        <f t="shared" si="108"/>
        <v>0</v>
      </c>
      <c r="Q113" s="18">
        <f t="shared" si="109"/>
        <v>0</v>
      </c>
      <c r="R113" s="18">
        <f t="shared" si="110"/>
        <v>0</v>
      </c>
      <c r="S113" s="18">
        <f t="shared" si="111"/>
        <v>0</v>
      </c>
      <c r="T113" s="18">
        <f t="shared" si="112"/>
        <v>0</v>
      </c>
      <c r="U113" s="18">
        <f t="shared" si="113"/>
        <v>0</v>
      </c>
      <c r="V113" s="18">
        <f t="shared" si="114"/>
        <v>0</v>
      </c>
      <c r="W113" s="18">
        <f t="shared" si="115"/>
        <v>0</v>
      </c>
      <c r="X113" s="18">
        <f t="shared" si="116"/>
        <v>0</v>
      </c>
      <c r="Y113" s="18">
        <f t="shared" si="117"/>
        <v>0</v>
      </c>
      <c r="Z113" s="18">
        <f t="shared" si="118"/>
        <v>0</v>
      </c>
      <c r="AA113" s="18">
        <f t="shared" si="119"/>
        <v>0</v>
      </c>
      <c r="AB113" s="18">
        <f t="shared" si="120"/>
        <v>0</v>
      </c>
      <c r="AC113" s="18">
        <f t="shared" si="121"/>
        <v>0</v>
      </c>
      <c r="AD113" s="18">
        <f t="shared" si="122"/>
        <v>0</v>
      </c>
      <c r="AE113" s="18">
        <f t="shared" si="123"/>
        <v>0</v>
      </c>
      <c r="AF113" s="18">
        <f t="shared" si="124"/>
        <v>0</v>
      </c>
      <c r="AG113" s="18">
        <f t="shared" si="125"/>
        <v>0</v>
      </c>
      <c r="AH113" s="18">
        <f t="shared" si="126"/>
        <v>0</v>
      </c>
      <c r="AI113" s="18">
        <f t="shared" si="127"/>
        <v>0</v>
      </c>
      <c r="AJ113" s="18">
        <f t="shared" si="128"/>
        <v>0</v>
      </c>
      <c r="AK113" s="18">
        <f t="shared" si="129"/>
        <v>0</v>
      </c>
      <c r="AL113" s="18">
        <f t="shared" si="130"/>
        <v>0</v>
      </c>
      <c r="AM113" s="18">
        <f t="shared" si="131"/>
        <v>0</v>
      </c>
      <c r="AN113" s="18">
        <f t="shared" si="132"/>
        <v>0</v>
      </c>
      <c r="AO113" s="18">
        <f t="shared" si="133"/>
        <v>0</v>
      </c>
      <c r="AP113" s="18">
        <f t="shared" si="134"/>
        <v>0</v>
      </c>
      <c r="AQ113" s="18">
        <f t="shared" si="135"/>
        <v>0</v>
      </c>
      <c r="AR113" s="18">
        <f t="shared" si="136"/>
        <v>0</v>
      </c>
      <c r="AS113" s="18">
        <f t="shared" si="137"/>
        <v>0</v>
      </c>
      <c r="AT113" s="18">
        <f t="shared" si="138"/>
        <v>0</v>
      </c>
      <c r="AU113" s="18">
        <f t="shared" si="139"/>
        <v>0</v>
      </c>
      <c r="AV113" s="18">
        <f t="shared" si="140"/>
        <v>0</v>
      </c>
      <c r="AW113" s="18">
        <f t="shared" si="141"/>
        <v>0</v>
      </c>
      <c r="AX113" s="18">
        <f t="shared" si="142"/>
        <v>0</v>
      </c>
      <c r="AY113" s="18">
        <f t="shared" si="143"/>
        <v>0</v>
      </c>
      <c r="AZ113" s="18">
        <f t="shared" si="144"/>
        <v>0</v>
      </c>
      <c r="BA113" s="18">
        <f t="shared" si="145"/>
        <v>0</v>
      </c>
      <c r="BB113" s="18">
        <f t="shared" si="146"/>
        <v>0</v>
      </c>
      <c r="BC113" s="18">
        <f t="shared" si="147"/>
        <v>0</v>
      </c>
      <c r="BD113" s="18">
        <f t="shared" si="148"/>
        <v>0</v>
      </c>
      <c r="BE113" s="18">
        <f t="shared" si="149"/>
        <v>0</v>
      </c>
      <c r="BF113" s="18">
        <f t="shared" si="150"/>
        <v>0</v>
      </c>
      <c r="BG113" s="18">
        <f t="shared" si="151"/>
        <v>0</v>
      </c>
      <c r="BH113" s="18">
        <f t="shared" si="152"/>
        <v>0</v>
      </c>
      <c r="BI113" s="18">
        <f t="shared" si="153"/>
        <v>0</v>
      </c>
      <c r="BJ113" s="18">
        <f t="shared" si="154"/>
        <v>0</v>
      </c>
      <c r="BK113" s="18">
        <f t="shared" si="155"/>
        <v>0</v>
      </c>
      <c r="BL113" s="18">
        <f t="shared" si="156"/>
        <v>0</v>
      </c>
      <c r="BM113" s="18">
        <f t="shared" si="157"/>
        <v>0</v>
      </c>
      <c r="BN113" s="18">
        <f t="shared" si="158"/>
        <v>0</v>
      </c>
      <c r="BO113" s="18">
        <f t="shared" si="159"/>
        <v>0</v>
      </c>
      <c r="BP113" s="18">
        <f t="shared" si="160"/>
        <v>0</v>
      </c>
      <c r="BQ113" s="18">
        <f t="shared" si="161"/>
        <v>0</v>
      </c>
      <c r="BR113" s="18">
        <f t="shared" si="162"/>
        <v>0</v>
      </c>
      <c r="BS113" s="18">
        <f t="shared" si="163"/>
        <v>0</v>
      </c>
      <c r="BT113" s="18">
        <f t="shared" si="164"/>
        <v>0</v>
      </c>
      <c r="BU113" s="18">
        <f t="shared" si="165"/>
        <v>0</v>
      </c>
      <c r="BV113" s="18">
        <f t="shared" si="166"/>
        <v>0</v>
      </c>
      <c r="BW113" s="18">
        <f t="shared" si="167"/>
        <v>0</v>
      </c>
      <c r="BX113" s="18">
        <f t="shared" si="168"/>
        <v>0</v>
      </c>
      <c r="BY113" s="18">
        <f t="shared" si="169"/>
        <v>0</v>
      </c>
      <c r="BZ113" s="18">
        <f t="shared" si="170"/>
        <v>0</v>
      </c>
      <c r="CA113" s="18">
        <f t="shared" si="171"/>
        <v>0</v>
      </c>
      <c r="CB113" s="18">
        <f t="shared" si="172"/>
        <v>0</v>
      </c>
      <c r="CC113" s="18">
        <f t="shared" si="173"/>
        <v>0</v>
      </c>
      <c r="CD113" s="18">
        <f t="shared" si="174"/>
        <v>0</v>
      </c>
      <c r="CE113" s="18">
        <f t="shared" si="175"/>
        <v>0</v>
      </c>
      <c r="CF113" s="18">
        <f t="shared" si="176"/>
        <v>0</v>
      </c>
      <c r="CG113" s="18">
        <f t="shared" si="177"/>
        <v>0</v>
      </c>
      <c r="CH113" s="18">
        <f t="shared" si="178"/>
        <v>0</v>
      </c>
      <c r="CI113" s="18">
        <f t="shared" si="179"/>
        <v>0</v>
      </c>
      <c r="CJ113" s="18">
        <f t="shared" si="180"/>
        <v>0</v>
      </c>
    </row>
    <row r="114" spans="1:88" x14ac:dyDescent="0.3">
      <c r="A114" s="1">
        <v>43998</v>
      </c>
      <c r="B114">
        <v>33605.22</v>
      </c>
      <c r="C114">
        <f>Table1[[#This Row],[Close]]-0.001*Table1[[#This Row],[Close]]</f>
        <v>33571.614780000004</v>
      </c>
      <c r="D114">
        <f>Table1[[#This Row],[Close]]+0.001*Table1[[#This Row],[Close]]</f>
        <v>33638.825219999999</v>
      </c>
      <c r="E114" t="str">
        <f>IF(Table1[[#This Row],[Close]]&gt;D113,"UP",IF(Table1[[#This Row],[Close]]&lt;C113,"Down","Constant"))</f>
        <v>UP</v>
      </c>
      <c r="F114" s="3">
        <f>IF(Table1[[#This Row],[Column1]]="Up",1,IF(Table1[[#This Row],[Column1]]="Down",-1,0))</f>
        <v>1</v>
      </c>
      <c r="G114">
        <f t="shared" si="99"/>
        <v>0</v>
      </c>
      <c r="H114" s="18">
        <f t="shared" si="100"/>
        <v>0</v>
      </c>
      <c r="I114" s="18">
        <f t="shared" si="101"/>
        <v>0</v>
      </c>
      <c r="J114" s="18">
        <f t="shared" si="102"/>
        <v>0</v>
      </c>
      <c r="K114" s="18">
        <f t="shared" si="103"/>
        <v>0</v>
      </c>
      <c r="L114" s="18">
        <f t="shared" si="104"/>
        <v>0</v>
      </c>
      <c r="M114" s="18">
        <f t="shared" si="105"/>
        <v>0</v>
      </c>
      <c r="N114" s="18">
        <f t="shared" si="106"/>
        <v>0</v>
      </c>
      <c r="O114" s="18">
        <f t="shared" si="107"/>
        <v>0</v>
      </c>
      <c r="P114" s="18">
        <f t="shared" si="108"/>
        <v>0</v>
      </c>
      <c r="Q114" s="18">
        <f t="shared" si="109"/>
        <v>0</v>
      </c>
      <c r="R114" s="18">
        <f t="shared" si="110"/>
        <v>0</v>
      </c>
      <c r="S114" s="18">
        <f t="shared" si="111"/>
        <v>0</v>
      </c>
      <c r="T114" s="18">
        <f t="shared" si="112"/>
        <v>0</v>
      </c>
      <c r="U114" s="18">
        <f t="shared" si="113"/>
        <v>0</v>
      </c>
      <c r="V114" s="18">
        <f t="shared" si="114"/>
        <v>0</v>
      </c>
      <c r="W114" s="18">
        <f t="shared" si="115"/>
        <v>0</v>
      </c>
      <c r="X114" s="18">
        <f t="shared" si="116"/>
        <v>0</v>
      </c>
      <c r="Y114" s="18">
        <f t="shared" si="117"/>
        <v>0</v>
      </c>
      <c r="Z114" s="18">
        <f t="shared" si="118"/>
        <v>0</v>
      </c>
      <c r="AA114" s="18">
        <f t="shared" si="119"/>
        <v>0</v>
      </c>
      <c r="AB114" s="18">
        <f t="shared" si="120"/>
        <v>0</v>
      </c>
      <c r="AC114" s="18">
        <f t="shared" si="121"/>
        <v>0</v>
      </c>
      <c r="AD114" s="18">
        <f t="shared" si="122"/>
        <v>0</v>
      </c>
      <c r="AE114" s="18">
        <f t="shared" si="123"/>
        <v>1</v>
      </c>
      <c r="AF114" s="18">
        <f t="shared" si="124"/>
        <v>0</v>
      </c>
      <c r="AG114" s="18">
        <f t="shared" si="125"/>
        <v>0</v>
      </c>
      <c r="AH114" s="18">
        <f t="shared" si="126"/>
        <v>0</v>
      </c>
      <c r="AI114" s="18">
        <f t="shared" si="127"/>
        <v>0</v>
      </c>
      <c r="AJ114" s="18">
        <f t="shared" si="128"/>
        <v>0</v>
      </c>
      <c r="AK114" s="18">
        <f t="shared" si="129"/>
        <v>0</v>
      </c>
      <c r="AL114" s="18">
        <f t="shared" si="130"/>
        <v>0</v>
      </c>
      <c r="AM114" s="18">
        <f t="shared" si="131"/>
        <v>0</v>
      </c>
      <c r="AN114" s="18">
        <f t="shared" si="132"/>
        <v>0</v>
      </c>
      <c r="AO114" s="18">
        <f t="shared" si="133"/>
        <v>0</v>
      </c>
      <c r="AP114" s="18">
        <f t="shared" si="134"/>
        <v>0</v>
      </c>
      <c r="AQ114" s="18">
        <f t="shared" si="135"/>
        <v>0</v>
      </c>
      <c r="AR114" s="18">
        <f t="shared" si="136"/>
        <v>0</v>
      </c>
      <c r="AS114" s="18">
        <f t="shared" si="137"/>
        <v>0</v>
      </c>
      <c r="AT114" s="18">
        <f t="shared" si="138"/>
        <v>0</v>
      </c>
      <c r="AU114" s="18">
        <f t="shared" si="139"/>
        <v>0</v>
      </c>
      <c r="AV114" s="18">
        <f t="shared" si="140"/>
        <v>0</v>
      </c>
      <c r="AW114" s="18">
        <f t="shared" si="141"/>
        <v>0</v>
      </c>
      <c r="AX114" s="18">
        <f t="shared" si="142"/>
        <v>0</v>
      </c>
      <c r="AY114" s="18">
        <f t="shared" si="143"/>
        <v>0</v>
      </c>
      <c r="AZ114" s="18">
        <f t="shared" si="144"/>
        <v>0</v>
      </c>
      <c r="BA114" s="18">
        <f t="shared" si="145"/>
        <v>0</v>
      </c>
      <c r="BB114" s="18">
        <f t="shared" si="146"/>
        <v>0</v>
      </c>
      <c r="BC114" s="18">
        <f t="shared" si="147"/>
        <v>0</v>
      </c>
      <c r="BD114" s="18">
        <f t="shared" si="148"/>
        <v>0</v>
      </c>
      <c r="BE114" s="18">
        <f t="shared" si="149"/>
        <v>0</v>
      </c>
      <c r="BF114" s="18">
        <f t="shared" si="150"/>
        <v>0</v>
      </c>
      <c r="BG114" s="18">
        <f t="shared" si="151"/>
        <v>0</v>
      </c>
      <c r="BH114" s="18">
        <f t="shared" si="152"/>
        <v>0</v>
      </c>
      <c r="BI114" s="18">
        <f t="shared" si="153"/>
        <v>0</v>
      </c>
      <c r="BJ114" s="18">
        <f t="shared" si="154"/>
        <v>0</v>
      </c>
      <c r="BK114" s="18">
        <f t="shared" si="155"/>
        <v>0</v>
      </c>
      <c r="BL114" s="18">
        <f t="shared" si="156"/>
        <v>0</v>
      </c>
      <c r="BM114" s="18">
        <f t="shared" si="157"/>
        <v>0</v>
      </c>
      <c r="BN114" s="18">
        <f t="shared" si="158"/>
        <v>0</v>
      </c>
      <c r="BO114" s="18">
        <f t="shared" si="159"/>
        <v>0</v>
      </c>
      <c r="BP114" s="18">
        <f t="shared" si="160"/>
        <v>0</v>
      </c>
      <c r="BQ114" s="18">
        <f t="shared" si="161"/>
        <v>0</v>
      </c>
      <c r="BR114" s="18">
        <f t="shared" si="162"/>
        <v>0</v>
      </c>
      <c r="BS114" s="18">
        <f t="shared" si="163"/>
        <v>0</v>
      </c>
      <c r="BT114" s="18">
        <f t="shared" si="164"/>
        <v>0</v>
      </c>
      <c r="BU114" s="18">
        <f t="shared" si="165"/>
        <v>0</v>
      </c>
      <c r="BV114" s="18">
        <f t="shared" si="166"/>
        <v>0</v>
      </c>
      <c r="BW114" s="18">
        <f t="shared" si="167"/>
        <v>0</v>
      </c>
      <c r="BX114" s="18">
        <f t="shared" si="168"/>
        <v>0</v>
      </c>
      <c r="BY114" s="18">
        <f t="shared" si="169"/>
        <v>0</v>
      </c>
      <c r="BZ114" s="18">
        <f t="shared" si="170"/>
        <v>0</v>
      </c>
      <c r="CA114" s="18">
        <f t="shared" si="171"/>
        <v>0</v>
      </c>
      <c r="CB114" s="18">
        <f t="shared" si="172"/>
        <v>0</v>
      </c>
      <c r="CC114" s="18">
        <f t="shared" si="173"/>
        <v>0</v>
      </c>
      <c r="CD114" s="18">
        <f t="shared" si="174"/>
        <v>0</v>
      </c>
      <c r="CE114" s="18">
        <f t="shared" si="175"/>
        <v>0</v>
      </c>
      <c r="CF114" s="18">
        <f t="shared" si="176"/>
        <v>0</v>
      </c>
      <c r="CG114" s="18">
        <f t="shared" si="177"/>
        <v>0</v>
      </c>
      <c r="CH114" s="18">
        <f t="shared" si="178"/>
        <v>0</v>
      </c>
      <c r="CI114" s="18">
        <f t="shared" si="179"/>
        <v>0</v>
      </c>
      <c r="CJ114" s="18">
        <f t="shared" si="180"/>
        <v>0</v>
      </c>
    </row>
    <row r="115" spans="1:88" x14ac:dyDescent="0.3">
      <c r="A115" s="1">
        <v>43999</v>
      </c>
      <c r="B115">
        <v>33507.919999999998</v>
      </c>
      <c r="C115">
        <f>Table1[[#This Row],[Close]]-0.001*Table1[[#This Row],[Close]]</f>
        <v>33474.412080000002</v>
      </c>
      <c r="D115">
        <f>Table1[[#This Row],[Close]]+0.001*Table1[[#This Row],[Close]]</f>
        <v>33541.427919999995</v>
      </c>
      <c r="E115" t="str">
        <f>IF(Table1[[#This Row],[Close]]&gt;D114,"UP",IF(Table1[[#This Row],[Close]]&lt;C114,"Down","Constant"))</f>
        <v>Down</v>
      </c>
      <c r="F115" s="3">
        <f>IF(Table1[[#This Row],[Column1]]="Up",1,IF(Table1[[#This Row],[Column1]]="Down",-1,0))</f>
        <v>-1</v>
      </c>
      <c r="G115">
        <f t="shared" si="99"/>
        <v>0</v>
      </c>
      <c r="H115" s="18">
        <f t="shared" si="100"/>
        <v>0</v>
      </c>
      <c r="I115" s="18">
        <f t="shared" si="101"/>
        <v>0</v>
      </c>
      <c r="J115" s="18">
        <f t="shared" si="102"/>
        <v>0</v>
      </c>
      <c r="K115" s="18">
        <f t="shared" si="103"/>
        <v>0</v>
      </c>
      <c r="L115" s="18">
        <f t="shared" si="104"/>
        <v>0</v>
      </c>
      <c r="M115" s="18">
        <f t="shared" si="105"/>
        <v>0</v>
      </c>
      <c r="N115" s="18">
        <f t="shared" si="106"/>
        <v>1</v>
      </c>
      <c r="O115" s="18">
        <f t="shared" si="107"/>
        <v>0</v>
      </c>
      <c r="P115" s="18">
        <f t="shared" si="108"/>
        <v>0</v>
      </c>
      <c r="Q115" s="18">
        <f t="shared" si="109"/>
        <v>0</v>
      </c>
      <c r="R115" s="18">
        <f t="shared" si="110"/>
        <v>0</v>
      </c>
      <c r="S115" s="18">
        <f t="shared" si="111"/>
        <v>0</v>
      </c>
      <c r="T115" s="18">
        <f t="shared" si="112"/>
        <v>0</v>
      </c>
      <c r="U115" s="18">
        <f t="shared" si="113"/>
        <v>0</v>
      </c>
      <c r="V115" s="18">
        <f t="shared" si="114"/>
        <v>0</v>
      </c>
      <c r="W115" s="18">
        <f t="shared" si="115"/>
        <v>0</v>
      </c>
      <c r="X115" s="18">
        <f t="shared" si="116"/>
        <v>0</v>
      </c>
      <c r="Y115" s="18">
        <f t="shared" si="117"/>
        <v>0</v>
      </c>
      <c r="Z115" s="18">
        <f t="shared" si="118"/>
        <v>0</v>
      </c>
      <c r="AA115" s="18">
        <f t="shared" si="119"/>
        <v>0</v>
      </c>
      <c r="AB115" s="18">
        <f t="shared" si="120"/>
        <v>0</v>
      </c>
      <c r="AC115" s="18">
        <f t="shared" si="121"/>
        <v>0</v>
      </c>
      <c r="AD115" s="18">
        <f t="shared" si="122"/>
        <v>0</v>
      </c>
      <c r="AE115" s="18">
        <f t="shared" si="123"/>
        <v>0</v>
      </c>
      <c r="AF115" s="18">
        <f t="shared" si="124"/>
        <v>0</v>
      </c>
      <c r="AG115" s="18">
        <f t="shared" si="125"/>
        <v>0</v>
      </c>
      <c r="AH115" s="18">
        <f t="shared" si="126"/>
        <v>0</v>
      </c>
      <c r="AI115" s="18">
        <f t="shared" si="127"/>
        <v>0</v>
      </c>
      <c r="AJ115" s="18">
        <f t="shared" si="128"/>
        <v>0</v>
      </c>
      <c r="AK115" s="18">
        <f t="shared" si="129"/>
        <v>0</v>
      </c>
      <c r="AL115" s="18">
        <f t="shared" si="130"/>
        <v>0</v>
      </c>
      <c r="AM115" s="18">
        <f t="shared" si="131"/>
        <v>0</v>
      </c>
      <c r="AN115" s="18">
        <f t="shared" si="132"/>
        <v>0</v>
      </c>
      <c r="AO115" s="18">
        <f t="shared" si="133"/>
        <v>0</v>
      </c>
      <c r="AP115" s="18">
        <f t="shared" si="134"/>
        <v>0</v>
      </c>
      <c r="AQ115" s="18">
        <f t="shared" si="135"/>
        <v>0</v>
      </c>
      <c r="AR115" s="18">
        <f t="shared" si="136"/>
        <v>0</v>
      </c>
      <c r="AS115" s="18">
        <f t="shared" si="137"/>
        <v>0</v>
      </c>
      <c r="AT115" s="18">
        <f t="shared" si="138"/>
        <v>0</v>
      </c>
      <c r="AU115" s="18">
        <f t="shared" si="139"/>
        <v>0</v>
      </c>
      <c r="AV115" s="18">
        <f t="shared" si="140"/>
        <v>0</v>
      </c>
      <c r="AW115" s="18">
        <f t="shared" si="141"/>
        <v>0</v>
      </c>
      <c r="AX115" s="18">
        <f t="shared" si="142"/>
        <v>0</v>
      </c>
      <c r="AY115" s="18">
        <f t="shared" si="143"/>
        <v>0</v>
      </c>
      <c r="AZ115" s="18">
        <f t="shared" si="144"/>
        <v>0</v>
      </c>
      <c r="BA115" s="18">
        <f t="shared" si="145"/>
        <v>0</v>
      </c>
      <c r="BB115" s="18">
        <f t="shared" si="146"/>
        <v>0</v>
      </c>
      <c r="BC115" s="18">
        <f t="shared" si="147"/>
        <v>0</v>
      </c>
      <c r="BD115" s="18">
        <f t="shared" si="148"/>
        <v>0</v>
      </c>
      <c r="BE115" s="18">
        <f t="shared" si="149"/>
        <v>0</v>
      </c>
      <c r="BF115" s="18">
        <f t="shared" si="150"/>
        <v>0</v>
      </c>
      <c r="BG115" s="18">
        <f t="shared" si="151"/>
        <v>0</v>
      </c>
      <c r="BH115" s="18">
        <f t="shared" si="152"/>
        <v>0</v>
      </c>
      <c r="BI115" s="18">
        <f t="shared" si="153"/>
        <v>0</v>
      </c>
      <c r="BJ115" s="18">
        <f t="shared" si="154"/>
        <v>0</v>
      </c>
      <c r="BK115" s="18">
        <f t="shared" si="155"/>
        <v>0</v>
      </c>
      <c r="BL115" s="18">
        <f t="shared" si="156"/>
        <v>0</v>
      </c>
      <c r="BM115" s="18">
        <f t="shared" si="157"/>
        <v>0</v>
      </c>
      <c r="BN115" s="18">
        <f t="shared" si="158"/>
        <v>0</v>
      </c>
      <c r="BO115" s="18">
        <f t="shared" si="159"/>
        <v>0</v>
      </c>
      <c r="BP115" s="18">
        <f t="shared" si="160"/>
        <v>0</v>
      </c>
      <c r="BQ115" s="18">
        <f t="shared" si="161"/>
        <v>0</v>
      </c>
      <c r="BR115" s="18">
        <f t="shared" si="162"/>
        <v>0</v>
      </c>
      <c r="BS115" s="18">
        <f t="shared" si="163"/>
        <v>0</v>
      </c>
      <c r="BT115" s="18">
        <f t="shared" si="164"/>
        <v>0</v>
      </c>
      <c r="BU115" s="18">
        <f t="shared" si="165"/>
        <v>0</v>
      </c>
      <c r="BV115" s="18">
        <f t="shared" si="166"/>
        <v>0</v>
      </c>
      <c r="BW115" s="18">
        <f t="shared" si="167"/>
        <v>0</v>
      </c>
      <c r="BX115" s="18">
        <f t="shared" si="168"/>
        <v>0</v>
      </c>
      <c r="BY115" s="18">
        <f t="shared" si="169"/>
        <v>0</v>
      </c>
      <c r="BZ115" s="18">
        <f t="shared" si="170"/>
        <v>0</v>
      </c>
      <c r="CA115" s="18">
        <f t="shared" si="171"/>
        <v>0</v>
      </c>
      <c r="CB115" s="18">
        <f t="shared" si="172"/>
        <v>0</v>
      </c>
      <c r="CC115" s="18">
        <f t="shared" si="173"/>
        <v>0</v>
      </c>
      <c r="CD115" s="18">
        <f t="shared" si="174"/>
        <v>0</v>
      </c>
      <c r="CE115" s="18">
        <f t="shared" si="175"/>
        <v>0</v>
      </c>
      <c r="CF115" s="18">
        <f t="shared" si="176"/>
        <v>0</v>
      </c>
      <c r="CG115" s="18">
        <f t="shared" si="177"/>
        <v>0</v>
      </c>
      <c r="CH115" s="18">
        <f t="shared" si="178"/>
        <v>0</v>
      </c>
      <c r="CI115" s="18">
        <f t="shared" si="179"/>
        <v>0</v>
      </c>
      <c r="CJ115" s="18">
        <f t="shared" si="180"/>
        <v>0</v>
      </c>
    </row>
    <row r="116" spans="1:88" x14ac:dyDescent="0.3">
      <c r="A116" s="1">
        <v>44000</v>
      </c>
      <c r="B116">
        <v>34208.050000000003</v>
      </c>
      <c r="C116">
        <f>Table1[[#This Row],[Close]]-0.001*Table1[[#This Row],[Close]]</f>
        <v>34173.841950000002</v>
      </c>
      <c r="D116">
        <f>Table1[[#This Row],[Close]]+0.001*Table1[[#This Row],[Close]]</f>
        <v>34242.258050000004</v>
      </c>
      <c r="E116" t="str">
        <f>IF(Table1[[#This Row],[Close]]&gt;D115,"UP",IF(Table1[[#This Row],[Close]]&lt;C115,"Down","Constant"))</f>
        <v>UP</v>
      </c>
      <c r="F116" s="3">
        <f>IF(Table1[[#This Row],[Column1]]="Up",1,IF(Table1[[#This Row],[Column1]]="Down",-1,0))</f>
        <v>1</v>
      </c>
      <c r="G116">
        <f t="shared" si="99"/>
        <v>0</v>
      </c>
      <c r="H116" s="18">
        <f t="shared" si="100"/>
        <v>0</v>
      </c>
      <c r="I116" s="18">
        <f t="shared" si="101"/>
        <v>0</v>
      </c>
      <c r="J116" s="18">
        <f t="shared" si="102"/>
        <v>0</v>
      </c>
      <c r="K116" s="18">
        <f t="shared" si="103"/>
        <v>0</v>
      </c>
      <c r="L116" s="18">
        <f t="shared" si="104"/>
        <v>0</v>
      </c>
      <c r="M116" s="18">
        <f t="shared" si="105"/>
        <v>0</v>
      </c>
      <c r="N116" s="18">
        <f t="shared" si="106"/>
        <v>0</v>
      </c>
      <c r="O116" s="18">
        <f t="shared" si="107"/>
        <v>0</v>
      </c>
      <c r="P116" s="18">
        <f t="shared" si="108"/>
        <v>0</v>
      </c>
      <c r="Q116" s="18">
        <f t="shared" si="109"/>
        <v>0</v>
      </c>
      <c r="R116" s="18">
        <f t="shared" si="110"/>
        <v>0</v>
      </c>
      <c r="S116" s="18">
        <f t="shared" si="111"/>
        <v>0</v>
      </c>
      <c r="T116" s="18">
        <f t="shared" si="112"/>
        <v>0</v>
      </c>
      <c r="U116" s="18">
        <f t="shared" si="113"/>
        <v>0</v>
      </c>
      <c r="V116" s="18">
        <f t="shared" si="114"/>
        <v>0</v>
      </c>
      <c r="W116" s="18">
        <f t="shared" si="115"/>
        <v>0</v>
      </c>
      <c r="X116" s="18">
        <f t="shared" si="116"/>
        <v>0</v>
      </c>
      <c r="Y116" s="18">
        <f t="shared" si="117"/>
        <v>0</v>
      </c>
      <c r="Z116" s="18">
        <f t="shared" si="118"/>
        <v>0</v>
      </c>
      <c r="AA116" s="18">
        <f t="shared" si="119"/>
        <v>0</v>
      </c>
      <c r="AB116" s="18">
        <f t="shared" si="120"/>
        <v>0</v>
      </c>
      <c r="AC116" s="18">
        <f t="shared" si="121"/>
        <v>0</v>
      </c>
      <c r="AD116" s="18">
        <f t="shared" si="122"/>
        <v>0</v>
      </c>
      <c r="AE116" s="18">
        <f t="shared" si="123"/>
        <v>1</v>
      </c>
      <c r="AF116" s="18">
        <f t="shared" si="124"/>
        <v>0</v>
      </c>
      <c r="AG116" s="18">
        <f t="shared" si="125"/>
        <v>0</v>
      </c>
      <c r="AH116" s="18">
        <f t="shared" si="126"/>
        <v>0</v>
      </c>
      <c r="AI116" s="18">
        <f t="shared" si="127"/>
        <v>0</v>
      </c>
      <c r="AJ116" s="18">
        <f t="shared" si="128"/>
        <v>0</v>
      </c>
      <c r="AK116" s="18">
        <f t="shared" si="129"/>
        <v>0</v>
      </c>
      <c r="AL116" s="18">
        <f t="shared" si="130"/>
        <v>0</v>
      </c>
      <c r="AM116" s="18">
        <f t="shared" si="131"/>
        <v>0</v>
      </c>
      <c r="AN116" s="18">
        <f t="shared" si="132"/>
        <v>0</v>
      </c>
      <c r="AO116" s="18">
        <f t="shared" si="133"/>
        <v>0</v>
      </c>
      <c r="AP116" s="18">
        <f t="shared" si="134"/>
        <v>0</v>
      </c>
      <c r="AQ116" s="18">
        <f t="shared" si="135"/>
        <v>0</v>
      </c>
      <c r="AR116" s="18">
        <f t="shared" si="136"/>
        <v>0</v>
      </c>
      <c r="AS116" s="18">
        <f t="shared" si="137"/>
        <v>0</v>
      </c>
      <c r="AT116" s="18">
        <f t="shared" si="138"/>
        <v>0</v>
      </c>
      <c r="AU116" s="18">
        <f t="shared" si="139"/>
        <v>0</v>
      </c>
      <c r="AV116" s="18">
        <f t="shared" si="140"/>
        <v>0</v>
      </c>
      <c r="AW116" s="18">
        <f t="shared" si="141"/>
        <v>0</v>
      </c>
      <c r="AX116" s="18">
        <f t="shared" si="142"/>
        <v>0</v>
      </c>
      <c r="AY116" s="18">
        <f t="shared" si="143"/>
        <v>0</v>
      </c>
      <c r="AZ116" s="18">
        <f t="shared" si="144"/>
        <v>0</v>
      </c>
      <c r="BA116" s="18">
        <f t="shared" si="145"/>
        <v>0</v>
      </c>
      <c r="BB116" s="18">
        <f t="shared" si="146"/>
        <v>0</v>
      </c>
      <c r="BC116" s="18">
        <f t="shared" si="147"/>
        <v>0</v>
      </c>
      <c r="BD116" s="18">
        <f t="shared" si="148"/>
        <v>0</v>
      </c>
      <c r="BE116" s="18">
        <f t="shared" si="149"/>
        <v>0</v>
      </c>
      <c r="BF116" s="18">
        <f t="shared" si="150"/>
        <v>0</v>
      </c>
      <c r="BG116" s="18">
        <f t="shared" si="151"/>
        <v>0</v>
      </c>
      <c r="BH116" s="18">
        <f t="shared" si="152"/>
        <v>0</v>
      </c>
      <c r="BI116" s="18">
        <f t="shared" si="153"/>
        <v>0</v>
      </c>
      <c r="BJ116" s="18">
        <f t="shared" si="154"/>
        <v>0</v>
      </c>
      <c r="BK116" s="18">
        <f t="shared" si="155"/>
        <v>0</v>
      </c>
      <c r="BL116" s="18">
        <f t="shared" si="156"/>
        <v>0</v>
      </c>
      <c r="BM116" s="18">
        <f t="shared" si="157"/>
        <v>0</v>
      </c>
      <c r="BN116" s="18">
        <f t="shared" si="158"/>
        <v>0</v>
      </c>
      <c r="BO116" s="18">
        <f t="shared" si="159"/>
        <v>0</v>
      </c>
      <c r="BP116" s="18">
        <f t="shared" si="160"/>
        <v>0</v>
      </c>
      <c r="BQ116" s="18">
        <f t="shared" si="161"/>
        <v>0</v>
      </c>
      <c r="BR116" s="18">
        <f t="shared" si="162"/>
        <v>0</v>
      </c>
      <c r="BS116" s="18">
        <f t="shared" si="163"/>
        <v>0</v>
      </c>
      <c r="BT116" s="18">
        <f t="shared" si="164"/>
        <v>0</v>
      </c>
      <c r="BU116" s="18">
        <f t="shared" si="165"/>
        <v>0</v>
      </c>
      <c r="BV116" s="18">
        <f t="shared" si="166"/>
        <v>0</v>
      </c>
      <c r="BW116" s="18">
        <f t="shared" si="167"/>
        <v>0</v>
      </c>
      <c r="BX116" s="18">
        <f t="shared" si="168"/>
        <v>0</v>
      </c>
      <c r="BY116" s="18">
        <f t="shared" si="169"/>
        <v>0</v>
      </c>
      <c r="BZ116" s="18">
        <f t="shared" si="170"/>
        <v>0</v>
      </c>
      <c r="CA116" s="18">
        <f t="shared" si="171"/>
        <v>0</v>
      </c>
      <c r="CB116" s="18">
        <f t="shared" si="172"/>
        <v>0</v>
      </c>
      <c r="CC116" s="18">
        <f t="shared" si="173"/>
        <v>0</v>
      </c>
      <c r="CD116" s="18">
        <f t="shared" si="174"/>
        <v>0</v>
      </c>
      <c r="CE116" s="18">
        <f t="shared" si="175"/>
        <v>0</v>
      </c>
      <c r="CF116" s="18">
        <f t="shared" si="176"/>
        <v>0</v>
      </c>
      <c r="CG116" s="18">
        <f t="shared" si="177"/>
        <v>0</v>
      </c>
      <c r="CH116" s="18">
        <f t="shared" si="178"/>
        <v>0</v>
      </c>
      <c r="CI116" s="18">
        <f t="shared" si="179"/>
        <v>0</v>
      </c>
      <c r="CJ116" s="18">
        <f t="shared" si="180"/>
        <v>0</v>
      </c>
    </row>
    <row r="117" spans="1:88" x14ac:dyDescent="0.3">
      <c r="A117" s="1">
        <v>44001</v>
      </c>
      <c r="B117">
        <v>34731.730000000003</v>
      </c>
      <c r="C117">
        <f>Table1[[#This Row],[Close]]-0.001*Table1[[#This Row],[Close]]</f>
        <v>34696.998270000004</v>
      </c>
      <c r="D117">
        <f>Table1[[#This Row],[Close]]+0.001*Table1[[#This Row],[Close]]</f>
        <v>34766.461730000003</v>
      </c>
      <c r="E117" t="str">
        <f>IF(Table1[[#This Row],[Close]]&gt;D116,"UP",IF(Table1[[#This Row],[Close]]&lt;C116,"Down","Constant"))</f>
        <v>UP</v>
      </c>
      <c r="F117" s="3">
        <f>IF(Table1[[#This Row],[Column1]]="Up",1,IF(Table1[[#This Row],[Column1]]="Down",-1,0))</f>
        <v>1</v>
      </c>
      <c r="G117">
        <f t="shared" si="99"/>
        <v>0</v>
      </c>
      <c r="H117" s="18">
        <f t="shared" si="100"/>
        <v>0</v>
      </c>
      <c r="I117" s="18">
        <f t="shared" si="101"/>
        <v>0</v>
      </c>
      <c r="J117" s="18">
        <f t="shared" si="102"/>
        <v>0</v>
      </c>
      <c r="K117" s="18">
        <f t="shared" si="103"/>
        <v>0</v>
      </c>
      <c r="L117" s="18">
        <f t="shared" si="104"/>
        <v>0</v>
      </c>
      <c r="M117" s="18">
        <f t="shared" si="105"/>
        <v>0</v>
      </c>
      <c r="N117" s="18">
        <f t="shared" si="106"/>
        <v>0</v>
      </c>
      <c r="O117" s="18">
        <f t="shared" si="107"/>
        <v>0</v>
      </c>
      <c r="P117" s="18">
        <f t="shared" si="108"/>
        <v>1</v>
      </c>
      <c r="Q117" s="18">
        <f t="shared" si="109"/>
        <v>0</v>
      </c>
      <c r="R117" s="18">
        <f t="shared" si="110"/>
        <v>0</v>
      </c>
      <c r="S117" s="18">
        <f t="shared" si="111"/>
        <v>0</v>
      </c>
      <c r="T117" s="18">
        <f t="shared" si="112"/>
        <v>0</v>
      </c>
      <c r="U117" s="18">
        <f t="shared" si="113"/>
        <v>0</v>
      </c>
      <c r="V117" s="18">
        <f t="shared" si="114"/>
        <v>0</v>
      </c>
      <c r="W117" s="18">
        <f t="shared" si="115"/>
        <v>0</v>
      </c>
      <c r="X117" s="18">
        <f t="shared" si="116"/>
        <v>0</v>
      </c>
      <c r="Y117" s="18">
        <f t="shared" si="117"/>
        <v>0</v>
      </c>
      <c r="Z117" s="18">
        <f t="shared" si="118"/>
        <v>0</v>
      </c>
      <c r="AA117" s="18">
        <f t="shared" si="119"/>
        <v>0</v>
      </c>
      <c r="AB117" s="18">
        <f t="shared" si="120"/>
        <v>0</v>
      </c>
      <c r="AC117" s="18">
        <f t="shared" si="121"/>
        <v>0</v>
      </c>
      <c r="AD117" s="18">
        <f t="shared" si="122"/>
        <v>0</v>
      </c>
      <c r="AE117" s="18">
        <f t="shared" si="123"/>
        <v>0</v>
      </c>
      <c r="AF117" s="18">
        <f t="shared" si="124"/>
        <v>0</v>
      </c>
      <c r="AG117" s="18">
        <f t="shared" si="125"/>
        <v>0</v>
      </c>
      <c r="AH117" s="18">
        <f t="shared" si="126"/>
        <v>0</v>
      </c>
      <c r="AI117" s="18">
        <f t="shared" si="127"/>
        <v>0</v>
      </c>
      <c r="AJ117" s="18">
        <f t="shared" si="128"/>
        <v>0</v>
      </c>
      <c r="AK117" s="18">
        <f t="shared" si="129"/>
        <v>0</v>
      </c>
      <c r="AL117" s="18">
        <f t="shared" si="130"/>
        <v>0</v>
      </c>
      <c r="AM117" s="18">
        <f t="shared" si="131"/>
        <v>0</v>
      </c>
      <c r="AN117" s="18">
        <f t="shared" si="132"/>
        <v>0</v>
      </c>
      <c r="AO117" s="18">
        <f t="shared" si="133"/>
        <v>0</v>
      </c>
      <c r="AP117" s="18">
        <f t="shared" si="134"/>
        <v>0</v>
      </c>
      <c r="AQ117" s="18">
        <f t="shared" si="135"/>
        <v>0</v>
      </c>
      <c r="AR117" s="18">
        <f t="shared" si="136"/>
        <v>0</v>
      </c>
      <c r="AS117" s="18">
        <f t="shared" si="137"/>
        <v>0</v>
      </c>
      <c r="AT117" s="18">
        <f t="shared" si="138"/>
        <v>0</v>
      </c>
      <c r="AU117" s="18">
        <f t="shared" si="139"/>
        <v>0</v>
      </c>
      <c r="AV117" s="18">
        <f t="shared" si="140"/>
        <v>0</v>
      </c>
      <c r="AW117" s="18">
        <f t="shared" si="141"/>
        <v>0</v>
      </c>
      <c r="AX117" s="18">
        <f t="shared" si="142"/>
        <v>0</v>
      </c>
      <c r="AY117" s="18">
        <f t="shared" si="143"/>
        <v>0</v>
      </c>
      <c r="AZ117" s="18">
        <f t="shared" si="144"/>
        <v>0</v>
      </c>
      <c r="BA117" s="18">
        <f t="shared" si="145"/>
        <v>0</v>
      </c>
      <c r="BB117" s="18">
        <f t="shared" si="146"/>
        <v>0</v>
      </c>
      <c r="BC117" s="18">
        <f t="shared" si="147"/>
        <v>0</v>
      </c>
      <c r="BD117" s="18">
        <f t="shared" si="148"/>
        <v>0</v>
      </c>
      <c r="BE117" s="18">
        <f t="shared" si="149"/>
        <v>0</v>
      </c>
      <c r="BF117" s="18">
        <f t="shared" si="150"/>
        <v>0</v>
      </c>
      <c r="BG117" s="18">
        <f t="shared" si="151"/>
        <v>0</v>
      </c>
      <c r="BH117" s="18">
        <f t="shared" si="152"/>
        <v>0</v>
      </c>
      <c r="BI117" s="18">
        <f t="shared" si="153"/>
        <v>0</v>
      </c>
      <c r="BJ117" s="18">
        <f t="shared" si="154"/>
        <v>0</v>
      </c>
      <c r="BK117" s="18">
        <f t="shared" si="155"/>
        <v>0</v>
      </c>
      <c r="BL117" s="18">
        <f t="shared" si="156"/>
        <v>0</v>
      </c>
      <c r="BM117" s="18">
        <f t="shared" si="157"/>
        <v>0</v>
      </c>
      <c r="BN117" s="18">
        <f t="shared" si="158"/>
        <v>0</v>
      </c>
      <c r="BO117" s="18">
        <f t="shared" si="159"/>
        <v>0</v>
      </c>
      <c r="BP117" s="18">
        <f t="shared" si="160"/>
        <v>0</v>
      </c>
      <c r="BQ117" s="18">
        <f t="shared" si="161"/>
        <v>0</v>
      </c>
      <c r="BR117" s="18">
        <f t="shared" si="162"/>
        <v>0</v>
      </c>
      <c r="BS117" s="18">
        <f t="shared" si="163"/>
        <v>0</v>
      </c>
      <c r="BT117" s="18">
        <f t="shared" si="164"/>
        <v>0</v>
      </c>
      <c r="BU117" s="18">
        <f t="shared" si="165"/>
        <v>0</v>
      </c>
      <c r="BV117" s="18">
        <f t="shared" si="166"/>
        <v>0</v>
      </c>
      <c r="BW117" s="18">
        <f t="shared" si="167"/>
        <v>0</v>
      </c>
      <c r="BX117" s="18">
        <f t="shared" si="168"/>
        <v>0</v>
      </c>
      <c r="BY117" s="18">
        <f t="shared" si="169"/>
        <v>0</v>
      </c>
      <c r="BZ117" s="18">
        <f t="shared" si="170"/>
        <v>0</v>
      </c>
      <c r="CA117" s="18">
        <f t="shared" si="171"/>
        <v>0</v>
      </c>
      <c r="CB117" s="18">
        <f t="shared" si="172"/>
        <v>0</v>
      </c>
      <c r="CC117" s="18">
        <f t="shared" si="173"/>
        <v>0</v>
      </c>
      <c r="CD117" s="18">
        <f t="shared" si="174"/>
        <v>0</v>
      </c>
      <c r="CE117" s="18">
        <f t="shared" si="175"/>
        <v>0</v>
      </c>
      <c r="CF117" s="18">
        <f t="shared" si="176"/>
        <v>0</v>
      </c>
      <c r="CG117" s="18">
        <f t="shared" si="177"/>
        <v>0</v>
      </c>
      <c r="CH117" s="18">
        <f t="shared" si="178"/>
        <v>0</v>
      </c>
      <c r="CI117" s="18">
        <f t="shared" si="179"/>
        <v>0</v>
      </c>
      <c r="CJ117" s="18">
        <f t="shared" si="180"/>
        <v>0</v>
      </c>
    </row>
    <row r="118" spans="1:88" x14ac:dyDescent="0.3">
      <c r="A118" s="1">
        <v>44004</v>
      </c>
      <c r="B118">
        <v>34911.32</v>
      </c>
      <c r="C118">
        <f>Table1[[#This Row],[Close]]-0.001*Table1[[#This Row],[Close]]</f>
        <v>34876.40868</v>
      </c>
      <c r="D118">
        <f>Table1[[#This Row],[Close]]+0.001*Table1[[#This Row],[Close]]</f>
        <v>34946.231319999999</v>
      </c>
      <c r="E118" t="str">
        <f>IF(Table1[[#This Row],[Close]]&gt;D117,"UP",IF(Table1[[#This Row],[Close]]&lt;C117,"Down","Constant"))</f>
        <v>UP</v>
      </c>
      <c r="F118" s="3">
        <f>IF(Table1[[#This Row],[Column1]]="Up",1,IF(Table1[[#This Row],[Column1]]="Down",-1,0))</f>
        <v>1</v>
      </c>
      <c r="G118">
        <f t="shared" si="99"/>
        <v>0</v>
      </c>
      <c r="H118" s="18">
        <f t="shared" si="100"/>
        <v>0</v>
      </c>
      <c r="I118" s="18">
        <f t="shared" si="101"/>
        <v>0</v>
      </c>
      <c r="J118" s="18">
        <f t="shared" si="102"/>
        <v>0</v>
      </c>
      <c r="K118" s="18">
        <f t="shared" si="103"/>
        <v>0</v>
      </c>
      <c r="L118" s="18">
        <f t="shared" si="104"/>
        <v>0</v>
      </c>
      <c r="M118" s="18">
        <f t="shared" si="105"/>
        <v>1</v>
      </c>
      <c r="N118" s="18">
        <f t="shared" si="106"/>
        <v>0</v>
      </c>
      <c r="O118" s="18">
        <f t="shared" si="107"/>
        <v>0</v>
      </c>
      <c r="P118" s="18">
        <f t="shared" si="108"/>
        <v>0</v>
      </c>
      <c r="Q118" s="18">
        <f t="shared" si="109"/>
        <v>0</v>
      </c>
      <c r="R118" s="18">
        <f t="shared" si="110"/>
        <v>0</v>
      </c>
      <c r="S118" s="18">
        <f t="shared" si="111"/>
        <v>0</v>
      </c>
      <c r="T118" s="18">
        <f t="shared" si="112"/>
        <v>0</v>
      </c>
      <c r="U118" s="18">
        <f t="shared" si="113"/>
        <v>0</v>
      </c>
      <c r="V118" s="18">
        <f t="shared" si="114"/>
        <v>0</v>
      </c>
      <c r="W118" s="18">
        <f t="shared" si="115"/>
        <v>0</v>
      </c>
      <c r="X118" s="18">
        <f t="shared" si="116"/>
        <v>0</v>
      </c>
      <c r="Y118" s="18">
        <f t="shared" si="117"/>
        <v>0</v>
      </c>
      <c r="Z118" s="18">
        <f t="shared" si="118"/>
        <v>0</v>
      </c>
      <c r="AA118" s="18">
        <f t="shared" si="119"/>
        <v>0</v>
      </c>
      <c r="AB118" s="18">
        <f t="shared" si="120"/>
        <v>0</v>
      </c>
      <c r="AC118" s="18">
        <f t="shared" si="121"/>
        <v>0</v>
      </c>
      <c r="AD118" s="18">
        <f t="shared" si="122"/>
        <v>0</v>
      </c>
      <c r="AE118" s="18">
        <f t="shared" si="123"/>
        <v>0</v>
      </c>
      <c r="AF118" s="18">
        <f t="shared" si="124"/>
        <v>0</v>
      </c>
      <c r="AG118" s="18">
        <f t="shared" si="125"/>
        <v>0</v>
      </c>
      <c r="AH118" s="18">
        <f t="shared" si="126"/>
        <v>0</v>
      </c>
      <c r="AI118" s="18">
        <f t="shared" si="127"/>
        <v>0</v>
      </c>
      <c r="AJ118" s="18">
        <f t="shared" si="128"/>
        <v>0</v>
      </c>
      <c r="AK118" s="18">
        <f t="shared" si="129"/>
        <v>0</v>
      </c>
      <c r="AL118" s="18">
        <f t="shared" si="130"/>
        <v>0</v>
      </c>
      <c r="AM118" s="18">
        <f t="shared" si="131"/>
        <v>0</v>
      </c>
      <c r="AN118" s="18">
        <f t="shared" si="132"/>
        <v>0</v>
      </c>
      <c r="AO118" s="18">
        <f t="shared" si="133"/>
        <v>0</v>
      </c>
      <c r="AP118" s="18">
        <f t="shared" si="134"/>
        <v>0</v>
      </c>
      <c r="AQ118" s="18">
        <f t="shared" si="135"/>
        <v>0</v>
      </c>
      <c r="AR118" s="18">
        <f t="shared" si="136"/>
        <v>0</v>
      </c>
      <c r="AS118" s="18">
        <f t="shared" si="137"/>
        <v>0</v>
      </c>
      <c r="AT118" s="18">
        <f t="shared" si="138"/>
        <v>0</v>
      </c>
      <c r="AU118" s="18">
        <f t="shared" si="139"/>
        <v>0</v>
      </c>
      <c r="AV118" s="18">
        <f t="shared" si="140"/>
        <v>0</v>
      </c>
      <c r="AW118" s="18">
        <f t="shared" si="141"/>
        <v>0</v>
      </c>
      <c r="AX118" s="18">
        <f t="shared" si="142"/>
        <v>0</v>
      </c>
      <c r="AY118" s="18">
        <f t="shared" si="143"/>
        <v>0</v>
      </c>
      <c r="AZ118" s="18">
        <f t="shared" si="144"/>
        <v>0</v>
      </c>
      <c r="BA118" s="18">
        <f t="shared" si="145"/>
        <v>0</v>
      </c>
      <c r="BB118" s="18">
        <f t="shared" si="146"/>
        <v>0</v>
      </c>
      <c r="BC118" s="18">
        <f t="shared" si="147"/>
        <v>0</v>
      </c>
      <c r="BD118" s="18">
        <f t="shared" si="148"/>
        <v>0</v>
      </c>
      <c r="BE118" s="18">
        <f t="shared" si="149"/>
        <v>0</v>
      </c>
      <c r="BF118" s="18">
        <f t="shared" si="150"/>
        <v>0</v>
      </c>
      <c r="BG118" s="18">
        <f t="shared" si="151"/>
        <v>0</v>
      </c>
      <c r="BH118" s="18">
        <f t="shared" si="152"/>
        <v>0</v>
      </c>
      <c r="BI118" s="18">
        <f t="shared" si="153"/>
        <v>0</v>
      </c>
      <c r="BJ118" s="18">
        <f t="shared" si="154"/>
        <v>0</v>
      </c>
      <c r="BK118" s="18">
        <f t="shared" si="155"/>
        <v>0</v>
      </c>
      <c r="BL118" s="18">
        <f t="shared" si="156"/>
        <v>0</v>
      </c>
      <c r="BM118" s="18">
        <f t="shared" si="157"/>
        <v>0</v>
      </c>
      <c r="BN118" s="18">
        <f t="shared" si="158"/>
        <v>0</v>
      </c>
      <c r="BO118" s="18">
        <f t="shared" si="159"/>
        <v>0</v>
      </c>
      <c r="BP118" s="18">
        <f t="shared" si="160"/>
        <v>0</v>
      </c>
      <c r="BQ118" s="18">
        <f t="shared" si="161"/>
        <v>0</v>
      </c>
      <c r="BR118" s="18">
        <f t="shared" si="162"/>
        <v>0</v>
      </c>
      <c r="BS118" s="18">
        <f t="shared" si="163"/>
        <v>0</v>
      </c>
      <c r="BT118" s="18">
        <f t="shared" si="164"/>
        <v>0</v>
      </c>
      <c r="BU118" s="18">
        <f t="shared" si="165"/>
        <v>0</v>
      </c>
      <c r="BV118" s="18">
        <f t="shared" si="166"/>
        <v>0</v>
      </c>
      <c r="BW118" s="18">
        <f t="shared" si="167"/>
        <v>0</v>
      </c>
      <c r="BX118" s="18">
        <f t="shared" si="168"/>
        <v>0</v>
      </c>
      <c r="BY118" s="18">
        <f t="shared" si="169"/>
        <v>0</v>
      </c>
      <c r="BZ118" s="18">
        <f t="shared" si="170"/>
        <v>0</v>
      </c>
      <c r="CA118" s="18">
        <f t="shared" si="171"/>
        <v>0</v>
      </c>
      <c r="CB118" s="18">
        <f t="shared" si="172"/>
        <v>0</v>
      </c>
      <c r="CC118" s="18">
        <f t="shared" si="173"/>
        <v>0</v>
      </c>
      <c r="CD118" s="18">
        <f t="shared" si="174"/>
        <v>0</v>
      </c>
      <c r="CE118" s="18">
        <f t="shared" si="175"/>
        <v>0</v>
      </c>
      <c r="CF118" s="18">
        <f t="shared" si="176"/>
        <v>0</v>
      </c>
      <c r="CG118" s="18">
        <f t="shared" si="177"/>
        <v>0</v>
      </c>
      <c r="CH118" s="18">
        <f t="shared" si="178"/>
        <v>0</v>
      </c>
      <c r="CI118" s="18">
        <f t="shared" si="179"/>
        <v>0</v>
      </c>
      <c r="CJ118" s="18">
        <f t="shared" si="180"/>
        <v>0</v>
      </c>
    </row>
    <row r="119" spans="1:88" x14ac:dyDescent="0.3">
      <c r="A119" s="1">
        <v>44005</v>
      </c>
      <c r="B119">
        <v>35430.43</v>
      </c>
      <c r="C119">
        <f>Table1[[#This Row],[Close]]-0.001*Table1[[#This Row],[Close]]</f>
        <v>35394.99957</v>
      </c>
      <c r="D119">
        <f>Table1[[#This Row],[Close]]+0.001*Table1[[#This Row],[Close]]</f>
        <v>35465.860430000001</v>
      </c>
      <c r="E119" t="str">
        <f>IF(Table1[[#This Row],[Close]]&gt;D118,"UP",IF(Table1[[#This Row],[Close]]&lt;C118,"Down","Constant"))</f>
        <v>UP</v>
      </c>
      <c r="F119" s="3">
        <f>IF(Table1[[#This Row],[Column1]]="Up",1,IF(Table1[[#This Row],[Column1]]="Down",-1,0))</f>
        <v>1</v>
      </c>
      <c r="G119">
        <f t="shared" si="99"/>
        <v>0</v>
      </c>
      <c r="H119" s="18">
        <f t="shared" si="100"/>
        <v>0</v>
      </c>
      <c r="I119" s="18">
        <f t="shared" si="101"/>
        <v>0</v>
      </c>
      <c r="J119" s="18">
        <f t="shared" si="102"/>
        <v>1</v>
      </c>
      <c r="K119" s="18">
        <f t="shared" si="103"/>
        <v>0</v>
      </c>
      <c r="L119" s="18">
        <f t="shared" si="104"/>
        <v>0</v>
      </c>
      <c r="M119" s="18">
        <f t="shared" si="105"/>
        <v>0</v>
      </c>
      <c r="N119" s="18">
        <f t="shared" si="106"/>
        <v>0</v>
      </c>
      <c r="O119" s="18">
        <f t="shared" si="107"/>
        <v>0</v>
      </c>
      <c r="P119" s="18">
        <f t="shared" si="108"/>
        <v>0</v>
      </c>
      <c r="Q119" s="18">
        <f t="shared" si="109"/>
        <v>0</v>
      </c>
      <c r="R119" s="18">
        <f t="shared" si="110"/>
        <v>0</v>
      </c>
      <c r="S119" s="18">
        <f t="shared" si="111"/>
        <v>0</v>
      </c>
      <c r="T119" s="18">
        <f t="shared" si="112"/>
        <v>0</v>
      </c>
      <c r="U119" s="18">
        <f t="shared" si="113"/>
        <v>0</v>
      </c>
      <c r="V119" s="18">
        <f t="shared" si="114"/>
        <v>0</v>
      </c>
      <c r="W119" s="18">
        <f t="shared" si="115"/>
        <v>0</v>
      </c>
      <c r="X119" s="18">
        <f t="shared" si="116"/>
        <v>0</v>
      </c>
      <c r="Y119" s="18">
        <f t="shared" si="117"/>
        <v>0</v>
      </c>
      <c r="Z119" s="18">
        <f t="shared" si="118"/>
        <v>0</v>
      </c>
      <c r="AA119" s="18">
        <f t="shared" si="119"/>
        <v>0</v>
      </c>
      <c r="AB119" s="18">
        <f t="shared" si="120"/>
        <v>0</v>
      </c>
      <c r="AC119" s="18">
        <f t="shared" si="121"/>
        <v>0</v>
      </c>
      <c r="AD119" s="18">
        <f t="shared" si="122"/>
        <v>0</v>
      </c>
      <c r="AE119" s="18">
        <f t="shared" si="123"/>
        <v>0</v>
      </c>
      <c r="AF119" s="18">
        <f t="shared" si="124"/>
        <v>0</v>
      </c>
      <c r="AG119" s="18">
        <f t="shared" si="125"/>
        <v>0</v>
      </c>
      <c r="AH119" s="18">
        <f t="shared" si="126"/>
        <v>0</v>
      </c>
      <c r="AI119" s="18">
        <f t="shared" si="127"/>
        <v>0</v>
      </c>
      <c r="AJ119" s="18">
        <f t="shared" si="128"/>
        <v>0</v>
      </c>
      <c r="AK119" s="18">
        <f t="shared" si="129"/>
        <v>0</v>
      </c>
      <c r="AL119" s="18">
        <f t="shared" si="130"/>
        <v>0</v>
      </c>
      <c r="AM119" s="18">
        <f t="shared" si="131"/>
        <v>0</v>
      </c>
      <c r="AN119" s="18">
        <f t="shared" si="132"/>
        <v>0</v>
      </c>
      <c r="AO119" s="18">
        <f t="shared" si="133"/>
        <v>0</v>
      </c>
      <c r="AP119" s="18">
        <f t="shared" si="134"/>
        <v>0</v>
      </c>
      <c r="AQ119" s="18">
        <f t="shared" si="135"/>
        <v>0</v>
      </c>
      <c r="AR119" s="18">
        <f t="shared" si="136"/>
        <v>0</v>
      </c>
      <c r="AS119" s="18">
        <f t="shared" si="137"/>
        <v>0</v>
      </c>
      <c r="AT119" s="18">
        <f t="shared" si="138"/>
        <v>0</v>
      </c>
      <c r="AU119" s="18">
        <f t="shared" si="139"/>
        <v>0</v>
      </c>
      <c r="AV119" s="18">
        <f t="shared" si="140"/>
        <v>0</v>
      </c>
      <c r="AW119" s="18">
        <f t="shared" si="141"/>
        <v>0</v>
      </c>
      <c r="AX119" s="18">
        <f t="shared" si="142"/>
        <v>0</v>
      </c>
      <c r="AY119" s="18">
        <f t="shared" si="143"/>
        <v>0</v>
      </c>
      <c r="AZ119" s="18">
        <f t="shared" si="144"/>
        <v>0</v>
      </c>
      <c r="BA119" s="18">
        <f t="shared" si="145"/>
        <v>0</v>
      </c>
      <c r="BB119" s="18">
        <f t="shared" si="146"/>
        <v>0</v>
      </c>
      <c r="BC119" s="18">
        <f t="shared" si="147"/>
        <v>0</v>
      </c>
      <c r="BD119" s="18">
        <f t="shared" si="148"/>
        <v>0</v>
      </c>
      <c r="BE119" s="18">
        <f t="shared" si="149"/>
        <v>0</v>
      </c>
      <c r="BF119" s="18">
        <f t="shared" si="150"/>
        <v>0</v>
      </c>
      <c r="BG119" s="18">
        <f t="shared" si="151"/>
        <v>0</v>
      </c>
      <c r="BH119" s="18">
        <f t="shared" si="152"/>
        <v>0</v>
      </c>
      <c r="BI119" s="18">
        <f t="shared" si="153"/>
        <v>0</v>
      </c>
      <c r="BJ119" s="18">
        <f t="shared" si="154"/>
        <v>0</v>
      </c>
      <c r="BK119" s="18">
        <f t="shared" si="155"/>
        <v>0</v>
      </c>
      <c r="BL119" s="18">
        <f t="shared" si="156"/>
        <v>0</v>
      </c>
      <c r="BM119" s="18">
        <f t="shared" si="157"/>
        <v>0</v>
      </c>
      <c r="BN119" s="18">
        <f t="shared" si="158"/>
        <v>0</v>
      </c>
      <c r="BO119" s="18">
        <f t="shared" si="159"/>
        <v>0</v>
      </c>
      <c r="BP119" s="18">
        <f t="shared" si="160"/>
        <v>0</v>
      </c>
      <c r="BQ119" s="18">
        <f t="shared" si="161"/>
        <v>0</v>
      </c>
      <c r="BR119" s="18">
        <f t="shared" si="162"/>
        <v>0</v>
      </c>
      <c r="BS119" s="18">
        <f t="shared" si="163"/>
        <v>0</v>
      </c>
      <c r="BT119" s="18">
        <f t="shared" si="164"/>
        <v>0</v>
      </c>
      <c r="BU119" s="18">
        <f t="shared" si="165"/>
        <v>0</v>
      </c>
      <c r="BV119" s="18">
        <f t="shared" si="166"/>
        <v>0</v>
      </c>
      <c r="BW119" s="18">
        <f t="shared" si="167"/>
        <v>0</v>
      </c>
      <c r="BX119" s="18">
        <f t="shared" si="168"/>
        <v>0</v>
      </c>
      <c r="BY119" s="18">
        <f t="shared" si="169"/>
        <v>0</v>
      </c>
      <c r="BZ119" s="18">
        <f t="shared" si="170"/>
        <v>0</v>
      </c>
      <c r="CA119" s="18">
        <f t="shared" si="171"/>
        <v>0</v>
      </c>
      <c r="CB119" s="18">
        <f t="shared" si="172"/>
        <v>0</v>
      </c>
      <c r="CC119" s="18">
        <f t="shared" si="173"/>
        <v>0</v>
      </c>
      <c r="CD119" s="18">
        <f t="shared" si="174"/>
        <v>0</v>
      </c>
      <c r="CE119" s="18">
        <f t="shared" si="175"/>
        <v>0</v>
      </c>
      <c r="CF119" s="18">
        <f t="shared" si="176"/>
        <v>0</v>
      </c>
      <c r="CG119" s="18">
        <f t="shared" si="177"/>
        <v>0</v>
      </c>
      <c r="CH119" s="18">
        <f t="shared" si="178"/>
        <v>0</v>
      </c>
      <c r="CI119" s="18">
        <f t="shared" si="179"/>
        <v>0</v>
      </c>
      <c r="CJ119" s="18">
        <f t="shared" si="180"/>
        <v>0</v>
      </c>
    </row>
    <row r="120" spans="1:88" x14ac:dyDescent="0.3">
      <c r="A120" s="1">
        <v>44006</v>
      </c>
      <c r="B120">
        <v>34868.980000000003</v>
      </c>
      <c r="C120">
        <f>Table1[[#This Row],[Close]]-0.001*Table1[[#This Row],[Close]]</f>
        <v>34834.111020000004</v>
      </c>
      <c r="D120">
        <f>Table1[[#This Row],[Close]]+0.001*Table1[[#This Row],[Close]]</f>
        <v>34903.848980000002</v>
      </c>
      <c r="E120" t="str">
        <f>IF(Table1[[#This Row],[Close]]&gt;D119,"UP",IF(Table1[[#This Row],[Close]]&lt;C119,"Down","Constant"))</f>
        <v>Down</v>
      </c>
      <c r="F120" s="3">
        <f>IF(Table1[[#This Row],[Column1]]="Up",1,IF(Table1[[#This Row],[Column1]]="Down",-1,0))</f>
        <v>-1</v>
      </c>
      <c r="G120">
        <f t="shared" si="99"/>
        <v>0</v>
      </c>
      <c r="H120" s="18">
        <f t="shared" si="100"/>
        <v>1</v>
      </c>
      <c r="I120" s="18">
        <f t="shared" si="101"/>
        <v>0</v>
      </c>
      <c r="J120" s="18">
        <f t="shared" si="102"/>
        <v>0</v>
      </c>
      <c r="K120" s="18">
        <f t="shared" si="103"/>
        <v>0</v>
      </c>
      <c r="L120" s="18">
        <f t="shared" si="104"/>
        <v>0</v>
      </c>
      <c r="M120" s="18">
        <f t="shared" si="105"/>
        <v>0</v>
      </c>
      <c r="N120" s="18">
        <f t="shared" si="106"/>
        <v>0</v>
      </c>
      <c r="O120" s="18">
        <f t="shared" si="107"/>
        <v>0</v>
      </c>
      <c r="P120" s="18">
        <f t="shared" si="108"/>
        <v>0</v>
      </c>
      <c r="Q120" s="18">
        <f t="shared" si="109"/>
        <v>0</v>
      </c>
      <c r="R120" s="18">
        <f t="shared" si="110"/>
        <v>0</v>
      </c>
      <c r="S120" s="18">
        <f t="shared" si="111"/>
        <v>0</v>
      </c>
      <c r="T120" s="18">
        <f t="shared" si="112"/>
        <v>0</v>
      </c>
      <c r="U120" s="18">
        <f t="shared" si="113"/>
        <v>0</v>
      </c>
      <c r="V120" s="18">
        <f t="shared" si="114"/>
        <v>0</v>
      </c>
      <c r="W120" s="18">
        <f t="shared" si="115"/>
        <v>0</v>
      </c>
      <c r="X120" s="18">
        <f t="shared" si="116"/>
        <v>0</v>
      </c>
      <c r="Y120" s="18">
        <f t="shared" si="117"/>
        <v>0</v>
      </c>
      <c r="Z120" s="18">
        <f t="shared" si="118"/>
        <v>0</v>
      </c>
      <c r="AA120" s="18">
        <f t="shared" si="119"/>
        <v>0</v>
      </c>
      <c r="AB120" s="18">
        <f t="shared" si="120"/>
        <v>0</v>
      </c>
      <c r="AC120" s="18">
        <f t="shared" si="121"/>
        <v>0</v>
      </c>
      <c r="AD120" s="18">
        <f t="shared" si="122"/>
        <v>0</v>
      </c>
      <c r="AE120" s="18">
        <f t="shared" si="123"/>
        <v>0</v>
      </c>
      <c r="AF120" s="18">
        <f t="shared" si="124"/>
        <v>0</v>
      </c>
      <c r="AG120" s="18">
        <f t="shared" si="125"/>
        <v>0</v>
      </c>
      <c r="AH120" s="18">
        <f t="shared" si="126"/>
        <v>0</v>
      </c>
      <c r="AI120" s="18">
        <f t="shared" si="127"/>
        <v>0</v>
      </c>
      <c r="AJ120" s="18">
        <f t="shared" si="128"/>
        <v>0</v>
      </c>
      <c r="AK120" s="18">
        <f t="shared" si="129"/>
        <v>0</v>
      </c>
      <c r="AL120" s="18">
        <f t="shared" si="130"/>
        <v>0</v>
      </c>
      <c r="AM120" s="18">
        <f t="shared" si="131"/>
        <v>0</v>
      </c>
      <c r="AN120" s="18">
        <f t="shared" si="132"/>
        <v>0</v>
      </c>
      <c r="AO120" s="18">
        <f t="shared" si="133"/>
        <v>0</v>
      </c>
      <c r="AP120" s="18">
        <f t="shared" si="134"/>
        <v>0</v>
      </c>
      <c r="AQ120" s="18">
        <f t="shared" si="135"/>
        <v>0</v>
      </c>
      <c r="AR120" s="18">
        <f t="shared" si="136"/>
        <v>0</v>
      </c>
      <c r="AS120" s="18">
        <f t="shared" si="137"/>
        <v>0</v>
      </c>
      <c r="AT120" s="18">
        <f t="shared" si="138"/>
        <v>0</v>
      </c>
      <c r="AU120" s="18">
        <f t="shared" si="139"/>
        <v>0</v>
      </c>
      <c r="AV120" s="18">
        <f t="shared" si="140"/>
        <v>0</v>
      </c>
      <c r="AW120" s="18">
        <f t="shared" si="141"/>
        <v>0</v>
      </c>
      <c r="AX120" s="18">
        <f t="shared" si="142"/>
        <v>0</v>
      </c>
      <c r="AY120" s="18">
        <f t="shared" si="143"/>
        <v>0</v>
      </c>
      <c r="AZ120" s="18">
        <f t="shared" si="144"/>
        <v>0</v>
      </c>
      <c r="BA120" s="18">
        <f t="shared" si="145"/>
        <v>0</v>
      </c>
      <c r="BB120" s="18">
        <f t="shared" si="146"/>
        <v>0</v>
      </c>
      <c r="BC120" s="18">
        <f t="shared" si="147"/>
        <v>0</v>
      </c>
      <c r="BD120" s="18">
        <f t="shared" si="148"/>
        <v>0</v>
      </c>
      <c r="BE120" s="18">
        <f t="shared" si="149"/>
        <v>0</v>
      </c>
      <c r="BF120" s="18">
        <f t="shared" si="150"/>
        <v>0</v>
      </c>
      <c r="BG120" s="18">
        <f t="shared" si="151"/>
        <v>0</v>
      </c>
      <c r="BH120" s="18">
        <f t="shared" si="152"/>
        <v>0</v>
      </c>
      <c r="BI120" s="18">
        <f t="shared" si="153"/>
        <v>0</v>
      </c>
      <c r="BJ120" s="18">
        <f t="shared" si="154"/>
        <v>0</v>
      </c>
      <c r="BK120" s="18">
        <f t="shared" si="155"/>
        <v>0</v>
      </c>
      <c r="BL120" s="18">
        <f t="shared" si="156"/>
        <v>0</v>
      </c>
      <c r="BM120" s="18">
        <f t="shared" si="157"/>
        <v>0</v>
      </c>
      <c r="BN120" s="18">
        <f t="shared" si="158"/>
        <v>0</v>
      </c>
      <c r="BO120" s="18">
        <f t="shared" si="159"/>
        <v>0</v>
      </c>
      <c r="BP120" s="18">
        <f t="shared" si="160"/>
        <v>0</v>
      </c>
      <c r="BQ120" s="18">
        <f t="shared" si="161"/>
        <v>0</v>
      </c>
      <c r="BR120" s="18">
        <f t="shared" si="162"/>
        <v>0</v>
      </c>
      <c r="BS120" s="18">
        <f t="shared" si="163"/>
        <v>0</v>
      </c>
      <c r="BT120" s="18">
        <f t="shared" si="164"/>
        <v>0</v>
      </c>
      <c r="BU120" s="18">
        <f t="shared" si="165"/>
        <v>0</v>
      </c>
      <c r="BV120" s="18">
        <f t="shared" si="166"/>
        <v>0</v>
      </c>
      <c r="BW120" s="18">
        <f t="shared" si="167"/>
        <v>0</v>
      </c>
      <c r="BX120" s="18">
        <f t="shared" si="168"/>
        <v>0</v>
      </c>
      <c r="BY120" s="18">
        <f t="shared" si="169"/>
        <v>0</v>
      </c>
      <c r="BZ120" s="18">
        <f t="shared" si="170"/>
        <v>0</v>
      </c>
      <c r="CA120" s="18">
        <f t="shared" si="171"/>
        <v>0</v>
      </c>
      <c r="CB120" s="18">
        <f t="shared" si="172"/>
        <v>0</v>
      </c>
      <c r="CC120" s="18">
        <f t="shared" si="173"/>
        <v>0</v>
      </c>
      <c r="CD120" s="18">
        <f t="shared" si="174"/>
        <v>0</v>
      </c>
      <c r="CE120" s="18">
        <f t="shared" si="175"/>
        <v>0</v>
      </c>
      <c r="CF120" s="18">
        <f t="shared" si="176"/>
        <v>0</v>
      </c>
      <c r="CG120" s="18">
        <f t="shared" si="177"/>
        <v>0</v>
      </c>
      <c r="CH120" s="18">
        <f t="shared" si="178"/>
        <v>0</v>
      </c>
      <c r="CI120" s="18">
        <f t="shared" si="179"/>
        <v>0</v>
      </c>
      <c r="CJ120" s="18">
        <f t="shared" si="180"/>
        <v>0</v>
      </c>
    </row>
    <row r="121" spans="1:88" x14ac:dyDescent="0.3">
      <c r="A121" s="1">
        <v>44007</v>
      </c>
      <c r="B121">
        <v>34842.1</v>
      </c>
      <c r="C121">
        <f>Table1[[#This Row],[Close]]-0.001*Table1[[#This Row],[Close]]</f>
        <v>34807.257899999997</v>
      </c>
      <c r="D121">
        <f>Table1[[#This Row],[Close]]+0.001*Table1[[#This Row],[Close]]</f>
        <v>34876.9421</v>
      </c>
      <c r="E121" t="str">
        <f>IF(Table1[[#This Row],[Close]]&gt;D120,"UP",IF(Table1[[#This Row],[Close]]&lt;C120,"Down","Constant"))</f>
        <v>Constant</v>
      </c>
      <c r="F121" s="3">
        <f>IF(Table1[[#This Row],[Column1]]="Up",1,IF(Table1[[#This Row],[Column1]]="Down",-1,0))</f>
        <v>0</v>
      </c>
      <c r="G121">
        <f t="shared" si="99"/>
        <v>0</v>
      </c>
      <c r="H121" s="18">
        <f t="shared" si="100"/>
        <v>0</v>
      </c>
      <c r="I121" s="18">
        <f t="shared" si="101"/>
        <v>0</v>
      </c>
      <c r="J121" s="18">
        <f t="shared" si="102"/>
        <v>0</v>
      </c>
      <c r="K121" s="18">
        <f t="shared" si="103"/>
        <v>0</v>
      </c>
      <c r="L121" s="18">
        <f t="shared" si="104"/>
        <v>0</v>
      </c>
      <c r="M121" s="18">
        <f t="shared" si="105"/>
        <v>0</v>
      </c>
      <c r="N121" s="18">
        <f t="shared" si="106"/>
        <v>0</v>
      </c>
      <c r="O121" s="18">
        <f t="shared" si="107"/>
        <v>0</v>
      </c>
      <c r="P121" s="18">
        <f t="shared" si="108"/>
        <v>0</v>
      </c>
      <c r="Q121" s="18">
        <f t="shared" si="109"/>
        <v>0</v>
      </c>
      <c r="R121" s="18">
        <f t="shared" si="110"/>
        <v>1</v>
      </c>
      <c r="S121" s="18">
        <f t="shared" si="111"/>
        <v>0</v>
      </c>
      <c r="T121" s="18">
        <f t="shared" si="112"/>
        <v>0</v>
      </c>
      <c r="U121" s="18">
        <f t="shared" si="113"/>
        <v>0</v>
      </c>
      <c r="V121" s="18">
        <f t="shared" si="114"/>
        <v>0</v>
      </c>
      <c r="W121" s="18">
        <f t="shared" si="115"/>
        <v>0</v>
      </c>
      <c r="X121" s="18">
        <f t="shared" si="116"/>
        <v>0</v>
      </c>
      <c r="Y121" s="18">
        <f t="shared" si="117"/>
        <v>0</v>
      </c>
      <c r="Z121" s="18">
        <f t="shared" si="118"/>
        <v>0</v>
      </c>
      <c r="AA121" s="18">
        <f t="shared" si="119"/>
        <v>0</v>
      </c>
      <c r="AB121" s="18">
        <f t="shared" si="120"/>
        <v>0</v>
      </c>
      <c r="AC121" s="18">
        <f t="shared" si="121"/>
        <v>0</v>
      </c>
      <c r="AD121" s="18">
        <f t="shared" si="122"/>
        <v>0</v>
      </c>
      <c r="AE121" s="18">
        <f t="shared" si="123"/>
        <v>0</v>
      </c>
      <c r="AF121" s="18">
        <f t="shared" si="124"/>
        <v>0</v>
      </c>
      <c r="AG121" s="18">
        <f t="shared" si="125"/>
        <v>0</v>
      </c>
      <c r="AH121" s="18">
        <f t="shared" si="126"/>
        <v>0</v>
      </c>
      <c r="AI121" s="18">
        <f t="shared" si="127"/>
        <v>0</v>
      </c>
      <c r="AJ121" s="18">
        <f t="shared" si="128"/>
        <v>0</v>
      </c>
      <c r="AK121" s="18">
        <f t="shared" si="129"/>
        <v>0</v>
      </c>
      <c r="AL121" s="18">
        <f t="shared" si="130"/>
        <v>0</v>
      </c>
      <c r="AM121" s="18">
        <f t="shared" si="131"/>
        <v>0</v>
      </c>
      <c r="AN121" s="18">
        <f t="shared" si="132"/>
        <v>0</v>
      </c>
      <c r="AO121" s="18">
        <f t="shared" si="133"/>
        <v>0</v>
      </c>
      <c r="AP121" s="18">
        <f t="shared" si="134"/>
        <v>0</v>
      </c>
      <c r="AQ121" s="18">
        <f t="shared" si="135"/>
        <v>0</v>
      </c>
      <c r="AR121" s="18">
        <f t="shared" si="136"/>
        <v>0</v>
      </c>
      <c r="AS121" s="18">
        <f t="shared" si="137"/>
        <v>0</v>
      </c>
      <c r="AT121" s="18">
        <f t="shared" si="138"/>
        <v>0</v>
      </c>
      <c r="AU121" s="18">
        <f t="shared" si="139"/>
        <v>0</v>
      </c>
      <c r="AV121" s="18">
        <f t="shared" si="140"/>
        <v>0</v>
      </c>
      <c r="AW121" s="18">
        <f t="shared" si="141"/>
        <v>0</v>
      </c>
      <c r="AX121" s="18">
        <f t="shared" si="142"/>
        <v>0</v>
      </c>
      <c r="AY121" s="18">
        <f t="shared" si="143"/>
        <v>0</v>
      </c>
      <c r="AZ121" s="18">
        <f t="shared" si="144"/>
        <v>0</v>
      </c>
      <c r="BA121" s="18">
        <f t="shared" si="145"/>
        <v>0</v>
      </c>
      <c r="BB121" s="18">
        <f t="shared" si="146"/>
        <v>0</v>
      </c>
      <c r="BC121" s="18">
        <f t="shared" si="147"/>
        <v>0</v>
      </c>
      <c r="BD121" s="18">
        <f t="shared" si="148"/>
        <v>0</v>
      </c>
      <c r="BE121" s="18">
        <f t="shared" si="149"/>
        <v>0</v>
      </c>
      <c r="BF121" s="18">
        <f t="shared" si="150"/>
        <v>0</v>
      </c>
      <c r="BG121" s="18">
        <f t="shared" si="151"/>
        <v>0</v>
      </c>
      <c r="BH121" s="18">
        <f t="shared" si="152"/>
        <v>0</v>
      </c>
      <c r="BI121" s="18">
        <f t="shared" si="153"/>
        <v>0</v>
      </c>
      <c r="BJ121" s="18">
        <f t="shared" si="154"/>
        <v>0</v>
      </c>
      <c r="BK121" s="18">
        <f t="shared" si="155"/>
        <v>0</v>
      </c>
      <c r="BL121" s="18">
        <f t="shared" si="156"/>
        <v>0</v>
      </c>
      <c r="BM121" s="18">
        <f t="shared" si="157"/>
        <v>0</v>
      </c>
      <c r="BN121" s="18">
        <f t="shared" si="158"/>
        <v>0</v>
      </c>
      <c r="BO121" s="18">
        <f t="shared" si="159"/>
        <v>0</v>
      </c>
      <c r="BP121" s="18">
        <f t="shared" si="160"/>
        <v>0</v>
      </c>
      <c r="BQ121" s="18">
        <f t="shared" si="161"/>
        <v>0</v>
      </c>
      <c r="BR121" s="18">
        <f t="shared" si="162"/>
        <v>0</v>
      </c>
      <c r="BS121" s="18">
        <f t="shared" si="163"/>
        <v>0</v>
      </c>
      <c r="BT121" s="18">
        <f t="shared" si="164"/>
        <v>0</v>
      </c>
      <c r="BU121" s="18">
        <f t="shared" si="165"/>
        <v>0</v>
      </c>
      <c r="BV121" s="18">
        <f t="shared" si="166"/>
        <v>0</v>
      </c>
      <c r="BW121" s="18">
        <f t="shared" si="167"/>
        <v>0</v>
      </c>
      <c r="BX121" s="18">
        <f t="shared" si="168"/>
        <v>0</v>
      </c>
      <c r="BY121" s="18">
        <f t="shared" si="169"/>
        <v>0</v>
      </c>
      <c r="BZ121" s="18">
        <f t="shared" si="170"/>
        <v>0</v>
      </c>
      <c r="CA121" s="18">
        <f t="shared" si="171"/>
        <v>0</v>
      </c>
      <c r="CB121" s="18">
        <f t="shared" si="172"/>
        <v>0</v>
      </c>
      <c r="CC121" s="18">
        <f t="shared" si="173"/>
        <v>0</v>
      </c>
      <c r="CD121" s="18">
        <f t="shared" si="174"/>
        <v>0</v>
      </c>
      <c r="CE121" s="18">
        <f t="shared" si="175"/>
        <v>0</v>
      </c>
      <c r="CF121" s="18">
        <f t="shared" si="176"/>
        <v>0</v>
      </c>
      <c r="CG121" s="18">
        <f t="shared" si="177"/>
        <v>0</v>
      </c>
      <c r="CH121" s="18">
        <f t="shared" si="178"/>
        <v>0</v>
      </c>
      <c r="CI121" s="18">
        <f t="shared" si="179"/>
        <v>0</v>
      </c>
      <c r="CJ121" s="18">
        <f t="shared" si="180"/>
        <v>0</v>
      </c>
    </row>
    <row r="122" spans="1:88" x14ac:dyDescent="0.3">
      <c r="A122" s="1">
        <v>44008</v>
      </c>
      <c r="B122">
        <v>35171.269999999997</v>
      </c>
      <c r="C122">
        <f>Table1[[#This Row],[Close]]-0.001*Table1[[#This Row],[Close]]</f>
        <v>35136.098729999998</v>
      </c>
      <c r="D122">
        <f>Table1[[#This Row],[Close]]+0.001*Table1[[#This Row],[Close]]</f>
        <v>35206.441269999996</v>
      </c>
      <c r="E122" t="str">
        <f>IF(Table1[[#This Row],[Close]]&gt;D121,"UP",IF(Table1[[#This Row],[Close]]&lt;C121,"Down","Constant"))</f>
        <v>UP</v>
      </c>
      <c r="F122" s="3">
        <f>IF(Table1[[#This Row],[Column1]]="Up",1,IF(Table1[[#This Row],[Column1]]="Down",-1,0))</f>
        <v>1</v>
      </c>
      <c r="G122">
        <f t="shared" si="99"/>
        <v>0</v>
      </c>
      <c r="H122" s="18">
        <f t="shared" si="100"/>
        <v>0</v>
      </c>
      <c r="I122" s="18">
        <f t="shared" si="101"/>
        <v>0</v>
      </c>
      <c r="J122" s="18">
        <f t="shared" si="102"/>
        <v>0</v>
      </c>
      <c r="K122" s="18">
        <f t="shared" si="103"/>
        <v>0</v>
      </c>
      <c r="L122" s="18">
        <f t="shared" si="104"/>
        <v>0</v>
      </c>
      <c r="M122" s="18">
        <f t="shared" si="105"/>
        <v>0</v>
      </c>
      <c r="N122" s="18">
        <f t="shared" si="106"/>
        <v>0</v>
      </c>
      <c r="O122" s="18">
        <f t="shared" si="107"/>
        <v>0</v>
      </c>
      <c r="P122" s="18">
        <f t="shared" si="108"/>
        <v>0</v>
      </c>
      <c r="Q122" s="18">
        <f t="shared" si="109"/>
        <v>0</v>
      </c>
      <c r="R122" s="18">
        <f t="shared" si="110"/>
        <v>0</v>
      </c>
      <c r="S122" s="18">
        <f t="shared" si="111"/>
        <v>0</v>
      </c>
      <c r="T122" s="18">
        <f t="shared" si="112"/>
        <v>0</v>
      </c>
      <c r="U122" s="18">
        <f t="shared" si="113"/>
        <v>0</v>
      </c>
      <c r="V122" s="18">
        <f t="shared" si="114"/>
        <v>0</v>
      </c>
      <c r="W122" s="18">
        <f t="shared" si="115"/>
        <v>0</v>
      </c>
      <c r="X122" s="18">
        <f t="shared" si="116"/>
        <v>0</v>
      </c>
      <c r="Y122" s="18">
        <f t="shared" si="117"/>
        <v>0</v>
      </c>
      <c r="Z122" s="18">
        <f t="shared" si="118"/>
        <v>0</v>
      </c>
      <c r="AA122" s="18">
        <f t="shared" si="119"/>
        <v>0</v>
      </c>
      <c r="AB122" s="18">
        <f t="shared" si="120"/>
        <v>0</v>
      </c>
      <c r="AC122" s="18">
        <f t="shared" si="121"/>
        <v>0</v>
      </c>
      <c r="AD122" s="18">
        <f t="shared" si="122"/>
        <v>0</v>
      </c>
      <c r="AE122" s="18">
        <f t="shared" si="123"/>
        <v>0</v>
      </c>
      <c r="AF122" s="18">
        <f t="shared" si="124"/>
        <v>0</v>
      </c>
      <c r="AG122" s="18">
        <f t="shared" si="125"/>
        <v>0</v>
      </c>
      <c r="AH122" s="18">
        <f t="shared" si="126"/>
        <v>0</v>
      </c>
      <c r="AI122" s="18">
        <f t="shared" si="127"/>
        <v>0</v>
      </c>
      <c r="AJ122" s="18">
        <f t="shared" si="128"/>
        <v>0</v>
      </c>
      <c r="AK122" s="18">
        <f t="shared" si="129"/>
        <v>0</v>
      </c>
      <c r="AL122" s="18">
        <f t="shared" si="130"/>
        <v>0</v>
      </c>
      <c r="AM122" s="18">
        <f t="shared" si="131"/>
        <v>0</v>
      </c>
      <c r="AN122" s="18">
        <f t="shared" si="132"/>
        <v>0</v>
      </c>
      <c r="AO122" s="18">
        <f t="shared" si="133"/>
        <v>0</v>
      </c>
      <c r="AP122" s="18">
        <f t="shared" si="134"/>
        <v>0</v>
      </c>
      <c r="AQ122" s="18">
        <f t="shared" si="135"/>
        <v>0</v>
      </c>
      <c r="AR122" s="18">
        <f t="shared" si="136"/>
        <v>0</v>
      </c>
      <c r="AS122" s="18">
        <f t="shared" si="137"/>
        <v>0</v>
      </c>
      <c r="AT122" s="18">
        <f t="shared" si="138"/>
        <v>0</v>
      </c>
      <c r="AU122" s="18">
        <f t="shared" si="139"/>
        <v>0</v>
      </c>
      <c r="AV122" s="18">
        <f t="shared" si="140"/>
        <v>0</v>
      </c>
      <c r="AW122" s="18">
        <f t="shared" si="141"/>
        <v>0</v>
      </c>
      <c r="AX122" s="18">
        <f t="shared" si="142"/>
        <v>0</v>
      </c>
      <c r="AY122" s="18">
        <f t="shared" si="143"/>
        <v>0</v>
      </c>
      <c r="AZ122" s="18">
        <f t="shared" si="144"/>
        <v>0</v>
      </c>
      <c r="BA122" s="18">
        <f t="shared" si="145"/>
        <v>0</v>
      </c>
      <c r="BB122" s="18">
        <f t="shared" si="146"/>
        <v>0</v>
      </c>
      <c r="BC122" s="18">
        <f t="shared" si="147"/>
        <v>0</v>
      </c>
      <c r="BD122" s="18">
        <f t="shared" si="148"/>
        <v>0</v>
      </c>
      <c r="BE122" s="18">
        <f t="shared" si="149"/>
        <v>0</v>
      </c>
      <c r="BF122" s="18">
        <f t="shared" si="150"/>
        <v>0</v>
      </c>
      <c r="BG122" s="18">
        <f t="shared" si="151"/>
        <v>0</v>
      </c>
      <c r="BH122" s="18">
        <f t="shared" si="152"/>
        <v>0</v>
      </c>
      <c r="BI122" s="18">
        <f t="shared" si="153"/>
        <v>0</v>
      </c>
      <c r="BJ122" s="18">
        <f t="shared" si="154"/>
        <v>0</v>
      </c>
      <c r="BK122" s="18">
        <f t="shared" si="155"/>
        <v>0</v>
      </c>
      <c r="BL122" s="18">
        <f t="shared" si="156"/>
        <v>1</v>
      </c>
      <c r="BM122" s="18">
        <f t="shared" si="157"/>
        <v>0</v>
      </c>
      <c r="BN122" s="18">
        <f t="shared" si="158"/>
        <v>0</v>
      </c>
      <c r="BO122" s="18">
        <f t="shared" si="159"/>
        <v>0</v>
      </c>
      <c r="BP122" s="18">
        <f t="shared" si="160"/>
        <v>0</v>
      </c>
      <c r="BQ122" s="18">
        <f t="shared" si="161"/>
        <v>0</v>
      </c>
      <c r="BR122" s="18">
        <f t="shared" si="162"/>
        <v>0</v>
      </c>
      <c r="BS122" s="18">
        <f t="shared" si="163"/>
        <v>0</v>
      </c>
      <c r="BT122" s="18">
        <f t="shared" si="164"/>
        <v>0</v>
      </c>
      <c r="BU122" s="18">
        <f t="shared" si="165"/>
        <v>0</v>
      </c>
      <c r="BV122" s="18">
        <f t="shared" si="166"/>
        <v>0</v>
      </c>
      <c r="BW122" s="18">
        <f t="shared" si="167"/>
        <v>0</v>
      </c>
      <c r="BX122" s="18">
        <f t="shared" si="168"/>
        <v>0</v>
      </c>
      <c r="BY122" s="18">
        <f t="shared" si="169"/>
        <v>0</v>
      </c>
      <c r="BZ122" s="18">
        <f t="shared" si="170"/>
        <v>0</v>
      </c>
      <c r="CA122" s="18">
        <f t="shared" si="171"/>
        <v>0</v>
      </c>
      <c r="CB122" s="18">
        <f t="shared" si="172"/>
        <v>0</v>
      </c>
      <c r="CC122" s="18">
        <f t="shared" si="173"/>
        <v>0</v>
      </c>
      <c r="CD122" s="18">
        <f t="shared" si="174"/>
        <v>0</v>
      </c>
      <c r="CE122" s="18">
        <f t="shared" si="175"/>
        <v>0</v>
      </c>
      <c r="CF122" s="18">
        <f t="shared" si="176"/>
        <v>0</v>
      </c>
      <c r="CG122" s="18">
        <f t="shared" si="177"/>
        <v>0</v>
      </c>
      <c r="CH122" s="18">
        <f t="shared" si="178"/>
        <v>0</v>
      </c>
      <c r="CI122" s="18">
        <f t="shared" si="179"/>
        <v>0</v>
      </c>
      <c r="CJ122" s="18">
        <f t="shared" si="180"/>
        <v>0</v>
      </c>
    </row>
    <row r="123" spans="1:88" x14ac:dyDescent="0.3">
      <c r="A123" s="1">
        <v>44011</v>
      </c>
      <c r="B123">
        <v>34961.519999999997</v>
      </c>
      <c r="C123">
        <f>Table1[[#This Row],[Close]]-0.001*Table1[[#This Row],[Close]]</f>
        <v>34926.55848</v>
      </c>
      <c r="D123">
        <f>Table1[[#This Row],[Close]]+0.001*Table1[[#This Row],[Close]]</f>
        <v>34996.481519999994</v>
      </c>
      <c r="E123" t="str">
        <f>IF(Table1[[#This Row],[Close]]&gt;D122,"UP",IF(Table1[[#This Row],[Close]]&lt;C122,"Down","Constant"))</f>
        <v>Down</v>
      </c>
      <c r="F123" s="3">
        <f>IF(Table1[[#This Row],[Column1]]="Up",1,IF(Table1[[#This Row],[Column1]]="Down",-1,0))</f>
        <v>-1</v>
      </c>
      <c r="G123">
        <f t="shared" si="99"/>
        <v>0</v>
      </c>
      <c r="H123" s="18">
        <f t="shared" si="100"/>
        <v>0</v>
      </c>
      <c r="I123" s="18">
        <f t="shared" si="101"/>
        <v>0</v>
      </c>
      <c r="J123" s="18">
        <f t="shared" si="102"/>
        <v>0</v>
      </c>
      <c r="K123" s="18">
        <f t="shared" si="103"/>
        <v>0</v>
      </c>
      <c r="L123" s="18">
        <f t="shared" si="104"/>
        <v>0</v>
      </c>
      <c r="M123" s="18">
        <f t="shared" si="105"/>
        <v>0</v>
      </c>
      <c r="N123" s="18">
        <f t="shared" si="106"/>
        <v>0</v>
      </c>
      <c r="O123" s="18">
        <f t="shared" si="107"/>
        <v>0</v>
      </c>
      <c r="P123" s="18">
        <f t="shared" si="108"/>
        <v>0</v>
      </c>
      <c r="Q123" s="18">
        <f t="shared" si="109"/>
        <v>0</v>
      </c>
      <c r="R123" s="18">
        <f t="shared" si="110"/>
        <v>0</v>
      </c>
      <c r="S123" s="18">
        <f t="shared" si="111"/>
        <v>0</v>
      </c>
      <c r="T123" s="18">
        <f t="shared" si="112"/>
        <v>0</v>
      </c>
      <c r="U123" s="18">
        <f t="shared" si="113"/>
        <v>0</v>
      </c>
      <c r="V123" s="18">
        <f t="shared" si="114"/>
        <v>0</v>
      </c>
      <c r="W123" s="18">
        <f t="shared" si="115"/>
        <v>0</v>
      </c>
      <c r="X123" s="18">
        <f t="shared" si="116"/>
        <v>0</v>
      </c>
      <c r="Y123" s="18">
        <f t="shared" si="117"/>
        <v>0</v>
      </c>
      <c r="Z123" s="18">
        <f t="shared" si="118"/>
        <v>0</v>
      </c>
      <c r="AA123" s="18">
        <f t="shared" si="119"/>
        <v>0</v>
      </c>
      <c r="AB123" s="18">
        <f t="shared" si="120"/>
        <v>0</v>
      </c>
      <c r="AC123" s="18">
        <f t="shared" si="121"/>
        <v>0</v>
      </c>
      <c r="AD123" s="18">
        <f t="shared" si="122"/>
        <v>0</v>
      </c>
      <c r="AE123" s="18">
        <f t="shared" si="123"/>
        <v>0</v>
      </c>
      <c r="AF123" s="18">
        <f t="shared" si="124"/>
        <v>0</v>
      </c>
      <c r="AG123" s="18">
        <f t="shared" si="125"/>
        <v>0</v>
      </c>
      <c r="AH123" s="18">
        <f t="shared" si="126"/>
        <v>0</v>
      </c>
      <c r="AI123" s="18">
        <f t="shared" si="127"/>
        <v>0</v>
      </c>
      <c r="AJ123" s="18">
        <f t="shared" si="128"/>
        <v>0</v>
      </c>
      <c r="AK123" s="18">
        <f t="shared" si="129"/>
        <v>0</v>
      </c>
      <c r="AL123" s="18">
        <f t="shared" si="130"/>
        <v>0</v>
      </c>
      <c r="AM123" s="18">
        <f t="shared" si="131"/>
        <v>0</v>
      </c>
      <c r="AN123" s="18">
        <f t="shared" si="132"/>
        <v>0</v>
      </c>
      <c r="AO123" s="18">
        <f t="shared" si="133"/>
        <v>0</v>
      </c>
      <c r="AP123" s="18">
        <f t="shared" si="134"/>
        <v>0</v>
      </c>
      <c r="AQ123" s="18">
        <f t="shared" si="135"/>
        <v>0</v>
      </c>
      <c r="AR123" s="18">
        <f t="shared" si="136"/>
        <v>0</v>
      </c>
      <c r="AS123" s="18">
        <f t="shared" si="137"/>
        <v>0</v>
      </c>
      <c r="AT123" s="18">
        <f t="shared" si="138"/>
        <v>0</v>
      </c>
      <c r="AU123" s="18">
        <f t="shared" si="139"/>
        <v>0</v>
      </c>
      <c r="AV123" s="18">
        <f t="shared" si="140"/>
        <v>0</v>
      </c>
      <c r="AW123" s="18">
        <f t="shared" si="141"/>
        <v>0</v>
      </c>
      <c r="AX123" s="18">
        <f t="shared" si="142"/>
        <v>0</v>
      </c>
      <c r="AY123" s="18">
        <f t="shared" si="143"/>
        <v>0</v>
      </c>
      <c r="AZ123" s="18">
        <f t="shared" si="144"/>
        <v>0</v>
      </c>
      <c r="BA123" s="18">
        <f t="shared" si="145"/>
        <v>0</v>
      </c>
      <c r="BB123" s="18">
        <f t="shared" si="146"/>
        <v>0</v>
      </c>
      <c r="BC123" s="18">
        <f t="shared" si="147"/>
        <v>0</v>
      </c>
      <c r="BD123" s="18">
        <f t="shared" si="148"/>
        <v>0</v>
      </c>
      <c r="BE123" s="18">
        <f t="shared" si="149"/>
        <v>0</v>
      </c>
      <c r="BF123" s="18">
        <f t="shared" si="150"/>
        <v>0</v>
      </c>
      <c r="BG123" s="18">
        <f t="shared" si="151"/>
        <v>0</v>
      </c>
      <c r="BH123" s="18">
        <f t="shared" si="152"/>
        <v>0</v>
      </c>
      <c r="BI123" s="18">
        <f t="shared" si="153"/>
        <v>0</v>
      </c>
      <c r="BJ123" s="18">
        <f t="shared" si="154"/>
        <v>0</v>
      </c>
      <c r="BK123" s="18">
        <f t="shared" si="155"/>
        <v>0</v>
      </c>
      <c r="BL123" s="18">
        <f t="shared" si="156"/>
        <v>0</v>
      </c>
      <c r="BM123" s="18">
        <f t="shared" si="157"/>
        <v>1</v>
      </c>
      <c r="BN123" s="18">
        <f t="shared" si="158"/>
        <v>0</v>
      </c>
      <c r="BO123" s="18">
        <f t="shared" si="159"/>
        <v>0</v>
      </c>
      <c r="BP123" s="18">
        <f t="shared" si="160"/>
        <v>0</v>
      </c>
      <c r="BQ123" s="18">
        <f t="shared" si="161"/>
        <v>0</v>
      </c>
      <c r="BR123" s="18">
        <f t="shared" si="162"/>
        <v>0</v>
      </c>
      <c r="BS123" s="18">
        <f t="shared" si="163"/>
        <v>0</v>
      </c>
      <c r="BT123" s="18">
        <f t="shared" si="164"/>
        <v>0</v>
      </c>
      <c r="BU123" s="18">
        <f t="shared" si="165"/>
        <v>0</v>
      </c>
      <c r="BV123" s="18">
        <f t="shared" si="166"/>
        <v>0</v>
      </c>
      <c r="BW123" s="18">
        <f t="shared" si="167"/>
        <v>0</v>
      </c>
      <c r="BX123" s="18">
        <f t="shared" si="168"/>
        <v>0</v>
      </c>
      <c r="BY123" s="18">
        <f t="shared" si="169"/>
        <v>0</v>
      </c>
      <c r="BZ123" s="18">
        <f t="shared" si="170"/>
        <v>0</v>
      </c>
      <c r="CA123" s="18">
        <f t="shared" si="171"/>
        <v>0</v>
      </c>
      <c r="CB123" s="18">
        <f t="shared" si="172"/>
        <v>0</v>
      </c>
      <c r="CC123" s="18">
        <f t="shared" si="173"/>
        <v>0</v>
      </c>
      <c r="CD123" s="18">
        <f t="shared" si="174"/>
        <v>0</v>
      </c>
      <c r="CE123" s="18">
        <f t="shared" si="175"/>
        <v>0</v>
      </c>
      <c r="CF123" s="18">
        <f t="shared" si="176"/>
        <v>0</v>
      </c>
      <c r="CG123" s="18">
        <f t="shared" si="177"/>
        <v>0</v>
      </c>
      <c r="CH123" s="18">
        <f t="shared" si="178"/>
        <v>0</v>
      </c>
      <c r="CI123" s="18">
        <f t="shared" si="179"/>
        <v>0</v>
      </c>
      <c r="CJ123" s="18">
        <f t="shared" si="180"/>
        <v>0</v>
      </c>
    </row>
    <row r="124" spans="1:88" x14ac:dyDescent="0.3">
      <c r="A124" s="1">
        <v>44012</v>
      </c>
      <c r="B124">
        <v>34915.800000000003</v>
      </c>
      <c r="C124">
        <f>Table1[[#This Row],[Close]]-0.001*Table1[[#This Row],[Close]]</f>
        <v>34880.8842</v>
      </c>
      <c r="D124">
        <f>Table1[[#This Row],[Close]]+0.001*Table1[[#This Row],[Close]]</f>
        <v>34950.715800000005</v>
      </c>
      <c r="E124" t="str">
        <f>IF(Table1[[#This Row],[Close]]&gt;D123,"UP",IF(Table1[[#This Row],[Close]]&lt;C123,"Down","Constant"))</f>
        <v>Down</v>
      </c>
      <c r="F124" s="3">
        <f>IF(Table1[[#This Row],[Column1]]="Up",1,IF(Table1[[#This Row],[Column1]]="Down",-1,0))</f>
        <v>-1</v>
      </c>
      <c r="G124">
        <f t="shared" si="99"/>
        <v>0</v>
      </c>
      <c r="H124" s="18">
        <f t="shared" si="100"/>
        <v>0</v>
      </c>
      <c r="I124" s="18">
        <f t="shared" si="101"/>
        <v>0</v>
      </c>
      <c r="J124" s="18">
        <f t="shared" si="102"/>
        <v>0</v>
      </c>
      <c r="K124" s="18">
        <f t="shared" si="103"/>
        <v>0</v>
      </c>
      <c r="L124" s="18">
        <f t="shared" si="104"/>
        <v>0</v>
      </c>
      <c r="M124" s="18">
        <f t="shared" si="105"/>
        <v>0</v>
      </c>
      <c r="N124" s="18">
        <f t="shared" si="106"/>
        <v>0</v>
      </c>
      <c r="O124" s="18">
        <f t="shared" si="107"/>
        <v>0</v>
      </c>
      <c r="P124" s="18">
        <f t="shared" si="108"/>
        <v>0</v>
      </c>
      <c r="Q124" s="18">
        <f t="shared" si="109"/>
        <v>0</v>
      </c>
      <c r="R124" s="18">
        <f t="shared" si="110"/>
        <v>0</v>
      </c>
      <c r="S124" s="18">
        <f t="shared" si="111"/>
        <v>0</v>
      </c>
      <c r="T124" s="18">
        <f t="shared" si="112"/>
        <v>0</v>
      </c>
      <c r="U124" s="18">
        <f t="shared" si="113"/>
        <v>0</v>
      </c>
      <c r="V124" s="18">
        <f t="shared" si="114"/>
        <v>0</v>
      </c>
      <c r="W124" s="18">
        <f t="shared" si="115"/>
        <v>0</v>
      </c>
      <c r="X124" s="18">
        <f t="shared" si="116"/>
        <v>0</v>
      </c>
      <c r="Y124" s="18">
        <f t="shared" si="117"/>
        <v>0</v>
      </c>
      <c r="Z124" s="18">
        <f t="shared" si="118"/>
        <v>0</v>
      </c>
      <c r="AA124" s="18">
        <f t="shared" si="119"/>
        <v>0</v>
      </c>
      <c r="AB124" s="18">
        <f t="shared" si="120"/>
        <v>0</v>
      </c>
      <c r="AC124" s="18">
        <f t="shared" si="121"/>
        <v>0</v>
      </c>
      <c r="AD124" s="18">
        <f t="shared" si="122"/>
        <v>0</v>
      </c>
      <c r="AE124" s="18">
        <f t="shared" si="123"/>
        <v>0</v>
      </c>
      <c r="AF124" s="18">
        <f t="shared" si="124"/>
        <v>0</v>
      </c>
      <c r="AG124" s="18">
        <f t="shared" si="125"/>
        <v>0</v>
      </c>
      <c r="AH124" s="18">
        <f t="shared" si="126"/>
        <v>0</v>
      </c>
      <c r="AI124" s="18">
        <f t="shared" si="127"/>
        <v>0</v>
      </c>
      <c r="AJ124" s="18">
        <f t="shared" si="128"/>
        <v>0</v>
      </c>
      <c r="AK124" s="18">
        <f t="shared" si="129"/>
        <v>0</v>
      </c>
      <c r="AL124" s="18">
        <f t="shared" si="130"/>
        <v>0</v>
      </c>
      <c r="AM124" s="18">
        <f t="shared" si="131"/>
        <v>0</v>
      </c>
      <c r="AN124" s="18">
        <f t="shared" si="132"/>
        <v>0</v>
      </c>
      <c r="AO124" s="18">
        <f t="shared" si="133"/>
        <v>0</v>
      </c>
      <c r="AP124" s="18">
        <f t="shared" si="134"/>
        <v>0</v>
      </c>
      <c r="AQ124" s="18">
        <f t="shared" si="135"/>
        <v>0</v>
      </c>
      <c r="AR124" s="18">
        <f t="shared" si="136"/>
        <v>0</v>
      </c>
      <c r="AS124" s="18">
        <f t="shared" si="137"/>
        <v>0</v>
      </c>
      <c r="AT124" s="18">
        <f t="shared" si="138"/>
        <v>0</v>
      </c>
      <c r="AU124" s="18">
        <f t="shared" si="139"/>
        <v>0</v>
      </c>
      <c r="AV124" s="18">
        <f t="shared" si="140"/>
        <v>0</v>
      </c>
      <c r="AW124" s="18">
        <f t="shared" si="141"/>
        <v>0</v>
      </c>
      <c r="AX124" s="18">
        <f t="shared" si="142"/>
        <v>0</v>
      </c>
      <c r="AY124" s="18">
        <f t="shared" si="143"/>
        <v>0</v>
      </c>
      <c r="AZ124" s="18">
        <f t="shared" si="144"/>
        <v>0</v>
      </c>
      <c r="BA124" s="18">
        <f t="shared" si="145"/>
        <v>0</v>
      </c>
      <c r="BB124" s="18">
        <f t="shared" si="146"/>
        <v>0</v>
      </c>
      <c r="BC124" s="18">
        <f t="shared" si="147"/>
        <v>0</v>
      </c>
      <c r="BD124" s="18">
        <f t="shared" si="148"/>
        <v>0</v>
      </c>
      <c r="BE124" s="18">
        <f t="shared" si="149"/>
        <v>0</v>
      </c>
      <c r="BF124" s="18">
        <f t="shared" si="150"/>
        <v>0</v>
      </c>
      <c r="BG124" s="18">
        <f t="shared" si="151"/>
        <v>0</v>
      </c>
      <c r="BH124" s="18">
        <f t="shared" si="152"/>
        <v>0</v>
      </c>
      <c r="BI124" s="18">
        <f t="shared" si="153"/>
        <v>0</v>
      </c>
      <c r="BJ124" s="18">
        <f t="shared" si="154"/>
        <v>0</v>
      </c>
      <c r="BK124" s="18">
        <f t="shared" si="155"/>
        <v>0</v>
      </c>
      <c r="BL124" s="18">
        <f t="shared" si="156"/>
        <v>0</v>
      </c>
      <c r="BM124" s="18">
        <f t="shared" si="157"/>
        <v>0</v>
      </c>
      <c r="BN124" s="18">
        <f t="shared" si="158"/>
        <v>0</v>
      </c>
      <c r="BO124" s="18">
        <f t="shared" si="159"/>
        <v>0</v>
      </c>
      <c r="BP124" s="18">
        <f t="shared" si="160"/>
        <v>0</v>
      </c>
      <c r="BQ124" s="18">
        <f t="shared" si="161"/>
        <v>0</v>
      </c>
      <c r="BR124" s="18">
        <f t="shared" si="162"/>
        <v>0</v>
      </c>
      <c r="BS124" s="18">
        <f t="shared" si="163"/>
        <v>0</v>
      </c>
      <c r="BT124" s="18">
        <f t="shared" si="164"/>
        <v>0</v>
      </c>
      <c r="BU124" s="18">
        <f t="shared" si="165"/>
        <v>0</v>
      </c>
      <c r="BV124" s="18">
        <f t="shared" si="166"/>
        <v>1</v>
      </c>
      <c r="BW124" s="18">
        <f t="shared" si="167"/>
        <v>0</v>
      </c>
      <c r="BX124" s="18">
        <f t="shared" si="168"/>
        <v>0</v>
      </c>
      <c r="BY124" s="18">
        <f t="shared" si="169"/>
        <v>0</v>
      </c>
      <c r="BZ124" s="18">
        <f t="shared" si="170"/>
        <v>0</v>
      </c>
      <c r="CA124" s="18">
        <f t="shared" si="171"/>
        <v>0</v>
      </c>
      <c r="CB124" s="18">
        <f t="shared" si="172"/>
        <v>0</v>
      </c>
      <c r="CC124" s="18">
        <f t="shared" si="173"/>
        <v>0</v>
      </c>
      <c r="CD124" s="18">
        <f t="shared" si="174"/>
        <v>0</v>
      </c>
      <c r="CE124" s="18">
        <f t="shared" si="175"/>
        <v>0</v>
      </c>
      <c r="CF124" s="18">
        <f t="shared" si="176"/>
        <v>0</v>
      </c>
      <c r="CG124" s="18">
        <f t="shared" si="177"/>
        <v>0</v>
      </c>
      <c r="CH124" s="18">
        <f t="shared" si="178"/>
        <v>0</v>
      </c>
      <c r="CI124" s="18">
        <f t="shared" si="179"/>
        <v>0</v>
      </c>
      <c r="CJ124" s="18">
        <f t="shared" si="180"/>
        <v>0</v>
      </c>
    </row>
    <row r="125" spans="1:88" x14ac:dyDescent="0.3">
      <c r="A125" s="1">
        <v>44013</v>
      </c>
      <c r="B125">
        <v>35414.449999999997</v>
      </c>
      <c r="C125">
        <f>Table1[[#This Row],[Close]]-0.001*Table1[[#This Row],[Close]]</f>
        <v>35379.035550000001</v>
      </c>
      <c r="D125">
        <f>Table1[[#This Row],[Close]]+0.001*Table1[[#This Row],[Close]]</f>
        <v>35449.864449999994</v>
      </c>
      <c r="E125" t="str">
        <f>IF(Table1[[#This Row],[Close]]&gt;D124,"UP",IF(Table1[[#This Row],[Close]]&lt;C124,"Down","Constant"))</f>
        <v>UP</v>
      </c>
      <c r="F125" s="3">
        <f>IF(Table1[[#This Row],[Column1]]="Up",1,IF(Table1[[#This Row],[Column1]]="Down",-1,0))</f>
        <v>1</v>
      </c>
      <c r="G125">
        <f t="shared" si="99"/>
        <v>0</v>
      </c>
      <c r="H125" s="18">
        <f t="shared" si="100"/>
        <v>0</v>
      </c>
      <c r="I125" s="18">
        <f t="shared" si="101"/>
        <v>0</v>
      </c>
      <c r="J125" s="18">
        <f t="shared" si="102"/>
        <v>0</v>
      </c>
      <c r="K125" s="18">
        <f t="shared" si="103"/>
        <v>0</v>
      </c>
      <c r="L125" s="18">
        <f t="shared" si="104"/>
        <v>0</v>
      </c>
      <c r="M125" s="18">
        <f t="shared" si="105"/>
        <v>0</v>
      </c>
      <c r="N125" s="18">
        <f t="shared" si="106"/>
        <v>0</v>
      </c>
      <c r="O125" s="18">
        <f t="shared" si="107"/>
        <v>0</v>
      </c>
      <c r="P125" s="18">
        <f t="shared" si="108"/>
        <v>0</v>
      </c>
      <c r="Q125" s="18">
        <f t="shared" si="109"/>
        <v>0</v>
      </c>
      <c r="R125" s="18">
        <f t="shared" si="110"/>
        <v>0</v>
      </c>
      <c r="S125" s="18">
        <f t="shared" si="111"/>
        <v>0</v>
      </c>
      <c r="T125" s="18">
        <f t="shared" si="112"/>
        <v>0</v>
      </c>
      <c r="U125" s="18">
        <f t="shared" si="113"/>
        <v>0</v>
      </c>
      <c r="V125" s="18">
        <f t="shared" si="114"/>
        <v>0</v>
      </c>
      <c r="W125" s="18">
        <f t="shared" si="115"/>
        <v>0</v>
      </c>
      <c r="X125" s="18">
        <f t="shared" si="116"/>
        <v>0</v>
      </c>
      <c r="Y125" s="18">
        <f t="shared" si="117"/>
        <v>1</v>
      </c>
      <c r="Z125" s="18">
        <f t="shared" si="118"/>
        <v>0</v>
      </c>
      <c r="AA125" s="18">
        <f t="shared" si="119"/>
        <v>0</v>
      </c>
      <c r="AB125" s="18">
        <f t="shared" si="120"/>
        <v>0</v>
      </c>
      <c r="AC125" s="18">
        <f t="shared" si="121"/>
        <v>0</v>
      </c>
      <c r="AD125" s="18">
        <f t="shared" si="122"/>
        <v>0</v>
      </c>
      <c r="AE125" s="18">
        <f t="shared" si="123"/>
        <v>0</v>
      </c>
      <c r="AF125" s="18">
        <f t="shared" si="124"/>
        <v>0</v>
      </c>
      <c r="AG125" s="18">
        <f t="shared" si="125"/>
        <v>0</v>
      </c>
      <c r="AH125" s="18">
        <f t="shared" si="126"/>
        <v>0</v>
      </c>
      <c r="AI125" s="18">
        <f t="shared" si="127"/>
        <v>0</v>
      </c>
      <c r="AJ125" s="18">
        <f t="shared" si="128"/>
        <v>0</v>
      </c>
      <c r="AK125" s="18">
        <f t="shared" si="129"/>
        <v>0</v>
      </c>
      <c r="AL125" s="18">
        <f t="shared" si="130"/>
        <v>0</v>
      </c>
      <c r="AM125" s="18">
        <f t="shared" si="131"/>
        <v>0</v>
      </c>
      <c r="AN125" s="18">
        <f t="shared" si="132"/>
        <v>0</v>
      </c>
      <c r="AO125" s="18">
        <f t="shared" si="133"/>
        <v>0</v>
      </c>
      <c r="AP125" s="18">
        <f t="shared" si="134"/>
        <v>0</v>
      </c>
      <c r="AQ125" s="18">
        <f t="shared" si="135"/>
        <v>0</v>
      </c>
      <c r="AR125" s="18">
        <f t="shared" si="136"/>
        <v>0</v>
      </c>
      <c r="AS125" s="18">
        <f t="shared" si="137"/>
        <v>0</v>
      </c>
      <c r="AT125" s="18">
        <f t="shared" si="138"/>
        <v>0</v>
      </c>
      <c r="AU125" s="18">
        <f t="shared" si="139"/>
        <v>0</v>
      </c>
      <c r="AV125" s="18">
        <f t="shared" si="140"/>
        <v>0</v>
      </c>
      <c r="AW125" s="18">
        <f t="shared" si="141"/>
        <v>0</v>
      </c>
      <c r="AX125" s="18">
        <f t="shared" si="142"/>
        <v>0</v>
      </c>
      <c r="AY125" s="18">
        <f t="shared" si="143"/>
        <v>0</v>
      </c>
      <c r="AZ125" s="18">
        <f t="shared" si="144"/>
        <v>0</v>
      </c>
      <c r="BA125" s="18">
        <f t="shared" si="145"/>
        <v>0</v>
      </c>
      <c r="BB125" s="18">
        <f t="shared" si="146"/>
        <v>0</v>
      </c>
      <c r="BC125" s="18">
        <f t="shared" si="147"/>
        <v>0</v>
      </c>
      <c r="BD125" s="18">
        <f t="shared" si="148"/>
        <v>0</v>
      </c>
      <c r="BE125" s="18">
        <f t="shared" si="149"/>
        <v>0</v>
      </c>
      <c r="BF125" s="18">
        <f t="shared" si="150"/>
        <v>0</v>
      </c>
      <c r="BG125" s="18">
        <f t="shared" si="151"/>
        <v>0</v>
      </c>
      <c r="BH125" s="18">
        <f t="shared" si="152"/>
        <v>0</v>
      </c>
      <c r="BI125" s="18">
        <f t="shared" si="153"/>
        <v>0</v>
      </c>
      <c r="BJ125" s="18">
        <f t="shared" si="154"/>
        <v>0</v>
      </c>
      <c r="BK125" s="18">
        <f t="shared" si="155"/>
        <v>0</v>
      </c>
      <c r="BL125" s="18">
        <f t="shared" si="156"/>
        <v>0</v>
      </c>
      <c r="BM125" s="18">
        <f t="shared" si="157"/>
        <v>0</v>
      </c>
      <c r="BN125" s="18">
        <f t="shared" si="158"/>
        <v>0</v>
      </c>
      <c r="BO125" s="18">
        <f t="shared" si="159"/>
        <v>0</v>
      </c>
      <c r="BP125" s="18">
        <f t="shared" si="160"/>
        <v>0</v>
      </c>
      <c r="BQ125" s="18">
        <f t="shared" si="161"/>
        <v>0</v>
      </c>
      <c r="BR125" s="18">
        <f t="shared" si="162"/>
        <v>0</v>
      </c>
      <c r="BS125" s="18">
        <f t="shared" si="163"/>
        <v>0</v>
      </c>
      <c r="BT125" s="18">
        <f t="shared" si="164"/>
        <v>0</v>
      </c>
      <c r="BU125" s="18">
        <f t="shared" si="165"/>
        <v>0</v>
      </c>
      <c r="BV125" s="18">
        <f t="shared" si="166"/>
        <v>0</v>
      </c>
      <c r="BW125" s="18">
        <f t="shared" si="167"/>
        <v>0</v>
      </c>
      <c r="BX125" s="18">
        <f t="shared" si="168"/>
        <v>0</v>
      </c>
      <c r="BY125" s="18">
        <f t="shared" si="169"/>
        <v>0</v>
      </c>
      <c r="BZ125" s="18">
        <f t="shared" si="170"/>
        <v>0</v>
      </c>
      <c r="CA125" s="18">
        <f t="shared" si="171"/>
        <v>0</v>
      </c>
      <c r="CB125" s="18">
        <f t="shared" si="172"/>
        <v>0</v>
      </c>
      <c r="CC125" s="18">
        <f t="shared" si="173"/>
        <v>0</v>
      </c>
      <c r="CD125" s="18">
        <f t="shared" si="174"/>
        <v>0</v>
      </c>
      <c r="CE125" s="18">
        <f t="shared" si="175"/>
        <v>0</v>
      </c>
      <c r="CF125" s="18">
        <f t="shared" si="176"/>
        <v>0</v>
      </c>
      <c r="CG125" s="18">
        <f t="shared" si="177"/>
        <v>0</v>
      </c>
      <c r="CH125" s="18">
        <f t="shared" si="178"/>
        <v>0</v>
      </c>
      <c r="CI125" s="18">
        <f t="shared" si="179"/>
        <v>0</v>
      </c>
      <c r="CJ125" s="18">
        <f t="shared" si="180"/>
        <v>0</v>
      </c>
    </row>
    <row r="126" spans="1:88" x14ac:dyDescent="0.3">
      <c r="A126" s="1">
        <v>44014</v>
      </c>
      <c r="B126">
        <v>35843.699999999997</v>
      </c>
      <c r="C126">
        <f>Table1[[#This Row],[Close]]-0.001*Table1[[#This Row],[Close]]</f>
        <v>35807.856299999999</v>
      </c>
      <c r="D126">
        <f>Table1[[#This Row],[Close]]+0.001*Table1[[#This Row],[Close]]</f>
        <v>35879.543699999995</v>
      </c>
      <c r="E126" t="str">
        <f>IF(Table1[[#This Row],[Close]]&gt;D125,"UP",IF(Table1[[#This Row],[Close]]&lt;C125,"Down","Constant"))</f>
        <v>UP</v>
      </c>
      <c r="F126" s="3">
        <f>IF(Table1[[#This Row],[Column1]]="Up",1,IF(Table1[[#This Row],[Column1]]="Down",-1,0))</f>
        <v>1</v>
      </c>
      <c r="G126">
        <f t="shared" si="99"/>
        <v>0</v>
      </c>
      <c r="H126" s="18">
        <f t="shared" si="100"/>
        <v>0</v>
      </c>
      <c r="I126" s="18">
        <f t="shared" si="101"/>
        <v>0</v>
      </c>
      <c r="J126" s="18">
        <f t="shared" si="102"/>
        <v>0</v>
      </c>
      <c r="K126" s="18">
        <f t="shared" si="103"/>
        <v>0</v>
      </c>
      <c r="L126" s="18">
        <f t="shared" si="104"/>
        <v>0</v>
      </c>
      <c r="M126" s="18">
        <f t="shared" si="105"/>
        <v>0</v>
      </c>
      <c r="N126" s="18">
        <f t="shared" si="106"/>
        <v>0</v>
      </c>
      <c r="O126" s="18">
        <f t="shared" si="107"/>
        <v>0</v>
      </c>
      <c r="P126" s="18">
        <f t="shared" si="108"/>
        <v>0</v>
      </c>
      <c r="Q126" s="18">
        <f t="shared" si="109"/>
        <v>0</v>
      </c>
      <c r="R126" s="18">
        <f t="shared" si="110"/>
        <v>0</v>
      </c>
      <c r="S126" s="18">
        <f t="shared" si="111"/>
        <v>0</v>
      </c>
      <c r="T126" s="18">
        <f t="shared" si="112"/>
        <v>0</v>
      </c>
      <c r="U126" s="18">
        <f t="shared" si="113"/>
        <v>0</v>
      </c>
      <c r="V126" s="18">
        <f t="shared" si="114"/>
        <v>1</v>
      </c>
      <c r="W126" s="18">
        <f t="shared" si="115"/>
        <v>0</v>
      </c>
      <c r="X126" s="18">
        <f t="shared" si="116"/>
        <v>0</v>
      </c>
      <c r="Y126" s="18">
        <f t="shared" si="117"/>
        <v>0</v>
      </c>
      <c r="Z126" s="18">
        <f t="shared" si="118"/>
        <v>0</v>
      </c>
      <c r="AA126" s="18">
        <f t="shared" si="119"/>
        <v>0</v>
      </c>
      <c r="AB126" s="18">
        <f t="shared" si="120"/>
        <v>0</v>
      </c>
      <c r="AC126" s="18">
        <f t="shared" si="121"/>
        <v>0</v>
      </c>
      <c r="AD126" s="18">
        <f t="shared" si="122"/>
        <v>0</v>
      </c>
      <c r="AE126" s="18">
        <f t="shared" si="123"/>
        <v>0</v>
      </c>
      <c r="AF126" s="18">
        <f t="shared" si="124"/>
        <v>0</v>
      </c>
      <c r="AG126" s="18">
        <f t="shared" si="125"/>
        <v>0</v>
      </c>
      <c r="AH126" s="18">
        <f t="shared" si="126"/>
        <v>0</v>
      </c>
      <c r="AI126" s="18">
        <f t="shared" si="127"/>
        <v>0</v>
      </c>
      <c r="AJ126" s="18">
        <f t="shared" si="128"/>
        <v>0</v>
      </c>
      <c r="AK126" s="18">
        <f t="shared" si="129"/>
        <v>0</v>
      </c>
      <c r="AL126" s="18">
        <f t="shared" si="130"/>
        <v>0</v>
      </c>
      <c r="AM126" s="18">
        <f t="shared" si="131"/>
        <v>0</v>
      </c>
      <c r="AN126" s="18">
        <f t="shared" si="132"/>
        <v>0</v>
      </c>
      <c r="AO126" s="18">
        <f t="shared" si="133"/>
        <v>0</v>
      </c>
      <c r="AP126" s="18">
        <f t="shared" si="134"/>
        <v>0</v>
      </c>
      <c r="AQ126" s="18">
        <f t="shared" si="135"/>
        <v>0</v>
      </c>
      <c r="AR126" s="18">
        <f t="shared" si="136"/>
        <v>0</v>
      </c>
      <c r="AS126" s="18">
        <f t="shared" si="137"/>
        <v>0</v>
      </c>
      <c r="AT126" s="18">
        <f t="shared" si="138"/>
        <v>0</v>
      </c>
      <c r="AU126" s="18">
        <f t="shared" si="139"/>
        <v>0</v>
      </c>
      <c r="AV126" s="18">
        <f t="shared" si="140"/>
        <v>0</v>
      </c>
      <c r="AW126" s="18">
        <f t="shared" si="141"/>
        <v>0</v>
      </c>
      <c r="AX126" s="18">
        <f t="shared" si="142"/>
        <v>0</v>
      </c>
      <c r="AY126" s="18">
        <f t="shared" si="143"/>
        <v>0</v>
      </c>
      <c r="AZ126" s="18">
        <f t="shared" si="144"/>
        <v>0</v>
      </c>
      <c r="BA126" s="18">
        <f t="shared" si="145"/>
        <v>0</v>
      </c>
      <c r="BB126" s="18">
        <f t="shared" si="146"/>
        <v>0</v>
      </c>
      <c r="BC126" s="18">
        <f t="shared" si="147"/>
        <v>0</v>
      </c>
      <c r="BD126" s="18">
        <f t="shared" si="148"/>
        <v>0</v>
      </c>
      <c r="BE126" s="18">
        <f t="shared" si="149"/>
        <v>0</v>
      </c>
      <c r="BF126" s="18">
        <f t="shared" si="150"/>
        <v>0</v>
      </c>
      <c r="BG126" s="18">
        <f t="shared" si="151"/>
        <v>0</v>
      </c>
      <c r="BH126" s="18">
        <f t="shared" si="152"/>
        <v>0</v>
      </c>
      <c r="BI126" s="18">
        <f t="shared" si="153"/>
        <v>0</v>
      </c>
      <c r="BJ126" s="18">
        <f t="shared" si="154"/>
        <v>0</v>
      </c>
      <c r="BK126" s="18">
        <f t="shared" si="155"/>
        <v>0</v>
      </c>
      <c r="BL126" s="18">
        <f t="shared" si="156"/>
        <v>0</v>
      </c>
      <c r="BM126" s="18">
        <f t="shared" si="157"/>
        <v>0</v>
      </c>
      <c r="BN126" s="18">
        <f t="shared" si="158"/>
        <v>0</v>
      </c>
      <c r="BO126" s="18">
        <f t="shared" si="159"/>
        <v>0</v>
      </c>
      <c r="BP126" s="18">
        <f t="shared" si="160"/>
        <v>0</v>
      </c>
      <c r="BQ126" s="18">
        <f t="shared" si="161"/>
        <v>0</v>
      </c>
      <c r="BR126" s="18">
        <f t="shared" si="162"/>
        <v>0</v>
      </c>
      <c r="BS126" s="18">
        <f t="shared" si="163"/>
        <v>0</v>
      </c>
      <c r="BT126" s="18">
        <f t="shared" si="164"/>
        <v>0</v>
      </c>
      <c r="BU126" s="18">
        <f t="shared" si="165"/>
        <v>0</v>
      </c>
      <c r="BV126" s="18">
        <f t="shared" si="166"/>
        <v>0</v>
      </c>
      <c r="BW126" s="18">
        <f t="shared" si="167"/>
        <v>0</v>
      </c>
      <c r="BX126" s="18">
        <f t="shared" si="168"/>
        <v>0</v>
      </c>
      <c r="BY126" s="18">
        <f t="shared" si="169"/>
        <v>0</v>
      </c>
      <c r="BZ126" s="18">
        <f t="shared" si="170"/>
        <v>0</v>
      </c>
      <c r="CA126" s="18">
        <f t="shared" si="171"/>
        <v>0</v>
      </c>
      <c r="CB126" s="18">
        <f t="shared" si="172"/>
        <v>0</v>
      </c>
      <c r="CC126" s="18">
        <f t="shared" si="173"/>
        <v>0</v>
      </c>
      <c r="CD126" s="18">
        <f t="shared" si="174"/>
        <v>0</v>
      </c>
      <c r="CE126" s="18">
        <f t="shared" si="175"/>
        <v>0</v>
      </c>
      <c r="CF126" s="18">
        <f t="shared" si="176"/>
        <v>0</v>
      </c>
      <c r="CG126" s="18">
        <f t="shared" si="177"/>
        <v>0</v>
      </c>
      <c r="CH126" s="18">
        <f t="shared" si="178"/>
        <v>0</v>
      </c>
      <c r="CI126" s="18">
        <f t="shared" si="179"/>
        <v>0</v>
      </c>
      <c r="CJ126" s="18">
        <f t="shared" si="180"/>
        <v>0</v>
      </c>
    </row>
    <row r="127" spans="1:88" x14ac:dyDescent="0.3">
      <c r="A127" s="1">
        <v>44015</v>
      </c>
      <c r="B127">
        <v>36021.42</v>
      </c>
      <c r="C127">
        <f>Table1[[#This Row],[Close]]-0.001*Table1[[#This Row],[Close]]</f>
        <v>35985.398580000001</v>
      </c>
      <c r="D127">
        <f>Table1[[#This Row],[Close]]+0.001*Table1[[#This Row],[Close]]</f>
        <v>36057.441419999996</v>
      </c>
      <c r="E127" t="str">
        <f>IF(Table1[[#This Row],[Close]]&gt;D126,"UP",IF(Table1[[#This Row],[Close]]&lt;C126,"Down","Constant"))</f>
        <v>UP</v>
      </c>
      <c r="F127" s="3">
        <f>IF(Table1[[#This Row],[Column1]]="Up",1,IF(Table1[[#This Row],[Column1]]="Down",-1,0))</f>
        <v>1</v>
      </c>
      <c r="G127">
        <f t="shared" si="99"/>
        <v>0</v>
      </c>
      <c r="H127" s="18">
        <f t="shared" si="100"/>
        <v>0</v>
      </c>
      <c r="I127" s="18">
        <f t="shared" si="101"/>
        <v>0</v>
      </c>
      <c r="J127" s="18">
        <f t="shared" si="102"/>
        <v>0</v>
      </c>
      <c r="K127" s="18">
        <f t="shared" si="103"/>
        <v>0</v>
      </c>
      <c r="L127" s="18">
        <f t="shared" si="104"/>
        <v>0</v>
      </c>
      <c r="M127" s="18">
        <f t="shared" si="105"/>
        <v>1</v>
      </c>
      <c r="N127" s="18">
        <f t="shared" si="106"/>
        <v>0</v>
      </c>
      <c r="O127" s="18">
        <f t="shared" si="107"/>
        <v>0</v>
      </c>
      <c r="P127" s="18">
        <f t="shared" si="108"/>
        <v>0</v>
      </c>
      <c r="Q127" s="18">
        <f t="shared" si="109"/>
        <v>0</v>
      </c>
      <c r="R127" s="18">
        <f t="shared" si="110"/>
        <v>0</v>
      </c>
      <c r="S127" s="18">
        <f t="shared" si="111"/>
        <v>0</v>
      </c>
      <c r="T127" s="18">
        <f t="shared" si="112"/>
        <v>0</v>
      </c>
      <c r="U127" s="18">
        <f t="shared" si="113"/>
        <v>0</v>
      </c>
      <c r="V127" s="18">
        <f t="shared" si="114"/>
        <v>0</v>
      </c>
      <c r="W127" s="18">
        <f t="shared" si="115"/>
        <v>0</v>
      </c>
      <c r="X127" s="18">
        <f t="shared" si="116"/>
        <v>0</v>
      </c>
      <c r="Y127" s="18">
        <f t="shared" si="117"/>
        <v>0</v>
      </c>
      <c r="Z127" s="18">
        <f t="shared" si="118"/>
        <v>0</v>
      </c>
      <c r="AA127" s="18">
        <f t="shared" si="119"/>
        <v>0</v>
      </c>
      <c r="AB127" s="18">
        <f t="shared" si="120"/>
        <v>0</v>
      </c>
      <c r="AC127" s="18">
        <f t="shared" si="121"/>
        <v>0</v>
      </c>
      <c r="AD127" s="18">
        <f t="shared" si="122"/>
        <v>0</v>
      </c>
      <c r="AE127" s="18">
        <f t="shared" si="123"/>
        <v>0</v>
      </c>
      <c r="AF127" s="18">
        <f t="shared" si="124"/>
        <v>0</v>
      </c>
      <c r="AG127" s="18">
        <f t="shared" si="125"/>
        <v>0</v>
      </c>
      <c r="AH127" s="18">
        <f t="shared" si="126"/>
        <v>0</v>
      </c>
      <c r="AI127" s="18">
        <f t="shared" si="127"/>
        <v>0</v>
      </c>
      <c r="AJ127" s="18">
        <f t="shared" si="128"/>
        <v>0</v>
      </c>
      <c r="AK127" s="18">
        <f t="shared" si="129"/>
        <v>0</v>
      </c>
      <c r="AL127" s="18">
        <f t="shared" si="130"/>
        <v>0</v>
      </c>
      <c r="AM127" s="18">
        <f t="shared" si="131"/>
        <v>0</v>
      </c>
      <c r="AN127" s="18">
        <f t="shared" si="132"/>
        <v>0</v>
      </c>
      <c r="AO127" s="18">
        <f t="shared" si="133"/>
        <v>0</v>
      </c>
      <c r="AP127" s="18">
        <f t="shared" si="134"/>
        <v>0</v>
      </c>
      <c r="AQ127" s="18">
        <f t="shared" si="135"/>
        <v>0</v>
      </c>
      <c r="AR127" s="18">
        <f t="shared" si="136"/>
        <v>0</v>
      </c>
      <c r="AS127" s="18">
        <f t="shared" si="137"/>
        <v>0</v>
      </c>
      <c r="AT127" s="18">
        <f t="shared" si="138"/>
        <v>0</v>
      </c>
      <c r="AU127" s="18">
        <f t="shared" si="139"/>
        <v>0</v>
      </c>
      <c r="AV127" s="18">
        <f t="shared" si="140"/>
        <v>0</v>
      </c>
      <c r="AW127" s="18">
        <f t="shared" si="141"/>
        <v>0</v>
      </c>
      <c r="AX127" s="18">
        <f t="shared" si="142"/>
        <v>0</v>
      </c>
      <c r="AY127" s="18">
        <f t="shared" si="143"/>
        <v>0</v>
      </c>
      <c r="AZ127" s="18">
        <f t="shared" si="144"/>
        <v>0</v>
      </c>
      <c r="BA127" s="18">
        <f t="shared" si="145"/>
        <v>0</v>
      </c>
      <c r="BB127" s="18">
        <f t="shared" si="146"/>
        <v>0</v>
      </c>
      <c r="BC127" s="18">
        <f t="shared" si="147"/>
        <v>0</v>
      </c>
      <c r="BD127" s="18">
        <f t="shared" si="148"/>
        <v>0</v>
      </c>
      <c r="BE127" s="18">
        <f t="shared" si="149"/>
        <v>0</v>
      </c>
      <c r="BF127" s="18">
        <f t="shared" si="150"/>
        <v>0</v>
      </c>
      <c r="BG127" s="18">
        <f t="shared" si="151"/>
        <v>0</v>
      </c>
      <c r="BH127" s="18">
        <f t="shared" si="152"/>
        <v>0</v>
      </c>
      <c r="BI127" s="18">
        <f t="shared" si="153"/>
        <v>0</v>
      </c>
      <c r="BJ127" s="18">
        <f t="shared" si="154"/>
        <v>0</v>
      </c>
      <c r="BK127" s="18">
        <f t="shared" si="155"/>
        <v>0</v>
      </c>
      <c r="BL127" s="18">
        <f t="shared" si="156"/>
        <v>0</v>
      </c>
      <c r="BM127" s="18">
        <f t="shared" si="157"/>
        <v>0</v>
      </c>
      <c r="BN127" s="18">
        <f t="shared" si="158"/>
        <v>0</v>
      </c>
      <c r="BO127" s="18">
        <f t="shared" si="159"/>
        <v>0</v>
      </c>
      <c r="BP127" s="18">
        <f t="shared" si="160"/>
        <v>0</v>
      </c>
      <c r="BQ127" s="18">
        <f t="shared" si="161"/>
        <v>0</v>
      </c>
      <c r="BR127" s="18">
        <f t="shared" si="162"/>
        <v>0</v>
      </c>
      <c r="BS127" s="18">
        <f t="shared" si="163"/>
        <v>0</v>
      </c>
      <c r="BT127" s="18">
        <f t="shared" si="164"/>
        <v>0</v>
      </c>
      <c r="BU127" s="18">
        <f t="shared" si="165"/>
        <v>0</v>
      </c>
      <c r="BV127" s="18">
        <f t="shared" si="166"/>
        <v>0</v>
      </c>
      <c r="BW127" s="18">
        <f t="shared" si="167"/>
        <v>0</v>
      </c>
      <c r="BX127" s="18">
        <f t="shared" si="168"/>
        <v>0</v>
      </c>
      <c r="BY127" s="18">
        <f t="shared" si="169"/>
        <v>0</v>
      </c>
      <c r="BZ127" s="18">
        <f t="shared" si="170"/>
        <v>0</v>
      </c>
      <c r="CA127" s="18">
        <f t="shared" si="171"/>
        <v>0</v>
      </c>
      <c r="CB127" s="18">
        <f t="shared" si="172"/>
        <v>0</v>
      </c>
      <c r="CC127" s="18">
        <f t="shared" si="173"/>
        <v>0</v>
      </c>
      <c r="CD127" s="18">
        <f t="shared" si="174"/>
        <v>0</v>
      </c>
      <c r="CE127" s="18">
        <f t="shared" si="175"/>
        <v>0</v>
      </c>
      <c r="CF127" s="18">
        <f t="shared" si="176"/>
        <v>0</v>
      </c>
      <c r="CG127" s="18">
        <f t="shared" si="177"/>
        <v>0</v>
      </c>
      <c r="CH127" s="18">
        <f t="shared" si="178"/>
        <v>0</v>
      </c>
      <c r="CI127" s="18">
        <f t="shared" si="179"/>
        <v>0</v>
      </c>
      <c r="CJ127" s="18">
        <f t="shared" si="180"/>
        <v>0</v>
      </c>
    </row>
    <row r="128" spans="1:88" x14ac:dyDescent="0.3">
      <c r="A128" s="1">
        <v>44018</v>
      </c>
      <c r="B128">
        <v>36487.279999999999</v>
      </c>
      <c r="C128">
        <f>Table1[[#This Row],[Close]]-0.001*Table1[[#This Row],[Close]]</f>
        <v>36450.792719999998</v>
      </c>
      <c r="D128">
        <f>Table1[[#This Row],[Close]]+0.001*Table1[[#This Row],[Close]]</f>
        <v>36523.76728</v>
      </c>
      <c r="E128" t="str">
        <f>IF(Table1[[#This Row],[Close]]&gt;D127,"UP",IF(Table1[[#This Row],[Close]]&lt;C127,"Down","Constant"))</f>
        <v>UP</v>
      </c>
      <c r="F128" s="3">
        <f>IF(Table1[[#This Row],[Column1]]="Up",1,IF(Table1[[#This Row],[Column1]]="Down",-1,0))</f>
        <v>1</v>
      </c>
      <c r="G128">
        <f t="shared" si="99"/>
        <v>0</v>
      </c>
      <c r="H128" s="18">
        <f t="shared" si="100"/>
        <v>0</v>
      </c>
      <c r="I128" s="18">
        <f t="shared" si="101"/>
        <v>0</v>
      </c>
      <c r="J128" s="18">
        <f t="shared" si="102"/>
        <v>1</v>
      </c>
      <c r="K128" s="18">
        <f t="shared" si="103"/>
        <v>0</v>
      </c>
      <c r="L128" s="18">
        <f t="shared" si="104"/>
        <v>0</v>
      </c>
      <c r="M128" s="18">
        <f t="shared" si="105"/>
        <v>0</v>
      </c>
      <c r="N128" s="18">
        <f t="shared" si="106"/>
        <v>0</v>
      </c>
      <c r="O128" s="18">
        <f t="shared" si="107"/>
        <v>0</v>
      </c>
      <c r="P128" s="18">
        <f t="shared" si="108"/>
        <v>0</v>
      </c>
      <c r="Q128" s="18">
        <f t="shared" si="109"/>
        <v>0</v>
      </c>
      <c r="R128" s="18">
        <f t="shared" si="110"/>
        <v>0</v>
      </c>
      <c r="S128" s="18">
        <f t="shared" si="111"/>
        <v>0</v>
      </c>
      <c r="T128" s="18">
        <f t="shared" si="112"/>
        <v>0</v>
      </c>
      <c r="U128" s="18">
        <f t="shared" si="113"/>
        <v>0</v>
      </c>
      <c r="V128" s="18">
        <f t="shared" si="114"/>
        <v>0</v>
      </c>
      <c r="W128" s="18">
        <f t="shared" si="115"/>
        <v>0</v>
      </c>
      <c r="X128" s="18">
        <f t="shared" si="116"/>
        <v>0</v>
      </c>
      <c r="Y128" s="18">
        <f t="shared" si="117"/>
        <v>0</v>
      </c>
      <c r="Z128" s="18">
        <f t="shared" si="118"/>
        <v>0</v>
      </c>
      <c r="AA128" s="18">
        <f t="shared" si="119"/>
        <v>0</v>
      </c>
      <c r="AB128" s="18">
        <f t="shared" si="120"/>
        <v>0</v>
      </c>
      <c r="AC128" s="18">
        <f t="shared" si="121"/>
        <v>0</v>
      </c>
      <c r="AD128" s="18">
        <f t="shared" si="122"/>
        <v>0</v>
      </c>
      <c r="AE128" s="18">
        <f t="shared" si="123"/>
        <v>0</v>
      </c>
      <c r="AF128" s="18">
        <f t="shared" si="124"/>
        <v>0</v>
      </c>
      <c r="AG128" s="18">
        <f t="shared" si="125"/>
        <v>0</v>
      </c>
      <c r="AH128" s="18">
        <f t="shared" si="126"/>
        <v>0</v>
      </c>
      <c r="AI128" s="18">
        <f t="shared" si="127"/>
        <v>0</v>
      </c>
      <c r="AJ128" s="18">
        <f t="shared" si="128"/>
        <v>0</v>
      </c>
      <c r="AK128" s="18">
        <f t="shared" si="129"/>
        <v>0</v>
      </c>
      <c r="AL128" s="18">
        <f t="shared" si="130"/>
        <v>0</v>
      </c>
      <c r="AM128" s="18">
        <f t="shared" si="131"/>
        <v>0</v>
      </c>
      <c r="AN128" s="18">
        <f t="shared" si="132"/>
        <v>0</v>
      </c>
      <c r="AO128" s="18">
        <f t="shared" si="133"/>
        <v>0</v>
      </c>
      <c r="AP128" s="18">
        <f t="shared" si="134"/>
        <v>0</v>
      </c>
      <c r="AQ128" s="18">
        <f t="shared" si="135"/>
        <v>0</v>
      </c>
      <c r="AR128" s="18">
        <f t="shared" si="136"/>
        <v>0</v>
      </c>
      <c r="AS128" s="18">
        <f t="shared" si="137"/>
        <v>0</v>
      </c>
      <c r="AT128" s="18">
        <f t="shared" si="138"/>
        <v>0</v>
      </c>
      <c r="AU128" s="18">
        <f t="shared" si="139"/>
        <v>0</v>
      </c>
      <c r="AV128" s="18">
        <f t="shared" si="140"/>
        <v>0</v>
      </c>
      <c r="AW128" s="18">
        <f t="shared" si="141"/>
        <v>0</v>
      </c>
      <c r="AX128" s="18">
        <f t="shared" si="142"/>
        <v>0</v>
      </c>
      <c r="AY128" s="18">
        <f t="shared" si="143"/>
        <v>0</v>
      </c>
      <c r="AZ128" s="18">
        <f t="shared" si="144"/>
        <v>0</v>
      </c>
      <c r="BA128" s="18">
        <f t="shared" si="145"/>
        <v>0</v>
      </c>
      <c r="BB128" s="18">
        <f t="shared" si="146"/>
        <v>0</v>
      </c>
      <c r="BC128" s="18">
        <f t="shared" si="147"/>
        <v>0</v>
      </c>
      <c r="BD128" s="18">
        <f t="shared" si="148"/>
        <v>0</v>
      </c>
      <c r="BE128" s="18">
        <f t="shared" si="149"/>
        <v>0</v>
      </c>
      <c r="BF128" s="18">
        <f t="shared" si="150"/>
        <v>0</v>
      </c>
      <c r="BG128" s="18">
        <f t="shared" si="151"/>
        <v>0</v>
      </c>
      <c r="BH128" s="18">
        <f t="shared" si="152"/>
        <v>0</v>
      </c>
      <c r="BI128" s="18">
        <f t="shared" si="153"/>
        <v>0</v>
      </c>
      <c r="BJ128" s="18">
        <f t="shared" si="154"/>
        <v>0</v>
      </c>
      <c r="BK128" s="18">
        <f t="shared" si="155"/>
        <v>0</v>
      </c>
      <c r="BL128" s="18">
        <f t="shared" si="156"/>
        <v>0</v>
      </c>
      <c r="BM128" s="18">
        <f t="shared" si="157"/>
        <v>0</v>
      </c>
      <c r="BN128" s="18">
        <f t="shared" si="158"/>
        <v>0</v>
      </c>
      <c r="BO128" s="18">
        <f t="shared" si="159"/>
        <v>0</v>
      </c>
      <c r="BP128" s="18">
        <f t="shared" si="160"/>
        <v>0</v>
      </c>
      <c r="BQ128" s="18">
        <f t="shared" si="161"/>
        <v>0</v>
      </c>
      <c r="BR128" s="18">
        <f t="shared" si="162"/>
        <v>0</v>
      </c>
      <c r="BS128" s="18">
        <f t="shared" si="163"/>
        <v>0</v>
      </c>
      <c r="BT128" s="18">
        <f t="shared" si="164"/>
        <v>0</v>
      </c>
      <c r="BU128" s="18">
        <f t="shared" si="165"/>
        <v>0</v>
      </c>
      <c r="BV128" s="18">
        <f t="shared" si="166"/>
        <v>0</v>
      </c>
      <c r="BW128" s="18">
        <f t="shared" si="167"/>
        <v>0</v>
      </c>
      <c r="BX128" s="18">
        <f t="shared" si="168"/>
        <v>0</v>
      </c>
      <c r="BY128" s="18">
        <f t="shared" si="169"/>
        <v>0</v>
      </c>
      <c r="BZ128" s="18">
        <f t="shared" si="170"/>
        <v>0</v>
      </c>
      <c r="CA128" s="18">
        <f t="shared" si="171"/>
        <v>0</v>
      </c>
      <c r="CB128" s="18">
        <f t="shared" si="172"/>
        <v>0</v>
      </c>
      <c r="CC128" s="18">
        <f t="shared" si="173"/>
        <v>0</v>
      </c>
      <c r="CD128" s="18">
        <f t="shared" si="174"/>
        <v>0</v>
      </c>
      <c r="CE128" s="18">
        <f t="shared" si="175"/>
        <v>0</v>
      </c>
      <c r="CF128" s="18">
        <f t="shared" si="176"/>
        <v>0</v>
      </c>
      <c r="CG128" s="18">
        <f t="shared" si="177"/>
        <v>0</v>
      </c>
      <c r="CH128" s="18">
        <f t="shared" si="178"/>
        <v>0</v>
      </c>
      <c r="CI128" s="18">
        <f t="shared" si="179"/>
        <v>0</v>
      </c>
      <c r="CJ128" s="18">
        <f t="shared" si="180"/>
        <v>0</v>
      </c>
    </row>
    <row r="129" spans="1:88" x14ac:dyDescent="0.3">
      <c r="A129" s="1">
        <v>44019</v>
      </c>
      <c r="B129">
        <v>36674.519999999997</v>
      </c>
      <c r="C129">
        <f>Table1[[#This Row],[Close]]-0.001*Table1[[#This Row],[Close]]</f>
        <v>36637.845479999996</v>
      </c>
      <c r="D129">
        <f>Table1[[#This Row],[Close]]+0.001*Table1[[#This Row],[Close]]</f>
        <v>36711.194519999997</v>
      </c>
      <c r="E129" t="str">
        <f>IF(Table1[[#This Row],[Close]]&gt;D128,"UP",IF(Table1[[#This Row],[Close]]&lt;C128,"Down","Constant"))</f>
        <v>UP</v>
      </c>
      <c r="F129" s="3">
        <f>IF(Table1[[#This Row],[Column1]]="Up",1,IF(Table1[[#This Row],[Column1]]="Down",-1,0))</f>
        <v>1</v>
      </c>
      <c r="G129">
        <f t="shared" si="99"/>
        <v>0</v>
      </c>
      <c r="H129" s="18">
        <f t="shared" si="100"/>
        <v>0</v>
      </c>
      <c r="I129" s="18">
        <f t="shared" si="101"/>
        <v>0</v>
      </c>
      <c r="J129" s="18">
        <f t="shared" si="102"/>
        <v>1</v>
      </c>
      <c r="K129" s="18">
        <f t="shared" si="103"/>
        <v>0</v>
      </c>
      <c r="L129" s="18">
        <f t="shared" si="104"/>
        <v>0</v>
      </c>
      <c r="M129" s="18">
        <f t="shared" si="105"/>
        <v>0</v>
      </c>
      <c r="N129" s="18">
        <f t="shared" si="106"/>
        <v>0</v>
      </c>
      <c r="O129" s="18">
        <f t="shared" si="107"/>
        <v>0</v>
      </c>
      <c r="P129" s="18">
        <f t="shared" si="108"/>
        <v>0</v>
      </c>
      <c r="Q129" s="18">
        <f t="shared" si="109"/>
        <v>0</v>
      </c>
      <c r="R129" s="18">
        <f t="shared" si="110"/>
        <v>0</v>
      </c>
      <c r="S129" s="18">
        <f t="shared" si="111"/>
        <v>0</v>
      </c>
      <c r="T129" s="18">
        <f t="shared" si="112"/>
        <v>0</v>
      </c>
      <c r="U129" s="18">
        <f t="shared" si="113"/>
        <v>0</v>
      </c>
      <c r="V129" s="18">
        <f t="shared" si="114"/>
        <v>0</v>
      </c>
      <c r="W129" s="18">
        <f t="shared" si="115"/>
        <v>0</v>
      </c>
      <c r="X129" s="18">
        <f t="shared" si="116"/>
        <v>0</v>
      </c>
      <c r="Y129" s="18">
        <f t="shared" si="117"/>
        <v>0</v>
      </c>
      <c r="Z129" s="18">
        <f t="shared" si="118"/>
        <v>0</v>
      </c>
      <c r="AA129" s="18">
        <f t="shared" si="119"/>
        <v>0</v>
      </c>
      <c r="AB129" s="18">
        <f t="shared" si="120"/>
        <v>0</v>
      </c>
      <c r="AC129" s="18">
        <f t="shared" si="121"/>
        <v>0</v>
      </c>
      <c r="AD129" s="18">
        <f t="shared" si="122"/>
        <v>0</v>
      </c>
      <c r="AE129" s="18">
        <f t="shared" si="123"/>
        <v>0</v>
      </c>
      <c r="AF129" s="18">
        <f t="shared" si="124"/>
        <v>0</v>
      </c>
      <c r="AG129" s="18">
        <f t="shared" si="125"/>
        <v>0</v>
      </c>
      <c r="AH129" s="18">
        <f t="shared" si="126"/>
        <v>0</v>
      </c>
      <c r="AI129" s="18">
        <f t="shared" si="127"/>
        <v>0</v>
      </c>
      <c r="AJ129" s="18">
        <f t="shared" si="128"/>
        <v>0</v>
      </c>
      <c r="AK129" s="18">
        <f t="shared" si="129"/>
        <v>0</v>
      </c>
      <c r="AL129" s="18">
        <f t="shared" si="130"/>
        <v>0</v>
      </c>
      <c r="AM129" s="18">
        <f t="shared" si="131"/>
        <v>0</v>
      </c>
      <c r="AN129" s="18">
        <f t="shared" si="132"/>
        <v>0</v>
      </c>
      <c r="AO129" s="18">
        <f t="shared" si="133"/>
        <v>0</v>
      </c>
      <c r="AP129" s="18">
        <f t="shared" si="134"/>
        <v>0</v>
      </c>
      <c r="AQ129" s="18">
        <f t="shared" si="135"/>
        <v>0</v>
      </c>
      <c r="AR129" s="18">
        <f t="shared" si="136"/>
        <v>0</v>
      </c>
      <c r="AS129" s="18">
        <f t="shared" si="137"/>
        <v>0</v>
      </c>
      <c r="AT129" s="18">
        <f t="shared" si="138"/>
        <v>0</v>
      </c>
      <c r="AU129" s="18">
        <f t="shared" si="139"/>
        <v>0</v>
      </c>
      <c r="AV129" s="18">
        <f t="shared" si="140"/>
        <v>0</v>
      </c>
      <c r="AW129" s="18">
        <f t="shared" si="141"/>
        <v>0</v>
      </c>
      <c r="AX129" s="18">
        <f t="shared" si="142"/>
        <v>0</v>
      </c>
      <c r="AY129" s="18">
        <f t="shared" si="143"/>
        <v>0</v>
      </c>
      <c r="AZ129" s="18">
        <f t="shared" si="144"/>
        <v>0</v>
      </c>
      <c r="BA129" s="18">
        <f t="shared" si="145"/>
        <v>0</v>
      </c>
      <c r="BB129" s="18">
        <f t="shared" si="146"/>
        <v>0</v>
      </c>
      <c r="BC129" s="18">
        <f t="shared" si="147"/>
        <v>0</v>
      </c>
      <c r="BD129" s="18">
        <f t="shared" si="148"/>
        <v>0</v>
      </c>
      <c r="BE129" s="18">
        <f t="shared" si="149"/>
        <v>0</v>
      </c>
      <c r="BF129" s="18">
        <f t="shared" si="150"/>
        <v>0</v>
      </c>
      <c r="BG129" s="18">
        <f t="shared" si="151"/>
        <v>0</v>
      </c>
      <c r="BH129" s="18">
        <f t="shared" si="152"/>
        <v>0</v>
      </c>
      <c r="BI129" s="18">
        <f t="shared" si="153"/>
        <v>0</v>
      </c>
      <c r="BJ129" s="18">
        <f t="shared" si="154"/>
        <v>0</v>
      </c>
      <c r="BK129" s="18">
        <f t="shared" si="155"/>
        <v>0</v>
      </c>
      <c r="BL129" s="18">
        <f t="shared" si="156"/>
        <v>0</v>
      </c>
      <c r="BM129" s="18">
        <f t="shared" si="157"/>
        <v>0</v>
      </c>
      <c r="BN129" s="18">
        <f t="shared" si="158"/>
        <v>0</v>
      </c>
      <c r="BO129" s="18">
        <f t="shared" si="159"/>
        <v>0</v>
      </c>
      <c r="BP129" s="18">
        <f t="shared" si="160"/>
        <v>0</v>
      </c>
      <c r="BQ129" s="18">
        <f t="shared" si="161"/>
        <v>0</v>
      </c>
      <c r="BR129" s="18">
        <f t="shared" si="162"/>
        <v>0</v>
      </c>
      <c r="BS129" s="18">
        <f t="shared" si="163"/>
        <v>0</v>
      </c>
      <c r="BT129" s="18">
        <f t="shared" si="164"/>
        <v>0</v>
      </c>
      <c r="BU129" s="18">
        <f t="shared" si="165"/>
        <v>0</v>
      </c>
      <c r="BV129" s="18">
        <f t="shared" si="166"/>
        <v>0</v>
      </c>
      <c r="BW129" s="18">
        <f t="shared" si="167"/>
        <v>0</v>
      </c>
      <c r="BX129" s="18">
        <f t="shared" si="168"/>
        <v>0</v>
      </c>
      <c r="BY129" s="18">
        <f t="shared" si="169"/>
        <v>0</v>
      </c>
      <c r="BZ129" s="18">
        <f t="shared" si="170"/>
        <v>0</v>
      </c>
      <c r="CA129" s="18">
        <f t="shared" si="171"/>
        <v>0</v>
      </c>
      <c r="CB129" s="18">
        <f t="shared" si="172"/>
        <v>0</v>
      </c>
      <c r="CC129" s="18">
        <f t="shared" si="173"/>
        <v>0</v>
      </c>
      <c r="CD129" s="18">
        <f t="shared" si="174"/>
        <v>0</v>
      </c>
      <c r="CE129" s="18">
        <f t="shared" si="175"/>
        <v>0</v>
      </c>
      <c r="CF129" s="18">
        <f t="shared" si="176"/>
        <v>0</v>
      </c>
      <c r="CG129" s="18">
        <f t="shared" si="177"/>
        <v>0</v>
      </c>
      <c r="CH129" s="18">
        <f t="shared" si="178"/>
        <v>0</v>
      </c>
      <c r="CI129" s="18">
        <f t="shared" si="179"/>
        <v>0</v>
      </c>
      <c r="CJ129" s="18">
        <f t="shared" si="180"/>
        <v>0</v>
      </c>
    </row>
    <row r="130" spans="1:88" x14ac:dyDescent="0.3">
      <c r="A130" s="1">
        <v>44020</v>
      </c>
      <c r="B130">
        <v>36329.01</v>
      </c>
      <c r="C130">
        <f>Table1[[#This Row],[Close]]-0.001*Table1[[#This Row],[Close]]</f>
        <v>36292.680990000001</v>
      </c>
      <c r="D130">
        <f>Table1[[#This Row],[Close]]+0.001*Table1[[#This Row],[Close]]</f>
        <v>36365.339010000003</v>
      </c>
      <c r="E130" t="str">
        <f>IF(Table1[[#This Row],[Close]]&gt;D129,"UP",IF(Table1[[#This Row],[Close]]&lt;C129,"Down","Constant"))</f>
        <v>Down</v>
      </c>
      <c r="F130" s="3">
        <f>IF(Table1[[#This Row],[Column1]]="Up",1,IF(Table1[[#This Row],[Column1]]="Down",-1,0))</f>
        <v>-1</v>
      </c>
      <c r="G130">
        <f t="shared" si="99"/>
        <v>0</v>
      </c>
      <c r="H130" s="18">
        <f t="shared" si="100"/>
        <v>1</v>
      </c>
      <c r="I130" s="18">
        <f t="shared" si="101"/>
        <v>0</v>
      </c>
      <c r="J130" s="18">
        <f t="shared" si="102"/>
        <v>0</v>
      </c>
      <c r="K130" s="18">
        <f t="shared" si="103"/>
        <v>0</v>
      </c>
      <c r="L130" s="18">
        <f t="shared" si="104"/>
        <v>0</v>
      </c>
      <c r="M130" s="18">
        <f t="shared" si="105"/>
        <v>0</v>
      </c>
      <c r="N130" s="18">
        <f t="shared" si="106"/>
        <v>0</v>
      </c>
      <c r="O130" s="18">
        <f t="shared" si="107"/>
        <v>0</v>
      </c>
      <c r="P130" s="18">
        <f t="shared" si="108"/>
        <v>0</v>
      </c>
      <c r="Q130" s="18">
        <f t="shared" si="109"/>
        <v>0</v>
      </c>
      <c r="R130" s="18">
        <f t="shared" si="110"/>
        <v>0</v>
      </c>
      <c r="S130" s="18">
        <f t="shared" si="111"/>
        <v>0</v>
      </c>
      <c r="T130" s="18">
        <f t="shared" si="112"/>
        <v>0</v>
      </c>
      <c r="U130" s="18">
        <f t="shared" si="113"/>
        <v>0</v>
      </c>
      <c r="V130" s="18">
        <f t="shared" si="114"/>
        <v>0</v>
      </c>
      <c r="W130" s="18">
        <f t="shared" si="115"/>
        <v>0</v>
      </c>
      <c r="X130" s="18">
        <f t="shared" si="116"/>
        <v>0</v>
      </c>
      <c r="Y130" s="18">
        <f t="shared" si="117"/>
        <v>0</v>
      </c>
      <c r="Z130" s="18">
        <f t="shared" si="118"/>
        <v>0</v>
      </c>
      <c r="AA130" s="18">
        <f t="shared" si="119"/>
        <v>0</v>
      </c>
      <c r="AB130" s="18">
        <f t="shared" si="120"/>
        <v>0</v>
      </c>
      <c r="AC130" s="18">
        <f t="shared" si="121"/>
        <v>0</v>
      </c>
      <c r="AD130" s="18">
        <f t="shared" si="122"/>
        <v>0</v>
      </c>
      <c r="AE130" s="18">
        <f t="shared" si="123"/>
        <v>0</v>
      </c>
      <c r="AF130" s="18">
        <f t="shared" si="124"/>
        <v>0</v>
      </c>
      <c r="AG130" s="18">
        <f t="shared" si="125"/>
        <v>0</v>
      </c>
      <c r="AH130" s="18">
        <f t="shared" si="126"/>
        <v>0</v>
      </c>
      <c r="AI130" s="18">
        <f t="shared" si="127"/>
        <v>0</v>
      </c>
      <c r="AJ130" s="18">
        <f t="shared" si="128"/>
        <v>0</v>
      </c>
      <c r="AK130" s="18">
        <f t="shared" si="129"/>
        <v>0</v>
      </c>
      <c r="AL130" s="18">
        <f t="shared" si="130"/>
        <v>0</v>
      </c>
      <c r="AM130" s="18">
        <f t="shared" si="131"/>
        <v>0</v>
      </c>
      <c r="AN130" s="18">
        <f t="shared" si="132"/>
        <v>0</v>
      </c>
      <c r="AO130" s="18">
        <f t="shared" si="133"/>
        <v>0</v>
      </c>
      <c r="AP130" s="18">
        <f t="shared" si="134"/>
        <v>0</v>
      </c>
      <c r="AQ130" s="18">
        <f t="shared" si="135"/>
        <v>0</v>
      </c>
      <c r="AR130" s="18">
        <f t="shared" si="136"/>
        <v>0</v>
      </c>
      <c r="AS130" s="18">
        <f t="shared" si="137"/>
        <v>0</v>
      </c>
      <c r="AT130" s="18">
        <f t="shared" si="138"/>
        <v>0</v>
      </c>
      <c r="AU130" s="18">
        <f t="shared" si="139"/>
        <v>0</v>
      </c>
      <c r="AV130" s="18">
        <f t="shared" si="140"/>
        <v>0</v>
      </c>
      <c r="AW130" s="18">
        <f t="shared" si="141"/>
        <v>0</v>
      </c>
      <c r="AX130" s="18">
        <f t="shared" si="142"/>
        <v>0</v>
      </c>
      <c r="AY130" s="18">
        <f t="shared" si="143"/>
        <v>0</v>
      </c>
      <c r="AZ130" s="18">
        <f t="shared" si="144"/>
        <v>0</v>
      </c>
      <c r="BA130" s="18">
        <f t="shared" si="145"/>
        <v>0</v>
      </c>
      <c r="BB130" s="18">
        <f t="shared" si="146"/>
        <v>0</v>
      </c>
      <c r="BC130" s="18">
        <f t="shared" si="147"/>
        <v>0</v>
      </c>
      <c r="BD130" s="18">
        <f t="shared" si="148"/>
        <v>0</v>
      </c>
      <c r="BE130" s="18">
        <f t="shared" si="149"/>
        <v>0</v>
      </c>
      <c r="BF130" s="18">
        <f t="shared" si="150"/>
        <v>0</v>
      </c>
      <c r="BG130" s="18">
        <f t="shared" si="151"/>
        <v>0</v>
      </c>
      <c r="BH130" s="18">
        <f t="shared" si="152"/>
        <v>0</v>
      </c>
      <c r="BI130" s="18">
        <f t="shared" si="153"/>
        <v>0</v>
      </c>
      <c r="BJ130" s="18">
        <f t="shared" si="154"/>
        <v>0</v>
      </c>
      <c r="BK130" s="18">
        <f t="shared" si="155"/>
        <v>0</v>
      </c>
      <c r="BL130" s="18">
        <f t="shared" si="156"/>
        <v>0</v>
      </c>
      <c r="BM130" s="18">
        <f t="shared" si="157"/>
        <v>0</v>
      </c>
      <c r="BN130" s="18">
        <f t="shared" si="158"/>
        <v>0</v>
      </c>
      <c r="BO130" s="18">
        <f t="shared" si="159"/>
        <v>0</v>
      </c>
      <c r="BP130" s="18">
        <f t="shared" si="160"/>
        <v>0</v>
      </c>
      <c r="BQ130" s="18">
        <f t="shared" si="161"/>
        <v>0</v>
      </c>
      <c r="BR130" s="18">
        <f t="shared" si="162"/>
        <v>0</v>
      </c>
      <c r="BS130" s="18">
        <f t="shared" si="163"/>
        <v>0</v>
      </c>
      <c r="BT130" s="18">
        <f t="shared" si="164"/>
        <v>0</v>
      </c>
      <c r="BU130" s="18">
        <f t="shared" si="165"/>
        <v>0</v>
      </c>
      <c r="BV130" s="18">
        <f t="shared" si="166"/>
        <v>0</v>
      </c>
      <c r="BW130" s="18">
        <f t="shared" si="167"/>
        <v>0</v>
      </c>
      <c r="BX130" s="18">
        <f t="shared" si="168"/>
        <v>0</v>
      </c>
      <c r="BY130" s="18">
        <f t="shared" si="169"/>
        <v>0</v>
      </c>
      <c r="BZ130" s="18">
        <f t="shared" si="170"/>
        <v>0</v>
      </c>
      <c r="CA130" s="18">
        <f t="shared" si="171"/>
        <v>0</v>
      </c>
      <c r="CB130" s="18">
        <f t="shared" si="172"/>
        <v>0</v>
      </c>
      <c r="CC130" s="18">
        <f t="shared" si="173"/>
        <v>0</v>
      </c>
      <c r="CD130" s="18">
        <f t="shared" si="174"/>
        <v>0</v>
      </c>
      <c r="CE130" s="18">
        <f t="shared" si="175"/>
        <v>0</v>
      </c>
      <c r="CF130" s="18">
        <f t="shared" si="176"/>
        <v>0</v>
      </c>
      <c r="CG130" s="18">
        <f t="shared" si="177"/>
        <v>0</v>
      </c>
      <c r="CH130" s="18">
        <f t="shared" si="178"/>
        <v>0</v>
      </c>
      <c r="CI130" s="18">
        <f t="shared" si="179"/>
        <v>0</v>
      </c>
      <c r="CJ130" s="18">
        <f t="shared" si="180"/>
        <v>0</v>
      </c>
    </row>
    <row r="131" spans="1:88" x14ac:dyDescent="0.3">
      <c r="A131" s="1">
        <v>44021</v>
      </c>
      <c r="B131">
        <v>36737.69</v>
      </c>
      <c r="C131">
        <f>Table1[[#This Row],[Close]]-0.001*Table1[[#This Row],[Close]]</f>
        <v>36700.952310000001</v>
      </c>
      <c r="D131">
        <f>Table1[[#This Row],[Close]]+0.001*Table1[[#This Row],[Close]]</f>
        <v>36774.427690000004</v>
      </c>
      <c r="E131" t="str">
        <f>IF(Table1[[#This Row],[Close]]&gt;D130,"UP",IF(Table1[[#This Row],[Close]]&lt;C130,"Down","Constant"))</f>
        <v>UP</v>
      </c>
      <c r="F131" s="3">
        <f>IF(Table1[[#This Row],[Column1]]="Up",1,IF(Table1[[#This Row],[Column1]]="Down",-1,0))</f>
        <v>1</v>
      </c>
      <c r="G131">
        <f t="shared" si="99"/>
        <v>0</v>
      </c>
      <c r="H131" s="18">
        <f t="shared" si="100"/>
        <v>0</v>
      </c>
      <c r="I131" s="18">
        <f t="shared" si="101"/>
        <v>0</v>
      </c>
      <c r="J131" s="18">
        <f t="shared" si="102"/>
        <v>0</v>
      </c>
      <c r="K131" s="18">
        <f t="shared" si="103"/>
        <v>0</v>
      </c>
      <c r="L131" s="18">
        <f t="shared" si="104"/>
        <v>0</v>
      </c>
      <c r="M131" s="18">
        <f t="shared" si="105"/>
        <v>0</v>
      </c>
      <c r="N131" s="18">
        <f t="shared" si="106"/>
        <v>0</v>
      </c>
      <c r="O131" s="18">
        <f t="shared" si="107"/>
        <v>0</v>
      </c>
      <c r="P131" s="18">
        <f t="shared" si="108"/>
        <v>0</v>
      </c>
      <c r="Q131" s="18">
        <f t="shared" si="109"/>
        <v>0</v>
      </c>
      <c r="R131" s="18">
        <f t="shared" si="110"/>
        <v>0</v>
      </c>
      <c r="S131" s="18">
        <f t="shared" si="111"/>
        <v>1</v>
      </c>
      <c r="T131" s="18">
        <f t="shared" si="112"/>
        <v>0</v>
      </c>
      <c r="U131" s="18">
        <f t="shared" si="113"/>
        <v>0</v>
      </c>
      <c r="V131" s="18">
        <f t="shared" si="114"/>
        <v>0</v>
      </c>
      <c r="W131" s="18">
        <f t="shared" si="115"/>
        <v>0</v>
      </c>
      <c r="X131" s="18">
        <f t="shared" si="116"/>
        <v>0</v>
      </c>
      <c r="Y131" s="18">
        <f t="shared" si="117"/>
        <v>0</v>
      </c>
      <c r="Z131" s="18">
        <f t="shared" si="118"/>
        <v>0</v>
      </c>
      <c r="AA131" s="18">
        <f t="shared" si="119"/>
        <v>0</v>
      </c>
      <c r="AB131" s="18">
        <f t="shared" si="120"/>
        <v>0</v>
      </c>
      <c r="AC131" s="18">
        <f t="shared" si="121"/>
        <v>0</v>
      </c>
      <c r="AD131" s="18">
        <f t="shared" si="122"/>
        <v>0</v>
      </c>
      <c r="AE131" s="18">
        <f t="shared" si="123"/>
        <v>0</v>
      </c>
      <c r="AF131" s="18">
        <f t="shared" si="124"/>
        <v>0</v>
      </c>
      <c r="AG131" s="18">
        <f t="shared" si="125"/>
        <v>0</v>
      </c>
      <c r="AH131" s="18">
        <f t="shared" si="126"/>
        <v>0</v>
      </c>
      <c r="AI131" s="18">
        <f t="shared" si="127"/>
        <v>0</v>
      </c>
      <c r="AJ131" s="18">
        <f t="shared" si="128"/>
        <v>0</v>
      </c>
      <c r="AK131" s="18">
        <f t="shared" si="129"/>
        <v>0</v>
      </c>
      <c r="AL131" s="18">
        <f t="shared" si="130"/>
        <v>0</v>
      </c>
      <c r="AM131" s="18">
        <f t="shared" si="131"/>
        <v>0</v>
      </c>
      <c r="AN131" s="18">
        <f t="shared" si="132"/>
        <v>0</v>
      </c>
      <c r="AO131" s="18">
        <f t="shared" si="133"/>
        <v>0</v>
      </c>
      <c r="AP131" s="18">
        <f t="shared" si="134"/>
        <v>0</v>
      </c>
      <c r="AQ131" s="18">
        <f t="shared" si="135"/>
        <v>0</v>
      </c>
      <c r="AR131" s="18">
        <f t="shared" si="136"/>
        <v>0</v>
      </c>
      <c r="AS131" s="18">
        <f t="shared" si="137"/>
        <v>0</v>
      </c>
      <c r="AT131" s="18">
        <f t="shared" si="138"/>
        <v>0</v>
      </c>
      <c r="AU131" s="18">
        <f t="shared" si="139"/>
        <v>0</v>
      </c>
      <c r="AV131" s="18">
        <f t="shared" si="140"/>
        <v>0</v>
      </c>
      <c r="AW131" s="18">
        <f t="shared" si="141"/>
        <v>0</v>
      </c>
      <c r="AX131" s="18">
        <f t="shared" si="142"/>
        <v>0</v>
      </c>
      <c r="AY131" s="18">
        <f t="shared" si="143"/>
        <v>0</v>
      </c>
      <c r="AZ131" s="18">
        <f t="shared" si="144"/>
        <v>0</v>
      </c>
      <c r="BA131" s="18">
        <f t="shared" si="145"/>
        <v>0</v>
      </c>
      <c r="BB131" s="18">
        <f t="shared" si="146"/>
        <v>0</v>
      </c>
      <c r="BC131" s="18">
        <f t="shared" si="147"/>
        <v>0</v>
      </c>
      <c r="BD131" s="18">
        <f t="shared" si="148"/>
        <v>0</v>
      </c>
      <c r="BE131" s="18">
        <f t="shared" si="149"/>
        <v>0</v>
      </c>
      <c r="BF131" s="18">
        <f t="shared" si="150"/>
        <v>0</v>
      </c>
      <c r="BG131" s="18">
        <f t="shared" si="151"/>
        <v>0</v>
      </c>
      <c r="BH131" s="18">
        <f t="shared" si="152"/>
        <v>0</v>
      </c>
      <c r="BI131" s="18">
        <f t="shared" si="153"/>
        <v>0</v>
      </c>
      <c r="BJ131" s="18">
        <f t="shared" si="154"/>
        <v>0</v>
      </c>
      <c r="BK131" s="18">
        <f t="shared" si="155"/>
        <v>0</v>
      </c>
      <c r="BL131" s="18">
        <f t="shared" si="156"/>
        <v>0</v>
      </c>
      <c r="BM131" s="18">
        <f t="shared" si="157"/>
        <v>0</v>
      </c>
      <c r="BN131" s="18">
        <f t="shared" si="158"/>
        <v>0</v>
      </c>
      <c r="BO131" s="18">
        <f t="shared" si="159"/>
        <v>0</v>
      </c>
      <c r="BP131" s="18">
        <f t="shared" si="160"/>
        <v>0</v>
      </c>
      <c r="BQ131" s="18">
        <f t="shared" si="161"/>
        <v>0</v>
      </c>
      <c r="BR131" s="18">
        <f t="shared" si="162"/>
        <v>0</v>
      </c>
      <c r="BS131" s="18">
        <f t="shared" si="163"/>
        <v>0</v>
      </c>
      <c r="BT131" s="18">
        <f t="shared" si="164"/>
        <v>0</v>
      </c>
      <c r="BU131" s="18">
        <f t="shared" si="165"/>
        <v>0</v>
      </c>
      <c r="BV131" s="18">
        <f t="shared" si="166"/>
        <v>0</v>
      </c>
      <c r="BW131" s="18">
        <f t="shared" si="167"/>
        <v>0</v>
      </c>
      <c r="BX131" s="18">
        <f t="shared" si="168"/>
        <v>0</v>
      </c>
      <c r="BY131" s="18">
        <f t="shared" si="169"/>
        <v>0</v>
      </c>
      <c r="BZ131" s="18">
        <f t="shared" si="170"/>
        <v>0</v>
      </c>
      <c r="CA131" s="18">
        <f t="shared" si="171"/>
        <v>0</v>
      </c>
      <c r="CB131" s="18">
        <f t="shared" si="172"/>
        <v>0</v>
      </c>
      <c r="CC131" s="18">
        <f t="shared" si="173"/>
        <v>0</v>
      </c>
      <c r="CD131" s="18">
        <f t="shared" si="174"/>
        <v>0</v>
      </c>
      <c r="CE131" s="18">
        <f t="shared" si="175"/>
        <v>0</v>
      </c>
      <c r="CF131" s="18">
        <f t="shared" si="176"/>
        <v>0</v>
      </c>
      <c r="CG131" s="18">
        <f t="shared" si="177"/>
        <v>0</v>
      </c>
      <c r="CH131" s="18">
        <f t="shared" si="178"/>
        <v>0</v>
      </c>
      <c r="CI131" s="18">
        <f t="shared" si="179"/>
        <v>0</v>
      </c>
      <c r="CJ131" s="18">
        <f t="shared" si="180"/>
        <v>0</v>
      </c>
    </row>
    <row r="132" spans="1:88" x14ac:dyDescent="0.3">
      <c r="A132" s="1">
        <v>44022</v>
      </c>
      <c r="B132">
        <v>36594.33</v>
      </c>
      <c r="C132">
        <f>Table1[[#This Row],[Close]]-0.001*Table1[[#This Row],[Close]]</f>
        <v>36557.735670000002</v>
      </c>
      <c r="D132">
        <f>Table1[[#This Row],[Close]]+0.001*Table1[[#This Row],[Close]]</f>
        <v>36630.924330000002</v>
      </c>
      <c r="E132" t="str">
        <f>IF(Table1[[#This Row],[Close]]&gt;D131,"UP",IF(Table1[[#This Row],[Close]]&lt;C131,"Down","Constant"))</f>
        <v>Down</v>
      </c>
      <c r="F132" s="3">
        <f>IF(Table1[[#This Row],[Column1]]="Up",1,IF(Table1[[#This Row],[Column1]]="Down",-1,0))</f>
        <v>-1</v>
      </c>
      <c r="G132">
        <f t="shared" si="99"/>
        <v>0</v>
      </c>
      <c r="H132" s="18">
        <f t="shared" si="100"/>
        <v>0</v>
      </c>
      <c r="I132" s="18">
        <f t="shared" si="101"/>
        <v>0</v>
      </c>
      <c r="J132" s="18">
        <f t="shared" si="102"/>
        <v>0</v>
      </c>
      <c r="K132" s="18">
        <f t="shared" si="103"/>
        <v>0</v>
      </c>
      <c r="L132" s="18">
        <f t="shared" si="104"/>
        <v>0</v>
      </c>
      <c r="M132" s="18">
        <f t="shared" si="105"/>
        <v>0</v>
      </c>
      <c r="N132" s="18">
        <f t="shared" si="106"/>
        <v>1</v>
      </c>
      <c r="O132" s="18">
        <f t="shared" si="107"/>
        <v>0</v>
      </c>
      <c r="P132" s="18">
        <f t="shared" si="108"/>
        <v>0</v>
      </c>
      <c r="Q132" s="18">
        <f t="shared" si="109"/>
        <v>0</v>
      </c>
      <c r="R132" s="18">
        <f t="shared" si="110"/>
        <v>0</v>
      </c>
      <c r="S132" s="18">
        <f t="shared" si="111"/>
        <v>0</v>
      </c>
      <c r="T132" s="18">
        <f t="shared" si="112"/>
        <v>0</v>
      </c>
      <c r="U132" s="18">
        <f t="shared" si="113"/>
        <v>0</v>
      </c>
      <c r="V132" s="18">
        <f t="shared" si="114"/>
        <v>0</v>
      </c>
      <c r="W132" s="18">
        <f t="shared" si="115"/>
        <v>0</v>
      </c>
      <c r="X132" s="18">
        <f t="shared" si="116"/>
        <v>0</v>
      </c>
      <c r="Y132" s="18">
        <f t="shared" si="117"/>
        <v>0</v>
      </c>
      <c r="Z132" s="18">
        <f t="shared" si="118"/>
        <v>0</v>
      </c>
      <c r="AA132" s="18">
        <f t="shared" si="119"/>
        <v>0</v>
      </c>
      <c r="AB132" s="18">
        <f t="shared" si="120"/>
        <v>0</v>
      </c>
      <c r="AC132" s="18">
        <f t="shared" si="121"/>
        <v>0</v>
      </c>
      <c r="AD132" s="18">
        <f t="shared" si="122"/>
        <v>0</v>
      </c>
      <c r="AE132" s="18">
        <f t="shared" si="123"/>
        <v>0</v>
      </c>
      <c r="AF132" s="18">
        <f t="shared" si="124"/>
        <v>0</v>
      </c>
      <c r="AG132" s="18">
        <f t="shared" si="125"/>
        <v>0</v>
      </c>
      <c r="AH132" s="18">
        <f t="shared" si="126"/>
        <v>0</v>
      </c>
      <c r="AI132" s="18">
        <f t="shared" si="127"/>
        <v>0</v>
      </c>
      <c r="AJ132" s="18">
        <f t="shared" si="128"/>
        <v>0</v>
      </c>
      <c r="AK132" s="18">
        <f t="shared" si="129"/>
        <v>0</v>
      </c>
      <c r="AL132" s="18">
        <f t="shared" si="130"/>
        <v>0</v>
      </c>
      <c r="AM132" s="18">
        <f t="shared" si="131"/>
        <v>0</v>
      </c>
      <c r="AN132" s="18">
        <f t="shared" si="132"/>
        <v>0</v>
      </c>
      <c r="AO132" s="18">
        <f t="shared" si="133"/>
        <v>0</v>
      </c>
      <c r="AP132" s="18">
        <f t="shared" si="134"/>
        <v>0</v>
      </c>
      <c r="AQ132" s="18">
        <f t="shared" si="135"/>
        <v>0</v>
      </c>
      <c r="AR132" s="18">
        <f t="shared" si="136"/>
        <v>0</v>
      </c>
      <c r="AS132" s="18">
        <f t="shared" si="137"/>
        <v>0</v>
      </c>
      <c r="AT132" s="18">
        <f t="shared" si="138"/>
        <v>0</v>
      </c>
      <c r="AU132" s="18">
        <f t="shared" si="139"/>
        <v>0</v>
      </c>
      <c r="AV132" s="18">
        <f t="shared" si="140"/>
        <v>0</v>
      </c>
      <c r="AW132" s="18">
        <f t="shared" si="141"/>
        <v>0</v>
      </c>
      <c r="AX132" s="18">
        <f t="shared" si="142"/>
        <v>0</v>
      </c>
      <c r="AY132" s="18">
        <f t="shared" si="143"/>
        <v>0</v>
      </c>
      <c r="AZ132" s="18">
        <f t="shared" si="144"/>
        <v>0</v>
      </c>
      <c r="BA132" s="18">
        <f t="shared" si="145"/>
        <v>0</v>
      </c>
      <c r="BB132" s="18">
        <f t="shared" si="146"/>
        <v>0</v>
      </c>
      <c r="BC132" s="18">
        <f t="shared" si="147"/>
        <v>0</v>
      </c>
      <c r="BD132" s="18">
        <f t="shared" si="148"/>
        <v>0</v>
      </c>
      <c r="BE132" s="18">
        <f t="shared" si="149"/>
        <v>0</v>
      </c>
      <c r="BF132" s="18">
        <f t="shared" si="150"/>
        <v>0</v>
      </c>
      <c r="BG132" s="18">
        <f t="shared" si="151"/>
        <v>0</v>
      </c>
      <c r="BH132" s="18">
        <f t="shared" si="152"/>
        <v>0</v>
      </c>
      <c r="BI132" s="18">
        <f t="shared" si="153"/>
        <v>0</v>
      </c>
      <c r="BJ132" s="18">
        <f t="shared" si="154"/>
        <v>0</v>
      </c>
      <c r="BK132" s="18">
        <f t="shared" si="155"/>
        <v>0</v>
      </c>
      <c r="BL132" s="18">
        <f t="shared" si="156"/>
        <v>0</v>
      </c>
      <c r="BM132" s="18">
        <f t="shared" si="157"/>
        <v>0</v>
      </c>
      <c r="BN132" s="18">
        <f t="shared" si="158"/>
        <v>0</v>
      </c>
      <c r="BO132" s="18">
        <f t="shared" si="159"/>
        <v>0</v>
      </c>
      <c r="BP132" s="18">
        <f t="shared" si="160"/>
        <v>0</v>
      </c>
      <c r="BQ132" s="18">
        <f t="shared" si="161"/>
        <v>0</v>
      </c>
      <c r="BR132" s="18">
        <f t="shared" si="162"/>
        <v>0</v>
      </c>
      <c r="BS132" s="18">
        <f t="shared" si="163"/>
        <v>0</v>
      </c>
      <c r="BT132" s="18">
        <f t="shared" si="164"/>
        <v>0</v>
      </c>
      <c r="BU132" s="18">
        <f t="shared" si="165"/>
        <v>0</v>
      </c>
      <c r="BV132" s="18">
        <f t="shared" si="166"/>
        <v>0</v>
      </c>
      <c r="BW132" s="18">
        <f t="shared" si="167"/>
        <v>0</v>
      </c>
      <c r="BX132" s="18">
        <f t="shared" si="168"/>
        <v>0</v>
      </c>
      <c r="BY132" s="18">
        <f t="shared" si="169"/>
        <v>0</v>
      </c>
      <c r="BZ132" s="18">
        <f t="shared" si="170"/>
        <v>0</v>
      </c>
      <c r="CA132" s="18">
        <f t="shared" si="171"/>
        <v>0</v>
      </c>
      <c r="CB132" s="18">
        <f t="shared" si="172"/>
        <v>0</v>
      </c>
      <c r="CC132" s="18">
        <f t="shared" si="173"/>
        <v>0</v>
      </c>
      <c r="CD132" s="18">
        <f t="shared" si="174"/>
        <v>0</v>
      </c>
      <c r="CE132" s="18">
        <f t="shared" si="175"/>
        <v>0</v>
      </c>
      <c r="CF132" s="18">
        <f t="shared" si="176"/>
        <v>0</v>
      </c>
      <c r="CG132" s="18">
        <f t="shared" si="177"/>
        <v>0</v>
      </c>
      <c r="CH132" s="18">
        <f t="shared" si="178"/>
        <v>0</v>
      </c>
      <c r="CI132" s="18">
        <f t="shared" si="179"/>
        <v>0</v>
      </c>
      <c r="CJ132" s="18">
        <f t="shared" si="180"/>
        <v>0</v>
      </c>
    </row>
    <row r="133" spans="1:88" x14ac:dyDescent="0.3">
      <c r="A133" s="1">
        <v>44025</v>
      </c>
      <c r="B133">
        <v>36693.69</v>
      </c>
      <c r="C133">
        <f>Table1[[#This Row],[Close]]-0.001*Table1[[#This Row],[Close]]</f>
        <v>36656.996310000002</v>
      </c>
      <c r="D133">
        <f>Table1[[#This Row],[Close]]+0.001*Table1[[#This Row],[Close]]</f>
        <v>36730.383690000002</v>
      </c>
      <c r="E133" t="str">
        <f>IF(Table1[[#This Row],[Close]]&gt;D132,"UP",IF(Table1[[#This Row],[Close]]&lt;C132,"Down","Constant"))</f>
        <v>UP</v>
      </c>
      <c r="F133" s="3">
        <f>IF(Table1[[#This Row],[Column1]]="Up",1,IF(Table1[[#This Row],[Column1]]="Down",-1,0))</f>
        <v>1</v>
      </c>
      <c r="G133">
        <f t="shared" si="99"/>
        <v>0</v>
      </c>
      <c r="H133" s="18">
        <f t="shared" si="100"/>
        <v>0</v>
      </c>
      <c r="I133" s="18">
        <f t="shared" si="101"/>
        <v>0</v>
      </c>
      <c r="J133" s="18">
        <f t="shared" si="102"/>
        <v>0</v>
      </c>
      <c r="K133" s="18">
        <f t="shared" si="103"/>
        <v>0</v>
      </c>
      <c r="L133" s="18">
        <f t="shared" si="104"/>
        <v>0</v>
      </c>
      <c r="M133" s="18">
        <f t="shared" si="105"/>
        <v>0</v>
      </c>
      <c r="N133" s="18">
        <f t="shared" si="106"/>
        <v>0</v>
      </c>
      <c r="O133" s="18">
        <f t="shared" si="107"/>
        <v>0</v>
      </c>
      <c r="P133" s="18">
        <f t="shared" si="108"/>
        <v>0</v>
      </c>
      <c r="Q133" s="18">
        <f t="shared" si="109"/>
        <v>0</v>
      </c>
      <c r="R133" s="18">
        <f t="shared" si="110"/>
        <v>0</v>
      </c>
      <c r="S133" s="18">
        <f t="shared" si="111"/>
        <v>0</v>
      </c>
      <c r="T133" s="18">
        <f t="shared" si="112"/>
        <v>0</v>
      </c>
      <c r="U133" s="18">
        <f t="shared" si="113"/>
        <v>0</v>
      </c>
      <c r="V133" s="18">
        <f t="shared" si="114"/>
        <v>0</v>
      </c>
      <c r="W133" s="18">
        <f t="shared" si="115"/>
        <v>0</v>
      </c>
      <c r="X133" s="18">
        <f t="shared" si="116"/>
        <v>0</v>
      </c>
      <c r="Y133" s="18">
        <f t="shared" si="117"/>
        <v>0</v>
      </c>
      <c r="Z133" s="18">
        <f t="shared" si="118"/>
        <v>0</v>
      </c>
      <c r="AA133" s="18">
        <f t="shared" si="119"/>
        <v>0</v>
      </c>
      <c r="AB133" s="18">
        <f t="shared" si="120"/>
        <v>0</v>
      </c>
      <c r="AC133" s="18">
        <f t="shared" si="121"/>
        <v>0</v>
      </c>
      <c r="AD133" s="18">
        <f t="shared" si="122"/>
        <v>0</v>
      </c>
      <c r="AE133" s="18">
        <f t="shared" si="123"/>
        <v>1</v>
      </c>
      <c r="AF133" s="18">
        <f t="shared" si="124"/>
        <v>0</v>
      </c>
      <c r="AG133" s="18">
        <f t="shared" si="125"/>
        <v>0</v>
      </c>
      <c r="AH133" s="18">
        <f t="shared" si="126"/>
        <v>0</v>
      </c>
      <c r="AI133" s="18">
        <f t="shared" si="127"/>
        <v>0</v>
      </c>
      <c r="AJ133" s="18">
        <f t="shared" si="128"/>
        <v>0</v>
      </c>
      <c r="AK133" s="18">
        <f t="shared" si="129"/>
        <v>0</v>
      </c>
      <c r="AL133" s="18">
        <f t="shared" si="130"/>
        <v>0</v>
      </c>
      <c r="AM133" s="18">
        <f t="shared" si="131"/>
        <v>0</v>
      </c>
      <c r="AN133" s="18">
        <f t="shared" si="132"/>
        <v>0</v>
      </c>
      <c r="AO133" s="18">
        <f t="shared" si="133"/>
        <v>0</v>
      </c>
      <c r="AP133" s="18">
        <f t="shared" si="134"/>
        <v>0</v>
      </c>
      <c r="AQ133" s="18">
        <f t="shared" si="135"/>
        <v>0</v>
      </c>
      <c r="AR133" s="18">
        <f t="shared" si="136"/>
        <v>0</v>
      </c>
      <c r="AS133" s="18">
        <f t="shared" si="137"/>
        <v>0</v>
      </c>
      <c r="AT133" s="18">
        <f t="shared" si="138"/>
        <v>0</v>
      </c>
      <c r="AU133" s="18">
        <f t="shared" si="139"/>
        <v>0</v>
      </c>
      <c r="AV133" s="18">
        <f t="shared" si="140"/>
        <v>0</v>
      </c>
      <c r="AW133" s="18">
        <f t="shared" si="141"/>
        <v>0</v>
      </c>
      <c r="AX133" s="18">
        <f t="shared" si="142"/>
        <v>0</v>
      </c>
      <c r="AY133" s="18">
        <f t="shared" si="143"/>
        <v>0</v>
      </c>
      <c r="AZ133" s="18">
        <f t="shared" si="144"/>
        <v>0</v>
      </c>
      <c r="BA133" s="18">
        <f t="shared" si="145"/>
        <v>0</v>
      </c>
      <c r="BB133" s="18">
        <f t="shared" si="146"/>
        <v>0</v>
      </c>
      <c r="BC133" s="18">
        <f t="shared" si="147"/>
        <v>0</v>
      </c>
      <c r="BD133" s="18">
        <f t="shared" si="148"/>
        <v>0</v>
      </c>
      <c r="BE133" s="18">
        <f t="shared" si="149"/>
        <v>0</v>
      </c>
      <c r="BF133" s="18">
        <f t="shared" si="150"/>
        <v>0</v>
      </c>
      <c r="BG133" s="18">
        <f t="shared" si="151"/>
        <v>0</v>
      </c>
      <c r="BH133" s="18">
        <f t="shared" si="152"/>
        <v>0</v>
      </c>
      <c r="BI133" s="18">
        <f t="shared" si="153"/>
        <v>0</v>
      </c>
      <c r="BJ133" s="18">
        <f t="shared" si="154"/>
        <v>0</v>
      </c>
      <c r="BK133" s="18">
        <f t="shared" si="155"/>
        <v>0</v>
      </c>
      <c r="BL133" s="18">
        <f t="shared" si="156"/>
        <v>0</v>
      </c>
      <c r="BM133" s="18">
        <f t="shared" si="157"/>
        <v>0</v>
      </c>
      <c r="BN133" s="18">
        <f t="shared" si="158"/>
        <v>0</v>
      </c>
      <c r="BO133" s="18">
        <f t="shared" si="159"/>
        <v>0</v>
      </c>
      <c r="BP133" s="18">
        <f t="shared" si="160"/>
        <v>0</v>
      </c>
      <c r="BQ133" s="18">
        <f t="shared" si="161"/>
        <v>0</v>
      </c>
      <c r="BR133" s="18">
        <f t="shared" si="162"/>
        <v>0</v>
      </c>
      <c r="BS133" s="18">
        <f t="shared" si="163"/>
        <v>0</v>
      </c>
      <c r="BT133" s="18">
        <f t="shared" si="164"/>
        <v>0</v>
      </c>
      <c r="BU133" s="18">
        <f t="shared" si="165"/>
        <v>0</v>
      </c>
      <c r="BV133" s="18">
        <f t="shared" si="166"/>
        <v>0</v>
      </c>
      <c r="BW133" s="18">
        <f t="shared" si="167"/>
        <v>0</v>
      </c>
      <c r="BX133" s="18">
        <f t="shared" si="168"/>
        <v>0</v>
      </c>
      <c r="BY133" s="18">
        <f t="shared" si="169"/>
        <v>0</v>
      </c>
      <c r="BZ133" s="18">
        <f t="shared" si="170"/>
        <v>0</v>
      </c>
      <c r="CA133" s="18">
        <f t="shared" si="171"/>
        <v>0</v>
      </c>
      <c r="CB133" s="18">
        <f t="shared" si="172"/>
        <v>0</v>
      </c>
      <c r="CC133" s="18">
        <f t="shared" si="173"/>
        <v>0</v>
      </c>
      <c r="CD133" s="18">
        <f t="shared" si="174"/>
        <v>0</v>
      </c>
      <c r="CE133" s="18">
        <f t="shared" si="175"/>
        <v>0</v>
      </c>
      <c r="CF133" s="18">
        <f t="shared" si="176"/>
        <v>0</v>
      </c>
      <c r="CG133" s="18">
        <f t="shared" si="177"/>
        <v>0</v>
      </c>
      <c r="CH133" s="18">
        <f t="shared" si="178"/>
        <v>0</v>
      </c>
      <c r="CI133" s="18">
        <f t="shared" si="179"/>
        <v>0</v>
      </c>
      <c r="CJ133" s="18">
        <f t="shared" si="180"/>
        <v>0</v>
      </c>
    </row>
    <row r="134" spans="1:88" x14ac:dyDescent="0.3">
      <c r="A134" s="1">
        <v>44026</v>
      </c>
      <c r="B134">
        <v>36033.06</v>
      </c>
      <c r="C134">
        <f>Table1[[#This Row],[Close]]-0.001*Table1[[#This Row],[Close]]</f>
        <v>35997.026939999996</v>
      </c>
      <c r="D134">
        <f>Table1[[#This Row],[Close]]+0.001*Table1[[#This Row],[Close]]</f>
        <v>36069.093059999999</v>
      </c>
      <c r="E134" t="str">
        <f>IF(Table1[[#This Row],[Close]]&gt;D133,"UP",IF(Table1[[#This Row],[Close]]&lt;C133,"Down","Constant"))</f>
        <v>Down</v>
      </c>
      <c r="F134" s="3">
        <f>IF(Table1[[#This Row],[Column1]]="Up",1,IF(Table1[[#This Row],[Column1]]="Down",-1,0))</f>
        <v>-1</v>
      </c>
      <c r="G134">
        <f t="shared" ref="G134:G197" si="181">IF(AND(F134=-1,F133=1,F132=-1,F131=0),1,0)</f>
        <v>0</v>
      </c>
      <c r="H134" s="18">
        <f t="shared" ref="H134:H197" si="182">IF(AND(F134=-1,F133=1,F132=1,F131=1),1,0)</f>
        <v>0</v>
      </c>
      <c r="I134" s="18">
        <f t="shared" ref="I134:I197" si="183">IF(AND(F134=0,F133=1,F132=1,F131=1),1,0)</f>
        <v>0</v>
      </c>
      <c r="J134" s="18">
        <f t="shared" ref="J134:J197" si="184">IF(AND(F134=1,F133=1,F132=1,F131=1),1,0)</f>
        <v>0</v>
      </c>
      <c r="K134" s="18">
        <f t="shared" ref="K134:K197" si="185">IF(AND(F134=-1,F133=1,F132=1,F131=-1),1,0)</f>
        <v>0</v>
      </c>
      <c r="L134" s="18">
        <f t="shared" ref="L134:L197" si="186">IF(AND(F134=0,F133=1,F132=1,F131=-1),1,0)</f>
        <v>0</v>
      </c>
      <c r="M134" s="18">
        <f t="shared" ref="M134:M197" si="187">IF(AND(F134=1,F133=1,F132=1,F131=-1),1,0)</f>
        <v>0</v>
      </c>
      <c r="N134" s="18">
        <f t="shared" ref="N134:N197" si="188">IF(AND(F134=-1,F133=1,F132=-1,F131=1),1,0)</f>
        <v>1</v>
      </c>
      <c r="O134" s="18">
        <f t="shared" ref="O134:O197" si="189">IF(AND(F134=0,F133=1,F132=-1,F131=1),1,0)</f>
        <v>0</v>
      </c>
      <c r="P134" s="18">
        <f t="shared" ref="P134:P197" si="190">IF(AND(F134=1,F133=1,F132=-1,F131=1),1,0)</f>
        <v>0</v>
      </c>
      <c r="Q134" s="18">
        <f t="shared" ref="Q134:Q197" si="191">IF(AND(F134=-1,F133=-1,F132=1,F131=1),1,0)</f>
        <v>0</v>
      </c>
      <c r="R134" s="18">
        <f t="shared" ref="R134:R197" si="192">IF(AND(F134=0,F133=-1,F132=1,F131=1),1,0)</f>
        <v>0</v>
      </c>
      <c r="S134" s="18">
        <f t="shared" ref="S134:S197" si="193">IF(AND(F134=1,F133=-1,F132=1,F131=1),1,0)</f>
        <v>0</v>
      </c>
      <c r="T134" s="18">
        <f t="shared" ref="T134:T197" si="194">IF(AND(F134=-1,F133=1,F132=-1,F131=-1),1,0)</f>
        <v>0</v>
      </c>
      <c r="U134" s="18">
        <f t="shared" ref="U134:U197" si="195">IF(AND(F134=0,F133=1,F132=-1,F131=-1),1,0)</f>
        <v>0</v>
      </c>
      <c r="V134" s="18">
        <f t="shared" ref="V134:V197" si="196">IF(AND(F134=1,F133=1,F132=-1,F131=-1),1,0)</f>
        <v>0</v>
      </c>
      <c r="W134" s="18">
        <f t="shared" ref="W134:W197" si="197">IF(AND(F134=-1,F133=-1,F132=-1,F131=1),1,0)</f>
        <v>0</v>
      </c>
      <c r="X134" s="18">
        <f t="shared" ref="X134:X197" si="198">IF(AND(F134=0,F133=-1,F132=-1,F131=1),1,0)</f>
        <v>0</v>
      </c>
      <c r="Y134" s="18">
        <f t="shared" ref="Y134:Y197" si="199">IF(AND(F134=1,F133=-1,F132=-1,F131=1),1,0)</f>
        <v>0</v>
      </c>
      <c r="Z134" s="18">
        <f t="shared" ref="Z134:Z197" si="200">IF(AND(F134=-1,F133=-1,F132=-1,F131=-1),1,0)</f>
        <v>0</v>
      </c>
      <c r="AA134" s="18">
        <f t="shared" ref="AA134:AA197" si="201">IF(AND(F134=0,F133=-1,F132=-1,F131=-1),1,0)</f>
        <v>0</v>
      </c>
      <c r="AB134" s="18">
        <f t="shared" ref="AB134:AB197" si="202">IF(AND(F134=1,F133=-1,F132=-1,F131=-1),1,0)</f>
        <v>0</v>
      </c>
      <c r="AC134" s="18">
        <f t="shared" ref="AC134:AC197" si="203">IF(AND(F134=-1,F133=-1,F132=1,F131=-1),1,0)</f>
        <v>0</v>
      </c>
      <c r="AD134" s="18">
        <f t="shared" ref="AD134:AD197" si="204">IF(AND(F134=0,F133=-1,F132=1,F131=-1),1,0)</f>
        <v>0</v>
      </c>
      <c r="AE134" s="18">
        <f t="shared" ref="AE134:AE197" si="205">IF(AND(F134=1,F133=-1,F132=1,F131=-1),1,0)</f>
        <v>0</v>
      </c>
      <c r="AF134" s="18">
        <f t="shared" ref="AF134:AF197" si="206">IF(AND(F134=-1,F133=1,F132=1,F131=0),1,0)</f>
        <v>0</v>
      </c>
      <c r="AG134" s="18">
        <f t="shared" ref="AG134:AG197" si="207">IF(AND(F134=0,F133=1,F132=1,F131=0),1,0)</f>
        <v>0</v>
      </c>
      <c r="AH134" s="18">
        <f t="shared" ref="AH134:AH197" si="208">IF(AND(F134=1,F133=1,F132=1,F131=0),1,0)</f>
        <v>0</v>
      </c>
      <c r="AI134" s="18">
        <f t="shared" ref="AI134:AI197" si="209">IF(AND(F134=-1,F133=1,F132=0,F131=1),1,0)</f>
        <v>0</v>
      </c>
      <c r="AJ134" s="18">
        <f t="shared" ref="AJ134:AJ197" si="210">IF(AND(F134=0,F133=1,F132=0,F131=1),1,0)</f>
        <v>0</v>
      </c>
      <c r="AK134" s="18">
        <f t="shared" ref="AK134:AK197" si="211">IF(AND(F134=1,F133=1,F132=0,F131=1),1,0)</f>
        <v>0</v>
      </c>
      <c r="AL134" s="18">
        <f t="shared" ref="AL134:AL197" si="212">IF(AND(F134=-1,F133=0,F132=1,F131=1),1,0)</f>
        <v>0</v>
      </c>
      <c r="AM134" s="18">
        <f t="shared" ref="AM134:AM197" si="213">IF(AND(F134=0,F133=0,F132=1,F131=1),1,0)</f>
        <v>0</v>
      </c>
      <c r="AN134" s="18">
        <f t="shared" ref="AN134:AN197" si="214">IF(AND(F134=1,F133=0,F132=1,F131=1),1,0)</f>
        <v>0</v>
      </c>
      <c r="AO134" s="18">
        <f t="shared" ref="AO134:AO197" si="215">IF(AND(F134=-1,F133=0,F132=0,F131=1),1,0)</f>
        <v>0</v>
      </c>
      <c r="AP134" s="18">
        <f t="shared" ref="AP134:AP197" si="216">IF(AND(F134=0,F133=0,F132=0,F131=1),1,0)</f>
        <v>0</v>
      </c>
      <c r="AQ134" s="18">
        <f t="shared" ref="AQ134:AQ197" si="217">IF(AND(F134=1,F133=0,F132=0,F131=1),1,0)</f>
        <v>0</v>
      </c>
      <c r="AR134" s="18">
        <f t="shared" ref="AR134:AR197" si="218">IF(AND(F134=-1,F133=0,F132=1,F131=0),1,0)</f>
        <v>0</v>
      </c>
      <c r="AS134" s="18">
        <f t="shared" ref="AS134:AS197" si="219">IF(AND(F134=0,F133=0,F132=1,F131=0),1,0)</f>
        <v>0</v>
      </c>
      <c r="AT134" s="18">
        <f t="shared" ref="AT134:AT197" si="220">IF(AND(F134=1,F133=0,F132=1,F131=0),1,0)</f>
        <v>0</v>
      </c>
      <c r="AU134" s="18">
        <f t="shared" ref="AU134:AU197" si="221">IF(AND(F134=-1,F133=1,F132=0,F131=0),1,0)</f>
        <v>0</v>
      </c>
      <c r="AV134" s="18">
        <f t="shared" ref="AV134:AV197" si="222">IF(AND(F134=0,F133=1,F132=0,F131=0),1,0)</f>
        <v>0</v>
      </c>
      <c r="AW134" s="18">
        <f t="shared" ref="AW134:AW197" si="223">IF(AND(F134=1,F133=1,F132=0,F131=0),1,0)</f>
        <v>0</v>
      </c>
      <c r="AX134" s="18">
        <f t="shared" ref="AX134:AX197" si="224">IF(AND(F134=-1,F133=-1,F132=-1,F131=0),1,0)</f>
        <v>0</v>
      </c>
      <c r="AY134" s="18">
        <f t="shared" ref="AY134:AY197" si="225">IF(AND(F134=0,F133=-1,F132=-1,F131=0),1,0)</f>
        <v>0</v>
      </c>
      <c r="AZ134" s="18">
        <f t="shared" ref="AZ134:AZ197" si="226">IF(AND(F134=1,F133=-1,F132=-1,F131=0),1,0)</f>
        <v>0</v>
      </c>
      <c r="BA134" s="18">
        <f t="shared" ref="BA134:BA197" si="227">IF(AND(F134=-1,F133=-1,F132=0,F131=-1),1,0)</f>
        <v>0</v>
      </c>
      <c r="BB134" s="18">
        <f t="shared" ref="BB134:BB197" si="228">IF(AND(F134=0,F133=-1,F132=0,F131=-1),1,0)</f>
        <v>0</v>
      </c>
      <c r="BC134" s="18">
        <f t="shared" ref="BC134:BC197" si="229">IF(AND(F134=1,F133=-1,F132=0,F131=-1),1,0)</f>
        <v>0</v>
      </c>
      <c r="BD134" s="18">
        <f t="shared" ref="BD134:BD197" si="230">IF(AND(F134=-1,F133=0,F132=-1,F131=-1),1,0)</f>
        <v>0</v>
      </c>
      <c r="BE134" s="18">
        <f t="shared" ref="BE134:BE197" si="231">IF(AND(F134=0,F133=0,F132=-1,F131=-1),1,0)</f>
        <v>0</v>
      </c>
      <c r="BF134" s="18">
        <f t="shared" ref="BF134:BF197" si="232">IF(AND(F134=1,F133=0,F132=-1,F131=-1),1,0)</f>
        <v>0</v>
      </c>
      <c r="BG134" s="18">
        <f t="shared" ref="BG134:BG197" si="233">IF(AND(F134=-1,F133=0,F132=1,F131=-1),1,0)</f>
        <v>0</v>
      </c>
      <c r="BH134" s="18">
        <f t="shared" ref="BH134:BH197" si="234">IF(AND(F134=0,F133=0,F132=1,F131=-1),1,0)</f>
        <v>0</v>
      </c>
      <c r="BI134" s="18">
        <f t="shared" ref="BI134:BI197" si="235">IF(AND(F134=1,F133=0,F132=1,F131=-1),1,0)</f>
        <v>0</v>
      </c>
      <c r="BJ134" s="18">
        <f t="shared" ref="BJ134:BJ197" si="236">IF(AND(F134=-1,F133=0,F132=-1,F131=1),1,0)</f>
        <v>0</v>
      </c>
      <c r="BK134" s="18">
        <f t="shared" ref="BK134:BK197" si="237">IF(AND(F134=0,F133=0,F132=-1,F131=1),1,0)</f>
        <v>0</v>
      </c>
      <c r="BL134" s="18">
        <f t="shared" ref="BL134:BL197" si="238">IF(AND(F134=1,F133=0,F132=-1,F131=1),1,0)</f>
        <v>0</v>
      </c>
      <c r="BM134" s="18">
        <f t="shared" ref="BM134:BM197" si="239">IF(AND(F134=-1,F133=1,F132=0,F131=-1),1,0)</f>
        <v>0</v>
      </c>
      <c r="BN134" s="18">
        <f t="shared" ref="BN134:BN197" si="240">IF(AND(F134=0,F133=1,F132=0,F131=-1),1,0)</f>
        <v>0</v>
      </c>
      <c r="BO134" s="18">
        <f t="shared" ref="BO134:BO197" si="241">IF(AND(F134=1,F133=1,F132=0,F131=-1),1,0)</f>
        <v>0</v>
      </c>
      <c r="BP134" s="18">
        <f t="shared" ref="BP134:BP197" si="242">IF(AND(F134=-1,F133=-1,F132=0,F131=1),1,0)</f>
        <v>0</v>
      </c>
      <c r="BQ134" s="18">
        <f t="shared" ref="BQ134:BQ197" si="243">IF(AND(F134=0,F133=-1,F132=0,F131=1),1,0)</f>
        <v>0</v>
      </c>
      <c r="BR134" s="18">
        <f t="shared" ref="BR134:BR197" si="244">IF(AND(F134=1,F133=-1,F132=0,F131=1),1,0)</f>
        <v>0</v>
      </c>
      <c r="BS134" s="18">
        <f t="shared" ref="BS134:BS197" si="245">IF(AND(F134=-1,F133=1,F132=-1,F131=0),1,0)</f>
        <v>0</v>
      </c>
      <c r="BT134" s="18">
        <f t="shared" ref="BT134:BT197" si="246">IF(AND(F134=0,F133=1,F132=-1,F131=0),1,0)</f>
        <v>0</v>
      </c>
      <c r="BU134" s="18">
        <f t="shared" ref="BU134:BU197" si="247">IF(AND(F134=1,F133=1,F132=-1,F131=0),1,0)</f>
        <v>0</v>
      </c>
      <c r="BV134" s="18">
        <f t="shared" ref="BV134:BV197" si="248">IF(AND(F134=-1,F133=-1,F132=1,F131=0),1,0)</f>
        <v>0</v>
      </c>
      <c r="BW134" s="18">
        <f t="shared" ref="BW134:BW197" si="249">IF(AND(F134=0,F133=-1,F132=1,F131=0),1,0)</f>
        <v>0</v>
      </c>
      <c r="BX134" s="18">
        <f t="shared" ref="BX134:BX197" si="250">IF(AND(F134=1,F133=-1,F132=1,F131=0),1,0)</f>
        <v>0</v>
      </c>
      <c r="BY134" s="18">
        <f t="shared" ref="BY134:BY197" si="251">IF(AND(F134=-1,F133=0,F132=0,F131=-1),1,0)</f>
        <v>0</v>
      </c>
      <c r="BZ134" s="18">
        <f t="shared" ref="BZ134:BZ197" si="252">IF(AND(F134=0,F133=0,F132=0,F131=-1),1,0)</f>
        <v>0</v>
      </c>
      <c r="CA134" s="18">
        <f t="shared" ref="CA134:CA197" si="253">IF(AND(F134=1,F133=0,F132=0,F131=-1),1,0)</f>
        <v>0</v>
      </c>
      <c r="CB134" s="18">
        <f t="shared" ref="CB134:CB197" si="254">IF(AND(F134=-1,F133=0,F132=-1,F131=0),1,0)</f>
        <v>0</v>
      </c>
      <c r="CC134" s="18">
        <f t="shared" ref="CC134:CC197" si="255">IF(AND(F134=0,F133=0,F132=-1,F131=0),1,0)</f>
        <v>0</v>
      </c>
      <c r="CD134" s="18">
        <f t="shared" ref="CD134:CD197" si="256">IF(AND(F134=1,F133=0,F132=-1,F131=0),1,0)</f>
        <v>0</v>
      </c>
      <c r="CE134" s="18">
        <f t="shared" ref="CE134:CE197" si="257">IF(AND(F134=-1,F133=-1,F132=0,F131=0),1,0)</f>
        <v>0</v>
      </c>
      <c r="CF134" s="18">
        <f t="shared" ref="CF134:CF197" si="258">IF(AND(F134=0,F133=-1,F132=0,F131=0),1,0)</f>
        <v>0</v>
      </c>
      <c r="CG134" s="18">
        <f t="shared" ref="CG134:CG197" si="259">IF(AND(F134=1,F133=-1,F132=0,F131=0),1,0)</f>
        <v>0</v>
      </c>
      <c r="CH134" s="18">
        <f t="shared" ref="CH134:CH197" si="260">IF(AND(F134=-1,F133=0,F132=0,F131=0),1,0)</f>
        <v>0</v>
      </c>
      <c r="CI134" s="18">
        <f t="shared" ref="CI134:CI197" si="261">IF(AND(F134=0,F133=0,F132=0,F131=0),1,0)</f>
        <v>0</v>
      </c>
      <c r="CJ134" s="18">
        <f t="shared" ref="CJ134:CJ197" si="262">IF(AND(F134=1,F133=0,F132=0,F131=0),1,0)</f>
        <v>0</v>
      </c>
    </row>
    <row r="135" spans="1:88" x14ac:dyDescent="0.3">
      <c r="A135" s="1">
        <v>44027</v>
      </c>
      <c r="B135">
        <v>36051.81</v>
      </c>
      <c r="C135">
        <f>Table1[[#This Row],[Close]]-0.001*Table1[[#This Row],[Close]]</f>
        <v>36015.75819</v>
      </c>
      <c r="D135">
        <f>Table1[[#This Row],[Close]]+0.001*Table1[[#This Row],[Close]]</f>
        <v>36087.861809999995</v>
      </c>
      <c r="E135" t="str">
        <f>IF(Table1[[#This Row],[Close]]&gt;D134,"UP",IF(Table1[[#This Row],[Close]]&lt;C134,"Down","Constant"))</f>
        <v>Constant</v>
      </c>
      <c r="F135" s="3">
        <f>IF(Table1[[#This Row],[Column1]]="Up",1,IF(Table1[[#This Row],[Column1]]="Down",-1,0))</f>
        <v>0</v>
      </c>
      <c r="G135">
        <f t="shared" si="181"/>
        <v>0</v>
      </c>
      <c r="H135" s="18">
        <f t="shared" si="182"/>
        <v>0</v>
      </c>
      <c r="I135" s="18">
        <f t="shared" si="183"/>
        <v>0</v>
      </c>
      <c r="J135" s="18">
        <f t="shared" si="184"/>
        <v>0</v>
      </c>
      <c r="K135" s="18">
        <f t="shared" si="185"/>
        <v>0</v>
      </c>
      <c r="L135" s="18">
        <f t="shared" si="186"/>
        <v>0</v>
      </c>
      <c r="M135" s="18">
        <f t="shared" si="187"/>
        <v>0</v>
      </c>
      <c r="N135" s="18">
        <f t="shared" si="188"/>
        <v>0</v>
      </c>
      <c r="O135" s="18">
        <f t="shared" si="189"/>
        <v>0</v>
      </c>
      <c r="P135" s="18">
        <f t="shared" si="190"/>
        <v>0</v>
      </c>
      <c r="Q135" s="18">
        <f t="shared" si="191"/>
        <v>0</v>
      </c>
      <c r="R135" s="18">
        <f t="shared" si="192"/>
        <v>0</v>
      </c>
      <c r="S135" s="18">
        <f t="shared" si="193"/>
        <v>0</v>
      </c>
      <c r="T135" s="18">
        <f t="shared" si="194"/>
        <v>0</v>
      </c>
      <c r="U135" s="18">
        <f t="shared" si="195"/>
        <v>0</v>
      </c>
      <c r="V135" s="18">
        <f t="shared" si="196"/>
        <v>0</v>
      </c>
      <c r="W135" s="18">
        <f t="shared" si="197"/>
        <v>0</v>
      </c>
      <c r="X135" s="18">
        <f t="shared" si="198"/>
        <v>0</v>
      </c>
      <c r="Y135" s="18">
        <f t="shared" si="199"/>
        <v>0</v>
      </c>
      <c r="Z135" s="18">
        <f t="shared" si="200"/>
        <v>0</v>
      </c>
      <c r="AA135" s="18">
        <f t="shared" si="201"/>
        <v>0</v>
      </c>
      <c r="AB135" s="18">
        <f t="shared" si="202"/>
        <v>0</v>
      </c>
      <c r="AC135" s="18">
        <f t="shared" si="203"/>
        <v>0</v>
      </c>
      <c r="AD135" s="18">
        <f t="shared" si="204"/>
        <v>1</v>
      </c>
      <c r="AE135" s="18">
        <f t="shared" si="205"/>
        <v>0</v>
      </c>
      <c r="AF135" s="18">
        <f t="shared" si="206"/>
        <v>0</v>
      </c>
      <c r="AG135" s="18">
        <f t="shared" si="207"/>
        <v>0</v>
      </c>
      <c r="AH135" s="18">
        <f t="shared" si="208"/>
        <v>0</v>
      </c>
      <c r="AI135" s="18">
        <f t="shared" si="209"/>
        <v>0</v>
      </c>
      <c r="AJ135" s="18">
        <f t="shared" si="210"/>
        <v>0</v>
      </c>
      <c r="AK135" s="18">
        <f t="shared" si="211"/>
        <v>0</v>
      </c>
      <c r="AL135" s="18">
        <f t="shared" si="212"/>
        <v>0</v>
      </c>
      <c r="AM135" s="18">
        <f t="shared" si="213"/>
        <v>0</v>
      </c>
      <c r="AN135" s="18">
        <f t="shared" si="214"/>
        <v>0</v>
      </c>
      <c r="AO135" s="18">
        <f t="shared" si="215"/>
        <v>0</v>
      </c>
      <c r="AP135" s="18">
        <f t="shared" si="216"/>
        <v>0</v>
      </c>
      <c r="AQ135" s="18">
        <f t="shared" si="217"/>
        <v>0</v>
      </c>
      <c r="AR135" s="18">
        <f t="shared" si="218"/>
        <v>0</v>
      </c>
      <c r="AS135" s="18">
        <f t="shared" si="219"/>
        <v>0</v>
      </c>
      <c r="AT135" s="18">
        <f t="shared" si="220"/>
        <v>0</v>
      </c>
      <c r="AU135" s="18">
        <f t="shared" si="221"/>
        <v>0</v>
      </c>
      <c r="AV135" s="18">
        <f t="shared" si="222"/>
        <v>0</v>
      </c>
      <c r="AW135" s="18">
        <f t="shared" si="223"/>
        <v>0</v>
      </c>
      <c r="AX135" s="18">
        <f t="shared" si="224"/>
        <v>0</v>
      </c>
      <c r="AY135" s="18">
        <f t="shared" si="225"/>
        <v>0</v>
      </c>
      <c r="AZ135" s="18">
        <f t="shared" si="226"/>
        <v>0</v>
      </c>
      <c r="BA135" s="18">
        <f t="shared" si="227"/>
        <v>0</v>
      </c>
      <c r="BB135" s="18">
        <f t="shared" si="228"/>
        <v>0</v>
      </c>
      <c r="BC135" s="18">
        <f t="shared" si="229"/>
        <v>0</v>
      </c>
      <c r="BD135" s="18">
        <f t="shared" si="230"/>
        <v>0</v>
      </c>
      <c r="BE135" s="18">
        <f t="shared" si="231"/>
        <v>0</v>
      </c>
      <c r="BF135" s="18">
        <f t="shared" si="232"/>
        <v>0</v>
      </c>
      <c r="BG135" s="18">
        <f t="shared" si="233"/>
        <v>0</v>
      </c>
      <c r="BH135" s="18">
        <f t="shared" si="234"/>
        <v>0</v>
      </c>
      <c r="BI135" s="18">
        <f t="shared" si="235"/>
        <v>0</v>
      </c>
      <c r="BJ135" s="18">
        <f t="shared" si="236"/>
        <v>0</v>
      </c>
      <c r="BK135" s="18">
        <f t="shared" si="237"/>
        <v>0</v>
      </c>
      <c r="BL135" s="18">
        <f t="shared" si="238"/>
        <v>0</v>
      </c>
      <c r="BM135" s="18">
        <f t="shared" si="239"/>
        <v>0</v>
      </c>
      <c r="BN135" s="18">
        <f t="shared" si="240"/>
        <v>0</v>
      </c>
      <c r="BO135" s="18">
        <f t="shared" si="241"/>
        <v>0</v>
      </c>
      <c r="BP135" s="18">
        <f t="shared" si="242"/>
        <v>0</v>
      </c>
      <c r="BQ135" s="18">
        <f t="shared" si="243"/>
        <v>0</v>
      </c>
      <c r="BR135" s="18">
        <f t="shared" si="244"/>
        <v>0</v>
      </c>
      <c r="BS135" s="18">
        <f t="shared" si="245"/>
        <v>0</v>
      </c>
      <c r="BT135" s="18">
        <f t="shared" si="246"/>
        <v>0</v>
      </c>
      <c r="BU135" s="18">
        <f t="shared" si="247"/>
        <v>0</v>
      </c>
      <c r="BV135" s="18">
        <f t="shared" si="248"/>
        <v>0</v>
      </c>
      <c r="BW135" s="18">
        <f t="shared" si="249"/>
        <v>0</v>
      </c>
      <c r="BX135" s="18">
        <f t="shared" si="250"/>
        <v>0</v>
      </c>
      <c r="BY135" s="18">
        <f t="shared" si="251"/>
        <v>0</v>
      </c>
      <c r="BZ135" s="18">
        <f t="shared" si="252"/>
        <v>0</v>
      </c>
      <c r="CA135" s="18">
        <f t="shared" si="253"/>
        <v>0</v>
      </c>
      <c r="CB135" s="18">
        <f t="shared" si="254"/>
        <v>0</v>
      </c>
      <c r="CC135" s="18">
        <f t="shared" si="255"/>
        <v>0</v>
      </c>
      <c r="CD135" s="18">
        <f t="shared" si="256"/>
        <v>0</v>
      </c>
      <c r="CE135" s="18">
        <f t="shared" si="257"/>
        <v>0</v>
      </c>
      <c r="CF135" s="18">
        <f t="shared" si="258"/>
        <v>0</v>
      </c>
      <c r="CG135" s="18">
        <f t="shared" si="259"/>
        <v>0</v>
      </c>
      <c r="CH135" s="18">
        <f t="shared" si="260"/>
        <v>0</v>
      </c>
      <c r="CI135" s="18">
        <f t="shared" si="261"/>
        <v>0</v>
      </c>
      <c r="CJ135" s="18">
        <f t="shared" si="262"/>
        <v>0</v>
      </c>
    </row>
    <row r="136" spans="1:88" x14ac:dyDescent="0.3">
      <c r="A136" s="1">
        <v>44028</v>
      </c>
      <c r="B136">
        <v>36471.68</v>
      </c>
      <c r="C136">
        <f>Table1[[#This Row],[Close]]-0.001*Table1[[#This Row],[Close]]</f>
        <v>36435.208319999998</v>
      </c>
      <c r="D136">
        <f>Table1[[#This Row],[Close]]+0.001*Table1[[#This Row],[Close]]</f>
        <v>36508.151680000003</v>
      </c>
      <c r="E136" t="str">
        <f>IF(Table1[[#This Row],[Close]]&gt;D135,"UP",IF(Table1[[#This Row],[Close]]&lt;C135,"Down","Constant"))</f>
        <v>UP</v>
      </c>
      <c r="F136" s="3">
        <f>IF(Table1[[#This Row],[Column1]]="Up",1,IF(Table1[[#This Row],[Column1]]="Down",-1,0))</f>
        <v>1</v>
      </c>
      <c r="G136">
        <f t="shared" si="181"/>
        <v>0</v>
      </c>
      <c r="H136" s="18">
        <f t="shared" si="182"/>
        <v>0</v>
      </c>
      <c r="I136" s="18">
        <f t="shared" si="183"/>
        <v>0</v>
      </c>
      <c r="J136" s="18">
        <f t="shared" si="184"/>
        <v>0</v>
      </c>
      <c r="K136" s="18">
        <f t="shared" si="185"/>
        <v>0</v>
      </c>
      <c r="L136" s="18">
        <f t="shared" si="186"/>
        <v>0</v>
      </c>
      <c r="M136" s="18">
        <f t="shared" si="187"/>
        <v>0</v>
      </c>
      <c r="N136" s="18">
        <f t="shared" si="188"/>
        <v>0</v>
      </c>
      <c r="O136" s="18">
        <f t="shared" si="189"/>
        <v>0</v>
      </c>
      <c r="P136" s="18">
        <f t="shared" si="190"/>
        <v>0</v>
      </c>
      <c r="Q136" s="18">
        <f t="shared" si="191"/>
        <v>0</v>
      </c>
      <c r="R136" s="18">
        <f t="shared" si="192"/>
        <v>0</v>
      </c>
      <c r="S136" s="18">
        <f t="shared" si="193"/>
        <v>0</v>
      </c>
      <c r="T136" s="18">
        <f t="shared" si="194"/>
        <v>0</v>
      </c>
      <c r="U136" s="18">
        <f t="shared" si="195"/>
        <v>0</v>
      </c>
      <c r="V136" s="18">
        <f t="shared" si="196"/>
        <v>0</v>
      </c>
      <c r="W136" s="18">
        <f t="shared" si="197"/>
        <v>0</v>
      </c>
      <c r="X136" s="18">
        <f t="shared" si="198"/>
        <v>0</v>
      </c>
      <c r="Y136" s="18">
        <f t="shared" si="199"/>
        <v>0</v>
      </c>
      <c r="Z136" s="18">
        <f t="shared" si="200"/>
        <v>0</v>
      </c>
      <c r="AA136" s="18">
        <f t="shared" si="201"/>
        <v>0</v>
      </c>
      <c r="AB136" s="18">
        <f t="shared" si="202"/>
        <v>0</v>
      </c>
      <c r="AC136" s="18">
        <f t="shared" si="203"/>
        <v>0</v>
      </c>
      <c r="AD136" s="18">
        <f t="shared" si="204"/>
        <v>0</v>
      </c>
      <c r="AE136" s="18">
        <f t="shared" si="205"/>
        <v>0</v>
      </c>
      <c r="AF136" s="18">
        <f t="shared" si="206"/>
        <v>0</v>
      </c>
      <c r="AG136" s="18">
        <f t="shared" si="207"/>
        <v>0</v>
      </c>
      <c r="AH136" s="18">
        <f t="shared" si="208"/>
        <v>0</v>
      </c>
      <c r="AI136" s="18">
        <f t="shared" si="209"/>
        <v>0</v>
      </c>
      <c r="AJ136" s="18">
        <f t="shared" si="210"/>
        <v>0</v>
      </c>
      <c r="AK136" s="18">
        <f t="shared" si="211"/>
        <v>0</v>
      </c>
      <c r="AL136" s="18">
        <f t="shared" si="212"/>
        <v>0</v>
      </c>
      <c r="AM136" s="18">
        <f t="shared" si="213"/>
        <v>0</v>
      </c>
      <c r="AN136" s="18">
        <f t="shared" si="214"/>
        <v>0</v>
      </c>
      <c r="AO136" s="18">
        <f t="shared" si="215"/>
        <v>0</v>
      </c>
      <c r="AP136" s="18">
        <f t="shared" si="216"/>
        <v>0</v>
      </c>
      <c r="AQ136" s="18">
        <f t="shared" si="217"/>
        <v>0</v>
      </c>
      <c r="AR136" s="18">
        <f t="shared" si="218"/>
        <v>0</v>
      </c>
      <c r="AS136" s="18">
        <f t="shared" si="219"/>
        <v>0</v>
      </c>
      <c r="AT136" s="18">
        <f t="shared" si="220"/>
        <v>0</v>
      </c>
      <c r="AU136" s="18">
        <f t="shared" si="221"/>
        <v>0</v>
      </c>
      <c r="AV136" s="18">
        <f t="shared" si="222"/>
        <v>0</v>
      </c>
      <c r="AW136" s="18">
        <f t="shared" si="223"/>
        <v>0</v>
      </c>
      <c r="AX136" s="18">
        <f t="shared" si="224"/>
        <v>0</v>
      </c>
      <c r="AY136" s="18">
        <f t="shared" si="225"/>
        <v>0</v>
      </c>
      <c r="AZ136" s="18">
        <f t="shared" si="226"/>
        <v>0</v>
      </c>
      <c r="BA136" s="18">
        <f t="shared" si="227"/>
        <v>0</v>
      </c>
      <c r="BB136" s="18">
        <f t="shared" si="228"/>
        <v>0</v>
      </c>
      <c r="BC136" s="18">
        <f t="shared" si="229"/>
        <v>0</v>
      </c>
      <c r="BD136" s="18">
        <f t="shared" si="230"/>
        <v>0</v>
      </c>
      <c r="BE136" s="18">
        <f t="shared" si="231"/>
        <v>0</v>
      </c>
      <c r="BF136" s="18">
        <f t="shared" si="232"/>
        <v>0</v>
      </c>
      <c r="BG136" s="18">
        <f t="shared" si="233"/>
        <v>0</v>
      </c>
      <c r="BH136" s="18">
        <f t="shared" si="234"/>
        <v>0</v>
      </c>
      <c r="BI136" s="18">
        <f t="shared" si="235"/>
        <v>0</v>
      </c>
      <c r="BJ136" s="18">
        <f t="shared" si="236"/>
        <v>0</v>
      </c>
      <c r="BK136" s="18">
        <f t="shared" si="237"/>
        <v>0</v>
      </c>
      <c r="BL136" s="18">
        <f t="shared" si="238"/>
        <v>1</v>
      </c>
      <c r="BM136" s="18">
        <f t="shared" si="239"/>
        <v>0</v>
      </c>
      <c r="BN136" s="18">
        <f t="shared" si="240"/>
        <v>0</v>
      </c>
      <c r="BO136" s="18">
        <f t="shared" si="241"/>
        <v>0</v>
      </c>
      <c r="BP136" s="18">
        <f t="shared" si="242"/>
        <v>0</v>
      </c>
      <c r="BQ136" s="18">
        <f t="shared" si="243"/>
        <v>0</v>
      </c>
      <c r="BR136" s="18">
        <f t="shared" si="244"/>
        <v>0</v>
      </c>
      <c r="BS136" s="18">
        <f t="shared" si="245"/>
        <v>0</v>
      </c>
      <c r="BT136" s="18">
        <f t="shared" si="246"/>
        <v>0</v>
      </c>
      <c r="BU136" s="18">
        <f t="shared" si="247"/>
        <v>0</v>
      </c>
      <c r="BV136" s="18">
        <f t="shared" si="248"/>
        <v>0</v>
      </c>
      <c r="BW136" s="18">
        <f t="shared" si="249"/>
        <v>0</v>
      </c>
      <c r="BX136" s="18">
        <f t="shared" si="250"/>
        <v>0</v>
      </c>
      <c r="BY136" s="18">
        <f t="shared" si="251"/>
        <v>0</v>
      </c>
      <c r="BZ136" s="18">
        <f t="shared" si="252"/>
        <v>0</v>
      </c>
      <c r="CA136" s="18">
        <f t="shared" si="253"/>
        <v>0</v>
      </c>
      <c r="CB136" s="18">
        <f t="shared" si="254"/>
        <v>0</v>
      </c>
      <c r="CC136" s="18">
        <f t="shared" si="255"/>
        <v>0</v>
      </c>
      <c r="CD136" s="18">
        <f t="shared" si="256"/>
        <v>0</v>
      </c>
      <c r="CE136" s="18">
        <f t="shared" si="257"/>
        <v>0</v>
      </c>
      <c r="CF136" s="18">
        <f t="shared" si="258"/>
        <v>0</v>
      </c>
      <c r="CG136" s="18">
        <f t="shared" si="259"/>
        <v>0</v>
      </c>
      <c r="CH136" s="18">
        <f t="shared" si="260"/>
        <v>0</v>
      </c>
      <c r="CI136" s="18">
        <f t="shared" si="261"/>
        <v>0</v>
      </c>
      <c r="CJ136" s="18">
        <f t="shared" si="262"/>
        <v>0</v>
      </c>
    </row>
    <row r="137" spans="1:88" x14ac:dyDescent="0.3">
      <c r="A137" s="1">
        <v>44029</v>
      </c>
      <c r="B137">
        <v>37020.14</v>
      </c>
      <c r="C137">
        <f>Table1[[#This Row],[Close]]-0.001*Table1[[#This Row],[Close]]</f>
        <v>36983.119859999999</v>
      </c>
      <c r="D137">
        <f>Table1[[#This Row],[Close]]+0.001*Table1[[#This Row],[Close]]</f>
        <v>37057.16014</v>
      </c>
      <c r="E137" t="str">
        <f>IF(Table1[[#This Row],[Close]]&gt;D136,"UP",IF(Table1[[#This Row],[Close]]&lt;C136,"Down","Constant"))</f>
        <v>UP</v>
      </c>
      <c r="F137" s="3">
        <f>IF(Table1[[#This Row],[Column1]]="Up",1,IF(Table1[[#This Row],[Column1]]="Down",-1,0))</f>
        <v>1</v>
      </c>
      <c r="G137">
        <f t="shared" si="181"/>
        <v>0</v>
      </c>
      <c r="H137" s="18">
        <f t="shared" si="182"/>
        <v>0</v>
      </c>
      <c r="I137" s="18">
        <f t="shared" si="183"/>
        <v>0</v>
      </c>
      <c r="J137" s="18">
        <f t="shared" si="184"/>
        <v>0</v>
      </c>
      <c r="K137" s="18">
        <f t="shared" si="185"/>
        <v>0</v>
      </c>
      <c r="L137" s="18">
        <f t="shared" si="186"/>
        <v>0</v>
      </c>
      <c r="M137" s="18">
        <f t="shared" si="187"/>
        <v>0</v>
      </c>
      <c r="N137" s="18">
        <f t="shared" si="188"/>
        <v>0</v>
      </c>
      <c r="O137" s="18">
        <f t="shared" si="189"/>
        <v>0</v>
      </c>
      <c r="P137" s="18">
        <f t="shared" si="190"/>
        <v>0</v>
      </c>
      <c r="Q137" s="18">
        <f t="shared" si="191"/>
        <v>0</v>
      </c>
      <c r="R137" s="18">
        <f t="shared" si="192"/>
        <v>0</v>
      </c>
      <c r="S137" s="18">
        <f t="shared" si="193"/>
        <v>0</v>
      </c>
      <c r="T137" s="18">
        <f t="shared" si="194"/>
        <v>0</v>
      </c>
      <c r="U137" s="18">
        <f t="shared" si="195"/>
        <v>0</v>
      </c>
      <c r="V137" s="18">
        <f t="shared" si="196"/>
        <v>0</v>
      </c>
      <c r="W137" s="18">
        <f t="shared" si="197"/>
        <v>0</v>
      </c>
      <c r="X137" s="18">
        <f t="shared" si="198"/>
        <v>0</v>
      </c>
      <c r="Y137" s="18">
        <f t="shared" si="199"/>
        <v>0</v>
      </c>
      <c r="Z137" s="18">
        <f t="shared" si="200"/>
        <v>0</v>
      </c>
      <c r="AA137" s="18">
        <f t="shared" si="201"/>
        <v>0</v>
      </c>
      <c r="AB137" s="18">
        <f t="shared" si="202"/>
        <v>0</v>
      </c>
      <c r="AC137" s="18">
        <f t="shared" si="203"/>
        <v>0</v>
      </c>
      <c r="AD137" s="18">
        <f t="shared" si="204"/>
        <v>0</v>
      </c>
      <c r="AE137" s="18">
        <f t="shared" si="205"/>
        <v>0</v>
      </c>
      <c r="AF137" s="18">
        <f t="shared" si="206"/>
        <v>0</v>
      </c>
      <c r="AG137" s="18">
        <f t="shared" si="207"/>
        <v>0</v>
      </c>
      <c r="AH137" s="18">
        <f t="shared" si="208"/>
        <v>0</v>
      </c>
      <c r="AI137" s="18">
        <f t="shared" si="209"/>
        <v>0</v>
      </c>
      <c r="AJ137" s="18">
        <f t="shared" si="210"/>
        <v>0</v>
      </c>
      <c r="AK137" s="18">
        <f t="shared" si="211"/>
        <v>0</v>
      </c>
      <c r="AL137" s="18">
        <f t="shared" si="212"/>
        <v>0</v>
      </c>
      <c r="AM137" s="18">
        <f t="shared" si="213"/>
        <v>0</v>
      </c>
      <c r="AN137" s="18">
        <f t="shared" si="214"/>
        <v>0</v>
      </c>
      <c r="AO137" s="18">
        <f t="shared" si="215"/>
        <v>0</v>
      </c>
      <c r="AP137" s="18">
        <f t="shared" si="216"/>
        <v>0</v>
      </c>
      <c r="AQ137" s="18">
        <f t="shared" si="217"/>
        <v>0</v>
      </c>
      <c r="AR137" s="18">
        <f t="shared" si="218"/>
        <v>0</v>
      </c>
      <c r="AS137" s="18">
        <f t="shared" si="219"/>
        <v>0</v>
      </c>
      <c r="AT137" s="18">
        <f t="shared" si="220"/>
        <v>0</v>
      </c>
      <c r="AU137" s="18">
        <f t="shared" si="221"/>
        <v>0</v>
      </c>
      <c r="AV137" s="18">
        <f t="shared" si="222"/>
        <v>0</v>
      </c>
      <c r="AW137" s="18">
        <f t="shared" si="223"/>
        <v>0</v>
      </c>
      <c r="AX137" s="18">
        <f t="shared" si="224"/>
        <v>0</v>
      </c>
      <c r="AY137" s="18">
        <f t="shared" si="225"/>
        <v>0</v>
      </c>
      <c r="AZ137" s="18">
        <f t="shared" si="226"/>
        <v>0</v>
      </c>
      <c r="BA137" s="18">
        <f t="shared" si="227"/>
        <v>0</v>
      </c>
      <c r="BB137" s="18">
        <f t="shared" si="228"/>
        <v>0</v>
      </c>
      <c r="BC137" s="18">
        <f t="shared" si="229"/>
        <v>0</v>
      </c>
      <c r="BD137" s="18">
        <f t="shared" si="230"/>
        <v>0</v>
      </c>
      <c r="BE137" s="18">
        <f t="shared" si="231"/>
        <v>0</v>
      </c>
      <c r="BF137" s="18">
        <f t="shared" si="232"/>
        <v>0</v>
      </c>
      <c r="BG137" s="18">
        <f t="shared" si="233"/>
        <v>0</v>
      </c>
      <c r="BH137" s="18">
        <f t="shared" si="234"/>
        <v>0</v>
      </c>
      <c r="BI137" s="18">
        <f t="shared" si="235"/>
        <v>0</v>
      </c>
      <c r="BJ137" s="18">
        <f t="shared" si="236"/>
        <v>0</v>
      </c>
      <c r="BK137" s="18">
        <f t="shared" si="237"/>
        <v>0</v>
      </c>
      <c r="BL137" s="18">
        <f t="shared" si="238"/>
        <v>0</v>
      </c>
      <c r="BM137" s="18">
        <f t="shared" si="239"/>
        <v>0</v>
      </c>
      <c r="BN137" s="18">
        <f t="shared" si="240"/>
        <v>0</v>
      </c>
      <c r="BO137" s="18">
        <f t="shared" si="241"/>
        <v>1</v>
      </c>
      <c r="BP137" s="18">
        <f t="shared" si="242"/>
        <v>0</v>
      </c>
      <c r="BQ137" s="18">
        <f t="shared" si="243"/>
        <v>0</v>
      </c>
      <c r="BR137" s="18">
        <f t="shared" si="244"/>
        <v>0</v>
      </c>
      <c r="BS137" s="18">
        <f t="shared" si="245"/>
        <v>0</v>
      </c>
      <c r="BT137" s="18">
        <f t="shared" si="246"/>
        <v>0</v>
      </c>
      <c r="BU137" s="18">
        <f t="shared" si="247"/>
        <v>0</v>
      </c>
      <c r="BV137" s="18">
        <f t="shared" si="248"/>
        <v>0</v>
      </c>
      <c r="BW137" s="18">
        <f t="shared" si="249"/>
        <v>0</v>
      </c>
      <c r="BX137" s="18">
        <f t="shared" si="250"/>
        <v>0</v>
      </c>
      <c r="BY137" s="18">
        <f t="shared" si="251"/>
        <v>0</v>
      </c>
      <c r="BZ137" s="18">
        <f t="shared" si="252"/>
        <v>0</v>
      </c>
      <c r="CA137" s="18">
        <f t="shared" si="253"/>
        <v>0</v>
      </c>
      <c r="CB137" s="18">
        <f t="shared" si="254"/>
        <v>0</v>
      </c>
      <c r="CC137" s="18">
        <f t="shared" si="255"/>
        <v>0</v>
      </c>
      <c r="CD137" s="18">
        <f t="shared" si="256"/>
        <v>0</v>
      </c>
      <c r="CE137" s="18">
        <f t="shared" si="257"/>
        <v>0</v>
      </c>
      <c r="CF137" s="18">
        <f t="shared" si="258"/>
        <v>0</v>
      </c>
      <c r="CG137" s="18">
        <f t="shared" si="259"/>
        <v>0</v>
      </c>
      <c r="CH137" s="18">
        <f t="shared" si="260"/>
        <v>0</v>
      </c>
      <c r="CI137" s="18">
        <f t="shared" si="261"/>
        <v>0</v>
      </c>
      <c r="CJ137" s="18">
        <f t="shared" si="262"/>
        <v>0</v>
      </c>
    </row>
    <row r="138" spans="1:88" x14ac:dyDescent="0.3">
      <c r="A138" s="1">
        <v>44032</v>
      </c>
      <c r="B138">
        <v>37418.99</v>
      </c>
      <c r="C138">
        <f>Table1[[#This Row],[Close]]-0.001*Table1[[#This Row],[Close]]</f>
        <v>37381.57101</v>
      </c>
      <c r="D138">
        <f>Table1[[#This Row],[Close]]+0.001*Table1[[#This Row],[Close]]</f>
        <v>37456.408989999996</v>
      </c>
      <c r="E138" t="str">
        <f>IF(Table1[[#This Row],[Close]]&gt;D137,"UP",IF(Table1[[#This Row],[Close]]&lt;C137,"Down","Constant"))</f>
        <v>UP</v>
      </c>
      <c r="F138" s="3">
        <f>IF(Table1[[#This Row],[Column1]]="Up",1,IF(Table1[[#This Row],[Column1]]="Down",-1,0))</f>
        <v>1</v>
      </c>
      <c r="G138">
        <f t="shared" si="181"/>
        <v>0</v>
      </c>
      <c r="H138" s="18">
        <f t="shared" si="182"/>
        <v>0</v>
      </c>
      <c r="I138" s="18">
        <f t="shared" si="183"/>
        <v>0</v>
      </c>
      <c r="J138" s="18">
        <f t="shared" si="184"/>
        <v>0</v>
      </c>
      <c r="K138" s="18">
        <f t="shared" si="185"/>
        <v>0</v>
      </c>
      <c r="L138" s="18">
        <f t="shared" si="186"/>
        <v>0</v>
      </c>
      <c r="M138" s="18">
        <f t="shared" si="187"/>
        <v>0</v>
      </c>
      <c r="N138" s="18">
        <f t="shared" si="188"/>
        <v>0</v>
      </c>
      <c r="O138" s="18">
        <f t="shared" si="189"/>
        <v>0</v>
      </c>
      <c r="P138" s="18">
        <f t="shared" si="190"/>
        <v>0</v>
      </c>
      <c r="Q138" s="18">
        <f t="shared" si="191"/>
        <v>0</v>
      </c>
      <c r="R138" s="18">
        <f t="shared" si="192"/>
        <v>0</v>
      </c>
      <c r="S138" s="18">
        <f t="shared" si="193"/>
        <v>0</v>
      </c>
      <c r="T138" s="18">
        <f t="shared" si="194"/>
        <v>0</v>
      </c>
      <c r="U138" s="18">
        <f t="shared" si="195"/>
        <v>0</v>
      </c>
      <c r="V138" s="18">
        <f t="shared" si="196"/>
        <v>0</v>
      </c>
      <c r="W138" s="18">
        <f t="shared" si="197"/>
        <v>0</v>
      </c>
      <c r="X138" s="18">
        <f t="shared" si="198"/>
        <v>0</v>
      </c>
      <c r="Y138" s="18">
        <f t="shared" si="199"/>
        <v>0</v>
      </c>
      <c r="Z138" s="18">
        <f t="shared" si="200"/>
        <v>0</v>
      </c>
      <c r="AA138" s="18">
        <f t="shared" si="201"/>
        <v>0</v>
      </c>
      <c r="AB138" s="18">
        <f t="shared" si="202"/>
        <v>0</v>
      </c>
      <c r="AC138" s="18">
        <f t="shared" si="203"/>
        <v>0</v>
      </c>
      <c r="AD138" s="18">
        <f t="shared" si="204"/>
        <v>0</v>
      </c>
      <c r="AE138" s="18">
        <f t="shared" si="205"/>
        <v>0</v>
      </c>
      <c r="AF138" s="18">
        <f t="shared" si="206"/>
        <v>0</v>
      </c>
      <c r="AG138" s="18">
        <f t="shared" si="207"/>
        <v>0</v>
      </c>
      <c r="AH138" s="18">
        <f t="shared" si="208"/>
        <v>1</v>
      </c>
      <c r="AI138" s="18">
        <f t="shared" si="209"/>
        <v>0</v>
      </c>
      <c r="AJ138" s="18">
        <f t="shared" si="210"/>
        <v>0</v>
      </c>
      <c r="AK138" s="18">
        <f t="shared" si="211"/>
        <v>0</v>
      </c>
      <c r="AL138" s="18">
        <f t="shared" si="212"/>
        <v>0</v>
      </c>
      <c r="AM138" s="18">
        <f t="shared" si="213"/>
        <v>0</v>
      </c>
      <c r="AN138" s="18">
        <f t="shared" si="214"/>
        <v>0</v>
      </c>
      <c r="AO138" s="18">
        <f t="shared" si="215"/>
        <v>0</v>
      </c>
      <c r="AP138" s="18">
        <f t="shared" si="216"/>
        <v>0</v>
      </c>
      <c r="AQ138" s="18">
        <f t="shared" si="217"/>
        <v>0</v>
      </c>
      <c r="AR138" s="18">
        <f t="shared" si="218"/>
        <v>0</v>
      </c>
      <c r="AS138" s="18">
        <f t="shared" si="219"/>
        <v>0</v>
      </c>
      <c r="AT138" s="18">
        <f t="shared" si="220"/>
        <v>0</v>
      </c>
      <c r="AU138" s="18">
        <f t="shared" si="221"/>
        <v>0</v>
      </c>
      <c r="AV138" s="18">
        <f t="shared" si="222"/>
        <v>0</v>
      </c>
      <c r="AW138" s="18">
        <f t="shared" si="223"/>
        <v>0</v>
      </c>
      <c r="AX138" s="18">
        <f t="shared" si="224"/>
        <v>0</v>
      </c>
      <c r="AY138" s="18">
        <f t="shared" si="225"/>
        <v>0</v>
      </c>
      <c r="AZ138" s="18">
        <f t="shared" si="226"/>
        <v>0</v>
      </c>
      <c r="BA138" s="18">
        <f t="shared" si="227"/>
        <v>0</v>
      </c>
      <c r="BB138" s="18">
        <f t="shared" si="228"/>
        <v>0</v>
      </c>
      <c r="BC138" s="18">
        <f t="shared" si="229"/>
        <v>0</v>
      </c>
      <c r="BD138" s="18">
        <f t="shared" si="230"/>
        <v>0</v>
      </c>
      <c r="BE138" s="18">
        <f t="shared" si="231"/>
        <v>0</v>
      </c>
      <c r="BF138" s="18">
        <f t="shared" si="232"/>
        <v>0</v>
      </c>
      <c r="BG138" s="18">
        <f t="shared" si="233"/>
        <v>0</v>
      </c>
      <c r="BH138" s="18">
        <f t="shared" si="234"/>
        <v>0</v>
      </c>
      <c r="BI138" s="18">
        <f t="shared" si="235"/>
        <v>0</v>
      </c>
      <c r="BJ138" s="18">
        <f t="shared" si="236"/>
        <v>0</v>
      </c>
      <c r="BK138" s="18">
        <f t="shared" si="237"/>
        <v>0</v>
      </c>
      <c r="BL138" s="18">
        <f t="shared" si="238"/>
        <v>0</v>
      </c>
      <c r="BM138" s="18">
        <f t="shared" si="239"/>
        <v>0</v>
      </c>
      <c r="BN138" s="18">
        <f t="shared" si="240"/>
        <v>0</v>
      </c>
      <c r="BO138" s="18">
        <f t="shared" si="241"/>
        <v>0</v>
      </c>
      <c r="BP138" s="18">
        <f t="shared" si="242"/>
        <v>0</v>
      </c>
      <c r="BQ138" s="18">
        <f t="shared" si="243"/>
        <v>0</v>
      </c>
      <c r="BR138" s="18">
        <f t="shared" si="244"/>
        <v>0</v>
      </c>
      <c r="BS138" s="18">
        <f t="shared" si="245"/>
        <v>0</v>
      </c>
      <c r="BT138" s="18">
        <f t="shared" si="246"/>
        <v>0</v>
      </c>
      <c r="BU138" s="18">
        <f t="shared" si="247"/>
        <v>0</v>
      </c>
      <c r="BV138" s="18">
        <f t="shared" si="248"/>
        <v>0</v>
      </c>
      <c r="BW138" s="18">
        <f t="shared" si="249"/>
        <v>0</v>
      </c>
      <c r="BX138" s="18">
        <f t="shared" si="250"/>
        <v>0</v>
      </c>
      <c r="BY138" s="18">
        <f t="shared" si="251"/>
        <v>0</v>
      </c>
      <c r="BZ138" s="18">
        <f t="shared" si="252"/>
        <v>0</v>
      </c>
      <c r="CA138" s="18">
        <f t="shared" si="253"/>
        <v>0</v>
      </c>
      <c r="CB138" s="18">
        <f t="shared" si="254"/>
        <v>0</v>
      </c>
      <c r="CC138" s="18">
        <f t="shared" si="255"/>
        <v>0</v>
      </c>
      <c r="CD138" s="18">
        <f t="shared" si="256"/>
        <v>0</v>
      </c>
      <c r="CE138" s="18">
        <f t="shared" si="257"/>
        <v>0</v>
      </c>
      <c r="CF138" s="18">
        <f t="shared" si="258"/>
        <v>0</v>
      </c>
      <c r="CG138" s="18">
        <f t="shared" si="259"/>
        <v>0</v>
      </c>
      <c r="CH138" s="18">
        <f t="shared" si="260"/>
        <v>0</v>
      </c>
      <c r="CI138" s="18">
        <f t="shared" si="261"/>
        <v>0</v>
      </c>
      <c r="CJ138" s="18">
        <f t="shared" si="262"/>
        <v>0</v>
      </c>
    </row>
    <row r="139" spans="1:88" x14ac:dyDescent="0.3">
      <c r="A139" s="1">
        <v>44033</v>
      </c>
      <c r="B139">
        <v>37930.33</v>
      </c>
      <c r="C139">
        <f>Table1[[#This Row],[Close]]-0.001*Table1[[#This Row],[Close]]</f>
        <v>37892.399669999999</v>
      </c>
      <c r="D139">
        <f>Table1[[#This Row],[Close]]+0.001*Table1[[#This Row],[Close]]</f>
        <v>37968.260330000005</v>
      </c>
      <c r="E139" t="str">
        <f>IF(Table1[[#This Row],[Close]]&gt;D138,"UP",IF(Table1[[#This Row],[Close]]&lt;C138,"Down","Constant"))</f>
        <v>UP</v>
      </c>
      <c r="F139" s="3">
        <f>IF(Table1[[#This Row],[Column1]]="Up",1,IF(Table1[[#This Row],[Column1]]="Down",-1,0))</f>
        <v>1</v>
      </c>
      <c r="G139">
        <f t="shared" si="181"/>
        <v>0</v>
      </c>
      <c r="H139" s="18">
        <f t="shared" si="182"/>
        <v>0</v>
      </c>
      <c r="I139" s="18">
        <f t="shared" si="183"/>
        <v>0</v>
      </c>
      <c r="J139" s="18">
        <f t="shared" si="184"/>
        <v>1</v>
      </c>
      <c r="K139" s="18">
        <f t="shared" si="185"/>
        <v>0</v>
      </c>
      <c r="L139" s="18">
        <f t="shared" si="186"/>
        <v>0</v>
      </c>
      <c r="M139" s="18">
        <f t="shared" si="187"/>
        <v>0</v>
      </c>
      <c r="N139" s="18">
        <f t="shared" si="188"/>
        <v>0</v>
      </c>
      <c r="O139" s="18">
        <f t="shared" si="189"/>
        <v>0</v>
      </c>
      <c r="P139" s="18">
        <f t="shared" si="190"/>
        <v>0</v>
      </c>
      <c r="Q139" s="18">
        <f t="shared" si="191"/>
        <v>0</v>
      </c>
      <c r="R139" s="18">
        <f t="shared" si="192"/>
        <v>0</v>
      </c>
      <c r="S139" s="18">
        <f t="shared" si="193"/>
        <v>0</v>
      </c>
      <c r="T139" s="18">
        <f t="shared" si="194"/>
        <v>0</v>
      </c>
      <c r="U139" s="18">
        <f t="shared" si="195"/>
        <v>0</v>
      </c>
      <c r="V139" s="18">
        <f t="shared" si="196"/>
        <v>0</v>
      </c>
      <c r="W139" s="18">
        <f t="shared" si="197"/>
        <v>0</v>
      </c>
      <c r="X139" s="18">
        <f t="shared" si="198"/>
        <v>0</v>
      </c>
      <c r="Y139" s="18">
        <f t="shared" si="199"/>
        <v>0</v>
      </c>
      <c r="Z139" s="18">
        <f t="shared" si="200"/>
        <v>0</v>
      </c>
      <c r="AA139" s="18">
        <f t="shared" si="201"/>
        <v>0</v>
      </c>
      <c r="AB139" s="18">
        <f t="shared" si="202"/>
        <v>0</v>
      </c>
      <c r="AC139" s="18">
        <f t="shared" si="203"/>
        <v>0</v>
      </c>
      <c r="AD139" s="18">
        <f t="shared" si="204"/>
        <v>0</v>
      </c>
      <c r="AE139" s="18">
        <f t="shared" si="205"/>
        <v>0</v>
      </c>
      <c r="AF139" s="18">
        <f t="shared" si="206"/>
        <v>0</v>
      </c>
      <c r="AG139" s="18">
        <f t="shared" si="207"/>
        <v>0</v>
      </c>
      <c r="AH139" s="18">
        <f t="shared" si="208"/>
        <v>0</v>
      </c>
      <c r="AI139" s="18">
        <f t="shared" si="209"/>
        <v>0</v>
      </c>
      <c r="AJ139" s="18">
        <f t="shared" si="210"/>
        <v>0</v>
      </c>
      <c r="AK139" s="18">
        <f t="shared" si="211"/>
        <v>0</v>
      </c>
      <c r="AL139" s="18">
        <f t="shared" si="212"/>
        <v>0</v>
      </c>
      <c r="AM139" s="18">
        <f t="shared" si="213"/>
        <v>0</v>
      </c>
      <c r="AN139" s="18">
        <f t="shared" si="214"/>
        <v>0</v>
      </c>
      <c r="AO139" s="18">
        <f t="shared" si="215"/>
        <v>0</v>
      </c>
      <c r="AP139" s="18">
        <f t="shared" si="216"/>
        <v>0</v>
      </c>
      <c r="AQ139" s="18">
        <f t="shared" si="217"/>
        <v>0</v>
      </c>
      <c r="AR139" s="18">
        <f t="shared" si="218"/>
        <v>0</v>
      </c>
      <c r="AS139" s="18">
        <f t="shared" si="219"/>
        <v>0</v>
      </c>
      <c r="AT139" s="18">
        <f t="shared" si="220"/>
        <v>0</v>
      </c>
      <c r="AU139" s="18">
        <f t="shared" si="221"/>
        <v>0</v>
      </c>
      <c r="AV139" s="18">
        <f t="shared" si="222"/>
        <v>0</v>
      </c>
      <c r="AW139" s="18">
        <f t="shared" si="223"/>
        <v>0</v>
      </c>
      <c r="AX139" s="18">
        <f t="shared" si="224"/>
        <v>0</v>
      </c>
      <c r="AY139" s="18">
        <f t="shared" si="225"/>
        <v>0</v>
      </c>
      <c r="AZ139" s="18">
        <f t="shared" si="226"/>
        <v>0</v>
      </c>
      <c r="BA139" s="18">
        <f t="shared" si="227"/>
        <v>0</v>
      </c>
      <c r="BB139" s="18">
        <f t="shared" si="228"/>
        <v>0</v>
      </c>
      <c r="BC139" s="18">
        <f t="shared" si="229"/>
        <v>0</v>
      </c>
      <c r="BD139" s="18">
        <f t="shared" si="230"/>
        <v>0</v>
      </c>
      <c r="BE139" s="18">
        <f t="shared" si="231"/>
        <v>0</v>
      </c>
      <c r="BF139" s="18">
        <f t="shared" si="232"/>
        <v>0</v>
      </c>
      <c r="BG139" s="18">
        <f t="shared" si="233"/>
        <v>0</v>
      </c>
      <c r="BH139" s="18">
        <f t="shared" si="234"/>
        <v>0</v>
      </c>
      <c r="BI139" s="18">
        <f t="shared" si="235"/>
        <v>0</v>
      </c>
      <c r="BJ139" s="18">
        <f t="shared" si="236"/>
        <v>0</v>
      </c>
      <c r="BK139" s="18">
        <f t="shared" si="237"/>
        <v>0</v>
      </c>
      <c r="BL139" s="18">
        <f t="shared" si="238"/>
        <v>0</v>
      </c>
      <c r="BM139" s="18">
        <f t="shared" si="239"/>
        <v>0</v>
      </c>
      <c r="BN139" s="18">
        <f t="shared" si="240"/>
        <v>0</v>
      </c>
      <c r="BO139" s="18">
        <f t="shared" si="241"/>
        <v>0</v>
      </c>
      <c r="BP139" s="18">
        <f t="shared" si="242"/>
        <v>0</v>
      </c>
      <c r="BQ139" s="18">
        <f t="shared" si="243"/>
        <v>0</v>
      </c>
      <c r="BR139" s="18">
        <f t="shared" si="244"/>
        <v>0</v>
      </c>
      <c r="BS139" s="18">
        <f t="shared" si="245"/>
        <v>0</v>
      </c>
      <c r="BT139" s="18">
        <f t="shared" si="246"/>
        <v>0</v>
      </c>
      <c r="BU139" s="18">
        <f t="shared" si="247"/>
        <v>0</v>
      </c>
      <c r="BV139" s="18">
        <f t="shared" si="248"/>
        <v>0</v>
      </c>
      <c r="BW139" s="18">
        <f t="shared" si="249"/>
        <v>0</v>
      </c>
      <c r="BX139" s="18">
        <f t="shared" si="250"/>
        <v>0</v>
      </c>
      <c r="BY139" s="18">
        <f t="shared" si="251"/>
        <v>0</v>
      </c>
      <c r="BZ139" s="18">
        <f t="shared" si="252"/>
        <v>0</v>
      </c>
      <c r="CA139" s="18">
        <f t="shared" si="253"/>
        <v>0</v>
      </c>
      <c r="CB139" s="18">
        <f t="shared" si="254"/>
        <v>0</v>
      </c>
      <c r="CC139" s="18">
        <f t="shared" si="255"/>
        <v>0</v>
      </c>
      <c r="CD139" s="18">
        <f t="shared" si="256"/>
        <v>0</v>
      </c>
      <c r="CE139" s="18">
        <f t="shared" si="257"/>
        <v>0</v>
      </c>
      <c r="CF139" s="18">
        <f t="shared" si="258"/>
        <v>0</v>
      </c>
      <c r="CG139" s="18">
        <f t="shared" si="259"/>
        <v>0</v>
      </c>
      <c r="CH139" s="18">
        <f t="shared" si="260"/>
        <v>0</v>
      </c>
      <c r="CI139" s="18">
        <f t="shared" si="261"/>
        <v>0</v>
      </c>
      <c r="CJ139" s="18">
        <f t="shared" si="262"/>
        <v>0</v>
      </c>
    </row>
    <row r="140" spans="1:88" x14ac:dyDescent="0.3">
      <c r="A140" s="1">
        <v>44034</v>
      </c>
      <c r="B140">
        <v>37871.519999999997</v>
      </c>
      <c r="C140">
        <f>Table1[[#This Row],[Close]]-0.001*Table1[[#This Row],[Close]]</f>
        <v>37833.648479999996</v>
      </c>
      <c r="D140">
        <f>Table1[[#This Row],[Close]]+0.001*Table1[[#This Row],[Close]]</f>
        <v>37909.391519999997</v>
      </c>
      <c r="E140" t="str">
        <f>IF(Table1[[#This Row],[Close]]&gt;D139,"UP",IF(Table1[[#This Row],[Close]]&lt;C139,"Down","Constant"))</f>
        <v>Down</v>
      </c>
      <c r="F140" s="3">
        <f>IF(Table1[[#This Row],[Column1]]="Up",1,IF(Table1[[#This Row],[Column1]]="Down",-1,0))</f>
        <v>-1</v>
      </c>
      <c r="G140">
        <f t="shared" si="181"/>
        <v>0</v>
      </c>
      <c r="H140" s="18">
        <f t="shared" si="182"/>
        <v>1</v>
      </c>
      <c r="I140" s="18">
        <f t="shared" si="183"/>
        <v>0</v>
      </c>
      <c r="J140" s="18">
        <f t="shared" si="184"/>
        <v>0</v>
      </c>
      <c r="K140" s="18">
        <f t="shared" si="185"/>
        <v>0</v>
      </c>
      <c r="L140" s="18">
        <f t="shared" si="186"/>
        <v>0</v>
      </c>
      <c r="M140" s="18">
        <f t="shared" si="187"/>
        <v>0</v>
      </c>
      <c r="N140" s="18">
        <f t="shared" si="188"/>
        <v>0</v>
      </c>
      <c r="O140" s="18">
        <f t="shared" si="189"/>
        <v>0</v>
      </c>
      <c r="P140" s="18">
        <f t="shared" si="190"/>
        <v>0</v>
      </c>
      <c r="Q140" s="18">
        <f t="shared" si="191"/>
        <v>0</v>
      </c>
      <c r="R140" s="18">
        <f t="shared" si="192"/>
        <v>0</v>
      </c>
      <c r="S140" s="18">
        <f t="shared" si="193"/>
        <v>0</v>
      </c>
      <c r="T140" s="18">
        <f t="shared" si="194"/>
        <v>0</v>
      </c>
      <c r="U140" s="18">
        <f t="shared" si="195"/>
        <v>0</v>
      </c>
      <c r="V140" s="18">
        <f t="shared" si="196"/>
        <v>0</v>
      </c>
      <c r="W140" s="18">
        <f t="shared" si="197"/>
        <v>0</v>
      </c>
      <c r="X140" s="18">
        <f t="shared" si="198"/>
        <v>0</v>
      </c>
      <c r="Y140" s="18">
        <f t="shared" si="199"/>
        <v>0</v>
      </c>
      <c r="Z140" s="18">
        <f t="shared" si="200"/>
        <v>0</v>
      </c>
      <c r="AA140" s="18">
        <f t="shared" si="201"/>
        <v>0</v>
      </c>
      <c r="AB140" s="18">
        <f t="shared" si="202"/>
        <v>0</v>
      </c>
      <c r="AC140" s="18">
        <f t="shared" si="203"/>
        <v>0</v>
      </c>
      <c r="AD140" s="18">
        <f t="shared" si="204"/>
        <v>0</v>
      </c>
      <c r="AE140" s="18">
        <f t="shared" si="205"/>
        <v>0</v>
      </c>
      <c r="AF140" s="18">
        <f t="shared" si="206"/>
        <v>0</v>
      </c>
      <c r="AG140" s="18">
        <f t="shared" si="207"/>
        <v>0</v>
      </c>
      <c r="AH140" s="18">
        <f t="shared" si="208"/>
        <v>0</v>
      </c>
      <c r="AI140" s="18">
        <f t="shared" si="209"/>
        <v>0</v>
      </c>
      <c r="AJ140" s="18">
        <f t="shared" si="210"/>
        <v>0</v>
      </c>
      <c r="AK140" s="18">
        <f t="shared" si="211"/>
        <v>0</v>
      </c>
      <c r="AL140" s="18">
        <f t="shared" si="212"/>
        <v>0</v>
      </c>
      <c r="AM140" s="18">
        <f t="shared" si="213"/>
        <v>0</v>
      </c>
      <c r="AN140" s="18">
        <f t="shared" si="214"/>
        <v>0</v>
      </c>
      <c r="AO140" s="18">
        <f t="shared" si="215"/>
        <v>0</v>
      </c>
      <c r="AP140" s="18">
        <f t="shared" si="216"/>
        <v>0</v>
      </c>
      <c r="AQ140" s="18">
        <f t="shared" si="217"/>
        <v>0</v>
      </c>
      <c r="AR140" s="18">
        <f t="shared" si="218"/>
        <v>0</v>
      </c>
      <c r="AS140" s="18">
        <f t="shared" si="219"/>
        <v>0</v>
      </c>
      <c r="AT140" s="18">
        <f t="shared" si="220"/>
        <v>0</v>
      </c>
      <c r="AU140" s="18">
        <f t="shared" si="221"/>
        <v>0</v>
      </c>
      <c r="AV140" s="18">
        <f t="shared" si="222"/>
        <v>0</v>
      </c>
      <c r="AW140" s="18">
        <f t="shared" si="223"/>
        <v>0</v>
      </c>
      <c r="AX140" s="18">
        <f t="shared" si="224"/>
        <v>0</v>
      </c>
      <c r="AY140" s="18">
        <f t="shared" si="225"/>
        <v>0</v>
      </c>
      <c r="AZ140" s="18">
        <f t="shared" si="226"/>
        <v>0</v>
      </c>
      <c r="BA140" s="18">
        <f t="shared" si="227"/>
        <v>0</v>
      </c>
      <c r="BB140" s="18">
        <f t="shared" si="228"/>
        <v>0</v>
      </c>
      <c r="BC140" s="18">
        <f t="shared" si="229"/>
        <v>0</v>
      </c>
      <c r="BD140" s="18">
        <f t="shared" si="230"/>
        <v>0</v>
      </c>
      <c r="BE140" s="18">
        <f t="shared" si="231"/>
        <v>0</v>
      </c>
      <c r="BF140" s="18">
        <f t="shared" si="232"/>
        <v>0</v>
      </c>
      <c r="BG140" s="18">
        <f t="shared" si="233"/>
        <v>0</v>
      </c>
      <c r="BH140" s="18">
        <f t="shared" si="234"/>
        <v>0</v>
      </c>
      <c r="BI140" s="18">
        <f t="shared" si="235"/>
        <v>0</v>
      </c>
      <c r="BJ140" s="18">
        <f t="shared" si="236"/>
        <v>0</v>
      </c>
      <c r="BK140" s="18">
        <f t="shared" si="237"/>
        <v>0</v>
      </c>
      <c r="BL140" s="18">
        <f t="shared" si="238"/>
        <v>0</v>
      </c>
      <c r="BM140" s="18">
        <f t="shared" si="239"/>
        <v>0</v>
      </c>
      <c r="BN140" s="18">
        <f t="shared" si="240"/>
        <v>0</v>
      </c>
      <c r="BO140" s="18">
        <f t="shared" si="241"/>
        <v>0</v>
      </c>
      <c r="BP140" s="18">
        <f t="shared" si="242"/>
        <v>0</v>
      </c>
      <c r="BQ140" s="18">
        <f t="shared" si="243"/>
        <v>0</v>
      </c>
      <c r="BR140" s="18">
        <f t="shared" si="244"/>
        <v>0</v>
      </c>
      <c r="BS140" s="18">
        <f t="shared" si="245"/>
        <v>0</v>
      </c>
      <c r="BT140" s="18">
        <f t="shared" si="246"/>
        <v>0</v>
      </c>
      <c r="BU140" s="18">
        <f t="shared" si="247"/>
        <v>0</v>
      </c>
      <c r="BV140" s="18">
        <f t="shared" si="248"/>
        <v>0</v>
      </c>
      <c r="BW140" s="18">
        <f t="shared" si="249"/>
        <v>0</v>
      </c>
      <c r="BX140" s="18">
        <f t="shared" si="250"/>
        <v>0</v>
      </c>
      <c r="BY140" s="18">
        <f t="shared" si="251"/>
        <v>0</v>
      </c>
      <c r="BZ140" s="18">
        <f t="shared" si="252"/>
        <v>0</v>
      </c>
      <c r="CA140" s="18">
        <f t="shared" si="253"/>
        <v>0</v>
      </c>
      <c r="CB140" s="18">
        <f t="shared" si="254"/>
        <v>0</v>
      </c>
      <c r="CC140" s="18">
        <f t="shared" si="255"/>
        <v>0</v>
      </c>
      <c r="CD140" s="18">
        <f t="shared" si="256"/>
        <v>0</v>
      </c>
      <c r="CE140" s="18">
        <f t="shared" si="257"/>
        <v>0</v>
      </c>
      <c r="CF140" s="18">
        <f t="shared" si="258"/>
        <v>0</v>
      </c>
      <c r="CG140" s="18">
        <f t="shared" si="259"/>
        <v>0</v>
      </c>
      <c r="CH140" s="18">
        <f t="shared" si="260"/>
        <v>0</v>
      </c>
      <c r="CI140" s="18">
        <f t="shared" si="261"/>
        <v>0</v>
      </c>
      <c r="CJ140" s="18">
        <f t="shared" si="262"/>
        <v>0</v>
      </c>
    </row>
    <row r="141" spans="1:88" x14ac:dyDescent="0.3">
      <c r="A141" s="1">
        <v>44035</v>
      </c>
      <c r="B141">
        <v>38140.47</v>
      </c>
      <c r="C141">
        <f>Table1[[#This Row],[Close]]-0.001*Table1[[#This Row],[Close]]</f>
        <v>38102.329530000003</v>
      </c>
      <c r="D141">
        <f>Table1[[#This Row],[Close]]+0.001*Table1[[#This Row],[Close]]</f>
        <v>38178.61047</v>
      </c>
      <c r="E141" t="str">
        <f>IF(Table1[[#This Row],[Close]]&gt;D140,"UP",IF(Table1[[#This Row],[Close]]&lt;C140,"Down","Constant"))</f>
        <v>UP</v>
      </c>
      <c r="F141" s="3">
        <f>IF(Table1[[#This Row],[Column1]]="Up",1,IF(Table1[[#This Row],[Column1]]="Down",-1,0))</f>
        <v>1</v>
      </c>
      <c r="G141">
        <f t="shared" si="181"/>
        <v>0</v>
      </c>
      <c r="H141" s="18">
        <f t="shared" si="182"/>
        <v>0</v>
      </c>
      <c r="I141" s="18">
        <f t="shared" si="183"/>
        <v>0</v>
      </c>
      <c r="J141" s="18">
        <f t="shared" si="184"/>
        <v>0</v>
      </c>
      <c r="K141" s="18">
        <f t="shared" si="185"/>
        <v>0</v>
      </c>
      <c r="L141" s="18">
        <f t="shared" si="186"/>
        <v>0</v>
      </c>
      <c r="M141" s="18">
        <f t="shared" si="187"/>
        <v>0</v>
      </c>
      <c r="N141" s="18">
        <f t="shared" si="188"/>
        <v>0</v>
      </c>
      <c r="O141" s="18">
        <f t="shared" si="189"/>
        <v>0</v>
      </c>
      <c r="P141" s="18">
        <f t="shared" si="190"/>
        <v>0</v>
      </c>
      <c r="Q141" s="18">
        <f t="shared" si="191"/>
        <v>0</v>
      </c>
      <c r="R141" s="18">
        <f t="shared" si="192"/>
        <v>0</v>
      </c>
      <c r="S141" s="18">
        <f t="shared" si="193"/>
        <v>1</v>
      </c>
      <c r="T141" s="18">
        <f t="shared" si="194"/>
        <v>0</v>
      </c>
      <c r="U141" s="18">
        <f t="shared" si="195"/>
        <v>0</v>
      </c>
      <c r="V141" s="18">
        <f t="shared" si="196"/>
        <v>0</v>
      </c>
      <c r="W141" s="18">
        <f t="shared" si="197"/>
        <v>0</v>
      </c>
      <c r="X141" s="18">
        <f t="shared" si="198"/>
        <v>0</v>
      </c>
      <c r="Y141" s="18">
        <f t="shared" si="199"/>
        <v>0</v>
      </c>
      <c r="Z141" s="18">
        <f t="shared" si="200"/>
        <v>0</v>
      </c>
      <c r="AA141" s="18">
        <f t="shared" si="201"/>
        <v>0</v>
      </c>
      <c r="AB141" s="18">
        <f t="shared" si="202"/>
        <v>0</v>
      </c>
      <c r="AC141" s="18">
        <f t="shared" si="203"/>
        <v>0</v>
      </c>
      <c r="AD141" s="18">
        <f t="shared" si="204"/>
        <v>0</v>
      </c>
      <c r="AE141" s="18">
        <f t="shared" si="205"/>
        <v>0</v>
      </c>
      <c r="AF141" s="18">
        <f t="shared" si="206"/>
        <v>0</v>
      </c>
      <c r="AG141" s="18">
        <f t="shared" si="207"/>
        <v>0</v>
      </c>
      <c r="AH141" s="18">
        <f t="shared" si="208"/>
        <v>0</v>
      </c>
      <c r="AI141" s="18">
        <f t="shared" si="209"/>
        <v>0</v>
      </c>
      <c r="AJ141" s="18">
        <f t="shared" si="210"/>
        <v>0</v>
      </c>
      <c r="AK141" s="18">
        <f t="shared" si="211"/>
        <v>0</v>
      </c>
      <c r="AL141" s="18">
        <f t="shared" si="212"/>
        <v>0</v>
      </c>
      <c r="AM141" s="18">
        <f t="shared" si="213"/>
        <v>0</v>
      </c>
      <c r="AN141" s="18">
        <f t="shared" si="214"/>
        <v>0</v>
      </c>
      <c r="AO141" s="18">
        <f t="shared" si="215"/>
        <v>0</v>
      </c>
      <c r="AP141" s="18">
        <f t="shared" si="216"/>
        <v>0</v>
      </c>
      <c r="AQ141" s="18">
        <f t="shared" si="217"/>
        <v>0</v>
      </c>
      <c r="AR141" s="18">
        <f t="shared" si="218"/>
        <v>0</v>
      </c>
      <c r="AS141" s="18">
        <f t="shared" si="219"/>
        <v>0</v>
      </c>
      <c r="AT141" s="18">
        <f t="shared" si="220"/>
        <v>0</v>
      </c>
      <c r="AU141" s="18">
        <f t="shared" si="221"/>
        <v>0</v>
      </c>
      <c r="AV141" s="18">
        <f t="shared" si="222"/>
        <v>0</v>
      </c>
      <c r="AW141" s="18">
        <f t="shared" si="223"/>
        <v>0</v>
      </c>
      <c r="AX141" s="18">
        <f t="shared" si="224"/>
        <v>0</v>
      </c>
      <c r="AY141" s="18">
        <f t="shared" si="225"/>
        <v>0</v>
      </c>
      <c r="AZ141" s="18">
        <f t="shared" si="226"/>
        <v>0</v>
      </c>
      <c r="BA141" s="18">
        <f t="shared" si="227"/>
        <v>0</v>
      </c>
      <c r="BB141" s="18">
        <f t="shared" si="228"/>
        <v>0</v>
      </c>
      <c r="BC141" s="18">
        <f t="shared" si="229"/>
        <v>0</v>
      </c>
      <c r="BD141" s="18">
        <f t="shared" si="230"/>
        <v>0</v>
      </c>
      <c r="BE141" s="18">
        <f t="shared" si="231"/>
        <v>0</v>
      </c>
      <c r="BF141" s="18">
        <f t="shared" si="232"/>
        <v>0</v>
      </c>
      <c r="BG141" s="18">
        <f t="shared" si="233"/>
        <v>0</v>
      </c>
      <c r="BH141" s="18">
        <f t="shared" si="234"/>
        <v>0</v>
      </c>
      <c r="BI141" s="18">
        <f t="shared" si="235"/>
        <v>0</v>
      </c>
      <c r="BJ141" s="18">
        <f t="shared" si="236"/>
        <v>0</v>
      </c>
      <c r="BK141" s="18">
        <f t="shared" si="237"/>
        <v>0</v>
      </c>
      <c r="BL141" s="18">
        <f t="shared" si="238"/>
        <v>0</v>
      </c>
      <c r="BM141" s="18">
        <f t="shared" si="239"/>
        <v>0</v>
      </c>
      <c r="BN141" s="18">
        <f t="shared" si="240"/>
        <v>0</v>
      </c>
      <c r="BO141" s="18">
        <f t="shared" si="241"/>
        <v>0</v>
      </c>
      <c r="BP141" s="18">
        <f t="shared" si="242"/>
        <v>0</v>
      </c>
      <c r="BQ141" s="18">
        <f t="shared" si="243"/>
        <v>0</v>
      </c>
      <c r="BR141" s="18">
        <f t="shared" si="244"/>
        <v>0</v>
      </c>
      <c r="BS141" s="18">
        <f t="shared" si="245"/>
        <v>0</v>
      </c>
      <c r="BT141" s="18">
        <f t="shared" si="246"/>
        <v>0</v>
      </c>
      <c r="BU141" s="18">
        <f t="shared" si="247"/>
        <v>0</v>
      </c>
      <c r="BV141" s="18">
        <f t="shared" si="248"/>
        <v>0</v>
      </c>
      <c r="BW141" s="18">
        <f t="shared" si="249"/>
        <v>0</v>
      </c>
      <c r="BX141" s="18">
        <f t="shared" si="250"/>
        <v>0</v>
      </c>
      <c r="BY141" s="18">
        <f t="shared" si="251"/>
        <v>0</v>
      </c>
      <c r="BZ141" s="18">
        <f t="shared" si="252"/>
        <v>0</v>
      </c>
      <c r="CA141" s="18">
        <f t="shared" si="253"/>
        <v>0</v>
      </c>
      <c r="CB141" s="18">
        <f t="shared" si="254"/>
        <v>0</v>
      </c>
      <c r="CC141" s="18">
        <f t="shared" si="255"/>
        <v>0</v>
      </c>
      <c r="CD141" s="18">
        <f t="shared" si="256"/>
        <v>0</v>
      </c>
      <c r="CE141" s="18">
        <f t="shared" si="257"/>
        <v>0</v>
      </c>
      <c r="CF141" s="18">
        <f t="shared" si="258"/>
        <v>0</v>
      </c>
      <c r="CG141" s="18">
        <f t="shared" si="259"/>
        <v>0</v>
      </c>
      <c r="CH141" s="18">
        <f t="shared" si="260"/>
        <v>0</v>
      </c>
      <c r="CI141" s="18">
        <f t="shared" si="261"/>
        <v>0</v>
      </c>
      <c r="CJ141" s="18">
        <f t="shared" si="262"/>
        <v>0</v>
      </c>
    </row>
    <row r="142" spans="1:88" x14ac:dyDescent="0.3">
      <c r="A142" s="1">
        <v>44036</v>
      </c>
      <c r="B142">
        <v>38128.9</v>
      </c>
      <c r="C142">
        <f>Table1[[#This Row],[Close]]-0.001*Table1[[#This Row],[Close]]</f>
        <v>38090.771099999998</v>
      </c>
      <c r="D142">
        <f>Table1[[#This Row],[Close]]+0.001*Table1[[#This Row],[Close]]</f>
        <v>38167.028900000005</v>
      </c>
      <c r="E142" t="str">
        <f>IF(Table1[[#This Row],[Close]]&gt;D141,"UP",IF(Table1[[#This Row],[Close]]&lt;C141,"Down","Constant"))</f>
        <v>Constant</v>
      </c>
      <c r="F142" s="3">
        <f>IF(Table1[[#This Row],[Column1]]="Up",1,IF(Table1[[#This Row],[Column1]]="Down",-1,0))</f>
        <v>0</v>
      </c>
      <c r="G142">
        <f t="shared" si="181"/>
        <v>0</v>
      </c>
      <c r="H142" s="18">
        <f t="shared" si="182"/>
        <v>0</v>
      </c>
      <c r="I142" s="18">
        <f t="shared" si="183"/>
        <v>0</v>
      </c>
      <c r="J142" s="18">
        <f t="shared" si="184"/>
        <v>0</v>
      </c>
      <c r="K142" s="18">
        <f t="shared" si="185"/>
        <v>0</v>
      </c>
      <c r="L142" s="18">
        <f t="shared" si="186"/>
        <v>0</v>
      </c>
      <c r="M142" s="18">
        <f t="shared" si="187"/>
        <v>0</v>
      </c>
      <c r="N142" s="18">
        <f t="shared" si="188"/>
        <v>0</v>
      </c>
      <c r="O142" s="18">
        <f t="shared" si="189"/>
        <v>1</v>
      </c>
      <c r="P142" s="18">
        <f t="shared" si="190"/>
        <v>0</v>
      </c>
      <c r="Q142" s="18">
        <f t="shared" si="191"/>
        <v>0</v>
      </c>
      <c r="R142" s="18">
        <f t="shared" si="192"/>
        <v>0</v>
      </c>
      <c r="S142" s="18">
        <f t="shared" si="193"/>
        <v>0</v>
      </c>
      <c r="T142" s="18">
        <f t="shared" si="194"/>
        <v>0</v>
      </c>
      <c r="U142" s="18">
        <f t="shared" si="195"/>
        <v>0</v>
      </c>
      <c r="V142" s="18">
        <f t="shared" si="196"/>
        <v>0</v>
      </c>
      <c r="W142" s="18">
        <f t="shared" si="197"/>
        <v>0</v>
      </c>
      <c r="X142" s="18">
        <f t="shared" si="198"/>
        <v>0</v>
      </c>
      <c r="Y142" s="18">
        <f t="shared" si="199"/>
        <v>0</v>
      </c>
      <c r="Z142" s="18">
        <f t="shared" si="200"/>
        <v>0</v>
      </c>
      <c r="AA142" s="18">
        <f t="shared" si="201"/>
        <v>0</v>
      </c>
      <c r="AB142" s="18">
        <f t="shared" si="202"/>
        <v>0</v>
      </c>
      <c r="AC142" s="18">
        <f t="shared" si="203"/>
        <v>0</v>
      </c>
      <c r="AD142" s="18">
        <f t="shared" si="204"/>
        <v>0</v>
      </c>
      <c r="AE142" s="18">
        <f t="shared" si="205"/>
        <v>0</v>
      </c>
      <c r="AF142" s="18">
        <f t="shared" si="206"/>
        <v>0</v>
      </c>
      <c r="AG142" s="18">
        <f t="shared" si="207"/>
        <v>0</v>
      </c>
      <c r="AH142" s="18">
        <f t="shared" si="208"/>
        <v>0</v>
      </c>
      <c r="AI142" s="18">
        <f t="shared" si="209"/>
        <v>0</v>
      </c>
      <c r="AJ142" s="18">
        <f t="shared" si="210"/>
        <v>0</v>
      </c>
      <c r="AK142" s="18">
        <f t="shared" si="211"/>
        <v>0</v>
      </c>
      <c r="AL142" s="18">
        <f t="shared" si="212"/>
        <v>0</v>
      </c>
      <c r="AM142" s="18">
        <f t="shared" si="213"/>
        <v>0</v>
      </c>
      <c r="AN142" s="18">
        <f t="shared" si="214"/>
        <v>0</v>
      </c>
      <c r="AO142" s="18">
        <f t="shared" si="215"/>
        <v>0</v>
      </c>
      <c r="AP142" s="18">
        <f t="shared" si="216"/>
        <v>0</v>
      </c>
      <c r="AQ142" s="18">
        <f t="shared" si="217"/>
        <v>0</v>
      </c>
      <c r="AR142" s="18">
        <f t="shared" si="218"/>
        <v>0</v>
      </c>
      <c r="AS142" s="18">
        <f t="shared" si="219"/>
        <v>0</v>
      </c>
      <c r="AT142" s="18">
        <f t="shared" si="220"/>
        <v>0</v>
      </c>
      <c r="AU142" s="18">
        <f t="shared" si="221"/>
        <v>0</v>
      </c>
      <c r="AV142" s="18">
        <f t="shared" si="222"/>
        <v>0</v>
      </c>
      <c r="AW142" s="18">
        <f t="shared" si="223"/>
        <v>0</v>
      </c>
      <c r="AX142" s="18">
        <f t="shared" si="224"/>
        <v>0</v>
      </c>
      <c r="AY142" s="18">
        <f t="shared" si="225"/>
        <v>0</v>
      </c>
      <c r="AZ142" s="18">
        <f t="shared" si="226"/>
        <v>0</v>
      </c>
      <c r="BA142" s="18">
        <f t="shared" si="227"/>
        <v>0</v>
      </c>
      <c r="BB142" s="18">
        <f t="shared" si="228"/>
        <v>0</v>
      </c>
      <c r="BC142" s="18">
        <f t="shared" si="229"/>
        <v>0</v>
      </c>
      <c r="BD142" s="18">
        <f t="shared" si="230"/>
        <v>0</v>
      </c>
      <c r="BE142" s="18">
        <f t="shared" si="231"/>
        <v>0</v>
      </c>
      <c r="BF142" s="18">
        <f t="shared" si="232"/>
        <v>0</v>
      </c>
      <c r="BG142" s="18">
        <f t="shared" si="233"/>
        <v>0</v>
      </c>
      <c r="BH142" s="18">
        <f t="shared" si="234"/>
        <v>0</v>
      </c>
      <c r="BI142" s="18">
        <f t="shared" si="235"/>
        <v>0</v>
      </c>
      <c r="BJ142" s="18">
        <f t="shared" si="236"/>
        <v>0</v>
      </c>
      <c r="BK142" s="18">
        <f t="shared" si="237"/>
        <v>0</v>
      </c>
      <c r="BL142" s="18">
        <f t="shared" si="238"/>
        <v>0</v>
      </c>
      <c r="BM142" s="18">
        <f t="shared" si="239"/>
        <v>0</v>
      </c>
      <c r="BN142" s="18">
        <f t="shared" si="240"/>
        <v>0</v>
      </c>
      <c r="BO142" s="18">
        <f t="shared" si="241"/>
        <v>0</v>
      </c>
      <c r="BP142" s="18">
        <f t="shared" si="242"/>
        <v>0</v>
      </c>
      <c r="BQ142" s="18">
        <f t="shared" si="243"/>
        <v>0</v>
      </c>
      <c r="BR142" s="18">
        <f t="shared" si="244"/>
        <v>0</v>
      </c>
      <c r="BS142" s="18">
        <f t="shared" si="245"/>
        <v>0</v>
      </c>
      <c r="BT142" s="18">
        <f t="shared" si="246"/>
        <v>0</v>
      </c>
      <c r="BU142" s="18">
        <f t="shared" si="247"/>
        <v>0</v>
      </c>
      <c r="BV142" s="18">
        <f t="shared" si="248"/>
        <v>0</v>
      </c>
      <c r="BW142" s="18">
        <f t="shared" si="249"/>
        <v>0</v>
      </c>
      <c r="BX142" s="18">
        <f t="shared" si="250"/>
        <v>0</v>
      </c>
      <c r="BY142" s="18">
        <f t="shared" si="251"/>
        <v>0</v>
      </c>
      <c r="BZ142" s="18">
        <f t="shared" si="252"/>
        <v>0</v>
      </c>
      <c r="CA142" s="18">
        <f t="shared" si="253"/>
        <v>0</v>
      </c>
      <c r="CB142" s="18">
        <f t="shared" si="254"/>
        <v>0</v>
      </c>
      <c r="CC142" s="18">
        <f t="shared" si="255"/>
        <v>0</v>
      </c>
      <c r="CD142" s="18">
        <f t="shared" si="256"/>
        <v>0</v>
      </c>
      <c r="CE142" s="18">
        <f t="shared" si="257"/>
        <v>0</v>
      </c>
      <c r="CF142" s="18">
        <f t="shared" si="258"/>
        <v>0</v>
      </c>
      <c r="CG142" s="18">
        <f t="shared" si="259"/>
        <v>0</v>
      </c>
      <c r="CH142" s="18">
        <f t="shared" si="260"/>
        <v>0</v>
      </c>
      <c r="CI142" s="18">
        <f t="shared" si="261"/>
        <v>0</v>
      </c>
      <c r="CJ142" s="18">
        <f t="shared" si="262"/>
        <v>0</v>
      </c>
    </row>
    <row r="143" spans="1:88" x14ac:dyDescent="0.3">
      <c r="A143" s="1">
        <v>44039</v>
      </c>
      <c r="B143">
        <v>37934.730000000003</v>
      </c>
      <c r="C143">
        <f>Table1[[#This Row],[Close]]-0.001*Table1[[#This Row],[Close]]</f>
        <v>37896.795270000002</v>
      </c>
      <c r="D143">
        <f>Table1[[#This Row],[Close]]+0.001*Table1[[#This Row],[Close]]</f>
        <v>37972.664730000004</v>
      </c>
      <c r="E143" t="str">
        <f>IF(Table1[[#This Row],[Close]]&gt;D142,"UP",IF(Table1[[#This Row],[Close]]&lt;C142,"Down","Constant"))</f>
        <v>Down</v>
      </c>
      <c r="F143" s="3">
        <f>IF(Table1[[#This Row],[Column1]]="Up",1,IF(Table1[[#This Row],[Column1]]="Down",-1,0))</f>
        <v>-1</v>
      </c>
      <c r="G143">
        <f t="shared" si="181"/>
        <v>0</v>
      </c>
      <c r="H143" s="18">
        <f t="shared" si="182"/>
        <v>0</v>
      </c>
      <c r="I143" s="18">
        <f t="shared" si="183"/>
        <v>0</v>
      </c>
      <c r="J143" s="18">
        <f t="shared" si="184"/>
        <v>0</v>
      </c>
      <c r="K143" s="18">
        <f t="shared" si="185"/>
        <v>0</v>
      </c>
      <c r="L143" s="18">
        <f t="shared" si="186"/>
        <v>0</v>
      </c>
      <c r="M143" s="18">
        <f t="shared" si="187"/>
        <v>0</v>
      </c>
      <c r="N143" s="18">
        <f t="shared" si="188"/>
        <v>0</v>
      </c>
      <c r="O143" s="18">
        <f t="shared" si="189"/>
        <v>0</v>
      </c>
      <c r="P143" s="18">
        <f t="shared" si="190"/>
        <v>0</v>
      </c>
      <c r="Q143" s="18">
        <f t="shared" si="191"/>
        <v>0</v>
      </c>
      <c r="R143" s="18">
        <f t="shared" si="192"/>
        <v>0</v>
      </c>
      <c r="S143" s="18">
        <f t="shared" si="193"/>
        <v>0</v>
      </c>
      <c r="T143" s="18">
        <f t="shared" si="194"/>
        <v>0</v>
      </c>
      <c r="U143" s="18">
        <f t="shared" si="195"/>
        <v>0</v>
      </c>
      <c r="V143" s="18">
        <f t="shared" si="196"/>
        <v>0</v>
      </c>
      <c r="W143" s="18">
        <f t="shared" si="197"/>
        <v>0</v>
      </c>
      <c r="X143" s="18">
        <f t="shared" si="198"/>
        <v>0</v>
      </c>
      <c r="Y143" s="18">
        <f t="shared" si="199"/>
        <v>0</v>
      </c>
      <c r="Z143" s="18">
        <f t="shared" si="200"/>
        <v>0</v>
      </c>
      <c r="AA143" s="18">
        <f t="shared" si="201"/>
        <v>0</v>
      </c>
      <c r="AB143" s="18">
        <f t="shared" si="202"/>
        <v>0</v>
      </c>
      <c r="AC143" s="18">
        <f t="shared" si="203"/>
        <v>0</v>
      </c>
      <c r="AD143" s="18">
        <f t="shared" si="204"/>
        <v>0</v>
      </c>
      <c r="AE143" s="18">
        <f t="shared" si="205"/>
        <v>0</v>
      </c>
      <c r="AF143" s="18">
        <f t="shared" si="206"/>
        <v>0</v>
      </c>
      <c r="AG143" s="18">
        <f t="shared" si="207"/>
        <v>0</v>
      </c>
      <c r="AH143" s="18">
        <f t="shared" si="208"/>
        <v>0</v>
      </c>
      <c r="AI143" s="18">
        <f t="shared" si="209"/>
        <v>0</v>
      </c>
      <c r="AJ143" s="18">
        <f t="shared" si="210"/>
        <v>0</v>
      </c>
      <c r="AK143" s="18">
        <f t="shared" si="211"/>
        <v>0</v>
      </c>
      <c r="AL143" s="18">
        <f t="shared" si="212"/>
        <v>0</v>
      </c>
      <c r="AM143" s="18">
        <f t="shared" si="213"/>
        <v>0</v>
      </c>
      <c r="AN143" s="18">
        <f t="shared" si="214"/>
        <v>0</v>
      </c>
      <c r="AO143" s="18">
        <f t="shared" si="215"/>
        <v>0</v>
      </c>
      <c r="AP143" s="18">
        <f t="shared" si="216"/>
        <v>0</v>
      </c>
      <c r="AQ143" s="18">
        <f t="shared" si="217"/>
        <v>0</v>
      </c>
      <c r="AR143" s="18">
        <f t="shared" si="218"/>
        <v>0</v>
      </c>
      <c r="AS143" s="18">
        <f t="shared" si="219"/>
        <v>0</v>
      </c>
      <c r="AT143" s="18">
        <f t="shared" si="220"/>
        <v>0</v>
      </c>
      <c r="AU143" s="18">
        <f t="shared" si="221"/>
        <v>0</v>
      </c>
      <c r="AV143" s="18">
        <f t="shared" si="222"/>
        <v>0</v>
      </c>
      <c r="AW143" s="18">
        <f t="shared" si="223"/>
        <v>0</v>
      </c>
      <c r="AX143" s="18">
        <f t="shared" si="224"/>
        <v>0</v>
      </c>
      <c r="AY143" s="18">
        <f t="shared" si="225"/>
        <v>0</v>
      </c>
      <c r="AZ143" s="18">
        <f t="shared" si="226"/>
        <v>0</v>
      </c>
      <c r="BA143" s="18">
        <f t="shared" si="227"/>
        <v>0</v>
      </c>
      <c r="BB143" s="18">
        <f t="shared" si="228"/>
        <v>0</v>
      </c>
      <c r="BC143" s="18">
        <f t="shared" si="229"/>
        <v>0</v>
      </c>
      <c r="BD143" s="18">
        <f t="shared" si="230"/>
        <v>0</v>
      </c>
      <c r="BE143" s="18">
        <f t="shared" si="231"/>
        <v>0</v>
      </c>
      <c r="BF143" s="18">
        <f t="shared" si="232"/>
        <v>0</v>
      </c>
      <c r="BG143" s="18">
        <f t="shared" si="233"/>
        <v>1</v>
      </c>
      <c r="BH143" s="18">
        <f t="shared" si="234"/>
        <v>0</v>
      </c>
      <c r="BI143" s="18">
        <f t="shared" si="235"/>
        <v>0</v>
      </c>
      <c r="BJ143" s="18">
        <f t="shared" si="236"/>
        <v>0</v>
      </c>
      <c r="BK143" s="18">
        <f t="shared" si="237"/>
        <v>0</v>
      </c>
      <c r="BL143" s="18">
        <f t="shared" si="238"/>
        <v>0</v>
      </c>
      <c r="BM143" s="18">
        <f t="shared" si="239"/>
        <v>0</v>
      </c>
      <c r="BN143" s="18">
        <f t="shared" si="240"/>
        <v>0</v>
      </c>
      <c r="BO143" s="18">
        <f t="shared" si="241"/>
        <v>0</v>
      </c>
      <c r="BP143" s="18">
        <f t="shared" si="242"/>
        <v>0</v>
      </c>
      <c r="BQ143" s="18">
        <f t="shared" si="243"/>
        <v>0</v>
      </c>
      <c r="BR143" s="18">
        <f t="shared" si="244"/>
        <v>0</v>
      </c>
      <c r="BS143" s="18">
        <f t="shared" si="245"/>
        <v>0</v>
      </c>
      <c r="BT143" s="18">
        <f t="shared" si="246"/>
        <v>0</v>
      </c>
      <c r="BU143" s="18">
        <f t="shared" si="247"/>
        <v>0</v>
      </c>
      <c r="BV143" s="18">
        <f t="shared" si="248"/>
        <v>0</v>
      </c>
      <c r="BW143" s="18">
        <f t="shared" si="249"/>
        <v>0</v>
      </c>
      <c r="BX143" s="18">
        <f t="shared" si="250"/>
        <v>0</v>
      </c>
      <c r="BY143" s="18">
        <f t="shared" si="251"/>
        <v>0</v>
      </c>
      <c r="BZ143" s="18">
        <f t="shared" si="252"/>
        <v>0</v>
      </c>
      <c r="CA143" s="18">
        <f t="shared" si="253"/>
        <v>0</v>
      </c>
      <c r="CB143" s="18">
        <f t="shared" si="254"/>
        <v>0</v>
      </c>
      <c r="CC143" s="18">
        <f t="shared" si="255"/>
        <v>0</v>
      </c>
      <c r="CD143" s="18">
        <f t="shared" si="256"/>
        <v>0</v>
      </c>
      <c r="CE143" s="18">
        <f t="shared" si="257"/>
        <v>0</v>
      </c>
      <c r="CF143" s="18">
        <f t="shared" si="258"/>
        <v>0</v>
      </c>
      <c r="CG143" s="18">
        <f t="shared" si="259"/>
        <v>0</v>
      </c>
      <c r="CH143" s="18">
        <f t="shared" si="260"/>
        <v>0</v>
      </c>
      <c r="CI143" s="18">
        <f t="shared" si="261"/>
        <v>0</v>
      </c>
      <c r="CJ143" s="18">
        <f t="shared" si="262"/>
        <v>0</v>
      </c>
    </row>
    <row r="144" spans="1:88" x14ac:dyDescent="0.3">
      <c r="A144" s="1">
        <v>44040</v>
      </c>
      <c r="B144">
        <v>38492.949999999997</v>
      </c>
      <c r="C144">
        <f>Table1[[#This Row],[Close]]-0.001*Table1[[#This Row],[Close]]</f>
        <v>38454.457049999997</v>
      </c>
      <c r="D144">
        <f>Table1[[#This Row],[Close]]+0.001*Table1[[#This Row],[Close]]</f>
        <v>38531.442949999997</v>
      </c>
      <c r="E144" t="str">
        <f>IF(Table1[[#This Row],[Close]]&gt;D143,"UP",IF(Table1[[#This Row],[Close]]&lt;C143,"Down","Constant"))</f>
        <v>UP</v>
      </c>
      <c r="F144" s="3">
        <f>IF(Table1[[#This Row],[Column1]]="Up",1,IF(Table1[[#This Row],[Column1]]="Down",-1,0))</f>
        <v>1</v>
      </c>
      <c r="G144">
        <f t="shared" si="181"/>
        <v>0</v>
      </c>
      <c r="H144" s="18">
        <f t="shared" si="182"/>
        <v>0</v>
      </c>
      <c r="I144" s="18">
        <f t="shared" si="183"/>
        <v>0</v>
      </c>
      <c r="J144" s="18">
        <f t="shared" si="184"/>
        <v>0</v>
      </c>
      <c r="K144" s="18">
        <f t="shared" si="185"/>
        <v>0</v>
      </c>
      <c r="L144" s="18">
        <f t="shared" si="186"/>
        <v>0</v>
      </c>
      <c r="M144" s="18">
        <f t="shared" si="187"/>
        <v>0</v>
      </c>
      <c r="N144" s="18">
        <f t="shared" si="188"/>
        <v>0</v>
      </c>
      <c r="O144" s="18">
        <f t="shared" si="189"/>
        <v>0</v>
      </c>
      <c r="P144" s="18">
        <f t="shared" si="190"/>
        <v>0</v>
      </c>
      <c r="Q144" s="18">
        <f t="shared" si="191"/>
        <v>0</v>
      </c>
      <c r="R144" s="18">
        <f t="shared" si="192"/>
        <v>0</v>
      </c>
      <c r="S144" s="18">
        <f t="shared" si="193"/>
        <v>0</v>
      </c>
      <c r="T144" s="18">
        <f t="shared" si="194"/>
        <v>0</v>
      </c>
      <c r="U144" s="18">
        <f t="shared" si="195"/>
        <v>0</v>
      </c>
      <c r="V144" s="18">
        <f t="shared" si="196"/>
        <v>0</v>
      </c>
      <c r="W144" s="18">
        <f t="shared" si="197"/>
        <v>0</v>
      </c>
      <c r="X144" s="18">
        <f t="shared" si="198"/>
        <v>0</v>
      </c>
      <c r="Y144" s="18">
        <f t="shared" si="199"/>
        <v>0</v>
      </c>
      <c r="Z144" s="18">
        <f t="shared" si="200"/>
        <v>0</v>
      </c>
      <c r="AA144" s="18">
        <f t="shared" si="201"/>
        <v>0</v>
      </c>
      <c r="AB144" s="18">
        <f t="shared" si="202"/>
        <v>0</v>
      </c>
      <c r="AC144" s="18">
        <f t="shared" si="203"/>
        <v>0</v>
      </c>
      <c r="AD144" s="18">
        <f t="shared" si="204"/>
        <v>0</v>
      </c>
      <c r="AE144" s="18">
        <f t="shared" si="205"/>
        <v>0</v>
      </c>
      <c r="AF144" s="18">
        <f t="shared" si="206"/>
        <v>0</v>
      </c>
      <c r="AG144" s="18">
        <f t="shared" si="207"/>
        <v>0</v>
      </c>
      <c r="AH144" s="18">
        <f t="shared" si="208"/>
        <v>0</v>
      </c>
      <c r="AI144" s="18">
        <f t="shared" si="209"/>
        <v>0</v>
      </c>
      <c r="AJ144" s="18">
        <f t="shared" si="210"/>
        <v>0</v>
      </c>
      <c r="AK144" s="18">
        <f t="shared" si="211"/>
        <v>0</v>
      </c>
      <c r="AL144" s="18">
        <f t="shared" si="212"/>
        <v>0</v>
      </c>
      <c r="AM144" s="18">
        <f t="shared" si="213"/>
        <v>0</v>
      </c>
      <c r="AN144" s="18">
        <f t="shared" si="214"/>
        <v>0</v>
      </c>
      <c r="AO144" s="18">
        <f t="shared" si="215"/>
        <v>0</v>
      </c>
      <c r="AP144" s="18">
        <f t="shared" si="216"/>
        <v>0</v>
      </c>
      <c r="AQ144" s="18">
        <f t="shared" si="217"/>
        <v>0</v>
      </c>
      <c r="AR144" s="18">
        <f t="shared" si="218"/>
        <v>0</v>
      </c>
      <c r="AS144" s="18">
        <f t="shared" si="219"/>
        <v>0</v>
      </c>
      <c r="AT144" s="18">
        <f t="shared" si="220"/>
        <v>0</v>
      </c>
      <c r="AU144" s="18">
        <f t="shared" si="221"/>
        <v>0</v>
      </c>
      <c r="AV144" s="18">
        <f t="shared" si="222"/>
        <v>0</v>
      </c>
      <c r="AW144" s="18">
        <f t="shared" si="223"/>
        <v>0</v>
      </c>
      <c r="AX144" s="18">
        <f t="shared" si="224"/>
        <v>0</v>
      </c>
      <c r="AY144" s="18">
        <f t="shared" si="225"/>
        <v>0</v>
      </c>
      <c r="AZ144" s="18">
        <f t="shared" si="226"/>
        <v>0</v>
      </c>
      <c r="BA144" s="18">
        <f t="shared" si="227"/>
        <v>0</v>
      </c>
      <c r="BB144" s="18">
        <f t="shared" si="228"/>
        <v>0</v>
      </c>
      <c r="BC144" s="18">
        <f t="shared" si="229"/>
        <v>0</v>
      </c>
      <c r="BD144" s="18">
        <f t="shared" si="230"/>
        <v>0</v>
      </c>
      <c r="BE144" s="18">
        <f t="shared" si="231"/>
        <v>0</v>
      </c>
      <c r="BF144" s="18">
        <f t="shared" si="232"/>
        <v>0</v>
      </c>
      <c r="BG144" s="18">
        <f t="shared" si="233"/>
        <v>0</v>
      </c>
      <c r="BH144" s="18">
        <f t="shared" si="234"/>
        <v>0</v>
      </c>
      <c r="BI144" s="18">
        <f t="shared" si="235"/>
        <v>0</v>
      </c>
      <c r="BJ144" s="18">
        <f t="shared" si="236"/>
        <v>0</v>
      </c>
      <c r="BK144" s="18">
        <f t="shared" si="237"/>
        <v>0</v>
      </c>
      <c r="BL144" s="18">
        <f t="shared" si="238"/>
        <v>0</v>
      </c>
      <c r="BM144" s="18">
        <f t="shared" si="239"/>
        <v>0</v>
      </c>
      <c r="BN144" s="18">
        <f t="shared" si="240"/>
        <v>0</v>
      </c>
      <c r="BO144" s="18">
        <f t="shared" si="241"/>
        <v>0</v>
      </c>
      <c r="BP144" s="18">
        <f t="shared" si="242"/>
        <v>0</v>
      </c>
      <c r="BQ144" s="18">
        <f t="shared" si="243"/>
        <v>0</v>
      </c>
      <c r="BR144" s="18">
        <f t="shared" si="244"/>
        <v>1</v>
      </c>
      <c r="BS144" s="18">
        <f t="shared" si="245"/>
        <v>0</v>
      </c>
      <c r="BT144" s="18">
        <f t="shared" si="246"/>
        <v>0</v>
      </c>
      <c r="BU144" s="18">
        <f t="shared" si="247"/>
        <v>0</v>
      </c>
      <c r="BV144" s="18">
        <f t="shared" si="248"/>
        <v>0</v>
      </c>
      <c r="BW144" s="18">
        <f t="shared" si="249"/>
        <v>0</v>
      </c>
      <c r="BX144" s="18">
        <f t="shared" si="250"/>
        <v>0</v>
      </c>
      <c r="BY144" s="18">
        <f t="shared" si="251"/>
        <v>0</v>
      </c>
      <c r="BZ144" s="18">
        <f t="shared" si="252"/>
        <v>0</v>
      </c>
      <c r="CA144" s="18">
        <f t="shared" si="253"/>
        <v>0</v>
      </c>
      <c r="CB144" s="18">
        <f t="shared" si="254"/>
        <v>0</v>
      </c>
      <c r="CC144" s="18">
        <f t="shared" si="255"/>
        <v>0</v>
      </c>
      <c r="CD144" s="18">
        <f t="shared" si="256"/>
        <v>0</v>
      </c>
      <c r="CE144" s="18">
        <f t="shared" si="257"/>
        <v>0</v>
      </c>
      <c r="CF144" s="18">
        <f t="shared" si="258"/>
        <v>0</v>
      </c>
      <c r="CG144" s="18">
        <f t="shared" si="259"/>
        <v>0</v>
      </c>
      <c r="CH144" s="18">
        <f t="shared" si="260"/>
        <v>0</v>
      </c>
      <c r="CI144" s="18">
        <f t="shared" si="261"/>
        <v>0</v>
      </c>
      <c r="CJ144" s="18">
        <f t="shared" si="262"/>
        <v>0</v>
      </c>
    </row>
    <row r="145" spans="1:88" x14ac:dyDescent="0.3">
      <c r="A145" s="1">
        <v>44041</v>
      </c>
      <c r="B145">
        <v>38071.129999999997</v>
      </c>
      <c r="C145">
        <f>Table1[[#This Row],[Close]]-0.001*Table1[[#This Row],[Close]]</f>
        <v>38033.058870000001</v>
      </c>
      <c r="D145">
        <f>Table1[[#This Row],[Close]]+0.001*Table1[[#This Row],[Close]]</f>
        <v>38109.201129999994</v>
      </c>
      <c r="E145" t="str">
        <f>IF(Table1[[#This Row],[Close]]&gt;D144,"UP",IF(Table1[[#This Row],[Close]]&lt;C144,"Down","Constant"))</f>
        <v>Down</v>
      </c>
      <c r="F145" s="3">
        <f>IF(Table1[[#This Row],[Column1]]="Up",1,IF(Table1[[#This Row],[Column1]]="Down",-1,0))</f>
        <v>-1</v>
      </c>
      <c r="G145">
        <f t="shared" si="181"/>
        <v>1</v>
      </c>
      <c r="H145" s="18">
        <f t="shared" si="182"/>
        <v>0</v>
      </c>
      <c r="I145" s="18">
        <f t="shared" si="183"/>
        <v>0</v>
      </c>
      <c r="J145" s="18">
        <f t="shared" si="184"/>
        <v>0</v>
      </c>
      <c r="K145" s="18">
        <f t="shared" si="185"/>
        <v>0</v>
      </c>
      <c r="L145" s="18">
        <f t="shared" si="186"/>
        <v>0</v>
      </c>
      <c r="M145" s="18">
        <f t="shared" si="187"/>
        <v>0</v>
      </c>
      <c r="N145" s="18">
        <f t="shared" si="188"/>
        <v>0</v>
      </c>
      <c r="O145" s="18">
        <f t="shared" si="189"/>
        <v>0</v>
      </c>
      <c r="P145" s="18">
        <f t="shared" si="190"/>
        <v>0</v>
      </c>
      <c r="Q145" s="18">
        <f t="shared" si="191"/>
        <v>0</v>
      </c>
      <c r="R145" s="18">
        <f t="shared" si="192"/>
        <v>0</v>
      </c>
      <c r="S145" s="18">
        <f t="shared" si="193"/>
        <v>0</v>
      </c>
      <c r="T145" s="18">
        <f t="shared" si="194"/>
        <v>0</v>
      </c>
      <c r="U145" s="18">
        <f t="shared" si="195"/>
        <v>0</v>
      </c>
      <c r="V145" s="18">
        <f t="shared" si="196"/>
        <v>0</v>
      </c>
      <c r="W145" s="18">
        <f t="shared" si="197"/>
        <v>0</v>
      </c>
      <c r="X145" s="18">
        <f t="shared" si="198"/>
        <v>0</v>
      </c>
      <c r="Y145" s="18">
        <f t="shared" si="199"/>
        <v>0</v>
      </c>
      <c r="Z145" s="18">
        <f t="shared" si="200"/>
        <v>0</v>
      </c>
      <c r="AA145" s="18">
        <f t="shared" si="201"/>
        <v>0</v>
      </c>
      <c r="AB145" s="18">
        <f t="shared" si="202"/>
        <v>0</v>
      </c>
      <c r="AC145" s="18">
        <f t="shared" si="203"/>
        <v>0</v>
      </c>
      <c r="AD145" s="18">
        <f t="shared" si="204"/>
        <v>0</v>
      </c>
      <c r="AE145" s="18">
        <f t="shared" si="205"/>
        <v>0</v>
      </c>
      <c r="AF145" s="18">
        <f t="shared" si="206"/>
        <v>0</v>
      </c>
      <c r="AG145" s="18">
        <f t="shared" si="207"/>
        <v>0</v>
      </c>
      <c r="AH145" s="18">
        <f t="shared" si="208"/>
        <v>0</v>
      </c>
      <c r="AI145" s="18">
        <f t="shared" si="209"/>
        <v>0</v>
      </c>
      <c r="AJ145" s="18">
        <f t="shared" si="210"/>
        <v>0</v>
      </c>
      <c r="AK145" s="18">
        <f t="shared" si="211"/>
        <v>0</v>
      </c>
      <c r="AL145" s="18">
        <f t="shared" si="212"/>
        <v>0</v>
      </c>
      <c r="AM145" s="18">
        <f t="shared" si="213"/>
        <v>0</v>
      </c>
      <c r="AN145" s="18">
        <f t="shared" si="214"/>
        <v>0</v>
      </c>
      <c r="AO145" s="18">
        <f t="shared" si="215"/>
        <v>0</v>
      </c>
      <c r="AP145" s="18">
        <f t="shared" si="216"/>
        <v>0</v>
      </c>
      <c r="AQ145" s="18">
        <f t="shared" si="217"/>
        <v>0</v>
      </c>
      <c r="AR145" s="18">
        <f t="shared" si="218"/>
        <v>0</v>
      </c>
      <c r="AS145" s="18">
        <f t="shared" si="219"/>
        <v>0</v>
      </c>
      <c r="AT145" s="18">
        <f t="shared" si="220"/>
        <v>0</v>
      </c>
      <c r="AU145" s="18">
        <f t="shared" si="221"/>
        <v>0</v>
      </c>
      <c r="AV145" s="18">
        <f t="shared" si="222"/>
        <v>0</v>
      </c>
      <c r="AW145" s="18">
        <f t="shared" si="223"/>
        <v>0</v>
      </c>
      <c r="AX145" s="18">
        <f t="shared" si="224"/>
        <v>0</v>
      </c>
      <c r="AY145" s="18">
        <f t="shared" si="225"/>
        <v>0</v>
      </c>
      <c r="AZ145" s="18">
        <f t="shared" si="226"/>
        <v>0</v>
      </c>
      <c r="BA145" s="18">
        <f t="shared" si="227"/>
        <v>0</v>
      </c>
      <c r="BB145" s="18">
        <f t="shared" si="228"/>
        <v>0</v>
      </c>
      <c r="BC145" s="18">
        <f t="shared" si="229"/>
        <v>0</v>
      </c>
      <c r="BD145" s="18">
        <f t="shared" si="230"/>
        <v>0</v>
      </c>
      <c r="BE145" s="18">
        <f t="shared" si="231"/>
        <v>0</v>
      </c>
      <c r="BF145" s="18">
        <f t="shared" si="232"/>
        <v>0</v>
      </c>
      <c r="BG145" s="18">
        <f t="shared" si="233"/>
        <v>0</v>
      </c>
      <c r="BH145" s="18">
        <f t="shared" si="234"/>
        <v>0</v>
      </c>
      <c r="BI145" s="18">
        <f t="shared" si="235"/>
        <v>0</v>
      </c>
      <c r="BJ145" s="18">
        <f t="shared" si="236"/>
        <v>0</v>
      </c>
      <c r="BK145" s="18">
        <f t="shared" si="237"/>
        <v>0</v>
      </c>
      <c r="BL145" s="18">
        <f t="shared" si="238"/>
        <v>0</v>
      </c>
      <c r="BM145" s="18">
        <f t="shared" si="239"/>
        <v>0</v>
      </c>
      <c r="BN145" s="18">
        <f t="shared" si="240"/>
        <v>0</v>
      </c>
      <c r="BO145" s="18">
        <f t="shared" si="241"/>
        <v>0</v>
      </c>
      <c r="BP145" s="18">
        <f t="shared" si="242"/>
        <v>0</v>
      </c>
      <c r="BQ145" s="18">
        <f t="shared" si="243"/>
        <v>0</v>
      </c>
      <c r="BR145" s="18">
        <f t="shared" si="244"/>
        <v>0</v>
      </c>
      <c r="BS145" s="18">
        <f t="shared" si="245"/>
        <v>1</v>
      </c>
      <c r="BT145" s="18">
        <f t="shared" si="246"/>
        <v>0</v>
      </c>
      <c r="BU145" s="18">
        <f t="shared" si="247"/>
        <v>0</v>
      </c>
      <c r="BV145" s="18">
        <f t="shared" si="248"/>
        <v>0</v>
      </c>
      <c r="BW145" s="18">
        <f t="shared" si="249"/>
        <v>0</v>
      </c>
      <c r="BX145" s="18">
        <f t="shared" si="250"/>
        <v>0</v>
      </c>
      <c r="BY145" s="18">
        <f t="shared" si="251"/>
        <v>0</v>
      </c>
      <c r="BZ145" s="18">
        <f t="shared" si="252"/>
        <v>0</v>
      </c>
      <c r="CA145" s="18">
        <f t="shared" si="253"/>
        <v>0</v>
      </c>
      <c r="CB145" s="18">
        <f t="shared" si="254"/>
        <v>0</v>
      </c>
      <c r="CC145" s="18">
        <f t="shared" si="255"/>
        <v>0</v>
      </c>
      <c r="CD145" s="18">
        <f t="shared" si="256"/>
        <v>0</v>
      </c>
      <c r="CE145" s="18">
        <f t="shared" si="257"/>
        <v>0</v>
      </c>
      <c r="CF145" s="18">
        <f t="shared" si="258"/>
        <v>0</v>
      </c>
      <c r="CG145" s="18">
        <f t="shared" si="259"/>
        <v>0</v>
      </c>
      <c r="CH145" s="18">
        <f t="shared" si="260"/>
        <v>0</v>
      </c>
      <c r="CI145" s="18">
        <f t="shared" si="261"/>
        <v>0</v>
      </c>
      <c r="CJ145" s="18">
        <f t="shared" si="262"/>
        <v>0</v>
      </c>
    </row>
    <row r="146" spans="1:88" x14ac:dyDescent="0.3">
      <c r="A146" s="1">
        <v>44042</v>
      </c>
      <c r="B146">
        <v>37736.07</v>
      </c>
      <c r="C146">
        <f>Table1[[#This Row],[Close]]-0.001*Table1[[#This Row],[Close]]</f>
        <v>37698.333930000001</v>
      </c>
      <c r="D146">
        <f>Table1[[#This Row],[Close]]+0.001*Table1[[#This Row],[Close]]</f>
        <v>37773.806069999999</v>
      </c>
      <c r="E146" t="str">
        <f>IF(Table1[[#This Row],[Close]]&gt;D145,"UP",IF(Table1[[#This Row],[Close]]&lt;C145,"Down","Constant"))</f>
        <v>Down</v>
      </c>
      <c r="F146" s="3">
        <f>IF(Table1[[#This Row],[Column1]]="Up",1,IF(Table1[[#This Row],[Column1]]="Down",-1,0))</f>
        <v>-1</v>
      </c>
      <c r="G146">
        <f t="shared" si="181"/>
        <v>0</v>
      </c>
      <c r="H146" s="18">
        <f t="shared" si="182"/>
        <v>0</v>
      </c>
      <c r="I146" s="18">
        <f t="shared" si="183"/>
        <v>0</v>
      </c>
      <c r="J146" s="18">
        <f t="shared" si="184"/>
        <v>0</v>
      </c>
      <c r="K146" s="18">
        <f t="shared" si="185"/>
        <v>0</v>
      </c>
      <c r="L146" s="18">
        <f t="shared" si="186"/>
        <v>0</v>
      </c>
      <c r="M146" s="18">
        <f t="shared" si="187"/>
        <v>0</v>
      </c>
      <c r="N146" s="18">
        <f t="shared" si="188"/>
        <v>0</v>
      </c>
      <c r="O146" s="18">
        <f t="shared" si="189"/>
        <v>0</v>
      </c>
      <c r="P146" s="18">
        <f t="shared" si="190"/>
        <v>0</v>
      </c>
      <c r="Q146" s="18">
        <f t="shared" si="191"/>
        <v>0</v>
      </c>
      <c r="R146" s="18">
        <f t="shared" si="192"/>
        <v>0</v>
      </c>
      <c r="S146" s="18">
        <f t="shared" si="193"/>
        <v>0</v>
      </c>
      <c r="T146" s="18">
        <f t="shared" si="194"/>
        <v>0</v>
      </c>
      <c r="U146" s="18">
        <f t="shared" si="195"/>
        <v>0</v>
      </c>
      <c r="V146" s="18">
        <f t="shared" si="196"/>
        <v>0</v>
      </c>
      <c r="W146" s="18">
        <f t="shared" si="197"/>
        <v>0</v>
      </c>
      <c r="X146" s="18">
        <f t="shared" si="198"/>
        <v>0</v>
      </c>
      <c r="Y146" s="18">
        <f t="shared" si="199"/>
        <v>0</v>
      </c>
      <c r="Z146" s="18">
        <f t="shared" si="200"/>
        <v>0</v>
      </c>
      <c r="AA146" s="18">
        <f t="shared" si="201"/>
        <v>0</v>
      </c>
      <c r="AB146" s="18">
        <f t="shared" si="202"/>
        <v>0</v>
      </c>
      <c r="AC146" s="18">
        <f t="shared" si="203"/>
        <v>1</v>
      </c>
      <c r="AD146" s="18">
        <f t="shared" si="204"/>
        <v>0</v>
      </c>
      <c r="AE146" s="18">
        <f t="shared" si="205"/>
        <v>0</v>
      </c>
      <c r="AF146" s="18">
        <f t="shared" si="206"/>
        <v>0</v>
      </c>
      <c r="AG146" s="18">
        <f t="shared" si="207"/>
        <v>0</v>
      </c>
      <c r="AH146" s="18">
        <f t="shared" si="208"/>
        <v>0</v>
      </c>
      <c r="AI146" s="18">
        <f t="shared" si="209"/>
        <v>0</v>
      </c>
      <c r="AJ146" s="18">
        <f t="shared" si="210"/>
        <v>0</v>
      </c>
      <c r="AK146" s="18">
        <f t="shared" si="211"/>
        <v>0</v>
      </c>
      <c r="AL146" s="18">
        <f t="shared" si="212"/>
        <v>0</v>
      </c>
      <c r="AM146" s="18">
        <f t="shared" si="213"/>
        <v>0</v>
      </c>
      <c r="AN146" s="18">
        <f t="shared" si="214"/>
        <v>0</v>
      </c>
      <c r="AO146" s="18">
        <f t="shared" si="215"/>
        <v>0</v>
      </c>
      <c r="AP146" s="18">
        <f t="shared" si="216"/>
        <v>0</v>
      </c>
      <c r="AQ146" s="18">
        <f t="shared" si="217"/>
        <v>0</v>
      </c>
      <c r="AR146" s="18">
        <f t="shared" si="218"/>
        <v>0</v>
      </c>
      <c r="AS146" s="18">
        <f t="shared" si="219"/>
        <v>0</v>
      </c>
      <c r="AT146" s="18">
        <f t="shared" si="220"/>
        <v>0</v>
      </c>
      <c r="AU146" s="18">
        <f t="shared" si="221"/>
        <v>0</v>
      </c>
      <c r="AV146" s="18">
        <f t="shared" si="222"/>
        <v>0</v>
      </c>
      <c r="AW146" s="18">
        <f t="shared" si="223"/>
        <v>0</v>
      </c>
      <c r="AX146" s="18">
        <f t="shared" si="224"/>
        <v>0</v>
      </c>
      <c r="AY146" s="18">
        <f t="shared" si="225"/>
        <v>0</v>
      </c>
      <c r="AZ146" s="18">
        <f t="shared" si="226"/>
        <v>0</v>
      </c>
      <c r="BA146" s="18">
        <f t="shared" si="227"/>
        <v>0</v>
      </c>
      <c r="BB146" s="18">
        <f t="shared" si="228"/>
        <v>0</v>
      </c>
      <c r="BC146" s="18">
        <f t="shared" si="229"/>
        <v>0</v>
      </c>
      <c r="BD146" s="18">
        <f t="shared" si="230"/>
        <v>0</v>
      </c>
      <c r="BE146" s="18">
        <f t="shared" si="231"/>
        <v>0</v>
      </c>
      <c r="BF146" s="18">
        <f t="shared" si="232"/>
        <v>0</v>
      </c>
      <c r="BG146" s="18">
        <f t="shared" si="233"/>
        <v>0</v>
      </c>
      <c r="BH146" s="18">
        <f t="shared" si="234"/>
        <v>0</v>
      </c>
      <c r="BI146" s="18">
        <f t="shared" si="235"/>
        <v>0</v>
      </c>
      <c r="BJ146" s="18">
        <f t="shared" si="236"/>
        <v>0</v>
      </c>
      <c r="BK146" s="18">
        <f t="shared" si="237"/>
        <v>0</v>
      </c>
      <c r="BL146" s="18">
        <f t="shared" si="238"/>
        <v>0</v>
      </c>
      <c r="BM146" s="18">
        <f t="shared" si="239"/>
        <v>0</v>
      </c>
      <c r="BN146" s="18">
        <f t="shared" si="240"/>
        <v>0</v>
      </c>
      <c r="BO146" s="18">
        <f t="shared" si="241"/>
        <v>0</v>
      </c>
      <c r="BP146" s="18">
        <f t="shared" si="242"/>
        <v>0</v>
      </c>
      <c r="BQ146" s="18">
        <f t="shared" si="243"/>
        <v>0</v>
      </c>
      <c r="BR146" s="18">
        <f t="shared" si="244"/>
        <v>0</v>
      </c>
      <c r="BS146" s="18">
        <f t="shared" si="245"/>
        <v>0</v>
      </c>
      <c r="BT146" s="18">
        <f t="shared" si="246"/>
        <v>0</v>
      </c>
      <c r="BU146" s="18">
        <f t="shared" si="247"/>
        <v>0</v>
      </c>
      <c r="BV146" s="18">
        <f t="shared" si="248"/>
        <v>0</v>
      </c>
      <c r="BW146" s="18">
        <f t="shared" si="249"/>
        <v>0</v>
      </c>
      <c r="BX146" s="18">
        <f t="shared" si="250"/>
        <v>0</v>
      </c>
      <c r="BY146" s="18">
        <f t="shared" si="251"/>
        <v>0</v>
      </c>
      <c r="BZ146" s="18">
        <f t="shared" si="252"/>
        <v>0</v>
      </c>
      <c r="CA146" s="18">
        <f t="shared" si="253"/>
        <v>0</v>
      </c>
      <c r="CB146" s="18">
        <f t="shared" si="254"/>
        <v>0</v>
      </c>
      <c r="CC146" s="18">
        <f t="shared" si="255"/>
        <v>0</v>
      </c>
      <c r="CD146" s="18">
        <f t="shared" si="256"/>
        <v>0</v>
      </c>
      <c r="CE146" s="18">
        <f t="shared" si="257"/>
        <v>0</v>
      </c>
      <c r="CF146" s="18">
        <f t="shared" si="258"/>
        <v>0</v>
      </c>
      <c r="CG146" s="18">
        <f t="shared" si="259"/>
        <v>0</v>
      </c>
      <c r="CH146" s="18">
        <f t="shared" si="260"/>
        <v>0</v>
      </c>
      <c r="CI146" s="18">
        <f t="shared" si="261"/>
        <v>0</v>
      </c>
      <c r="CJ146" s="18">
        <f t="shared" si="262"/>
        <v>0</v>
      </c>
    </row>
    <row r="147" spans="1:88" x14ac:dyDescent="0.3">
      <c r="A147" s="1">
        <v>44043</v>
      </c>
      <c r="B147">
        <v>37606.89</v>
      </c>
      <c r="C147">
        <f>Table1[[#This Row],[Close]]-0.001*Table1[[#This Row],[Close]]</f>
        <v>37569.283109999997</v>
      </c>
      <c r="D147">
        <f>Table1[[#This Row],[Close]]+0.001*Table1[[#This Row],[Close]]</f>
        <v>37644.496890000002</v>
      </c>
      <c r="E147" t="str">
        <f>IF(Table1[[#This Row],[Close]]&gt;D146,"UP",IF(Table1[[#This Row],[Close]]&lt;C146,"Down","Constant"))</f>
        <v>Down</v>
      </c>
      <c r="F147" s="3">
        <f>IF(Table1[[#This Row],[Column1]]="Up",1,IF(Table1[[#This Row],[Column1]]="Down",-1,0))</f>
        <v>-1</v>
      </c>
      <c r="G147">
        <f t="shared" si="181"/>
        <v>0</v>
      </c>
      <c r="H147" s="18">
        <f t="shared" si="182"/>
        <v>0</v>
      </c>
      <c r="I147" s="18">
        <f t="shared" si="183"/>
        <v>0</v>
      </c>
      <c r="J147" s="18">
        <f t="shared" si="184"/>
        <v>0</v>
      </c>
      <c r="K147" s="18">
        <f t="shared" si="185"/>
        <v>0</v>
      </c>
      <c r="L147" s="18">
        <f t="shared" si="186"/>
        <v>0</v>
      </c>
      <c r="M147" s="18">
        <f t="shared" si="187"/>
        <v>0</v>
      </c>
      <c r="N147" s="18">
        <f t="shared" si="188"/>
        <v>0</v>
      </c>
      <c r="O147" s="18">
        <f t="shared" si="189"/>
        <v>0</v>
      </c>
      <c r="P147" s="18">
        <f t="shared" si="190"/>
        <v>0</v>
      </c>
      <c r="Q147" s="18">
        <f t="shared" si="191"/>
        <v>0</v>
      </c>
      <c r="R147" s="18">
        <f t="shared" si="192"/>
        <v>0</v>
      </c>
      <c r="S147" s="18">
        <f t="shared" si="193"/>
        <v>0</v>
      </c>
      <c r="T147" s="18">
        <f t="shared" si="194"/>
        <v>0</v>
      </c>
      <c r="U147" s="18">
        <f t="shared" si="195"/>
        <v>0</v>
      </c>
      <c r="V147" s="18">
        <f t="shared" si="196"/>
        <v>0</v>
      </c>
      <c r="W147" s="18">
        <f t="shared" si="197"/>
        <v>1</v>
      </c>
      <c r="X147" s="18">
        <f t="shared" si="198"/>
        <v>0</v>
      </c>
      <c r="Y147" s="18">
        <f t="shared" si="199"/>
        <v>0</v>
      </c>
      <c r="Z147" s="18">
        <f t="shared" si="200"/>
        <v>0</v>
      </c>
      <c r="AA147" s="18">
        <f t="shared" si="201"/>
        <v>0</v>
      </c>
      <c r="AB147" s="18">
        <f t="shared" si="202"/>
        <v>0</v>
      </c>
      <c r="AC147" s="18">
        <f t="shared" si="203"/>
        <v>0</v>
      </c>
      <c r="AD147" s="18">
        <f t="shared" si="204"/>
        <v>0</v>
      </c>
      <c r="AE147" s="18">
        <f t="shared" si="205"/>
        <v>0</v>
      </c>
      <c r="AF147" s="18">
        <f t="shared" si="206"/>
        <v>0</v>
      </c>
      <c r="AG147" s="18">
        <f t="shared" si="207"/>
        <v>0</v>
      </c>
      <c r="AH147" s="18">
        <f t="shared" si="208"/>
        <v>0</v>
      </c>
      <c r="AI147" s="18">
        <f t="shared" si="209"/>
        <v>0</v>
      </c>
      <c r="AJ147" s="18">
        <f t="shared" si="210"/>
        <v>0</v>
      </c>
      <c r="AK147" s="18">
        <f t="shared" si="211"/>
        <v>0</v>
      </c>
      <c r="AL147" s="18">
        <f t="shared" si="212"/>
        <v>0</v>
      </c>
      <c r="AM147" s="18">
        <f t="shared" si="213"/>
        <v>0</v>
      </c>
      <c r="AN147" s="18">
        <f t="shared" si="214"/>
        <v>0</v>
      </c>
      <c r="AO147" s="18">
        <f t="shared" si="215"/>
        <v>0</v>
      </c>
      <c r="AP147" s="18">
        <f t="shared" si="216"/>
        <v>0</v>
      </c>
      <c r="AQ147" s="18">
        <f t="shared" si="217"/>
        <v>0</v>
      </c>
      <c r="AR147" s="18">
        <f t="shared" si="218"/>
        <v>0</v>
      </c>
      <c r="AS147" s="18">
        <f t="shared" si="219"/>
        <v>0</v>
      </c>
      <c r="AT147" s="18">
        <f t="shared" si="220"/>
        <v>0</v>
      </c>
      <c r="AU147" s="18">
        <f t="shared" si="221"/>
        <v>0</v>
      </c>
      <c r="AV147" s="18">
        <f t="shared" si="222"/>
        <v>0</v>
      </c>
      <c r="AW147" s="18">
        <f t="shared" si="223"/>
        <v>0</v>
      </c>
      <c r="AX147" s="18">
        <f t="shared" si="224"/>
        <v>0</v>
      </c>
      <c r="AY147" s="18">
        <f t="shared" si="225"/>
        <v>0</v>
      </c>
      <c r="AZ147" s="18">
        <f t="shared" si="226"/>
        <v>0</v>
      </c>
      <c r="BA147" s="18">
        <f t="shared" si="227"/>
        <v>0</v>
      </c>
      <c r="BB147" s="18">
        <f t="shared" si="228"/>
        <v>0</v>
      </c>
      <c r="BC147" s="18">
        <f t="shared" si="229"/>
        <v>0</v>
      </c>
      <c r="BD147" s="18">
        <f t="shared" si="230"/>
        <v>0</v>
      </c>
      <c r="BE147" s="18">
        <f t="shared" si="231"/>
        <v>0</v>
      </c>
      <c r="BF147" s="18">
        <f t="shared" si="232"/>
        <v>0</v>
      </c>
      <c r="BG147" s="18">
        <f t="shared" si="233"/>
        <v>0</v>
      </c>
      <c r="BH147" s="18">
        <f t="shared" si="234"/>
        <v>0</v>
      </c>
      <c r="BI147" s="18">
        <f t="shared" si="235"/>
        <v>0</v>
      </c>
      <c r="BJ147" s="18">
        <f t="shared" si="236"/>
        <v>0</v>
      </c>
      <c r="BK147" s="18">
        <f t="shared" si="237"/>
        <v>0</v>
      </c>
      <c r="BL147" s="18">
        <f t="shared" si="238"/>
        <v>0</v>
      </c>
      <c r="BM147" s="18">
        <f t="shared" si="239"/>
        <v>0</v>
      </c>
      <c r="BN147" s="18">
        <f t="shared" si="240"/>
        <v>0</v>
      </c>
      <c r="BO147" s="18">
        <f t="shared" si="241"/>
        <v>0</v>
      </c>
      <c r="BP147" s="18">
        <f t="shared" si="242"/>
        <v>0</v>
      </c>
      <c r="BQ147" s="18">
        <f t="shared" si="243"/>
        <v>0</v>
      </c>
      <c r="BR147" s="18">
        <f t="shared" si="244"/>
        <v>0</v>
      </c>
      <c r="BS147" s="18">
        <f t="shared" si="245"/>
        <v>0</v>
      </c>
      <c r="BT147" s="18">
        <f t="shared" si="246"/>
        <v>0</v>
      </c>
      <c r="BU147" s="18">
        <f t="shared" si="247"/>
        <v>0</v>
      </c>
      <c r="BV147" s="18">
        <f t="shared" si="248"/>
        <v>0</v>
      </c>
      <c r="BW147" s="18">
        <f t="shared" si="249"/>
        <v>0</v>
      </c>
      <c r="BX147" s="18">
        <f t="shared" si="250"/>
        <v>0</v>
      </c>
      <c r="BY147" s="18">
        <f t="shared" si="251"/>
        <v>0</v>
      </c>
      <c r="BZ147" s="18">
        <f t="shared" si="252"/>
        <v>0</v>
      </c>
      <c r="CA147" s="18">
        <f t="shared" si="253"/>
        <v>0</v>
      </c>
      <c r="CB147" s="18">
        <f t="shared" si="254"/>
        <v>0</v>
      </c>
      <c r="CC147" s="18">
        <f t="shared" si="255"/>
        <v>0</v>
      </c>
      <c r="CD147" s="18">
        <f t="shared" si="256"/>
        <v>0</v>
      </c>
      <c r="CE147" s="18">
        <f t="shared" si="257"/>
        <v>0</v>
      </c>
      <c r="CF147" s="18">
        <f t="shared" si="258"/>
        <v>0</v>
      </c>
      <c r="CG147" s="18">
        <f t="shared" si="259"/>
        <v>0</v>
      </c>
      <c r="CH147" s="18">
        <f t="shared" si="260"/>
        <v>0</v>
      </c>
      <c r="CI147" s="18">
        <f t="shared" si="261"/>
        <v>0</v>
      </c>
      <c r="CJ147" s="18">
        <f t="shared" si="262"/>
        <v>0</v>
      </c>
    </row>
    <row r="148" spans="1:88" x14ac:dyDescent="0.3">
      <c r="A148" s="1">
        <v>44046</v>
      </c>
      <c r="B148">
        <v>36939.599999999999</v>
      </c>
      <c r="C148">
        <f>Table1[[#This Row],[Close]]-0.001*Table1[[#This Row],[Close]]</f>
        <v>36902.660400000001</v>
      </c>
      <c r="D148">
        <f>Table1[[#This Row],[Close]]+0.001*Table1[[#This Row],[Close]]</f>
        <v>36976.539599999996</v>
      </c>
      <c r="E148" t="str">
        <f>IF(Table1[[#This Row],[Close]]&gt;D147,"UP",IF(Table1[[#This Row],[Close]]&lt;C147,"Down","Constant"))</f>
        <v>Down</v>
      </c>
      <c r="F148" s="3">
        <f>IF(Table1[[#This Row],[Column1]]="Up",1,IF(Table1[[#This Row],[Column1]]="Down",-1,0))</f>
        <v>-1</v>
      </c>
      <c r="G148">
        <f t="shared" si="181"/>
        <v>0</v>
      </c>
      <c r="H148" s="18">
        <f t="shared" si="182"/>
        <v>0</v>
      </c>
      <c r="I148" s="18">
        <f t="shared" si="183"/>
        <v>0</v>
      </c>
      <c r="J148" s="18">
        <f t="shared" si="184"/>
        <v>0</v>
      </c>
      <c r="K148" s="18">
        <f t="shared" si="185"/>
        <v>0</v>
      </c>
      <c r="L148" s="18">
        <f t="shared" si="186"/>
        <v>0</v>
      </c>
      <c r="M148" s="18">
        <f t="shared" si="187"/>
        <v>0</v>
      </c>
      <c r="N148" s="18">
        <f t="shared" si="188"/>
        <v>0</v>
      </c>
      <c r="O148" s="18">
        <f t="shared" si="189"/>
        <v>0</v>
      </c>
      <c r="P148" s="18">
        <f t="shared" si="190"/>
        <v>0</v>
      </c>
      <c r="Q148" s="18">
        <f t="shared" si="191"/>
        <v>0</v>
      </c>
      <c r="R148" s="18">
        <f t="shared" si="192"/>
        <v>0</v>
      </c>
      <c r="S148" s="18">
        <f t="shared" si="193"/>
        <v>0</v>
      </c>
      <c r="T148" s="18">
        <f t="shared" si="194"/>
        <v>0</v>
      </c>
      <c r="U148" s="18">
        <f t="shared" si="195"/>
        <v>0</v>
      </c>
      <c r="V148" s="18">
        <f t="shared" si="196"/>
        <v>0</v>
      </c>
      <c r="W148" s="18">
        <f t="shared" si="197"/>
        <v>0</v>
      </c>
      <c r="X148" s="18">
        <f t="shared" si="198"/>
        <v>0</v>
      </c>
      <c r="Y148" s="18">
        <f t="shared" si="199"/>
        <v>0</v>
      </c>
      <c r="Z148" s="18">
        <f t="shared" si="200"/>
        <v>1</v>
      </c>
      <c r="AA148" s="18">
        <f t="shared" si="201"/>
        <v>0</v>
      </c>
      <c r="AB148" s="18">
        <f t="shared" si="202"/>
        <v>0</v>
      </c>
      <c r="AC148" s="18">
        <f t="shared" si="203"/>
        <v>0</v>
      </c>
      <c r="AD148" s="18">
        <f t="shared" si="204"/>
        <v>0</v>
      </c>
      <c r="AE148" s="18">
        <f t="shared" si="205"/>
        <v>0</v>
      </c>
      <c r="AF148" s="18">
        <f t="shared" si="206"/>
        <v>0</v>
      </c>
      <c r="AG148" s="18">
        <f t="shared" si="207"/>
        <v>0</v>
      </c>
      <c r="AH148" s="18">
        <f t="shared" si="208"/>
        <v>0</v>
      </c>
      <c r="AI148" s="18">
        <f t="shared" si="209"/>
        <v>0</v>
      </c>
      <c r="AJ148" s="18">
        <f t="shared" si="210"/>
        <v>0</v>
      </c>
      <c r="AK148" s="18">
        <f t="shared" si="211"/>
        <v>0</v>
      </c>
      <c r="AL148" s="18">
        <f t="shared" si="212"/>
        <v>0</v>
      </c>
      <c r="AM148" s="18">
        <f t="shared" si="213"/>
        <v>0</v>
      </c>
      <c r="AN148" s="18">
        <f t="shared" si="214"/>
        <v>0</v>
      </c>
      <c r="AO148" s="18">
        <f t="shared" si="215"/>
        <v>0</v>
      </c>
      <c r="AP148" s="18">
        <f t="shared" si="216"/>
        <v>0</v>
      </c>
      <c r="AQ148" s="18">
        <f t="shared" si="217"/>
        <v>0</v>
      </c>
      <c r="AR148" s="18">
        <f t="shared" si="218"/>
        <v>0</v>
      </c>
      <c r="AS148" s="18">
        <f t="shared" si="219"/>
        <v>0</v>
      </c>
      <c r="AT148" s="18">
        <f t="shared" si="220"/>
        <v>0</v>
      </c>
      <c r="AU148" s="18">
        <f t="shared" si="221"/>
        <v>0</v>
      </c>
      <c r="AV148" s="18">
        <f t="shared" si="222"/>
        <v>0</v>
      </c>
      <c r="AW148" s="18">
        <f t="shared" si="223"/>
        <v>0</v>
      </c>
      <c r="AX148" s="18">
        <f t="shared" si="224"/>
        <v>0</v>
      </c>
      <c r="AY148" s="18">
        <f t="shared" si="225"/>
        <v>0</v>
      </c>
      <c r="AZ148" s="18">
        <f t="shared" si="226"/>
        <v>0</v>
      </c>
      <c r="BA148" s="18">
        <f t="shared" si="227"/>
        <v>0</v>
      </c>
      <c r="BB148" s="18">
        <f t="shared" si="228"/>
        <v>0</v>
      </c>
      <c r="BC148" s="18">
        <f t="shared" si="229"/>
        <v>0</v>
      </c>
      <c r="BD148" s="18">
        <f t="shared" si="230"/>
        <v>0</v>
      </c>
      <c r="BE148" s="18">
        <f t="shared" si="231"/>
        <v>0</v>
      </c>
      <c r="BF148" s="18">
        <f t="shared" si="232"/>
        <v>0</v>
      </c>
      <c r="BG148" s="18">
        <f t="shared" si="233"/>
        <v>0</v>
      </c>
      <c r="BH148" s="18">
        <f t="shared" si="234"/>
        <v>0</v>
      </c>
      <c r="BI148" s="18">
        <f t="shared" si="235"/>
        <v>0</v>
      </c>
      <c r="BJ148" s="18">
        <f t="shared" si="236"/>
        <v>0</v>
      </c>
      <c r="BK148" s="18">
        <f t="shared" si="237"/>
        <v>0</v>
      </c>
      <c r="BL148" s="18">
        <f t="shared" si="238"/>
        <v>0</v>
      </c>
      <c r="BM148" s="18">
        <f t="shared" si="239"/>
        <v>0</v>
      </c>
      <c r="BN148" s="18">
        <f t="shared" si="240"/>
        <v>0</v>
      </c>
      <c r="BO148" s="18">
        <f t="shared" si="241"/>
        <v>0</v>
      </c>
      <c r="BP148" s="18">
        <f t="shared" si="242"/>
        <v>0</v>
      </c>
      <c r="BQ148" s="18">
        <f t="shared" si="243"/>
        <v>0</v>
      </c>
      <c r="BR148" s="18">
        <f t="shared" si="244"/>
        <v>0</v>
      </c>
      <c r="BS148" s="18">
        <f t="shared" si="245"/>
        <v>0</v>
      </c>
      <c r="BT148" s="18">
        <f t="shared" si="246"/>
        <v>0</v>
      </c>
      <c r="BU148" s="18">
        <f t="shared" si="247"/>
        <v>0</v>
      </c>
      <c r="BV148" s="18">
        <f t="shared" si="248"/>
        <v>0</v>
      </c>
      <c r="BW148" s="18">
        <f t="shared" si="249"/>
        <v>0</v>
      </c>
      <c r="BX148" s="18">
        <f t="shared" si="250"/>
        <v>0</v>
      </c>
      <c r="BY148" s="18">
        <f t="shared" si="251"/>
        <v>0</v>
      </c>
      <c r="BZ148" s="18">
        <f t="shared" si="252"/>
        <v>0</v>
      </c>
      <c r="CA148" s="18">
        <f t="shared" si="253"/>
        <v>0</v>
      </c>
      <c r="CB148" s="18">
        <f t="shared" si="254"/>
        <v>0</v>
      </c>
      <c r="CC148" s="18">
        <f t="shared" si="255"/>
        <v>0</v>
      </c>
      <c r="CD148" s="18">
        <f t="shared" si="256"/>
        <v>0</v>
      </c>
      <c r="CE148" s="18">
        <f t="shared" si="257"/>
        <v>0</v>
      </c>
      <c r="CF148" s="18">
        <f t="shared" si="258"/>
        <v>0</v>
      </c>
      <c r="CG148" s="18">
        <f t="shared" si="259"/>
        <v>0</v>
      </c>
      <c r="CH148" s="18">
        <f t="shared" si="260"/>
        <v>0</v>
      </c>
      <c r="CI148" s="18">
        <f t="shared" si="261"/>
        <v>0</v>
      </c>
      <c r="CJ148" s="18">
        <f t="shared" si="262"/>
        <v>0</v>
      </c>
    </row>
    <row r="149" spans="1:88" x14ac:dyDescent="0.3">
      <c r="A149" s="1">
        <v>44047</v>
      </c>
      <c r="B149">
        <v>37687.910000000003</v>
      </c>
      <c r="C149">
        <f>Table1[[#This Row],[Close]]-0.001*Table1[[#This Row],[Close]]</f>
        <v>37650.222090000003</v>
      </c>
      <c r="D149">
        <f>Table1[[#This Row],[Close]]+0.001*Table1[[#This Row],[Close]]</f>
        <v>37725.597910000004</v>
      </c>
      <c r="E149" t="str">
        <f>IF(Table1[[#This Row],[Close]]&gt;D148,"UP",IF(Table1[[#This Row],[Close]]&lt;C148,"Down","Constant"))</f>
        <v>UP</v>
      </c>
      <c r="F149" s="3">
        <f>IF(Table1[[#This Row],[Column1]]="Up",1,IF(Table1[[#This Row],[Column1]]="Down",-1,0))</f>
        <v>1</v>
      </c>
      <c r="G149">
        <f t="shared" si="181"/>
        <v>0</v>
      </c>
      <c r="H149" s="18">
        <f t="shared" si="182"/>
        <v>0</v>
      </c>
      <c r="I149" s="18">
        <f t="shared" si="183"/>
        <v>0</v>
      </c>
      <c r="J149" s="18">
        <f t="shared" si="184"/>
        <v>0</v>
      </c>
      <c r="K149" s="18">
        <f t="shared" si="185"/>
        <v>0</v>
      </c>
      <c r="L149" s="18">
        <f t="shared" si="186"/>
        <v>0</v>
      </c>
      <c r="M149" s="18">
        <f t="shared" si="187"/>
        <v>0</v>
      </c>
      <c r="N149" s="18">
        <f t="shared" si="188"/>
        <v>0</v>
      </c>
      <c r="O149" s="18">
        <f t="shared" si="189"/>
        <v>0</v>
      </c>
      <c r="P149" s="18">
        <f t="shared" si="190"/>
        <v>0</v>
      </c>
      <c r="Q149" s="18">
        <f t="shared" si="191"/>
        <v>0</v>
      </c>
      <c r="R149" s="18">
        <f t="shared" si="192"/>
        <v>0</v>
      </c>
      <c r="S149" s="18">
        <f t="shared" si="193"/>
        <v>0</v>
      </c>
      <c r="T149" s="18">
        <f t="shared" si="194"/>
        <v>0</v>
      </c>
      <c r="U149" s="18">
        <f t="shared" si="195"/>
        <v>0</v>
      </c>
      <c r="V149" s="18">
        <f t="shared" si="196"/>
        <v>0</v>
      </c>
      <c r="W149" s="18">
        <f t="shared" si="197"/>
        <v>0</v>
      </c>
      <c r="X149" s="18">
        <f t="shared" si="198"/>
        <v>0</v>
      </c>
      <c r="Y149" s="18">
        <f t="shared" si="199"/>
        <v>0</v>
      </c>
      <c r="Z149" s="18">
        <f t="shared" si="200"/>
        <v>0</v>
      </c>
      <c r="AA149" s="18">
        <f t="shared" si="201"/>
        <v>0</v>
      </c>
      <c r="AB149" s="18">
        <f t="shared" si="202"/>
        <v>1</v>
      </c>
      <c r="AC149" s="18">
        <f t="shared" si="203"/>
        <v>0</v>
      </c>
      <c r="AD149" s="18">
        <f t="shared" si="204"/>
        <v>0</v>
      </c>
      <c r="AE149" s="18">
        <f t="shared" si="205"/>
        <v>0</v>
      </c>
      <c r="AF149" s="18">
        <f t="shared" si="206"/>
        <v>0</v>
      </c>
      <c r="AG149" s="18">
        <f t="shared" si="207"/>
        <v>0</v>
      </c>
      <c r="AH149" s="18">
        <f t="shared" si="208"/>
        <v>0</v>
      </c>
      <c r="AI149" s="18">
        <f t="shared" si="209"/>
        <v>0</v>
      </c>
      <c r="AJ149" s="18">
        <f t="shared" si="210"/>
        <v>0</v>
      </c>
      <c r="AK149" s="18">
        <f t="shared" si="211"/>
        <v>0</v>
      </c>
      <c r="AL149" s="18">
        <f t="shared" si="212"/>
        <v>0</v>
      </c>
      <c r="AM149" s="18">
        <f t="shared" si="213"/>
        <v>0</v>
      </c>
      <c r="AN149" s="18">
        <f t="shared" si="214"/>
        <v>0</v>
      </c>
      <c r="AO149" s="18">
        <f t="shared" si="215"/>
        <v>0</v>
      </c>
      <c r="AP149" s="18">
        <f t="shared" si="216"/>
        <v>0</v>
      </c>
      <c r="AQ149" s="18">
        <f t="shared" si="217"/>
        <v>0</v>
      </c>
      <c r="AR149" s="18">
        <f t="shared" si="218"/>
        <v>0</v>
      </c>
      <c r="AS149" s="18">
        <f t="shared" si="219"/>
        <v>0</v>
      </c>
      <c r="AT149" s="18">
        <f t="shared" si="220"/>
        <v>0</v>
      </c>
      <c r="AU149" s="18">
        <f t="shared" si="221"/>
        <v>0</v>
      </c>
      <c r="AV149" s="18">
        <f t="shared" si="222"/>
        <v>0</v>
      </c>
      <c r="AW149" s="18">
        <f t="shared" si="223"/>
        <v>0</v>
      </c>
      <c r="AX149" s="18">
        <f t="shared" si="224"/>
        <v>0</v>
      </c>
      <c r="AY149" s="18">
        <f t="shared" si="225"/>
        <v>0</v>
      </c>
      <c r="AZ149" s="18">
        <f t="shared" si="226"/>
        <v>0</v>
      </c>
      <c r="BA149" s="18">
        <f t="shared" si="227"/>
        <v>0</v>
      </c>
      <c r="BB149" s="18">
        <f t="shared" si="228"/>
        <v>0</v>
      </c>
      <c r="BC149" s="18">
        <f t="shared" si="229"/>
        <v>0</v>
      </c>
      <c r="BD149" s="18">
        <f t="shared" si="230"/>
        <v>0</v>
      </c>
      <c r="BE149" s="18">
        <f t="shared" si="231"/>
        <v>0</v>
      </c>
      <c r="BF149" s="18">
        <f t="shared" si="232"/>
        <v>0</v>
      </c>
      <c r="BG149" s="18">
        <f t="shared" si="233"/>
        <v>0</v>
      </c>
      <c r="BH149" s="18">
        <f t="shared" si="234"/>
        <v>0</v>
      </c>
      <c r="BI149" s="18">
        <f t="shared" si="235"/>
        <v>0</v>
      </c>
      <c r="BJ149" s="18">
        <f t="shared" si="236"/>
        <v>0</v>
      </c>
      <c r="BK149" s="18">
        <f t="shared" si="237"/>
        <v>0</v>
      </c>
      <c r="BL149" s="18">
        <f t="shared" si="238"/>
        <v>0</v>
      </c>
      <c r="BM149" s="18">
        <f t="shared" si="239"/>
        <v>0</v>
      </c>
      <c r="BN149" s="18">
        <f t="shared" si="240"/>
        <v>0</v>
      </c>
      <c r="BO149" s="18">
        <f t="shared" si="241"/>
        <v>0</v>
      </c>
      <c r="BP149" s="18">
        <f t="shared" si="242"/>
        <v>0</v>
      </c>
      <c r="BQ149" s="18">
        <f t="shared" si="243"/>
        <v>0</v>
      </c>
      <c r="BR149" s="18">
        <f t="shared" si="244"/>
        <v>0</v>
      </c>
      <c r="BS149" s="18">
        <f t="shared" si="245"/>
        <v>0</v>
      </c>
      <c r="BT149" s="18">
        <f t="shared" si="246"/>
        <v>0</v>
      </c>
      <c r="BU149" s="18">
        <f t="shared" si="247"/>
        <v>0</v>
      </c>
      <c r="BV149" s="18">
        <f t="shared" si="248"/>
        <v>0</v>
      </c>
      <c r="BW149" s="18">
        <f t="shared" si="249"/>
        <v>0</v>
      </c>
      <c r="BX149" s="18">
        <f t="shared" si="250"/>
        <v>0</v>
      </c>
      <c r="BY149" s="18">
        <f t="shared" si="251"/>
        <v>0</v>
      </c>
      <c r="BZ149" s="18">
        <f t="shared" si="252"/>
        <v>0</v>
      </c>
      <c r="CA149" s="18">
        <f t="shared" si="253"/>
        <v>0</v>
      </c>
      <c r="CB149" s="18">
        <f t="shared" si="254"/>
        <v>0</v>
      </c>
      <c r="CC149" s="18">
        <f t="shared" si="255"/>
        <v>0</v>
      </c>
      <c r="CD149" s="18">
        <f t="shared" si="256"/>
        <v>0</v>
      </c>
      <c r="CE149" s="18">
        <f t="shared" si="257"/>
        <v>0</v>
      </c>
      <c r="CF149" s="18">
        <f t="shared" si="258"/>
        <v>0</v>
      </c>
      <c r="CG149" s="18">
        <f t="shared" si="259"/>
        <v>0</v>
      </c>
      <c r="CH149" s="18">
        <f t="shared" si="260"/>
        <v>0</v>
      </c>
      <c r="CI149" s="18">
        <f t="shared" si="261"/>
        <v>0</v>
      </c>
      <c r="CJ149" s="18">
        <f t="shared" si="262"/>
        <v>0</v>
      </c>
    </row>
    <row r="150" spans="1:88" x14ac:dyDescent="0.3">
      <c r="A150" s="1">
        <v>44048</v>
      </c>
      <c r="B150">
        <v>37663.33</v>
      </c>
      <c r="C150">
        <f>Table1[[#This Row],[Close]]-0.001*Table1[[#This Row],[Close]]</f>
        <v>37625.666669999999</v>
      </c>
      <c r="D150">
        <f>Table1[[#This Row],[Close]]+0.001*Table1[[#This Row],[Close]]</f>
        <v>37700.993330000005</v>
      </c>
      <c r="E150" t="str">
        <f>IF(Table1[[#This Row],[Close]]&gt;D149,"UP",IF(Table1[[#This Row],[Close]]&lt;C149,"Down","Constant"))</f>
        <v>Constant</v>
      </c>
      <c r="F150" s="3">
        <f>IF(Table1[[#This Row],[Column1]]="Up",1,IF(Table1[[#This Row],[Column1]]="Down",-1,0))</f>
        <v>0</v>
      </c>
      <c r="G150">
        <f t="shared" si="181"/>
        <v>0</v>
      </c>
      <c r="H150" s="18">
        <f t="shared" si="182"/>
        <v>0</v>
      </c>
      <c r="I150" s="18">
        <f t="shared" si="183"/>
        <v>0</v>
      </c>
      <c r="J150" s="18">
        <f t="shared" si="184"/>
        <v>0</v>
      </c>
      <c r="K150" s="18">
        <f t="shared" si="185"/>
        <v>0</v>
      </c>
      <c r="L150" s="18">
        <f t="shared" si="186"/>
        <v>0</v>
      </c>
      <c r="M150" s="18">
        <f t="shared" si="187"/>
        <v>0</v>
      </c>
      <c r="N150" s="18">
        <f t="shared" si="188"/>
        <v>0</v>
      </c>
      <c r="O150" s="18">
        <f t="shared" si="189"/>
        <v>0</v>
      </c>
      <c r="P150" s="18">
        <f t="shared" si="190"/>
        <v>0</v>
      </c>
      <c r="Q150" s="18">
        <f t="shared" si="191"/>
        <v>0</v>
      </c>
      <c r="R150" s="18">
        <f t="shared" si="192"/>
        <v>0</v>
      </c>
      <c r="S150" s="18">
        <f t="shared" si="193"/>
        <v>0</v>
      </c>
      <c r="T150" s="18">
        <f t="shared" si="194"/>
        <v>0</v>
      </c>
      <c r="U150" s="18">
        <f t="shared" si="195"/>
        <v>1</v>
      </c>
      <c r="V150" s="18">
        <f t="shared" si="196"/>
        <v>0</v>
      </c>
      <c r="W150" s="18">
        <f t="shared" si="197"/>
        <v>0</v>
      </c>
      <c r="X150" s="18">
        <f t="shared" si="198"/>
        <v>0</v>
      </c>
      <c r="Y150" s="18">
        <f t="shared" si="199"/>
        <v>0</v>
      </c>
      <c r="Z150" s="18">
        <f t="shared" si="200"/>
        <v>0</v>
      </c>
      <c r="AA150" s="18">
        <f t="shared" si="201"/>
        <v>0</v>
      </c>
      <c r="AB150" s="18">
        <f t="shared" si="202"/>
        <v>0</v>
      </c>
      <c r="AC150" s="18">
        <f t="shared" si="203"/>
        <v>0</v>
      </c>
      <c r="AD150" s="18">
        <f t="shared" si="204"/>
        <v>0</v>
      </c>
      <c r="AE150" s="18">
        <f t="shared" si="205"/>
        <v>0</v>
      </c>
      <c r="AF150" s="18">
        <f t="shared" si="206"/>
        <v>0</v>
      </c>
      <c r="AG150" s="18">
        <f t="shared" si="207"/>
        <v>0</v>
      </c>
      <c r="AH150" s="18">
        <f t="shared" si="208"/>
        <v>0</v>
      </c>
      <c r="AI150" s="18">
        <f t="shared" si="209"/>
        <v>0</v>
      </c>
      <c r="AJ150" s="18">
        <f t="shared" si="210"/>
        <v>0</v>
      </c>
      <c r="AK150" s="18">
        <f t="shared" si="211"/>
        <v>0</v>
      </c>
      <c r="AL150" s="18">
        <f t="shared" si="212"/>
        <v>0</v>
      </c>
      <c r="AM150" s="18">
        <f t="shared" si="213"/>
        <v>0</v>
      </c>
      <c r="AN150" s="18">
        <f t="shared" si="214"/>
        <v>0</v>
      </c>
      <c r="AO150" s="18">
        <f t="shared" si="215"/>
        <v>0</v>
      </c>
      <c r="AP150" s="18">
        <f t="shared" si="216"/>
        <v>0</v>
      </c>
      <c r="AQ150" s="18">
        <f t="shared" si="217"/>
        <v>0</v>
      </c>
      <c r="AR150" s="18">
        <f t="shared" si="218"/>
        <v>0</v>
      </c>
      <c r="AS150" s="18">
        <f t="shared" si="219"/>
        <v>0</v>
      </c>
      <c r="AT150" s="18">
        <f t="shared" si="220"/>
        <v>0</v>
      </c>
      <c r="AU150" s="18">
        <f t="shared" si="221"/>
        <v>0</v>
      </c>
      <c r="AV150" s="18">
        <f t="shared" si="222"/>
        <v>0</v>
      </c>
      <c r="AW150" s="18">
        <f t="shared" si="223"/>
        <v>0</v>
      </c>
      <c r="AX150" s="18">
        <f t="shared" si="224"/>
        <v>0</v>
      </c>
      <c r="AY150" s="18">
        <f t="shared" si="225"/>
        <v>0</v>
      </c>
      <c r="AZ150" s="18">
        <f t="shared" si="226"/>
        <v>0</v>
      </c>
      <c r="BA150" s="18">
        <f t="shared" si="227"/>
        <v>0</v>
      </c>
      <c r="BB150" s="18">
        <f t="shared" si="228"/>
        <v>0</v>
      </c>
      <c r="BC150" s="18">
        <f t="shared" si="229"/>
        <v>0</v>
      </c>
      <c r="BD150" s="18">
        <f t="shared" si="230"/>
        <v>0</v>
      </c>
      <c r="BE150" s="18">
        <f t="shared" si="231"/>
        <v>0</v>
      </c>
      <c r="BF150" s="18">
        <f t="shared" si="232"/>
        <v>0</v>
      </c>
      <c r="BG150" s="18">
        <f t="shared" si="233"/>
        <v>0</v>
      </c>
      <c r="BH150" s="18">
        <f t="shared" si="234"/>
        <v>0</v>
      </c>
      <c r="BI150" s="18">
        <f t="shared" si="235"/>
        <v>0</v>
      </c>
      <c r="BJ150" s="18">
        <f t="shared" si="236"/>
        <v>0</v>
      </c>
      <c r="BK150" s="18">
        <f t="shared" si="237"/>
        <v>0</v>
      </c>
      <c r="BL150" s="18">
        <f t="shared" si="238"/>
        <v>0</v>
      </c>
      <c r="BM150" s="18">
        <f t="shared" si="239"/>
        <v>0</v>
      </c>
      <c r="BN150" s="18">
        <f t="shared" si="240"/>
        <v>0</v>
      </c>
      <c r="BO150" s="18">
        <f t="shared" si="241"/>
        <v>0</v>
      </c>
      <c r="BP150" s="18">
        <f t="shared" si="242"/>
        <v>0</v>
      </c>
      <c r="BQ150" s="18">
        <f t="shared" si="243"/>
        <v>0</v>
      </c>
      <c r="BR150" s="18">
        <f t="shared" si="244"/>
        <v>0</v>
      </c>
      <c r="BS150" s="18">
        <f t="shared" si="245"/>
        <v>0</v>
      </c>
      <c r="BT150" s="18">
        <f t="shared" si="246"/>
        <v>0</v>
      </c>
      <c r="BU150" s="18">
        <f t="shared" si="247"/>
        <v>0</v>
      </c>
      <c r="BV150" s="18">
        <f t="shared" si="248"/>
        <v>0</v>
      </c>
      <c r="BW150" s="18">
        <f t="shared" si="249"/>
        <v>0</v>
      </c>
      <c r="BX150" s="18">
        <f t="shared" si="250"/>
        <v>0</v>
      </c>
      <c r="BY150" s="18">
        <f t="shared" si="251"/>
        <v>0</v>
      </c>
      <c r="BZ150" s="18">
        <f t="shared" si="252"/>
        <v>0</v>
      </c>
      <c r="CA150" s="18">
        <f t="shared" si="253"/>
        <v>0</v>
      </c>
      <c r="CB150" s="18">
        <f t="shared" si="254"/>
        <v>0</v>
      </c>
      <c r="CC150" s="18">
        <f t="shared" si="255"/>
        <v>0</v>
      </c>
      <c r="CD150" s="18">
        <f t="shared" si="256"/>
        <v>0</v>
      </c>
      <c r="CE150" s="18">
        <f t="shared" si="257"/>
        <v>0</v>
      </c>
      <c r="CF150" s="18">
        <f t="shared" si="258"/>
        <v>0</v>
      </c>
      <c r="CG150" s="18">
        <f t="shared" si="259"/>
        <v>0</v>
      </c>
      <c r="CH150" s="18">
        <f t="shared" si="260"/>
        <v>0</v>
      </c>
      <c r="CI150" s="18">
        <f t="shared" si="261"/>
        <v>0</v>
      </c>
      <c r="CJ150" s="18">
        <f t="shared" si="262"/>
        <v>0</v>
      </c>
    </row>
    <row r="151" spans="1:88" x14ac:dyDescent="0.3">
      <c r="A151" s="1">
        <v>44049</v>
      </c>
      <c r="B151">
        <v>38025.449999999997</v>
      </c>
      <c r="C151">
        <f>Table1[[#This Row],[Close]]-0.001*Table1[[#This Row],[Close]]</f>
        <v>37987.424549999996</v>
      </c>
      <c r="D151">
        <f>Table1[[#This Row],[Close]]+0.001*Table1[[#This Row],[Close]]</f>
        <v>38063.475449999998</v>
      </c>
      <c r="E151" t="str">
        <f>IF(Table1[[#This Row],[Close]]&gt;D150,"UP",IF(Table1[[#This Row],[Close]]&lt;C150,"Down","Constant"))</f>
        <v>UP</v>
      </c>
      <c r="F151" s="3">
        <f>IF(Table1[[#This Row],[Column1]]="Up",1,IF(Table1[[#This Row],[Column1]]="Down",-1,0))</f>
        <v>1</v>
      </c>
      <c r="G151">
        <f t="shared" si="181"/>
        <v>0</v>
      </c>
      <c r="H151" s="18">
        <f t="shared" si="182"/>
        <v>0</v>
      </c>
      <c r="I151" s="18">
        <f t="shared" si="183"/>
        <v>0</v>
      </c>
      <c r="J151" s="18">
        <f t="shared" si="184"/>
        <v>0</v>
      </c>
      <c r="K151" s="18">
        <f t="shared" si="185"/>
        <v>0</v>
      </c>
      <c r="L151" s="18">
        <f t="shared" si="186"/>
        <v>0</v>
      </c>
      <c r="M151" s="18">
        <f t="shared" si="187"/>
        <v>0</v>
      </c>
      <c r="N151" s="18">
        <f t="shared" si="188"/>
        <v>0</v>
      </c>
      <c r="O151" s="18">
        <f t="shared" si="189"/>
        <v>0</v>
      </c>
      <c r="P151" s="18">
        <f t="shared" si="190"/>
        <v>0</v>
      </c>
      <c r="Q151" s="18">
        <f t="shared" si="191"/>
        <v>0</v>
      </c>
      <c r="R151" s="18">
        <f t="shared" si="192"/>
        <v>0</v>
      </c>
      <c r="S151" s="18">
        <f t="shared" si="193"/>
        <v>0</v>
      </c>
      <c r="T151" s="18">
        <f t="shared" si="194"/>
        <v>0</v>
      </c>
      <c r="U151" s="18">
        <f t="shared" si="195"/>
        <v>0</v>
      </c>
      <c r="V151" s="18">
        <f t="shared" si="196"/>
        <v>0</v>
      </c>
      <c r="W151" s="18">
        <f t="shared" si="197"/>
        <v>0</v>
      </c>
      <c r="X151" s="18">
        <f t="shared" si="198"/>
        <v>0</v>
      </c>
      <c r="Y151" s="18">
        <f t="shared" si="199"/>
        <v>0</v>
      </c>
      <c r="Z151" s="18">
        <f t="shared" si="200"/>
        <v>0</v>
      </c>
      <c r="AA151" s="18">
        <f t="shared" si="201"/>
        <v>0</v>
      </c>
      <c r="AB151" s="18">
        <f t="shared" si="202"/>
        <v>0</v>
      </c>
      <c r="AC151" s="18">
        <f t="shared" si="203"/>
        <v>0</v>
      </c>
      <c r="AD151" s="18">
        <f t="shared" si="204"/>
        <v>0</v>
      </c>
      <c r="AE151" s="18">
        <f t="shared" si="205"/>
        <v>0</v>
      </c>
      <c r="AF151" s="18">
        <f t="shared" si="206"/>
        <v>0</v>
      </c>
      <c r="AG151" s="18">
        <f t="shared" si="207"/>
        <v>0</v>
      </c>
      <c r="AH151" s="18">
        <f t="shared" si="208"/>
        <v>0</v>
      </c>
      <c r="AI151" s="18">
        <f t="shared" si="209"/>
        <v>0</v>
      </c>
      <c r="AJ151" s="18">
        <f t="shared" si="210"/>
        <v>0</v>
      </c>
      <c r="AK151" s="18">
        <f t="shared" si="211"/>
        <v>0</v>
      </c>
      <c r="AL151" s="18">
        <f t="shared" si="212"/>
        <v>0</v>
      </c>
      <c r="AM151" s="18">
        <f t="shared" si="213"/>
        <v>0</v>
      </c>
      <c r="AN151" s="18">
        <f t="shared" si="214"/>
        <v>0</v>
      </c>
      <c r="AO151" s="18">
        <f t="shared" si="215"/>
        <v>0</v>
      </c>
      <c r="AP151" s="18">
        <f t="shared" si="216"/>
        <v>0</v>
      </c>
      <c r="AQ151" s="18">
        <f t="shared" si="217"/>
        <v>0</v>
      </c>
      <c r="AR151" s="18">
        <f t="shared" si="218"/>
        <v>0</v>
      </c>
      <c r="AS151" s="18">
        <f t="shared" si="219"/>
        <v>0</v>
      </c>
      <c r="AT151" s="18">
        <f t="shared" si="220"/>
        <v>0</v>
      </c>
      <c r="AU151" s="18">
        <f t="shared" si="221"/>
        <v>0</v>
      </c>
      <c r="AV151" s="18">
        <f t="shared" si="222"/>
        <v>0</v>
      </c>
      <c r="AW151" s="18">
        <f t="shared" si="223"/>
        <v>0</v>
      </c>
      <c r="AX151" s="18">
        <f t="shared" si="224"/>
        <v>0</v>
      </c>
      <c r="AY151" s="18">
        <f t="shared" si="225"/>
        <v>0</v>
      </c>
      <c r="AZ151" s="18">
        <f t="shared" si="226"/>
        <v>0</v>
      </c>
      <c r="BA151" s="18">
        <f t="shared" si="227"/>
        <v>0</v>
      </c>
      <c r="BB151" s="18">
        <f t="shared" si="228"/>
        <v>0</v>
      </c>
      <c r="BC151" s="18">
        <f t="shared" si="229"/>
        <v>0</v>
      </c>
      <c r="BD151" s="18">
        <f t="shared" si="230"/>
        <v>0</v>
      </c>
      <c r="BE151" s="18">
        <f t="shared" si="231"/>
        <v>0</v>
      </c>
      <c r="BF151" s="18">
        <f t="shared" si="232"/>
        <v>0</v>
      </c>
      <c r="BG151" s="18">
        <f t="shared" si="233"/>
        <v>0</v>
      </c>
      <c r="BH151" s="18">
        <f t="shared" si="234"/>
        <v>0</v>
      </c>
      <c r="BI151" s="18">
        <f t="shared" si="235"/>
        <v>1</v>
      </c>
      <c r="BJ151" s="18">
        <f t="shared" si="236"/>
        <v>0</v>
      </c>
      <c r="BK151" s="18">
        <f t="shared" si="237"/>
        <v>0</v>
      </c>
      <c r="BL151" s="18">
        <f t="shared" si="238"/>
        <v>0</v>
      </c>
      <c r="BM151" s="18">
        <f t="shared" si="239"/>
        <v>0</v>
      </c>
      <c r="BN151" s="18">
        <f t="shared" si="240"/>
        <v>0</v>
      </c>
      <c r="BO151" s="18">
        <f t="shared" si="241"/>
        <v>0</v>
      </c>
      <c r="BP151" s="18">
        <f t="shared" si="242"/>
        <v>0</v>
      </c>
      <c r="BQ151" s="18">
        <f t="shared" si="243"/>
        <v>0</v>
      </c>
      <c r="BR151" s="18">
        <f t="shared" si="244"/>
        <v>0</v>
      </c>
      <c r="BS151" s="18">
        <f t="shared" si="245"/>
        <v>0</v>
      </c>
      <c r="BT151" s="18">
        <f t="shared" si="246"/>
        <v>0</v>
      </c>
      <c r="BU151" s="18">
        <f t="shared" si="247"/>
        <v>0</v>
      </c>
      <c r="BV151" s="18">
        <f t="shared" si="248"/>
        <v>0</v>
      </c>
      <c r="BW151" s="18">
        <f t="shared" si="249"/>
        <v>0</v>
      </c>
      <c r="BX151" s="18">
        <f t="shared" si="250"/>
        <v>0</v>
      </c>
      <c r="BY151" s="18">
        <f t="shared" si="251"/>
        <v>0</v>
      </c>
      <c r="BZ151" s="18">
        <f t="shared" si="252"/>
        <v>0</v>
      </c>
      <c r="CA151" s="18">
        <f t="shared" si="253"/>
        <v>0</v>
      </c>
      <c r="CB151" s="18">
        <f t="shared" si="254"/>
        <v>0</v>
      </c>
      <c r="CC151" s="18">
        <f t="shared" si="255"/>
        <v>0</v>
      </c>
      <c r="CD151" s="18">
        <f t="shared" si="256"/>
        <v>0</v>
      </c>
      <c r="CE151" s="18">
        <f t="shared" si="257"/>
        <v>0</v>
      </c>
      <c r="CF151" s="18">
        <f t="shared" si="258"/>
        <v>0</v>
      </c>
      <c r="CG151" s="18">
        <f t="shared" si="259"/>
        <v>0</v>
      </c>
      <c r="CH151" s="18">
        <f t="shared" si="260"/>
        <v>0</v>
      </c>
      <c r="CI151" s="18">
        <f t="shared" si="261"/>
        <v>0</v>
      </c>
      <c r="CJ151" s="18">
        <f t="shared" si="262"/>
        <v>0</v>
      </c>
    </row>
    <row r="152" spans="1:88" x14ac:dyDescent="0.3">
      <c r="A152" s="1">
        <v>44050</v>
      </c>
      <c r="B152">
        <v>38040.57</v>
      </c>
      <c r="C152">
        <f>Table1[[#This Row],[Close]]-0.001*Table1[[#This Row],[Close]]</f>
        <v>38002.529430000002</v>
      </c>
      <c r="D152">
        <f>Table1[[#This Row],[Close]]+0.001*Table1[[#This Row],[Close]]</f>
        <v>38078.610569999997</v>
      </c>
      <c r="E152" t="str">
        <f>IF(Table1[[#This Row],[Close]]&gt;D151,"UP",IF(Table1[[#This Row],[Close]]&lt;C151,"Down","Constant"))</f>
        <v>Constant</v>
      </c>
      <c r="F152" s="3">
        <f>IF(Table1[[#This Row],[Column1]]="Up",1,IF(Table1[[#This Row],[Column1]]="Down",-1,0))</f>
        <v>0</v>
      </c>
      <c r="G152">
        <f t="shared" si="181"/>
        <v>0</v>
      </c>
      <c r="H152" s="18">
        <f t="shared" si="182"/>
        <v>0</v>
      </c>
      <c r="I152" s="18">
        <f t="shared" si="183"/>
        <v>0</v>
      </c>
      <c r="J152" s="18">
        <f t="shared" si="184"/>
        <v>0</v>
      </c>
      <c r="K152" s="18">
        <f t="shared" si="185"/>
        <v>0</v>
      </c>
      <c r="L152" s="18">
        <f t="shared" si="186"/>
        <v>0</v>
      </c>
      <c r="M152" s="18">
        <f t="shared" si="187"/>
        <v>0</v>
      </c>
      <c r="N152" s="18">
        <f t="shared" si="188"/>
        <v>0</v>
      </c>
      <c r="O152" s="18">
        <f t="shared" si="189"/>
        <v>0</v>
      </c>
      <c r="P152" s="18">
        <f t="shared" si="190"/>
        <v>0</v>
      </c>
      <c r="Q152" s="18">
        <f t="shared" si="191"/>
        <v>0</v>
      </c>
      <c r="R152" s="18">
        <f t="shared" si="192"/>
        <v>0</v>
      </c>
      <c r="S152" s="18">
        <f t="shared" si="193"/>
        <v>0</v>
      </c>
      <c r="T152" s="18">
        <f t="shared" si="194"/>
        <v>0</v>
      </c>
      <c r="U152" s="18">
        <f t="shared" si="195"/>
        <v>0</v>
      </c>
      <c r="V152" s="18">
        <f t="shared" si="196"/>
        <v>0</v>
      </c>
      <c r="W152" s="18">
        <f t="shared" si="197"/>
        <v>0</v>
      </c>
      <c r="X152" s="18">
        <f t="shared" si="198"/>
        <v>0</v>
      </c>
      <c r="Y152" s="18">
        <f t="shared" si="199"/>
        <v>0</v>
      </c>
      <c r="Z152" s="18">
        <f t="shared" si="200"/>
        <v>0</v>
      </c>
      <c r="AA152" s="18">
        <f t="shared" si="201"/>
        <v>0</v>
      </c>
      <c r="AB152" s="18">
        <f t="shared" si="202"/>
        <v>0</v>
      </c>
      <c r="AC152" s="18">
        <f t="shared" si="203"/>
        <v>0</v>
      </c>
      <c r="AD152" s="18">
        <f t="shared" si="204"/>
        <v>0</v>
      </c>
      <c r="AE152" s="18">
        <f t="shared" si="205"/>
        <v>0</v>
      </c>
      <c r="AF152" s="18">
        <f t="shared" si="206"/>
        <v>0</v>
      </c>
      <c r="AG152" s="18">
        <f t="shared" si="207"/>
        <v>0</v>
      </c>
      <c r="AH152" s="18">
        <f t="shared" si="208"/>
        <v>0</v>
      </c>
      <c r="AI152" s="18">
        <f t="shared" si="209"/>
        <v>0</v>
      </c>
      <c r="AJ152" s="18">
        <f t="shared" si="210"/>
        <v>1</v>
      </c>
      <c r="AK152" s="18">
        <f t="shared" si="211"/>
        <v>0</v>
      </c>
      <c r="AL152" s="18">
        <f t="shared" si="212"/>
        <v>0</v>
      </c>
      <c r="AM152" s="18">
        <f t="shared" si="213"/>
        <v>0</v>
      </c>
      <c r="AN152" s="18">
        <f t="shared" si="214"/>
        <v>0</v>
      </c>
      <c r="AO152" s="18">
        <f t="shared" si="215"/>
        <v>0</v>
      </c>
      <c r="AP152" s="18">
        <f t="shared" si="216"/>
        <v>0</v>
      </c>
      <c r="AQ152" s="18">
        <f t="shared" si="217"/>
        <v>0</v>
      </c>
      <c r="AR152" s="18">
        <f t="shared" si="218"/>
        <v>0</v>
      </c>
      <c r="AS152" s="18">
        <f t="shared" si="219"/>
        <v>0</v>
      </c>
      <c r="AT152" s="18">
        <f t="shared" si="220"/>
        <v>0</v>
      </c>
      <c r="AU152" s="18">
        <f t="shared" si="221"/>
        <v>0</v>
      </c>
      <c r="AV152" s="18">
        <f t="shared" si="222"/>
        <v>0</v>
      </c>
      <c r="AW152" s="18">
        <f t="shared" si="223"/>
        <v>0</v>
      </c>
      <c r="AX152" s="18">
        <f t="shared" si="224"/>
        <v>0</v>
      </c>
      <c r="AY152" s="18">
        <f t="shared" si="225"/>
        <v>0</v>
      </c>
      <c r="AZ152" s="18">
        <f t="shared" si="226"/>
        <v>0</v>
      </c>
      <c r="BA152" s="18">
        <f t="shared" si="227"/>
        <v>0</v>
      </c>
      <c r="BB152" s="18">
        <f t="shared" si="228"/>
        <v>0</v>
      </c>
      <c r="BC152" s="18">
        <f t="shared" si="229"/>
        <v>0</v>
      </c>
      <c r="BD152" s="18">
        <f t="shared" si="230"/>
        <v>0</v>
      </c>
      <c r="BE152" s="18">
        <f t="shared" si="231"/>
        <v>0</v>
      </c>
      <c r="BF152" s="18">
        <f t="shared" si="232"/>
        <v>0</v>
      </c>
      <c r="BG152" s="18">
        <f t="shared" si="233"/>
        <v>0</v>
      </c>
      <c r="BH152" s="18">
        <f t="shared" si="234"/>
        <v>0</v>
      </c>
      <c r="BI152" s="18">
        <f t="shared" si="235"/>
        <v>0</v>
      </c>
      <c r="BJ152" s="18">
        <f t="shared" si="236"/>
        <v>0</v>
      </c>
      <c r="BK152" s="18">
        <f t="shared" si="237"/>
        <v>0</v>
      </c>
      <c r="BL152" s="18">
        <f t="shared" si="238"/>
        <v>0</v>
      </c>
      <c r="BM152" s="18">
        <f t="shared" si="239"/>
        <v>0</v>
      </c>
      <c r="BN152" s="18">
        <f t="shared" si="240"/>
        <v>0</v>
      </c>
      <c r="BO152" s="18">
        <f t="shared" si="241"/>
        <v>0</v>
      </c>
      <c r="BP152" s="18">
        <f t="shared" si="242"/>
        <v>0</v>
      </c>
      <c r="BQ152" s="18">
        <f t="shared" si="243"/>
        <v>0</v>
      </c>
      <c r="BR152" s="18">
        <f t="shared" si="244"/>
        <v>0</v>
      </c>
      <c r="BS152" s="18">
        <f t="shared" si="245"/>
        <v>0</v>
      </c>
      <c r="BT152" s="18">
        <f t="shared" si="246"/>
        <v>0</v>
      </c>
      <c r="BU152" s="18">
        <f t="shared" si="247"/>
        <v>0</v>
      </c>
      <c r="BV152" s="18">
        <f t="shared" si="248"/>
        <v>0</v>
      </c>
      <c r="BW152" s="18">
        <f t="shared" si="249"/>
        <v>0</v>
      </c>
      <c r="BX152" s="18">
        <f t="shared" si="250"/>
        <v>0</v>
      </c>
      <c r="BY152" s="18">
        <f t="shared" si="251"/>
        <v>0</v>
      </c>
      <c r="BZ152" s="18">
        <f t="shared" si="252"/>
        <v>0</v>
      </c>
      <c r="CA152" s="18">
        <f t="shared" si="253"/>
        <v>0</v>
      </c>
      <c r="CB152" s="18">
        <f t="shared" si="254"/>
        <v>0</v>
      </c>
      <c r="CC152" s="18">
        <f t="shared" si="255"/>
        <v>0</v>
      </c>
      <c r="CD152" s="18">
        <f t="shared" si="256"/>
        <v>0</v>
      </c>
      <c r="CE152" s="18">
        <f t="shared" si="257"/>
        <v>0</v>
      </c>
      <c r="CF152" s="18">
        <f t="shared" si="258"/>
        <v>0</v>
      </c>
      <c r="CG152" s="18">
        <f t="shared" si="259"/>
        <v>0</v>
      </c>
      <c r="CH152" s="18">
        <f t="shared" si="260"/>
        <v>0</v>
      </c>
      <c r="CI152" s="18">
        <f t="shared" si="261"/>
        <v>0</v>
      </c>
      <c r="CJ152" s="18">
        <f t="shared" si="262"/>
        <v>0</v>
      </c>
    </row>
    <row r="153" spans="1:88" x14ac:dyDescent="0.3">
      <c r="A153" s="1">
        <v>44053</v>
      </c>
      <c r="B153">
        <v>38182.080000000002</v>
      </c>
      <c r="C153">
        <f>Table1[[#This Row],[Close]]-0.001*Table1[[#This Row],[Close]]</f>
        <v>38143.897920000003</v>
      </c>
      <c r="D153">
        <f>Table1[[#This Row],[Close]]+0.001*Table1[[#This Row],[Close]]</f>
        <v>38220.26208</v>
      </c>
      <c r="E153" t="str">
        <f>IF(Table1[[#This Row],[Close]]&gt;D152,"UP",IF(Table1[[#This Row],[Close]]&lt;C152,"Down","Constant"))</f>
        <v>UP</v>
      </c>
      <c r="F153" s="3">
        <f>IF(Table1[[#This Row],[Column1]]="Up",1,IF(Table1[[#This Row],[Column1]]="Down",-1,0))</f>
        <v>1</v>
      </c>
      <c r="G153">
        <f t="shared" si="181"/>
        <v>0</v>
      </c>
      <c r="H153" s="18">
        <f t="shared" si="182"/>
        <v>0</v>
      </c>
      <c r="I153" s="18">
        <f t="shared" si="183"/>
        <v>0</v>
      </c>
      <c r="J153" s="18">
        <f t="shared" si="184"/>
        <v>0</v>
      </c>
      <c r="K153" s="18">
        <f t="shared" si="185"/>
        <v>0</v>
      </c>
      <c r="L153" s="18">
        <f t="shared" si="186"/>
        <v>0</v>
      </c>
      <c r="M153" s="18">
        <f t="shared" si="187"/>
        <v>0</v>
      </c>
      <c r="N153" s="18">
        <f t="shared" si="188"/>
        <v>0</v>
      </c>
      <c r="O153" s="18">
        <f t="shared" si="189"/>
        <v>0</v>
      </c>
      <c r="P153" s="18">
        <f t="shared" si="190"/>
        <v>0</v>
      </c>
      <c r="Q153" s="18">
        <f t="shared" si="191"/>
        <v>0</v>
      </c>
      <c r="R153" s="18">
        <f t="shared" si="192"/>
        <v>0</v>
      </c>
      <c r="S153" s="18">
        <f t="shared" si="193"/>
        <v>0</v>
      </c>
      <c r="T153" s="18">
        <f t="shared" si="194"/>
        <v>0</v>
      </c>
      <c r="U153" s="18">
        <f t="shared" si="195"/>
        <v>0</v>
      </c>
      <c r="V153" s="18">
        <f t="shared" si="196"/>
        <v>0</v>
      </c>
      <c r="W153" s="18">
        <f t="shared" si="197"/>
        <v>0</v>
      </c>
      <c r="X153" s="18">
        <f t="shared" si="198"/>
        <v>0</v>
      </c>
      <c r="Y153" s="18">
        <f t="shared" si="199"/>
        <v>0</v>
      </c>
      <c r="Z153" s="18">
        <f t="shared" si="200"/>
        <v>0</v>
      </c>
      <c r="AA153" s="18">
        <f t="shared" si="201"/>
        <v>0</v>
      </c>
      <c r="AB153" s="18">
        <f t="shared" si="202"/>
        <v>0</v>
      </c>
      <c r="AC153" s="18">
        <f t="shared" si="203"/>
        <v>0</v>
      </c>
      <c r="AD153" s="18">
        <f t="shared" si="204"/>
        <v>0</v>
      </c>
      <c r="AE153" s="18">
        <f t="shared" si="205"/>
        <v>0</v>
      </c>
      <c r="AF153" s="18">
        <f t="shared" si="206"/>
        <v>0</v>
      </c>
      <c r="AG153" s="18">
        <f t="shared" si="207"/>
        <v>0</v>
      </c>
      <c r="AH153" s="18">
        <f t="shared" si="208"/>
        <v>0</v>
      </c>
      <c r="AI153" s="18">
        <f t="shared" si="209"/>
        <v>0</v>
      </c>
      <c r="AJ153" s="18">
        <f t="shared" si="210"/>
        <v>0</v>
      </c>
      <c r="AK153" s="18">
        <f t="shared" si="211"/>
        <v>0</v>
      </c>
      <c r="AL153" s="18">
        <f t="shared" si="212"/>
        <v>0</v>
      </c>
      <c r="AM153" s="18">
        <f t="shared" si="213"/>
        <v>0</v>
      </c>
      <c r="AN153" s="18">
        <f t="shared" si="214"/>
        <v>0</v>
      </c>
      <c r="AO153" s="18">
        <f t="shared" si="215"/>
        <v>0</v>
      </c>
      <c r="AP153" s="18">
        <f t="shared" si="216"/>
        <v>0</v>
      </c>
      <c r="AQ153" s="18">
        <f t="shared" si="217"/>
        <v>0</v>
      </c>
      <c r="AR153" s="18">
        <f t="shared" si="218"/>
        <v>0</v>
      </c>
      <c r="AS153" s="18">
        <f t="shared" si="219"/>
        <v>0</v>
      </c>
      <c r="AT153" s="18">
        <f t="shared" si="220"/>
        <v>1</v>
      </c>
      <c r="AU153" s="18">
        <f t="shared" si="221"/>
        <v>0</v>
      </c>
      <c r="AV153" s="18">
        <f t="shared" si="222"/>
        <v>0</v>
      </c>
      <c r="AW153" s="18">
        <f t="shared" si="223"/>
        <v>0</v>
      </c>
      <c r="AX153" s="18">
        <f t="shared" si="224"/>
        <v>0</v>
      </c>
      <c r="AY153" s="18">
        <f t="shared" si="225"/>
        <v>0</v>
      </c>
      <c r="AZ153" s="18">
        <f t="shared" si="226"/>
        <v>0</v>
      </c>
      <c r="BA153" s="18">
        <f t="shared" si="227"/>
        <v>0</v>
      </c>
      <c r="BB153" s="18">
        <f t="shared" si="228"/>
        <v>0</v>
      </c>
      <c r="BC153" s="18">
        <f t="shared" si="229"/>
        <v>0</v>
      </c>
      <c r="BD153" s="18">
        <f t="shared" si="230"/>
        <v>0</v>
      </c>
      <c r="BE153" s="18">
        <f t="shared" si="231"/>
        <v>0</v>
      </c>
      <c r="BF153" s="18">
        <f t="shared" si="232"/>
        <v>0</v>
      </c>
      <c r="BG153" s="18">
        <f t="shared" si="233"/>
        <v>0</v>
      </c>
      <c r="BH153" s="18">
        <f t="shared" si="234"/>
        <v>0</v>
      </c>
      <c r="BI153" s="18">
        <f t="shared" si="235"/>
        <v>0</v>
      </c>
      <c r="BJ153" s="18">
        <f t="shared" si="236"/>
        <v>0</v>
      </c>
      <c r="BK153" s="18">
        <f t="shared" si="237"/>
        <v>0</v>
      </c>
      <c r="BL153" s="18">
        <f t="shared" si="238"/>
        <v>0</v>
      </c>
      <c r="BM153" s="18">
        <f t="shared" si="239"/>
        <v>0</v>
      </c>
      <c r="BN153" s="18">
        <f t="shared" si="240"/>
        <v>0</v>
      </c>
      <c r="BO153" s="18">
        <f t="shared" si="241"/>
        <v>0</v>
      </c>
      <c r="BP153" s="18">
        <f t="shared" si="242"/>
        <v>0</v>
      </c>
      <c r="BQ153" s="18">
        <f t="shared" si="243"/>
        <v>0</v>
      </c>
      <c r="BR153" s="18">
        <f t="shared" si="244"/>
        <v>0</v>
      </c>
      <c r="BS153" s="18">
        <f t="shared" si="245"/>
        <v>0</v>
      </c>
      <c r="BT153" s="18">
        <f t="shared" si="246"/>
        <v>0</v>
      </c>
      <c r="BU153" s="18">
        <f t="shared" si="247"/>
        <v>0</v>
      </c>
      <c r="BV153" s="18">
        <f t="shared" si="248"/>
        <v>0</v>
      </c>
      <c r="BW153" s="18">
        <f t="shared" si="249"/>
        <v>0</v>
      </c>
      <c r="BX153" s="18">
        <f t="shared" si="250"/>
        <v>0</v>
      </c>
      <c r="BY153" s="18">
        <f t="shared" si="251"/>
        <v>0</v>
      </c>
      <c r="BZ153" s="18">
        <f t="shared" si="252"/>
        <v>0</v>
      </c>
      <c r="CA153" s="18">
        <f t="shared" si="253"/>
        <v>0</v>
      </c>
      <c r="CB153" s="18">
        <f t="shared" si="254"/>
        <v>0</v>
      </c>
      <c r="CC153" s="18">
        <f t="shared" si="255"/>
        <v>0</v>
      </c>
      <c r="CD153" s="18">
        <f t="shared" si="256"/>
        <v>0</v>
      </c>
      <c r="CE153" s="18">
        <f t="shared" si="257"/>
        <v>0</v>
      </c>
      <c r="CF153" s="18">
        <f t="shared" si="258"/>
        <v>0</v>
      </c>
      <c r="CG153" s="18">
        <f t="shared" si="259"/>
        <v>0</v>
      </c>
      <c r="CH153" s="18">
        <f t="shared" si="260"/>
        <v>0</v>
      </c>
      <c r="CI153" s="18">
        <f t="shared" si="261"/>
        <v>0</v>
      </c>
      <c r="CJ153" s="18">
        <f t="shared" si="262"/>
        <v>0</v>
      </c>
    </row>
    <row r="154" spans="1:88" x14ac:dyDescent="0.3">
      <c r="A154" s="1">
        <v>44054</v>
      </c>
      <c r="B154">
        <v>38407.01</v>
      </c>
      <c r="C154">
        <f>Table1[[#This Row],[Close]]-0.001*Table1[[#This Row],[Close]]</f>
        <v>38368.602989999999</v>
      </c>
      <c r="D154">
        <f>Table1[[#This Row],[Close]]+0.001*Table1[[#This Row],[Close]]</f>
        <v>38445.417010000005</v>
      </c>
      <c r="E154" t="str">
        <f>IF(Table1[[#This Row],[Close]]&gt;D153,"UP",IF(Table1[[#This Row],[Close]]&lt;C153,"Down","Constant"))</f>
        <v>UP</v>
      </c>
      <c r="F154" s="3">
        <f>IF(Table1[[#This Row],[Column1]]="Up",1,IF(Table1[[#This Row],[Column1]]="Down",-1,0))</f>
        <v>1</v>
      </c>
      <c r="G154">
        <f t="shared" si="181"/>
        <v>0</v>
      </c>
      <c r="H154" s="18">
        <f t="shared" si="182"/>
        <v>0</v>
      </c>
      <c r="I154" s="18">
        <f t="shared" si="183"/>
        <v>0</v>
      </c>
      <c r="J154" s="18">
        <f t="shared" si="184"/>
        <v>0</v>
      </c>
      <c r="K154" s="18">
        <f t="shared" si="185"/>
        <v>0</v>
      </c>
      <c r="L154" s="18">
        <f t="shared" si="186"/>
        <v>0</v>
      </c>
      <c r="M154" s="18">
        <f t="shared" si="187"/>
        <v>0</v>
      </c>
      <c r="N154" s="18">
        <f t="shared" si="188"/>
        <v>0</v>
      </c>
      <c r="O154" s="18">
        <f t="shared" si="189"/>
        <v>0</v>
      </c>
      <c r="P154" s="18">
        <f t="shared" si="190"/>
        <v>0</v>
      </c>
      <c r="Q154" s="18">
        <f t="shared" si="191"/>
        <v>0</v>
      </c>
      <c r="R154" s="18">
        <f t="shared" si="192"/>
        <v>0</v>
      </c>
      <c r="S154" s="18">
        <f t="shared" si="193"/>
        <v>0</v>
      </c>
      <c r="T154" s="18">
        <f t="shared" si="194"/>
        <v>0</v>
      </c>
      <c r="U154" s="18">
        <f t="shared" si="195"/>
        <v>0</v>
      </c>
      <c r="V154" s="18">
        <f t="shared" si="196"/>
        <v>0</v>
      </c>
      <c r="W154" s="18">
        <f t="shared" si="197"/>
        <v>0</v>
      </c>
      <c r="X154" s="18">
        <f t="shared" si="198"/>
        <v>0</v>
      </c>
      <c r="Y154" s="18">
        <f t="shared" si="199"/>
        <v>0</v>
      </c>
      <c r="Z154" s="18">
        <f t="shared" si="200"/>
        <v>0</v>
      </c>
      <c r="AA154" s="18">
        <f t="shared" si="201"/>
        <v>0</v>
      </c>
      <c r="AB154" s="18">
        <f t="shared" si="202"/>
        <v>0</v>
      </c>
      <c r="AC154" s="18">
        <f t="shared" si="203"/>
        <v>0</v>
      </c>
      <c r="AD154" s="18">
        <f t="shared" si="204"/>
        <v>0</v>
      </c>
      <c r="AE154" s="18">
        <f t="shared" si="205"/>
        <v>0</v>
      </c>
      <c r="AF154" s="18">
        <f t="shared" si="206"/>
        <v>0</v>
      </c>
      <c r="AG154" s="18">
        <f t="shared" si="207"/>
        <v>0</v>
      </c>
      <c r="AH154" s="18">
        <f t="shared" si="208"/>
        <v>0</v>
      </c>
      <c r="AI154" s="18">
        <f t="shared" si="209"/>
        <v>0</v>
      </c>
      <c r="AJ154" s="18">
        <f t="shared" si="210"/>
        <v>0</v>
      </c>
      <c r="AK154" s="18">
        <f t="shared" si="211"/>
        <v>1</v>
      </c>
      <c r="AL154" s="18">
        <f t="shared" si="212"/>
        <v>0</v>
      </c>
      <c r="AM154" s="18">
        <f t="shared" si="213"/>
        <v>0</v>
      </c>
      <c r="AN154" s="18">
        <f t="shared" si="214"/>
        <v>0</v>
      </c>
      <c r="AO154" s="18">
        <f t="shared" si="215"/>
        <v>0</v>
      </c>
      <c r="AP154" s="18">
        <f t="shared" si="216"/>
        <v>0</v>
      </c>
      <c r="AQ154" s="18">
        <f t="shared" si="217"/>
        <v>0</v>
      </c>
      <c r="AR154" s="18">
        <f t="shared" si="218"/>
        <v>0</v>
      </c>
      <c r="AS154" s="18">
        <f t="shared" si="219"/>
        <v>0</v>
      </c>
      <c r="AT154" s="18">
        <f t="shared" si="220"/>
        <v>0</v>
      </c>
      <c r="AU154" s="18">
        <f t="shared" si="221"/>
        <v>0</v>
      </c>
      <c r="AV154" s="18">
        <f t="shared" si="222"/>
        <v>0</v>
      </c>
      <c r="AW154" s="18">
        <f t="shared" si="223"/>
        <v>0</v>
      </c>
      <c r="AX154" s="18">
        <f t="shared" si="224"/>
        <v>0</v>
      </c>
      <c r="AY154" s="18">
        <f t="shared" si="225"/>
        <v>0</v>
      </c>
      <c r="AZ154" s="18">
        <f t="shared" si="226"/>
        <v>0</v>
      </c>
      <c r="BA154" s="18">
        <f t="shared" si="227"/>
        <v>0</v>
      </c>
      <c r="BB154" s="18">
        <f t="shared" si="228"/>
        <v>0</v>
      </c>
      <c r="BC154" s="18">
        <f t="shared" si="229"/>
        <v>0</v>
      </c>
      <c r="BD154" s="18">
        <f t="shared" si="230"/>
        <v>0</v>
      </c>
      <c r="BE154" s="18">
        <f t="shared" si="231"/>
        <v>0</v>
      </c>
      <c r="BF154" s="18">
        <f t="shared" si="232"/>
        <v>0</v>
      </c>
      <c r="BG154" s="18">
        <f t="shared" si="233"/>
        <v>0</v>
      </c>
      <c r="BH154" s="18">
        <f t="shared" si="234"/>
        <v>0</v>
      </c>
      <c r="BI154" s="18">
        <f t="shared" si="235"/>
        <v>0</v>
      </c>
      <c r="BJ154" s="18">
        <f t="shared" si="236"/>
        <v>0</v>
      </c>
      <c r="BK154" s="18">
        <f t="shared" si="237"/>
        <v>0</v>
      </c>
      <c r="BL154" s="18">
        <f t="shared" si="238"/>
        <v>0</v>
      </c>
      <c r="BM154" s="18">
        <f t="shared" si="239"/>
        <v>0</v>
      </c>
      <c r="BN154" s="18">
        <f t="shared" si="240"/>
        <v>0</v>
      </c>
      <c r="BO154" s="18">
        <f t="shared" si="241"/>
        <v>0</v>
      </c>
      <c r="BP154" s="18">
        <f t="shared" si="242"/>
        <v>0</v>
      </c>
      <c r="BQ154" s="18">
        <f t="shared" si="243"/>
        <v>0</v>
      </c>
      <c r="BR154" s="18">
        <f t="shared" si="244"/>
        <v>0</v>
      </c>
      <c r="BS154" s="18">
        <f t="shared" si="245"/>
        <v>0</v>
      </c>
      <c r="BT154" s="18">
        <f t="shared" si="246"/>
        <v>0</v>
      </c>
      <c r="BU154" s="18">
        <f t="shared" si="247"/>
        <v>0</v>
      </c>
      <c r="BV154" s="18">
        <f t="shared" si="248"/>
        <v>0</v>
      </c>
      <c r="BW154" s="18">
        <f t="shared" si="249"/>
        <v>0</v>
      </c>
      <c r="BX154" s="18">
        <f t="shared" si="250"/>
        <v>0</v>
      </c>
      <c r="BY154" s="18">
        <f t="shared" si="251"/>
        <v>0</v>
      </c>
      <c r="BZ154" s="18">
        <f t="shared" si="252"/>
        <v>0</v>
      </c>
      <c r="CA154" s="18">
        <f t="shared" si="253"/>
        <v>0</v>
      </c>
      <c r="CB154" s="18">
        <f t="shared" si="254"/>
        <v>0</v>
      </c>
      <c r="CC154" s="18">
        <f t="shared" si="255"/>
        <v>0</v>
      </c>
      <c r="CD154" s="18">
        <f t="shared" si="256"/>
        <v>0</v>
      </c>
      <c r="CE154" s="18">
        <f t="shared" si="257"/>
        <v>0</v>
      </c>
      <c r="CF154" s="18">
        <f t="shared" si="258"/>
        <v>0</v>
      </c>
      <c r="CG154" s="18">
        <f t="shared" si="259"/>
        <v>0</v>
      </c>
      <c r="CH154" s="18">
        <f t="shared" si="260"/>
        <v>0</v>
      </c>
      <c r="CI154" s="18">
        <f t="shared" si="261"/>
        <v>0</v>
      </c>
      <c r="CJ154" s="18">
        <f t="shared" si="262"/>
        <v>0</v>
      </c>
    </row>
    <row r="155" spans="1:88" x14ac:dyDescent="0.3">
      <c r="A155" s="1">
        <v>44055</v>
      </c>
      <c r="B155">
        <v>38369.629999999997</v>
      </c>
      <c r="C155">
        <f>Table1[[#This Row],[Close]]-0.001*Table1[[#This Row],[Close]]</f>
        <v>38331.260369999996</v>
      </c>
      <c r="D155">
        <f>Table1[[#This Row],[Close]]+0.001*Table1[[#This Row],[Close]]</f>
        <v>38407.999629999998</v>
      </c>
      <c r="E155" t="str">
        <f>IF(Table1[[#This Row],[Close]]&gt;D154,"UP",IF(Table1[[#This Row],[Close]]&lt;C154,"Down","Constant"))</f>
        <v>Constant</v>
      </c>
      <c r="F155" s="3">
        <f>IF(Table1[[#This Row],[Column1]]="Up",1,IF(Table1[[#This Row],[Column1]]="Down",-1,0))</f>
        <v>0</v>
      </c>
      <c r="G155">
        <f t="shared" si="181"/>
        <v>0</v>
      </c>
      <c r="H155" s="18">
        <f t="shared" si="182"/>
        <v>0</v>
      </c>
      <c r="I155" s="18">
        <f t="shared" si="183"/>
        <v>0</v>
      </c>
      <c r="J155" s="18">
        <f t="shared" si="184"/>
        <v>0</v>
      </c>
      <c r="K155" s="18">
        <f t="shared" si="185"/>
        <v>0</v>
      </c>
      <c r="L155" s="18">
        <f t="shared" si="186"/>
        <v>0</v>
      </c>
      <c r="M155" s="18">
        <f t="shared" si="187"/>
        <v>0</v>
      </c>
      <c r="N155" s="18">
        <f t="shared" si="188"/>
        <v>0</v>
      </c>
      <c r="O155" s="18">
        <f t="shared" si="189"/>
        <v>0</v>
      </c>
      <c r="P155" s="18">
        <f t="shared" si="190"/>
        <v>0</v>
      </c>
      <c r="Q155" s="18">
        <f t="shared" si="191"/>
        <v>0</v>
      </c>
      <c r="R155" s="18">
        <f t="shared" si="192"/>
        <v>0</v>
      </c>
      <c r="S155" s="18">
        <f t="shared" si="193"/>
        <v>0</v>
      </c>
      <c r="T155" s="18">
        <f t="shared" si="194"/>
        <v>0</v>
      </c>
      <c r="U155" s="18">
        <f t="shared" si="195"/>
        <v>0</v>
      </c>
      <c r="V155" s="18">
        <f t="shared" si="196"/>
        <v>0</v>
      </c>
      <c r="W155" s="18">
        <f t="shared" si="197"/>
        <v>0</v>
      </c>
      <c r="X155" s="18">
        <f t="shared" si="198"/>
        <v>0</v>
      </c>
      <c r="Y155" s="18">
        <f t="shared" si="199"/>
        <v>0</v>
      </c>
      <c r="Z155" s="18">
        <f t="shared" si="200"/>
        <v>0</v>
      </c>
      <c r="AA155" s="18">
        <f t="shared" si="201"/>
        <v>0</v>
      </c>
      <c r="AB155" s="18">
        <f t="shared" si="202"/>
        <v>0</v>
      </c>
      <c r="AC155" s="18">
        <f t="shared" si="203"/>
        <v>0</v>
      </c>
      <c r="AD155" s="18">
        <f t="shared" si="204"/>
        <v>0</v>
      </c>
      <c r="AE155" s="18">
        <f t="shared" si="205"/>
        <v>0</v>
      </c>
      <c r="AF155" s="18">
        <f t="shared" si="206"/>
        <v>0</v>
      </c>
      <c r="AG155" s="18">
        <f t="shared" si="207"/>
        <v>1</v>
      </c>
      <c r="AH155" s="18">
        <f t="shared" si="208"/>
        <v>0</v>
      </c>
      <c r="AI155" s="18">
        <f t="shared" si="209"/>
        <v>0</v>
      </c>
      <c r="AJ155" s="18">
        <f t="shared" si="210"/>
        <v>0</v>
      </c>
      <c r="AK155" s="18">
        <f t="shared" si="211"/>
        <v>0</v>
      </c>
      <c r="AL155" s="18">
        <f t="shared" si="212"/>
        <v>0</v>
      </c>
      <c r="AM155" s="18">
        <f t="shared" si="213"/>
        <v>0</v>
      </c>
      <c r="AN155" s="18">
        <f t="shared" si="214"/>
        <v>0</v>
      </c>
      <c r="AO155" s="18">
        <f t="shared" si="215"/>
        <v>0</v>
      </c>
      <c r="AP155" s="18">
        <f t="shared" si="216"/>
        <v>0</v>
      </c>
      <c r="AQ155" s="18">
        <f t="shared" si="217"/>
        <v>0</v>
      </c>
      <c r="AR155" s="18">
        <f t="shared" si="218"/>
        <v>0</v>
      </c>
      <c r="AS155" s="18">
        <f t="shared" si="219"/>
        <v>0</v>
      </c>
      <c r="AT155" s="18">
        <f t="shared" si="220"/>
        <v>0</v>
      </c>
      <c r="AU155" s="18">
        <f t="shared" si="221"/>
        <v>0</v>
      </c>
      <c r="AV155" s="18">
        <f t="shared" si="222"/>
        <v>0</v>
      </c>
      <c r="AW155" s="18">
        <f t="shared" si="223"/>
        <v>0</v>
      </c>
      <c r="AX155" s="18">
        <f t="shared" si="224"/>
        <v>0</v>
      </c>
      <c r="AY155" s="18">
        <f t="shared" si="225"/>
        <v>0</v>
      </c>
      <c r="AZ155" s="18">
        <f t="shared" si="226"/>
        <v>0</v>
      </c>
      <c r="BA155" s="18">
        <f t="shared" si="227"/>
        <v>0</v>
      </c>
      <c r="BB155" s="18">
        <f t="shared" si="228"/>
        <v>0</v>
      </c>
      <c r="BC155" s="18">
        <f t="shared" si="229"/>
        <v>0</v>
      </c>
      <c r="BD155" s="18">
        <f t="shared" si="230"/>
        <v>0</v>
      </c>
      <c r="BE155" s="18">
        <f t="shared" si="231"/>
        <v>0</v>
      </c>
      <c r="BF155" s="18">
        <f t="shared" si="232"/>
        <v>0</v>
      </c>
      <c r="BG155" s="18">
        <f t="shared" si="233"/>
        <v>0</v>
      </c>
      <c r="BH155" s="18">
        <f t="shared" si="234"/>
        <v>0</v>
      </c>
      <c r="BI155" s="18">
        <f t="shared" si="235"/>
        <v>0</v>
      </c>
      <c r="BJ155" s="18">
        <f t="shared" si="236"/>
        <v>0</v>
      </c>
      <c r="BK155" s="18">
        <f t="shared" si="237"/>
        <v>0</v>
      </c>
      <c r="BL155" s="18">
        <f t="shared" si="238"/>
        <v>0</v>
      </c>
      <c r="BM155" s="18">
        <f t="shared" si="239"/>
        <v>0</v>
      </c>
      <c r="BN155" s="18">
        <f t="shared" si="240"/>
        <v>0</v>
      </c>
      <c r="BO155" s="18">
        <f t="shared" si="241"/>
        <v>0</v>
      </c>
      <c r="BP155" s="18">
        <f t="shared" si="242"/>
        <v>0</v>
      </c>
      <c r="BQ155" s="18">
        <f t="shared" si="243"/>
        <v>0</v>
      </c>
      <c r="BR155" s="18">
        <f t="shared" si="244"/>
        <v>0</v>
      </c>
      <c r="BS155" s="18">
        <f t="shared" si="245"/>
        <v>0</v>
      </c>
      <c r="BT155" s="18">
        <f t="shared" si="246"/>
        <v>0</v>
      </c>
      <c r="BU155" s="18">
        <f t="shared" si="247"/>
        <v>0</v>
      </c>
      <c r="BV155" s="18">
        <f t="shared" si="248"/>
        <v>0</v>
      </c>
      <c r="BW155" s="18">
        <f t="shared" si="249"/>
        <v>0</v>
      </c>
      <c r="BX155" s="18">
        <f t="shared" si="250"/>
        <v>0</v>
      </c>
      <c r="BY155" s="18">
        <f t="shared" si="251"/>
        <v>0</v>
      </c>
      <c r="BZ155" s="18">
        <f t="shared" si="252"/>
        <v>0</v>
      </c>
      <c r="CA155" s="18">
        <f t="shared" si="253"/>
        <v>0</v>
      </c>
      <c r="CB155" s="18">
        <f t="shared" si="254"/>
        <v>0</v>
      </c>
      <c r="CC155" s="18">
        <f t="shared" si="255"/>
        <v>0</v>
      </c>
      <c r="CD155" s="18">
        <f t="shared" si="256"/>
        <v>0</v>
      </c>
      <c r="CE155" s="18">
        <f t="shared" si="257"/>
        <v>0</v>
      </c>
      <c r="CF155" s="18">
        <f t="shared" si="258"/>
        <v>0</v>
      </c>
      <c r="CG155" s="18">
        <f t="shared" si="259"/>
        <v>0</v>
      </c>
      <c r="CH155" s="18">
        <f t="shared" si="260"/>
        <v>0</v>
      </c>
      <c r="CI155" s="18">
        <f t="shared" si="261"/>
        <v>0</v>
      </c>
      <c r="CJ155" s="18">
        <f t="shared" si="262"/>
        <v>0</v>
      </c>
    </row>
    <row r="156" spans="1:88" x14ac:dyDescent="0.3">
      <c r="A156" s="1">
        <v>44056</v>
      </c>
      <c r="B156">
        <v>38310.49</v>
      </c>
      <c r="C156">
        <f>Table1[[#This Row],[Close]]-0.001*Table1[[#This Row],[Close]]</f>
        <v>38272.179509999994</v>
      </c>
      <c r="D156">
        <f>Table1[[#This Row],[Close]]+0.001*Table1[[#This Row],[Close]]</f>
        <v>38348.800490000001</v>
      </c>
      <c r="E156" t="str">
        <f>IF(Table1[[#This Row],[Close]]&gt;D155,"UP",IF(Table1[[#This Row],[Close]]&lt;C155,"Down","Constant"))</f>
        <v>Down</v>
      </c>
      <c r="F156" s="3">
        <f>IF(Table1[[#This Row],[Column1]]="Up",1,IF(Table1[[#This Row],[Column1]]="Down",-1,0))</f>
        <v>-1</v>
      </c>
      <c r="G156">
        <f t="shared" si="181"/>
        <v>0</v>
      </c>
      <c r="H156" s="18">
        <f t="shared" si="182"/>
        <v>0</v>
      </c>
      <c r="I156" s="18">
        <f t="shared" si="183"/>
        <v>0</v>
      </c>
      <c r="J156" s="18">
        <f t="shared" si="184"/>
        <v>0</v>
      </c>
      <c r="K156" s="18">
        <f t="shared" si="185"/>
        <v>0</v>
      </c>
      <c r="L156" s="18">
        <f t="shared" si="186"/>
        <v>0</v>
      </c>
      <c r="M156" s="18">
        <f t="shared" si="187"/>
        <v>0</v>
      </c>
      <c r="N156" s="18">
        <f t="shared" si="188"/>
        <v>0</v>
      </c>
      <c r="O156" s="18">
        <f t="shared" si="189"/>
        <v>0</v>
      </c>
      <c r="P156" s="18">
        <f t="shared" si="190"/>
        <v>0</v>
      </c>
      <c r="Q156" s="18">
        <f t="shared" si="191"/>
        <v>0</v>
      </c>
      <c r="R156" s="18">
        <f t="shared" si="192"/>
        <v>0</v>
      </c>
      <c r="S156" s="18">
        <f t="shared" si="193"/>
        <v>0</v>
      </c>
      <c r="T156" s="18">
        <f t="shared" si="194"/>
        <v>0</v>
      </c>
      <c r="U156" s="18">
        <f t="shared" si="195"/>
        <v>0</v>
      </c>
      <c r="V156" s="18">
        <f t="shared" si="196"/>
        <v>0</v>
      </c>
      <c r="W156" s="18">
        <f t="shared" si="197"/>
        <v>0</v>
      </c>
      <c r="X156" s="18">
        <f t="shared" si="198"/>
        <v>0</v>
      </c>
      <c r="Y156" s="18">
        <f t="shared" si="199"/>
        <v>0</v>
      </c>
      <c r="Z156" s="18">
        <f t="shared" si="200"/>
        <v>0</v>
      </c>
      <c r="AA156" s="18">
        <f t="shared" si="201"/>
        <v>0</v>
      </c>
      <c r="AB156" s="18">
        <f t="shared" si="202"/>
        <v>0</v>
      </c>
      <c r="AC156" s="18">
        <f t="shared" si="203"/>
        <v>0</v>
      </c>
      <c r="AD156" s="18">
        <f t="shared" si="204"/>
        <v>0</v>
      </c>
      <c r="AE156" s="18">
        <f t="shared" si="205"/>
        <v>0</v>
      </c>
      <c r="AF156" s="18">
        <f t="shared" si="206"/>
        <v>0</v>
      </c>
      <c r="AG156" s="18">
        <f t="shared" si="207"/>
        <v>0</v>
      </c>
      <c r="AH156" s="18">
        <f t="shared" si="208"/>
        <v>0</v>
      </c>
      <c r="AI156" s="18">
        <f t="shared" si="209"/>
        <v>0</v>
      </c>
      <c r="AJ156" s="18">
        <f t="shared" si="210"/>
        <v>0</v>
      </c>
      <c r="AK156" s="18">
        <f t="shared" si="211"/>
        <v>0</v>
      </c>
      <c r="AL156" s="18">
        <f t="shared" si="212"/>
        <v>1</v>
      </c>
      <c r="AM156" s="18">
        <f t="shared" si="213"/>
        <v>0</v>
      </c>
      <c r="AN156" s="18">
        <f t="shared" si="214"/>
        <v>0</v>
      </c>
      <c r="AO156" s="18">
        <f t="shared" si="215"/>
        <v>0</v>
      </c>
      <c r="AP156" s="18">
        <f t="shared" si="216"/>
        <v>0</v>
      </c>
      <c r="AQ156" s="18">
        <f t="shared" si="217"/>
        <v>0</v>
      </c>
      <c r="AR156" s="18">
        <f t="shared" si="218"/>
        <v>0</v>
      </c>
      <c r="AS156" s="18">
        <f t="shared" si="219"/>
        <v>0</v>
      </c>
      <c r="AT156" s="18">
        <f t="shared" si="220"/>
        <v>0</v>
      </c>
      <c r="AU156" s="18">
        <f t="shared" si="221"/>
        <v>0</v>
      </c>
      <c r="AV156" s="18">
        <f t="shared" si="222"/>
        <v>0</v>
      </c>
      <c r="AW156" s="18">
        <f t="shared" si="223"/>
        <v>0</v>
      </c>
      <c r="AX156" s="18">
        <f t="shared" si="224"/>
        <v>0</v>
      </c>
      <c r="AY156" s="18">
        <f t="shared" si="225"/>
        <v>0</v>
      </c>
      <c r="AZ156" s="18">
        <f t="shared" si="226"/>
        <v>0</v>
      </c>
      <c r="BA156" s="18">
        <f t="shared" si="227"/>
        <v>0</v>
      </c>
      <c r="BB156" s="18">
        <f t="shared" si="228"/>
        <v>0</v>
      </c>
      <c r="BC156" s="18">
        <f t="shared" si="229"/>
        <v>0</v>
      </c>
      <c r="BD156" s="18">
        <f t="shared" si="230"/>
        <v>0</v>
      </c>
      <c r="BE156" s="18">
        <f t="shared" si="231"/>
        <v>0</v>
      </c>
      <c r="BF156" s="18">
        <f t="shared" si="232"/>
        <v>0</v>
      </c>
      <c r="BG156" s="18">
        <f t="shared" si="233"/>
        <v>0</v>
      </c>
      <c r="BH156" s="18">
        <f t="shared" si="234"/>
        <v>0</v>
      </c>
      <c r="BI156" s="18">
        <f t="shared" si="235"/>
        <v>0</v>
      </c>
      <c r="BJ156" s="18">
        <f t="shared" si="236"/>
        <v>0</v>
      </c>
      <c r="BK156" s="18">
        <f t="shared" si="237"/>
        <v>0</v>
      </c>
      <c r="BL156" s="18">
        <f t="shared" si="238"/>
        <v>0</v>
      </c>
      <c r="BM156" s="18">
        <f t="shared" si="239"/>
        <v>0</v>
      </c>
      <c r="BN156" s="18">
        <f t="shared" si="240"/>
        <v>0</v>
      </c>
      <c r="BO156" s="18">
        <f t="shared" si="241"/>
        <v>0</v>
      </c>
      <c r="BP156" s="18">
        <f t="shared" si="242"/>
        <v>0</v>
      </c>
      <c r="BQ156" s="18">
        <f t="shared" si="243"/>
        <v>0</v>
      </c>
      <c r="BR156" s="18">
        <f t="shared" si="244"/>
        <v>0</v>
      </c>
      <c r="BS156" s="18">
        <f t="shared" si="245"/>
        <v>0</v>
      </c>
      <c r="BT156" s="18">
        <f t="shared" si="246"/>
        <v>0</v>
      </c>
      <c r="BU156" s="18">
        <f t="shared" si="247"/>
        <v>0</v>
      </c>
      <c r="BV156" s="18">
        <f t="shared" si="248"/>
        <v>0</v>
      </c>
      <c r="BW156" s="18">
        <f t="shared" si="249"/>
        <v>0</v>
      </c>
      <c r="BX156" s="18">
        <f t="shared" si="250"/>
        <v>0</v>
      </c>
      <c r="BY156" s="18">
        <f t="shared" si="251"/>
        <v>0</v>
      </c>
      <c r="BZ156" s="18">
        <f t="shared" si="252"/>
        <v>0</v>
      </c>
      <c r="CA156" s="18">
        <f t="shared" si="253"/>
        <v>0</v>
      </c>
      <c r="CB156" s="18">
        <f t="shared" si="254"/>
        <v>0</v>
      </c>
      <c r="CC156" s="18">
        <f t="shared" si="255"/>
        <v>0</v>
      </c>
      <c r="CD156" s="18">
        <f t="shared" si="256"/>
        <v>0</v>
      </c>
      <c r="CE156" s="18">
        <f t="shared" si="257"/>
        <v>0</v>
      </c>
      <c r="CF156" s="18">
        <f t="shared" si="258"/>
        <v>0</v>
      </c>
      <c r="CG156" s="18">
        <f t="shared" si="259"/>
        <v>0</v>
      </c>
      <c r="CH156" s="18">
        <f t="shared" si="260"/>
        <v>0</v>
      </c>
      <c r="CI156" s="18">
        <f t="shared" si="261"/>
        <v>0</v>
      </c>
      <c r="CJ156" s="18">
        <f t="shared" si="262"/>
        <v>0</v>
      </c>
    </row>
    <row r="157" spans="1:88" x14ac:dyDescent="0.3">
      <c r="A157" s="1">
        <v>44057</v>
      </c>
      <c r="B157">
        <v>37877.339999999997</v>
      </c>
      <c r="C157">
        <f>Table1[[#This Row],[Close]]-0.001*Table1[[#This Row],[Close]]</f>
        <v>37839.462659999997</v>
      </c>
      <c r="D157">
        <f>Table1[[#This Row],[Close]]+0.001*Table1[[#This Row],[Close]]</f>
        <v>37915.217339999996</v>
      </c>
      <c r="E157" t="str">
        <f>IF(Table1[[#This Row],[Close]]&gt;D156,"UP",IF(Table1[[#This Row],[Close]]&lt;C156,"Down","Constant"))</f>
        <v>Down</v>
      </c>
      <c r="F157" s="3">
        <f>IF(Table1[[#This Row],[Column1]]="Up",1,IF(Table1[[#This Row],[Column1]]="Down",-1,0))</f>
        <v>-1</v>
      </c>
      <c r="G157">
        <f t="shared" si="181"/>
        <v>0</v>
      </c>
      <c r="H157" s="18">
        <f t="shared" si="182"/>
        <v>0</v>
      </c>
      <c r="I157" s="18">
        <f t="shared" si="183"/>
        <v>0</v>
      </c>
      <c r="J157" s="18">
        <f t="shared" si="184"/>
        <v>0</v>
      </c>
      <c r="K157" s="18">
        <f t="shared" si="185"/>
        <v>0</v>
      </c>
      <c r="L157" s="18">
        <f t="shared" si="186"/>
        <v>0</v>
      </c>
      <c r="M157" s="18">
        <f t="shared" si="187"/>
        <v>0</v>
      </c>
      <c r="N157" s="18">
        <f t="shared" si="188"/>
        <v>0</v>
      </c>
      <c r="O157" s="18">
        <f t="shared" si="189"/>
        <v>0</v>
      </c>
      <c r="P157" s="18">
        <f t="shared" si="190"/>
        <v>0</v>
      </c>
      <c r="Q157" s="18">
        <f t="shared" si="191"/>
        <v>0</v>
      </c>
      <c r="R157" s="18">
        <f t="shared" si="192"/>
        <v>0</v>
      </c>
      <c r="S157" s="18">
        <f t="shared" si="193"/>
        <v>0</v>
      </c>
      <c r="T157" s="18">
        <f t="shared" si="194"/>
        <v>0</v>
      </c>
      <c r="U157" s="18">
        <f t="shared" si="195"/>
        <v>0</v>
      </c>
      <c r="V157" s="18">
        <f t="shared" si="196"/>
        <v>0</v>
      </c>
      <c r="W157" s="18">
        <f t="shared" si="197"/>
        <v>0</v>
      </c>
      <c r="X157" s="18">
        <f t="shared" si="198"/>
        <v>0</v>
      </c>
      <c r="Y157" s="18">
        <f t="shared" si="199"/>
        <v>0</v>
      </c>
      <c r="Z157" s="18">
        <f t="shared" si="200"/>
        <v>0</v>
      </c>
      <c r="AA157" s="18">
        <f t="shared" si="201"/>
        <v>0</v>
      </c>
      <c r="AB157" s="18">
        <f t="shared" si="202"/>
        <v>0</v>
      </c>
      <c r="AC157" s="18">
        <f t="shared" si="203"/>
        <v>0</v>
      </c>
      <c r="AD157" s="18">
        <f t="shared" si="204"/>
        <v>0</v>
      </c>
      <c r="AE157" s="18">
        <f t="shared" si="205"/>
        <v>0</v>
      </c>
      <c r="AF157" s="18">
        <f t="shared" si="206"/>
        <v>0</v>
      </c>
      <c r="AG157" s="18">
        <f t="shared" si="207"/>
        <v>0</v>
      </c>
      <c r="AH157" s="18">
        <f t="shared" si="208"/>
        <v>0</v>
      </c>
      <c r="AI157" s="18">
        <f t="shared" si="209"/>
        <v>0</v>
      </c>
      <c r="AJ157" s="18">
        <f t="shared" si="210"/>
        <v>0</v>
      </c>
      <c r="AK157" s="18">
        <f t="shared" si="211"/>
        <v>0</v>
      </c>
      <c r="AL157" s="18">
        <f t="shared" si="212"/>
        <v>0</v>
      </c>
      <c r="AM157" s="18">
        <f t="shared" si="213"/>
        <v>0</v>
      </c>
      <c r="AN157" s="18">
        <f t="shared" si="214"/>
        <v>0</v>
      </c>
      <c r="AO157" s="18">
        <f t="shared" si="215"/>
        <v>0</v>
      </c>
      <c r="AP157" s="18">
        <f t="shared" si="216"/>
        <v>0</v>
      </c>
      <c r="AQ157" s="18">
        <f t="shared" si="217"/>
        <v>0</v>
      </c>
      <c r="AR157" s="18">
        <f t="shared" si="218"/>
        <v>0</v>
      </c>
      <c r="AS157" s="18">
        <f t="shared" si="219"/>
        <v>0</v>
      </c>
      <c r="AT157" s="18">
        <f t="shared" si="220"/>
        <v>0</v>
      </c>
      <c r="AU157" s="18">
        <f t="shared" si="221"/>
        <v>0</v>
      </c>
      <c r="AV157" s="18">
        <f t="shared" si="222"/>
        <v>0</v>
      </c>
      <c r="AW157" s="18">
        <f t="shared" si="223"/>
        <v>0</v>
      </c>
      <c r="AX157" s="18">
        <f t="shared" si="224"/>
        <v>0</v>
      </c>
      <c r="AY157" s="18">
        <f t="shared" si="225"/>
        <v>0</v>
      </c>
      <c r="AZ157" s="18">
        <f t="shared" si="226"/>
        <v>0</v>
      </c>
      <c r="BA157" s="18">
        <f t="shared" si="227"/>
        <v>0</v>
      </c>
      <c r="BB157" s="18">
        <f t="shared" si="228"/>
        <v>0</v>
      </c>
      <c r="BC157" s="18">
        <f t="shared" si="229"/>
        <v>0</v>
      </c>
      <c r="BD157" s="18">
        <f t="shared" si="230"/>
        <v>0</v>
      </c>
      <c r="BE157" s="18">
        <f t="shared" si="231"/>
        <v>0</v>
      </c>
      <c r="BF157" s="18">
        <f t="shared" si="232"/>
        <v>0</v>
      </c>
      <c r="BG157" s="18">
        <f t="shared" si="233"/>
        <v>0</v>
      </c>
      <c r="BH157" s="18">
        <f t="shared" si="234"/>
        <v>0</v>
      </c>
      <c r="BI157" s="18">
        <f t="shared" si="235"/>
        <v>0</v>
      </c>
      <c r="BJ157" s="18">
        <f t="shared" si="236"/>
        <v>0</v>
      </c>
      <c r="BK157" s="18">
        <f t="shared" si="237"/>
        <v>0</v>
      </c>
      <c r="BL157" s="18">
        <f t="shared" si="238"/>
        <v>0</v>
      </c>
      <c r="BM157" s="18">
        <f t="shared" si="239"/>
        <v>0</v>
      </c>
      <c r="BN157" s="18">
        <f t="shared" si="240"/>
        <v>0</v>
      </c>
      <c r="BO157" s="18">
        <f t="shared" si="241"/>
        <v>0</v>
      </c>
      <c r="BP157" s="18">
        <f t="shared" si="242"/>
        <v>1</v>
      </c>
      <c r="BQ157" s="18">
        <f t="shared" si="243"/>
        <v>0</v>
      </c>
      <c r="BR157" s="18">
        <f t="shared" si="244"/>
        <v>0</v>
      </c>
      <c r="BS157" s="18">
        <f t="shared" si="245"/>
        <v>0</v>
      </c>
      <c r="BT157" s="18">
        <f t="shared" si="246"/>
        <v>0</v>
      </c>
      <c r="BU157" s="18">
        <f t="shared" si="247"/>
        <v>0</v>
      </c>
      <c r="BV157" s="18">
        <f t="shared" si="248"/>
        <v>0</v>
      </c>
      <c r="BW157" s="18">
        <f t="shared" si="249"/>
        <v>0</v>
      </c>
      <c r="BX157" s="18">
        <f t="shared" si="250"/>
        <v>0</v>
      </c>
      <c r="BY157" s="18">
        <f t="shared" si="251"/>
        <v>0</v>
      </c>
      <c r="BZ157" s="18">
        <f t="shared" si="252"/>
        <v>0</v>
      </c>
      <c r="CA157" s="18">
        <f t="shared" si="253"/>
        <v>0</v>
      </c>
      <c r="CB157" s="18">
        <f t="shared" si="254"/>
        <v>0</v>
      </c>
      <c r="CC157" s="18">
        <f t="shared" si="255"/>
        <v>0</v>
      </c>
      <c r="CD157" s="18">
        <f t="shared" si="256"/>
        <v>0</v>
      </c>
      <c r="CE157" s="18">
        <f t="shared" si="257"/>
        <v>0</v>
      </c>
      <c r="CF157" s="18">
        <f t="shared" si="258"/>
        <v>0</v>
      </c>
      <c r="CG157" s="18">
        <f t="shared" si="259"/>
        <v>0</v>
      </c>
      <c r="CH157" s="18">
        <f t="shared" si="260"/>
        <v>0</v>
      </c>
      <c r="CI157" s="18">
        <f t="shared" si="261"/>
        <v>0</v>
      </c>
      <c r="CJ157" s="18">
        <f t="shared" si="262"/>
        <v>0</v>
      </c>
    </row>
    <row r="158" spans="1:88" x14ac:dyDescent="0.3">
      <c r="A158" s="1">
        <v>44060</v>
      </c>
      <c r="B158">
        <v>38050.78</v>
      </c>
      <c r="C158">
        <f>Table1[[#This Row],[Close]]-0.001*Table1[[#This Row],[Close]]</f>
        <v>38012.729220000001</v>
      </c>
      <c r="D158">
        <f>Table1[[#This Row],[Close]]+0.001*Table1[[#This Row],[Close]]</f>
        <v>38088.830779999997</v>
      </c>
      <c r="E158" t="str">
        <f>IF(Table1[[#This Row],[Close]]&gt;D157,"UP",IF(Table1[[#This Row],[Close]]&lt;C157,"Down","Constant"))</f>
        <v>UP</v>
      </c>
      <c r="F158" s="3">
        <f>IF(Table1[[#This Row],[Column1]]="Up",1,IF(Table1[[#This Row],[Column1]]="Down",-1,0))</f>
        <v>1</v>
      </c>
      <c r="G158">
        <f t="shared" si="181"/>
        <v>0</v>
      </c>
      <c r="H158" s="18">
        <f t="shared" si="182"/>
        <v>0</v>
      </c>
      <c r="I158" s="18">
        <f t="shared" si="183"/>
        <v>0</v>
      </c>
      <c r="J158" s="18">
        <f t="shared" si="184"/>
        <v>0</v>
      </c>
      <c r="K158" s="18">
        <f t="shared" si="185"/>
        <v>0</v>
      </c>
      <c r="L158" s="18">
        <f t="shared" si="186"/>
        <v>0</v>
      </c>
      <c r="M158" s="18">
        <f t="shared" si="187"/>
        <v>0</v>
      </c>
      <c r="N158" s="18">
        <f t="shared" si="188"/>
        <v>0</v>
      </c>
      <c r="O158" s="18">
        <f t="shared" si="189"/>
        <v>0</v>
      </c>
      <c r="P158" s="18">
        <f t="shared" si="190"/>
        <v>0</v>
      </c>
      <c r="Q158" s="18">
        <f t="shared" si="191"/>
        <v>0</v>
      </c>
      <c r="R158" s="18">
        <f t="shared" si="192"/>
        <v>0</v>
      </c>
      <c r="S158" s="18">
        <f t="shared" si="193"/>
        <v>0</v>
      </c>
      <c r="T158" s="18">
        <f t="shared" si="194"/>
        <v>0</v>
      </c>
      <c r="U158" s="18">
        <f t="shared" si="195"/>
        <v>0</v>
      </c>
      <c r="V158" s="18">
        <f t="shared" si="196"/>
        <v>0</v>
      </c>
      <c r="W158" s="18">
        <f t="shared" si="197"/>
        <v>0</v>
      </c>
      <c r="X158" s="18">
        <f t="shared" si="198"/>
        <v>0</v>
      </c>
      <c r="Y158" s="18">
        <f t="shared" si="199"/>
        <v>0</v>
      </c>
      <c r="Z158" s="18">
        <f t="shared" si="200"/>
        <v>0</v>
      </c>
      <c r="AA158" s="18">
        <f t="shared" si="201"/>
        <v>0</v>
      </c>
      <c r="AB158" s="18">
        <f t="shared" si="202"/>
        <v>0</v>
      </c>
      <c r="AC158" s="18">
        <f t="shared" si="203"/>
        <v>0</v>
      </c>
      <c r="AD158" s="18">
        <f t="shared" si="204"/>
        <v>0</v>
      </c>
      <c r="AE158" s="18">
        <f t="shared" si="205"/>
        <v>0</v>
      </c>
      <c r="AF158" s="18">
        <f t="shared" si="206"/>
        <v>0</v>
      </c>
      <c r="AG158" s="18">
        <f t="shared" si="207"/>
        <v>0</v>
      </c>
      <c r="AH158" s="18">
        <f t="shared" si="208"/>
        <v>0</v>
      </c>
      <c r="AI158" s="18">
        <f t="shared" si="209"/>
        <v>0</v>
      </c>
      <c r="AJ158" s="18">
        <f t="shared" si="210"/>
        <v>0</v>
      </c>
      <c r="AK158" s="18">
        <f t="shared" si="211"/>
        <v>0</v>
      </c>
      <c r="AL158" s="18">
        <f t="shared" si="212"/>
        <v>0</v>
      </c>
      <c r="AM158" s="18">
        <f t="shared" si="213"/>
        <v>0</v>
      </c>
      <c r="AN158" s="18">
        <f t="shared" si="214"/>
        <v>0</v>
      </c>
      <c r="AO158" s="18">
        <f t="shared" si="215"/>
        <v>0</v>
      </c>
      <c r="AP158" s="18">
        <f t="shared" si="216"/>
        <v>0</v>
      </c>
      <c r="AQ158" s="18">
        <f t="shared" si="217"/>
        <v>0</v>
      </c>
      <c r="AR158" s="18">
        <f t="shared" si="218"/>
        <v>0</v>
      </c>
      <c r="AS158" s="18">
        <f t="shared" si="219"/>
        <v>0</v>
      </c>
      <c r="AT158" s="18">
        <f t="shared" si="220"/>
        <v>0</v>
      </c>
      <c r="AU158" s="18">
        <f t="shared" si="221"/>
        <v>0</v>
      </c>
      <c r="AV158" s="18">
        <f t="shared" si="222"/>
        <v>0</v>
      </c>
      <c r="AW158" s="18">
        <f t="shared" si="223"/>
        <v>0</v>
      </c>
      <c r="AX158" s="18">
        <f t="shared" si="224"/>
        <v>0</v>
      </c>
      <c r="AY158" s="18">
        <f t="shared" si="225"/>
        <v>0</v>
      </c>
      <c r="AZ158" s="18">
        <f t="shared" si="226"/>
        <v>1</v>
      </c>
      <c r="BA158" s="18">
        <f t="shared" si="227"/>
        <v>0</v>
      </c>
      <c r="BB158" s="18">
        <f t="shared" si="228"/>
        <v>0</v>
      </c>
      <c r="BC158" s="18">
        <f t="shared" si="229"/>
        <v>0</v>
      </c>
      <c r="BD158" s="18">
        <f t="shared" si="230"/>
        <v>0</v>
      </c>
      <c r="BE158" s="18">
        <f t="shared" si="231"/>
        <v>0</v>
      </c>
      <c r="BF158" s="18">
        <f t="shared" si="232"/>
        <v>0</v>
      </c>
      <c r="BG158" s="18">
        <f t="shared" si="233"/>
        <v>0</v>
      </c>
      <c r="BH158" s="18">
        <f t="shared" si="234"/>
        <v>0</v>
      </c>
      <c r="BI158" s="18">
        <f t="shared" si="235"/>
        <v>0</v>
      </c>
      <c r="BJ158" s="18">
        <f t="shared" si="236"/>
        <v>0</v>
      </c>
      <c r="BK158" s="18">
        <f t="shared" si="237"/>
        <v>0</v>
      </c>
      <c r="BL158" s="18">
        <f t="shared" si="238"/>
        <v>0</v>
      </c>
      <c r="BM158" s="18">
        <f t="shared" si="239"/>
        <v>0</v>
      </c>
      <c r="BN158" s="18">
        <f t="shared" si="240"/>
        <v>0</v>
      </c>
      <c r="BO158" s="18">
        <f t="shared" si="241"/>
        <v>0</v>
      </c>
      <c r="BP158" s="18">
        <f t="shared" si="242"/>
        <v>0</v>
      </c>
      <c r="BQ158" s="18">
        <f t="shared" si="243"/>
        <v>0</v>
      </c>
      <c r="BR158" s="18">
        <f t="shared" si="244"/>
        <v>0</v>
      </c>
      <c r="BS158" s="18">
        <f t="shared" si="245"/>
        <v>0</v>
      </c>
      <c r="BT158" s="18">
        <f t="shared" si="246"/>
        <v>0</v>
      </c>
      <c r="BU158" s="18">
        <f t="shared" si="247"/>
        <v>0</v>
      </c>
      <c r="BV158" s="18">
        <f t="shared" si="248"/>
        <v>0</v>
      </c>
      <c r="BW158" s="18">
        <f t="shared" si="249"/>
        <v>0</v>
      </c>
      <c r="BX158" s="18">
        <f t="shared" si="250"/>
        <v>0</v>
      </c>
      <c r="BY158" s="18">
        <f t="shared" si="251"/>
        <v>0</v>
      </c>
      <c r="BZ158" s="18">
        <f t="shared" si="252"/>
        <v>0</v>
      </c>
      <c r="CA158" s="18">
        <f t="shared" si="253"/>
        <v>0</v>
      </c>
      <c r="CB158" s="18">
        <f t="shared" si="254"/>
        <v>0</v>
      </c>
      <c r="CC158" s="18">
        <f t="shared" si="255"/>
        <v>0</v>
      </c>
      <c r="CD158" s="18">
        <f t="shared" si="256"/>
        <v>0</v>
      </c>
      <c r="CE158" s="18">
        <f t="shared" si="257"/>
        <v>0</v>
      </c>
      <c r="CF158" s="18">
        <f t="shared" si="258"/>
        <v>0</v>
      </c>
      <c r="CG158" s="18">
        <f t="shared" si="259"/>
        <v>0</v>
      </c>
      <c r="CH158" s="18">
        <f t="shared" si="260"/>
        <v>0</v>
      </c>
      <c r="CI158" s="18">
        <f t="shared" si="261"/>
        <v>0</v>
      </c>
      <c r="CJ158" s="18">
        <f t="shared" si="262"/>
        <v>0</v>
      </c>
    </row>
    <row r="159" spans="1:88" x14ac:dyDescent="0.3">
      <c r="A159" s="1">
        <v>44061</v>
      </c>
      <c r="B159">
        <v>38528.32</v>
      </c>
      <c r="C159">
        <f>Table1[[#This Row],[Close]]-0.001*Table1[[#This Row],[Close]]</f>
        <v>38489.791680000002</v>
      </c>
      <c r="D159">
        <f>Table1[[#This Row],[Close]]+0.001*Table1[[#This Row],[Close]]</f>
        <v>38566.848319999997</v>
      </c>
      <c r="E159" t="str">
        <f>IF(Table1[[#This Row],[Close]]&gt;D158,"UP",IF(Table1[[#This Row],[Close]]&lt;C158,"Down","Constant"))</f>
        <v>UP</v>
      </c>
      <c r="F159" s="3">
        <f>IF(Table1[[#This Row],[Column1]]="Up",1,IF(Table1[[#This Row],[Column1]]="Down",-1,0))</f>
        <v>1</v>
      </c>
      <c r="G159">
        <f t="shared" si="181"/>
        <v>0</v>
      </c>
      <c r="H159" s="18">
        <f t="shared" si="182"/>
        <v>0</v>
      </c>
      <c r="I159" s="18">
        <f t="shared" si="183"/>
        <v>0</v>
      </c>
      <c r="J159" s="18">
        <f t="shared" si="184"/>
        <v>0</v>
      </c>
      <c r="K159" s="18">
        <f t="shared" si="185"/>
        <v>0</v>
      </c>
      <c r="L159" s="18">
        <f t="shared" si="186"/>
        <v>0</v>
      </c>
      <c r="M159" s="18">
        <f t="shared" si="187"/>
        <v>0</v>
      </c>
      <c r="N159" s="18">
        <f t="shared" si="188"/>
        <v>0</v>
      </c>
      <c r="O159" s="18">
        <f t="shared" si="189"/>
        <v>0</v>
      </c>
      <c r="P159" s="18">
        <f t="shared" si="190"/>
        <v>0</v>
      </c>
      <c r="Q159" s="18">
        <f t="shared" si="191"/>
        <v>0</v>
      </c>
      <c r="R159" s="18">
        <f t="shared" si="192"/>
        <v>0</v>
      </c>
      <c r="S159" s="18">
        <f t="shared" si="193"/>
        <v>0</v>
      </c>
      <c r="T159" s="18">
        <f t="shared" si="194"/>
        <v>0</v>
      </c>
      <c r="U159" s="18">
        <f t="shared" si="195"/>
        <v>0</v>
      </c>
      <c r="V159" s="18">
        <f t="shared" si="196"/>
        <v>1</v>
      </c>
      <c r="W159" s="18">
        <f t="shared" si="197"/>
        <v>0</v>
      </c>
      <c r="X159" s="18">
        <f t="shared" si="198"/>
        <v>0</v>
      </c>
      <c r="Y159" s="18">
        <f t="shared" si="199"/>
        <v>0</v>
      </c>
      <c r="Z159" s="18">
        <f t="shared" si="200"/>
        <v>0</v>
      </c>
      <c r="AA159" s="18">
        <f t="shared" si="201"/>
        <v>0</v>
      </c>
      <c r="AB159" s="18">
        <f t="shared" si="202"/>
        <v>0</v>
      </c>
      <c r="AC159" s="18">
        <f t="shared" si="203"/>
        <v>0</v>
      </c>
      <c r="AD159" s="18">
        <f t="shared" si="204"/>
        <v>0</v>
      </c>
      <c r="AE159" s="18">
        <f t="shared" si="205"/>
        <v>0</v>
      </c>
      <c r="AF159" s="18">
        <f t="shared" si="206"/>
        <v>0</v>
      </c>
      <c r="AG159" s="18">
        <f t="shared" si="207"/>
        <v>0</v>
      </c>
      <c r="AH159" s="18">
        <f t="shared" si="208"/>
        <v>0</v>
      </c>
      <c r="AI159" s="18">
        <f t="shared" si="209"/>
        <v>0</v>
      </c>
      <c r="AJ159" s="18">
        <f t="shared" si="210"/>
        <v>0</v>
      </c>
      <c r="AK159" s="18">
        <f t="shared" si="211"/>
        <v>0</v>
      </c>
      <c r="AL159" s="18">
        <f t="shared" si="212"/>
        <v>0</v>
      </c>
      <c r="AM159" s="18">
        <f t="shared" si="213"/>
        <v>0</v>
      </c>
      <c r="AN159" s="18">
        <f t="shared" si="214"/>
        <v>0</v>
      </c>
      <c r="AO159" s="18">
        <f t="shared" si="215"/>
        <v>0</v>
      </c>
      <c r="AP159" s="18">
        <f t="shared" si="216"/>
        <v>0</v>
      </c>
      <c r="AQ159" s="18">
        <f t="shared" si="217"/>
        <v>0</v>
      </c>
      <c r="AR159" s="18">
        <f t="shared" si="218"/>
        <v>0</v>
      </c>
      <c r="AS159" s="18">
        <f t="shared" si="219"/>
        <v>0</v>
      </c>
      <c r="AT159" s="18">
        <f t="shared" si="220"/>
        <v>0</v>
      </c>
      <c r="AU159" s="18">
        <f t="shared" si="221"/>
        <v>0</v>
      </c>
      <c r="AV159" s="18">
        <f t="shared" si="222"/>
        <v>0</v>
      </c>
      <c r="AW159" s="18">
        <f t="shared" si="223"/>
        <v>0</v>
      </c>
      <c r="AX159" s="18">
        <f t="shared" si="224"/>
        <v>0</v>
      </c>
      <c r="AY159" s="18">
        <f t="shared" si="225"/>
        <v>0</v>
      </c>
      <c r="AZ159" s="18">
        <f t="shared" si="226"/>
        <v>0</v>
      </c>
      <c r="BA159" s="18">
        <f t="shared" si="227"/>
        <v>0</v>
      </c>
      <c r="BB159" s="18">
        <f t="shared" si="228"/>
        <v>0</v>
      </c>
      <c r="BC159" s="18">
        <f t="shared" si="229"/>
        <v>0</v>
      </c>
      <c r="BD159" s="18">
        <f t="shared" si="230"/>
        <v>0</v>
      </c>
      <c r="BE159" s="18">
        <f t="shared" si="231"/>
        <v>0</v>
      </c>
      <c r="BF159" s="18">
        <f t="shared" si="232"/>
        <v>0</v>
      </c>
      <c r="BG159" s="18">
        <f t="shared" si="233"/>
        <v>0</v>
      </c>
      <c r="BH159" s="18">
        <f t="shared" si="234"/>
        <v>0</v>
      </c>
      <c r="BI159" s="18">
        <f t="shared" si="235"/>
        <v>0</v>
      </c>
      <c r="BJ159" s="18">
        <f t="shared" si="236"/>
        <v>0</v>
      </c>
      <c r="BK159" s="18">
        <f t="shared" si="237"/>
        <v>0</v>
      </c>
      <c r="BL159" s="18">
        <f t="shared" si="238"/>
        <v>0</v>
      </c>
      <c r="BM159" s="18">
        <f t="shared" si="239"/>
        <v>0</v>
      </c>
      <c r="BN159" s="18">
        <f t="shared" si="240"/>
        <v>0</v>
      </c>
      <c r="BO159" s="18">
        <f t="shared" si="241"/>
        <v>0</v>
      </c>
      <c r="BP159" s="18">
        <f t="shared" si="242"/>
        <v>0</v>
      </c>
      <c r="BQ159" s="18">
        <f t="shared" si="243"/>
        <v>0</v>
      </c>
      <c r="BR159" s="18">
        <f t="shared" si="244"/>
        <v>0</v>
      </c>
      <c r="BS159" s="18">
        <f t="shared" si="245"/>
        <v>0</v>
      </c>
      <c r="BT159" s="18">
        <f t="shared" si="246"/>
        <v>0</v>
      </c>
      <c r="BU159" s="18">
        <f t="shared" si="247"/>
        <v>0</v>
      </c>
      <c r="BV159" s="18">
        <f t="shared" si="248"/>
        <v>0</v>
      </c>
      <c r="BW159" s="18">
        <f t="shared" si="249"/>
        <v>0</v>
      </c>
      <c r="BX159" s="18">
        <f t="shared" si="250"/>
        <v>0</v>
      </c>
      <c r="BY159" s="18">
        <f t="shared" si="251"/>
        <v>0</v>
      </c>
      <c r="BZ159" s="18">
        <f t="shared" si="252"/>
        <v>0</v>
      </c>
      <c r="CA159" s="18">
        <f t="shared" si="253"/>
        <v>0</v>
      </c>
      <c r="CB159" s="18">
        <f t="shared" si="254"/>
        <v>0</v>
      </c>
      <c r="CC159" s="18">
        <f t="shared" si="255"/>
        <v>0</v>
      </c>
      <c r="CD159" s="18">
        <f t="shared" si="256"/>
        <v>0</v>
      </c>
      <c r="CE159" s="18">
        <f t="shared" si="257"/>
        <v>0</v>
      </c>
      <c r="CF159" s="18">
        <f t="shared" si="258"/>
        <v>0</v>
      </c>
      <c r="CG159" s="18">
        <f t="shared" si="259"/>
        <v>0</v>
      </c>
      <c r="CH159" s="18">
        <f t="shared" si="260"/>
        <v>0</v>
      </c>
      <c r="CI159" s="18">
        <f t="shared" si="261"/>
        <v>0</v>
      </c>
      <c r="CJ159" s="18">
        <f t="shared" si="262"/>
        <v>0</v>
      </c>
    </row>
    <row r="160" spans="1:88" x14ac:dyDescent="0.3">
      <c r="A160" s="1">
        <v>44062</v>
      </c>
      <c r="B160">
        <v>38614.79</v>
      </c>
      <c r="C160">
        <f>Table1[[#This Row],[Close]]-0.001*Table1[[#This Row],[Close]]</f>
        <v>38576.175210000001</v>
      </c>
      <c r="D160">
        <f>Table1[[#This Row],[Close]]+0.001*Table1[[#This Row],[Close]]</f>
        <v>38653.404790000001</v>
      </c>
      <c r="E160" t="str">
        <f>IF(Table1[[#This Row],[Close]]&gt;D159,"UP",IF(Table1[[#This Row],[Close]]&lt;C159,"Down","Constant"))</f>
        <v>UP</v>
      </c>
      <c r="F160" s="3">
        <f>IF(Table1[[#This Row],[Column1]]="Up",1,IF(Table1[[#This Row],[Column1]]="Down",-1,0))</f>
        <v>1</v>
      </c>
      <c r="G160">
        <f t="shared" si="181"/>
        <v>0</v>
      </c>
      <c r="H160" s="18">
        <f t="shared" si="182"/>
        <v>0</v>
      </c>
      <c r="I160" s="18">
        <f t="shared" si="183"/>
        <v>0</v>
      </c>
      <c r="J160" s="18">
        <f t="shared" si="184"/>
        <v>0</v>
      </c>
      <c r="K160" s="18">
        <f t="shared" si="185"/>
        <v>0</v>
      </c>
      <c r="L160" s="18">
        <f t="shared" si="186"/>
        <v>0</v>
      </c>
      <c r="M160" s="18">
        <f t="shared" si="187"/>
        <v>1</v>
      </c>
      <c r="N160" s="18">
        <f t="shared" si="188"/>
        <v>0</v>
      </c>
      <c r="O160" s="18">
        <f t="shared" si="189"/>
        <v>0</v>
      </c>
      <c r="P160" s="18">
        <f t="shared" si="190"/>
        <v>0</v>
      </c>
      <c r="Q160" s="18">
        <f t="shared" si="191"/>
        <v>0</v>
      </c>
      <c r="R160" s="18">
        <f t="shared" si="192"/>
        <v>0</v>
      </c>
      <c r="S160" s="18">
        <f t="shared" si="193"/>
        <v>0</v>
      </c>
      <c r="T160" s="18">
        <f t="shared" si="194"/>
        <v>0</v>
      </c>
      <c r="U160" s="18">
        <f t="shared" si="195"/>
        <v>0</v>
      </c>
      <c r="V160" s="18">
        <f t="shared" si="196"/>
        <v>0</v>
      </c>
      <c r="W160" s="18">
        <f t="shared" si="197"/>
        <v>0</v>
      </c>
      <c r="X160" s="18">
        <f t="shared" si="198"/>
        <v>0</v>
      </c>
      <c r="Y160" s="18">
        <f t="shared" si="199"/>
        <v>0</v>
      </c>
      <c r="Z160" s="18">
        <f t="shared" si="200"/>
        <v>0</v>
      </c>
      <c r="AA160" s="18">
        <f t="shared" si="201"/>
        <v>0</v>
      </c>
      <c r="AB160" s="18">
        <f t="shared" si="202"/>
        <v>0</v>
      </c>
      <c r="AC160" s="18">
        <f t="shared" si="203"/>
        <v>0</v>
      </c>
      <c r="AD160" s="18">
        <f t="shared" si="204"/>
        <v>0</v>
      </c>
      <c r="AE160" s="18">
        <f t="shared" si="205"/>
        <v>0</v>
      </c>
      <c r="AF160" s="18">
        <f t="shared" si="206"/>
        <v>0</v>
      </c>
      <c r="AG160" s="18">
        <f t="shared" si="207"/>
        <v>0</v>
      </c>
      <c r="AH160" s="18">
        <f t="shared" si="208"/>
        <v>0</v>
      </c>
      <c r="AI160" s="18">
        <f t="shared" si="209"/>
        <v>0</v>
      </c>
      <c r="AJ160" s="18">
        <f t="shared" si="210"/>
        <v>0</v>
      </c>
      <c r="AK160" s="18">
        <f t="shared" si="211"/>
        <v>0</v>
      </c>
      <c r="AL160" s="18">
        <f t="shared" si="212"/>
        <v>0</v>
      </c>
      <c r="AM160" s="18">
        <f t="shared" si="213"/>
        <v>0</v>
      </c>
      <c r="AN160" s="18">
        <f t="shared" si="214"/>
        <v>0</v>
      </c>
      <c r="AO160" s="18">
        <f t="shared" si="215"/>
        <v>0</v>
      </c>
      <c r="AP160" s="18">
        <f t="shared" si="216"/>
        <v>0</v>
      </c>
      <c r="AQ160" s="18">
        <f t="shared" si="217"/>
        <v>0</v>
      </c>
      <c r="AR160" s="18">
        <f t="shared" si="218"/>
        <v>0</v>
      </c>
      <c r="AS160" s="18">
        <f t="shared" si="219"/>
        <v>0</v>
      </c>
      <c r="AT160" s="18">
        <f t="shared" si="220"/>
        <v>0</v>
      </c>
      <c r="AU160" s="18">
        <f t="shared" si="221"/>
        <v>0</v>
      </c>
      <c r="AV160" s="18">
        <f t="shared" si="222"/>
        <v>0</v>
      </c>
      <c r="AW160" s="18">
        <f t="shared" si="223"/>
        <v>0</v>
      </c>
      <c r="AX160" s="18">
        <f t="shared" si="224"/>
        <v>0</v>
      </c>
      <c r="AY160" s="18">
        <f t="shared" si="225"/>
        <v>0</v>
      </c>
      <c r="AZ160" s="18">
        <f t="shared" si="226"/>
        <v>0</v>
      </c>
      <c r="BA160" s="18">
        <f t="shared" si="227"/>
        <v>0</v>
      </c>
      <c r="BB160" s="18">
        <f t="shared" si="228"/>
        <v>0</v>
      </c>
      <c r="BC160" s="18">
        <f t="shared" si="229"/>
        <v>0</v>
      </c>
      <c r="BD160" s="18">
        <f t="shared" si="230"/>
        <v>0</v>
      </c>
      <c r="BE160" s="18">
        <f t="shared" si="231"/>
        <v>0</v>
      </c>
      <c r="BF160" s="18">
        <f t="shared" si="232"/>
        <v>0</v>
      </c>
      <c r="BG160" s="18">
        <f t="shared" si="233"/>
        <v>0</v>
      </c>
      <c r="BH160" s="18">
        <f t="shared" si="234"/>
        <v>0</v>
      </c>
      <c r="BI160" s="18">
        <f t="shared" si="235"/>
        <v>0</v>
      </c>
      <c r="BJ160" s="18">
        <f t="shared" si="236"/>
        <v>0</v>
      </c>
      <c r="BK160" s="18">
        <f t="shared" si="237"/>
        <v>0</v>
      </c>
      <c r="BL160" s="18">
        <f t="shared" si="238"/>
        <v>0</v>
      </c>
      <c r="BM160" s="18">
        <f t="shared" si="239"/>
        <v>0</v>
      </c>
      <c r="BN160" s="18">
        <f t="shared" si="240"/>
        <v>0</v>
      </c>
      <c r="BO160" s="18">
        <f t="shared" si="241"/>
        <v>0</v>
      </c>
      <c r="BP160" s="18">
        <f t="shared" si="242"/>
        <v>0</v>
      </c>
      <c r="BQ160" s="18">
        <f t="shared" si="243"/>
        <v>0</v>
      </c>
      <c r="BR160" s="18">
        <f t="shared" si="244"/>
        <v>0</v>
      </c>
      <c r="BS160" s="18">
        <f t="shared" si="245"/>
        <v>0</v>
      </c>
      <c r="BT160" s="18">
        <f t="shared" si="246"/>
        <v>0</v>
      </c>
      <c r="BU160" s="18">
        <f t="shared" si="247"/>
        <v>0</v>
      </c>
      <c r="BV160" s="18">
        <f t="shared" si="248"/>
        <v>0</v>
      </c>
      <c r="BW160" s="18">
        <f t="shared" si="249"/>
        <v>0</v>
      </c>
      <c r="BX160" s="18">
        <f t="shared" si="250"/>
        <v>0</v>
      </c>
      <c r="BY160" s="18">
        <f t="shared" si="251"/>
        <v>0</v>
      </c>
      <c r="BZ160" s="18">
        <f t="shared" si="252"/>
        <v>0</v>
      </c>
      <c r="CA160" s="18">
        <f t="shared" si="253"/>
        <v>0</v>
      </c>
      <c r="CB160" s="18">
        <f t="shared" si="254"/>
        <v>0</v>
      </c>
      <c r="CC160" s="18">
        <f t="shared" si="255"/>
        <v>0</v>
      </c>
      <c r="CD160" s="18">
        <f t="shared" si="256"/>
        <v>0</v>
      </c>
      <c r="CE160" s="18">
        <f t="shared" si="257"/>
        <v>0</v>
      </c>
      <c r="CF160" s="18">
        <f t="shared" si="258"/>
        <v>0</v>
      </c>
      <c r="CG160" s="18">
        <f t="shared" si="259"/>
        <v>0</v>
      </c>
      <c r="CH160" s="18">
        <f t="shared" si="260"/>
        <v>0</v>
      </c>
      <c r="CI160" s="18">
        <f t="shared" si="261"/>
        <v>0</v>
      </c>
      <c r="CJ160" s="18">
        <f t="shared" si="262"/>
        <v>0</v>
      </c>
    </row>
    <row r="161" spans="1:88" x14ac:dyDescent="0.3">
      <c r="A161" s="1">
        <v>44063</v>
      </c>
      <c r="B161">
        <v>38220.39</v>
      </c>
      <c r="C161">
        <f>Table1[[#This Row],[Close]]-0.001*Table1[[#This Row],[Close]]</f>
        <v>38182.169609999997</v>
      </c>
      <c r="D161">
        <f>Table1[[#This Row],[Close]]+0.001*Table1[[#This Row],[Close]]</f>
        <v>38258.610390000002</v>
      </c>
      <c r="E161" t="str">
        <f>IF(Table1[[#This Row],[Close]]&gt;D160,"UP",IF(Table1[[#This Row],[Close]]&lt;C160,"Down","Constant"))</f>
        <v>Down</v>
      </c>
      <c r="F161" s="3">
        <f>IF(Table1[[#This Row],[Column1]]="Up",1,IF(Table1[[#This Row],[Column1]]="Down",-1,0))</f>
        <v>-1</v>
      </c>
      <c r="G161">
        <f t="shared" si="181"/>
        <v>0</v>
      </c>
      <c r="H161" s="18">
        <f t="shared" si="182"/>
        <v>1</v>
      </c>
      <c r="I161" s="18">
        <f t="shared" si="183"/>
        <v>0</v>
      </c>
      <c r="J161" s="18">
        <f t="shared" si="184"/>
        <v>0</v>
      </c>
      <c r="K161" s="18">
        <f t="shared" si="185"/>
        <v>0</v>
      </c>
      <c r="L161" s="18">
        <f t="shared" si="186"/>
        <v>0</v>
      </c>
      <c r="M161" s="18">
        <f t="shared" si="187"/>
        <v>0</v>
      </c>
      <c r="N161" s="18">
        <f t="shared" si="188"/>
        <v>0</v>
      </c>
      <c r="O161" s="18">
        <f t="shared" si="189"/>
        <v>0</v>
      </c>
      <c r="P161" s="18">
        <f t="shared" si="190"/>
        <v>0</v>
      </c>
      <c r="Q161" s="18">
        <f t="shared" si="191"/>
        <v>0</v>
      </c>
      <c r="R161" s="18">
        <f t="shared" si="192"/>
        <v>0</v>
      </c>
      <c r="S161" s="18">
        <f t="shared" si="193"/>
        <v>0</v>
      </c>
      <c r="T161" s="18">
        <f t="shared" si="194"/>
        <v>0</v>
      </c>
      <c r="U161" s="18">
        <f t="shared" si="195"/>
        <v>0</v>
      </c>
      <c r="V161" s="18">
        <f t="shared" si="196"/>
        <v>0</v>
      </c>
      <c r="W161" s="18">
        <f t="shared" si="197"/>
        <v>0</v>
      </c>
      <c r="X161" s="18">
        <f t="shared" si="198"/>
        <v>0</v>
      </c>
      <c r="Y161" s="18">
        <f t="shared" si="199"/>
        <v>0</v>
      </c>
      <c r="Z161" s="18">
        <f t="shared" si="200"/>
        <v>0</v>
      </c>
      <c r="AA161" s="18">
        <f t="shared" si="201"/>
        <v>0</v>
      </c>
      <c r="AB161" s="18">
        <f t="shared" si="202"/>
        <v>0</v>
      </c>
      <c r="AC161" s="18">
        <f t="shared" si="203"/>
        <v>0</v>
      </c>
      <c r="AD161" s="18">
        <f t="shared" si="204"/>
        <v>0</v>
      </c>
      <c r="AE161" s="18">
        <f t="shared" si="205"/>
        <v>0</v>
      </c>
      <c r="AF161" s="18">
        <f t="shared" si="206"/>
        <v>0</v>
      </c>
      <c r="AG161" s="18">
        <f t="shared" si="207"/>
        <v>0</v>
      </c>
      <c r="AH161" s="18">
        <f t="shared" si="208"/>
        <v>0</v>
      </c>
      <c r="AI161" s="18">
        <f t="shared" si="209"/>
        <v>0</v>
      </c>
      <c r="AJ161" s="18">
        <f t="shared" si="210"/>
        <v>0</v>
      </c>
      <c r="AK161" s="18">
        <f t="shared" si="211"/>
        <v>0</v>
      </c>
      <c r="AL161" s="18">
        <f t="shared" si="212"/>
        <v>0</v>
      </c>
      <c r="AM161" s="18">
        <f t="shared" si="213"/>
        <v>0</v>
      </c>
      <c r="AN161" s="18">
        <f t="shared" si="214"/>
        <v>0</v>
      </c>
      <c r="AO161" s="18">
        <f t="shared" si="215"/>
        <v>0</v>
      </c>
      <c r="AP161" s="18">
        <f t="shared" si="216"/>
        <v>0</v>
      </c>
      <c r="AQ161" s="18">
        <f t="shared" si="217"/>
        <v>0</v>
      </c>
      <c r="AR161" s="18">
        <f t="shared" si="218"/>
        <v>0</v>
      </c>
      <c r="AS161" s="18">
        <f t="shared" si="219"/>
        <v>0</v>
      </c>
      <c r="AT161" s="18">
        <f t="shared" si="220"/>
        <v>0</v>
      </c>
      <c r="AU161" s="18">
        <f t="shared" si="221"/>
        <v>0</v>
      </c>
      <c r="AV161" s="18">
        <f t="shared" si="222"/>
        <v>0</v>
      </c>
      <c r="AW161" s="18">
        <f t="shared" si="223"/>
        <v>0</v>
      </c>
      <c r="AX161" s="18">
        <f t="shared" si="224"/>
        <v>0</v>
      </c>
      <c r="AY161" s="18">
        <f t="shared" si="225"/>
        <v>0</v>
      </c>
      <c r="AZ161" s="18">
        <f t="shared" si="226"/>
        <v>0</v>
      </c>
      <c r="BA161" s="18">
        <f t="shared" si="227"/>
        <v>0</v>
      </c>
      <c r="BB161" s="18">
        <f t="shared" si="228"/>
        <v>0</v>
      </c>
      <c r="BC161" s="18">
        <f t="shared" si="229"/>
        <v>0</v>
      </c>
      <c r="BD161" s="18">
        <f t="shared" si="230"/>
        <v>0</v>
      </c>
      <c r="BE161" s="18">
        <f t="shared" si="231"/>
        <v>0</v>
      </c>
      <c r="BF161" s="18">
        <f t="shared" si="232"/>
        <v>0</v>
      </c>
      <c r="BG161" s="18">
        <f t="shared" si="233"/>
        <v>0</v>
      </c>
      <c r="BH161" s="18">
        <f t="shared" si="234"/>
        <v>0</v>
      </c>
      <c r="BI161" s="18">
        <f t="shared" si="235"/>
        <v>0</v>
      </c>
      <c r="BJ161" s="18">
        <f t="shared" si="236"/>
        <v>0</v>
      </c>
      <c r="BK161" s="18">
        <f t="shared" si="237"/>
        <v>0</v>
      </c>
      <c r="BL161" s="18">
        <f t="shared" si="238"/>
        <v>0</v>
      </c>
      <c r="BM161" s="18">
        <f t="shared" si="239"/>
        <v>0</v>
      </c>
      <c r="BN161" s="18">
        <f t="shared" si="240"/>
        <v>0</v>
      </c>
      <c r="BO161" s="18">
        <f t="shared" si="241"/>
        <v>0</v>
      </c>
      <c r="BP161" s="18">
        <f t="shared" si="242"/>
        <v>0</v>
      </c>
      <c r="BQ161" s="18">
        <f t="shared" si="243"/>
        <v>0</v>
      </c>
      <c r="BR161" s="18">
        <f t="shared" si="244"/>
        <v>0</v>
      </c>
      <c r="BS161" s="18">
        <f t="shared" si="245"/>
        <v>0</v>
      </c>
      <c r="BT161" s="18">
        <f t="shared" si="246"/>
        <v>0</v>
      </c>
      <c r="BU161" s="18">
        <f t="shared" si="247"/>
        <v>0</v>
      </c>
      <c r="BV161" s="18">
        <f t="shared" si="248"/>
        <v>0</v>
      </c>
      <c r="BW161" s="18">
        <f t="shared" si="249"/>
        <v>0</v>
      </c>
      <c r="BX161" s="18">
        <f t="shared" si="250"/>
        <v>0</v>
      </c>
      <c r="BY161" s="18">
        <f t="shared" si="251"/>
        <v>0</v>
      </c>
      <c r="BZ161" s="18">
        <f t="shared" si="252"/>
        <v>0</v>
      </c>
      <c r="CA161" s="18">
        <f t="shared" si="253"/>
        <v>0</v>
      </c>
      <c r="CB161" s="18">
        <f t="shared" si="254"/>
        <v>0</v>
      </c>
      <c r="CC161" s="18">
        <f t="shared" si="255"/>
        <v>0</v>
      </c>
      <c r="CD161" s="18">
        <f t="shared" si="256"/>
        <v>0</v>
      </c>
      <c r="CE161" s="18">
        <f t="shared" si="257"/>
        <v>0</v>
      </c>
      <c r="CF161" s="18">
        <f t="shared" si="258"/>
        <v>0</v>
      </c>
      <c r="CG161" s="18">
        <f t="shared" si="259"/>
        <v>0</v>
      </c>
      <c r="CH161" s="18">
        <f t="shared" si="260"/>
        <v>0</v>
      </c>
      <c r="CI161" s="18">
        <f t="shared" si="261"/>
        <v>0</v>
      </c>
      <c r="CJ161" s="18">
        <f t="shared" si="262"/>
        <v>0</v>
      </c>
    </row>
    <row r="162" spans="1:88" x14ac:dyDescent="0.3">
      <c r="A162" s="1">
        <v>44064</v>
      </c>
      <c r="B162">
        <v>38434.720000000001</v>
      </c>
      <c r="C162">
        <f>Table1[[#This Row],[Close]]-0.001*Table1[[#This Row],[Close]]</f>
        <v>38396.285280000004</v>
      </c>
      <c r="D162">
        <f>Table1[[#This Row],[Close]]+0.001*Table1[[#This Row],[Close]]</f>
        <v>38473.154719999999</v>
      </c>
      <c r="E162" t="str">
        <f>IF(Table1[[#This Row],[Close]]&gt;D161,"UP",IF(Table1[[#This Row],[Close]]&lt;C161,"Down","Constant"))</f>
        <v>UP</v>
      </c>
      <c r="F162" s="3">
        <f>IF(Table1[[#This Row],[Column1]]="Up",1,IF(Table1[[#This Row],[Column1]]="Down",-1,0))</f>
        <v>1</v>
      </c>
      <c r="G162">
        <f t="shared" si="181"/>
        <v>0</v>
      </c>
      <c r="H162" s="18">
        <f t="shared" si="182"/>
        <v>0</v>
      </c>
      <c r="I162" s="18">
        <f t="shared" si="183"/>
        <v>0</v>
      </c>
      <c r="J162" s="18">
        <f t="shared" si="184"/>
        <v>0</v>
      </c>
      <c r="K162" s="18">
        <f t="shared" si="185"/>
        <v>0</v>
      </c>
      <c r="L162" s="18">
        <f t="shared" si="186"/>
        <v>0</v>
      </c>
      <c r="M162" s="18">
        <f t="shared" si="187"/>
        <v>0</v>
      </c>
      <c r="N162" s="18">
        <f t="shared" si="188"/>
        <v>0</v>
      </c>
      <c r="O162" s="18">
        <f t="shared" si="189"/>
        <v>0</v>
      </c>
      <c r="P162" s="18">
        <f t="shared" si="190"/>
        <v>0</v>
      </c>
      <c r="Q162" s="18">
        <f t="shared" si="191"/>
        <v>0</v>
      </c>
      <c r="R162" s="18">
        <f t="shared" si="192"/>
        <v>0</v>
      </c>
      <c r="S162" s="18">
        <f t="shared" si="193"/>
        <v>1</v>
      </c>
      <c r="T162" s="18">
        <f t="shared" si="194"/>
        <v>0</v>
      </c>
      <c r="U162" s="18">
        <f t="shared" si="195"/>
        <v>0</v>
      </c>
      <c r="V162" s="18">
        <f t="shared" si="196"/>
        <v>0</v>
      </c>
      <c r="W162" s="18">
        <f t="shared" si="197"/>
        <v>0</v>
      </c>
      <c r="X162" s="18">
        <f t="shared" si="198"/>
        <v>0</v>
      </c>
      <c r="Y162" s="18">
        <f t="shared" si="199"/>
        <v>0</v>
      </c>
      <c r="Z162" s="18">
        <f t="shared" si="200"/>
        <v>0</v>
      </c>
      <c r="AA162" s="18">
        <f t="shared" si="201"/>
        <v>0</v>
      </c>
      <c r="AB162" s="18">
        <f t="shared" si="202"/>
        <v>0</v>
      </c>
      <c r="AC162" s="18">
        <f t="shared" si="203"/>
        <v>0</v>
      </c>
      <c r="AD162" s="18">
        <f t="shared" si="204"/>
        <v>0</v>
      </c>
      <c r="AE162" s="18">
        <f t="shared" si="205"/>
        <v>0</v>
      </c>
      <c r="AF162" s="18">
        <f t="shared" si="206"/>
        <v>0</v>
      </c>
      <c r="AG162" s="18">
        <f t="shared" si="207"/>
        <v>0</v>
      </c>
      <c r="AH162" s="18">
        <f t="shared" si="208"/>
        <v>0</v>
      </c>
      <c r="AI162" s="18">
        <f t="shared" si="209"/>
        <v>0</v>
      </c>
      <c r="AJ162" s="18">
        <f t="shared" si="210"/>
        <v>0</v>
      </c>
      <c r="AK162" s="18">
        <f t="shared" si="211"/>
        <v>0</v>
      </c>
      <c r="AL162" s="18">
        <f t="shared" si="212"/>
        <v>0</v>
      </c>
      <c r="AM162" s="18">
        <f t="shared" si="213"/>
        <v>0</v>
      </c>
      <c r="AN162" s="18">
        <f t="shared" si="214"/>
        <v>0</v>
      </c>
      <c r="AO162" s="18">
        <f t="shared" si="215"/>
        <v>0</v>
      </c>
      <c r="AP162" s="18">
        <f t="shared" si="216"/>
        <v>0</v>
      </c>
      <c r="AQ162" s="18">
        <f t="shared" si="217"/>
        <v>0</v>
      </c>
      <c r="AR162" s="18">
        <f t="shared" si="218"/>
        <v>0</v>
      </c>
      <c r="AS162" s="18">
        <f t="shared" si="219"/>
        <v>0</v>
      </c>
      <c r="AT162" s="18">
        <f t="shared" si="220"/>
        <v>0</v>
      </c>
      <c r="AU162" s="18">
        <f t="shared" si="221"/>
        <v>0</v>
      </c>
      <c r="AV162" s="18">
        <f t="shared" si="222"/>
        <v>0</v>
      </c>
      <c r="AW162" s="18">
        <f t="shared" si="223"/>
        <v>0</v>
      </c>
      <c r="AX162" s="18">
        <f t="shared" si="224"/>
        <v>0</v>
      </c>
      <c r="AY162" s="18">
        <f t="shared" si="225"/>
        <v>0</v>
      </c>
      <c r="AZ162" s="18">
        <f t="shared" si="226"/>
        <v>0</v>
      </c>
      <c r="BA162" s="18">
        <f t="shared" si="227"/>
        <v>0</v>
      </c>
      <c r="BB162" s="18">
        <f t="shared" si="228"/>
        <v>0</v>
      </c>
      <c r="BC162" s="18">
        <f t="shared" si="229"/>
        <v>0</v>
      </c>
      <c r="BD162" s="18">
        <f t="shared" si="230"/>
        <v>0</v>
      </c>
      <c r="BE162" s="18">
        <f t="shared" si="231"/>
        <v>0</v>
      </c>
      <c r="BF162" s="18">
        <f t="shared" si="232"/>
        <v>0</v>
      </c>
      <c r="BG162" s="18">
        <f t="shared" si="233"/>
        <v>0</v>
      </c>
      <c r="BH162" s="18">
        <f t="shared" si="234"/>
        <v>0</v>
      </c>
      <c r="BI162" s="18">
        <f t="shared" si="235"/>
        <v>0</v>
      </c>
      <c r="BJ162" s="18">
        <f t="shared" si="236"/>
        <v>0</v>
      </c>
      <c r="BK162" s="18">
        <f t="shared" si="237"/>
        <v>0</v>
      </c>
      <c r="BL162" s="18">
        <f t="shared" si="238"/>
        <v>0</v>
      </c>
      <c r="BM162" s="18">
        <f t="shared" si="239"/>
        <v>0</v>
      </c>
      <c r="BN162" s="18">
        <f t="shared" si="240"/>
        <v>0</v>
      </c>
      <c r="BO162" s="18">
        <f t="shared" si="241"/>
        <v>0</v>
      </c>
      <c r="BP162" s="18">
        <f t="shared" si="242"/>
        <v>0</v>
      </c>
      <c r="BQ162" s="18">
        <f t="shared" si="243"/>
        <v>0</v>
      </c>
      <c r="BR162" s="18">
        <f t="shared" si="244"/>
        <v>0</v>
      </c>
      <c r="BS162" s="18">
        <f t="shared" si="245"/>
        <v>0</v>
      </c>
      <c r="BT162" s="18">
        <f t="shared" si="246"/>
        <v>0</v>
      </c>
      <c r="BU162" s="18">
        <f t="shared" si="247"/>
        <v>0</v>
      </c>
      <c r="BV162" s="18">
        <f t="shared" si="248"/>
        <v>0</v>
      </c>
      <c r="BW162" s="18">
        <f t="shared" si="249"/>
        <v>0</v>
      </c>
      <c r="BX162" s="18">
        <f t="shared" si="250"/>
        <v>0</v>
      </c>
      <c r="BY162" s="18">
        <f t="shared" si="251"/>
        <v>0</v>
      </c>
      <c r="BZ162" s="18">
        <f t="shared" si="252"/>
        <v>0</v>
      </c>
      <c r="CA162" s="18">
        <f t="shared" si="253"/>
        <v>0</v>
      </c>
      <c r="CB162" s="18">
        <f t="shared" si="254"/>
        <v>0</v>
      </c>
      <c r="CC162" s="18">
        <f t="shared" si="255"/>
        <v>0</v>
      </c>
      <c r="CD162" s="18">
        <f t="shared" si="256"/>
        <v>0</v>
      </c>
      <c r="CE162" s="18">
        <f t="shared" si="257"/>
        <v>0</v>
      </c>
      <c r="CF162" s="18">
        <f t="shared" si="258"/>
        <v>0</v>
      </c>
      <c r="CG162" s="18">
        <f t="shared" si="259"/>
        <v>0</v>
      </c>
      <c r="CH162" s="18">
        <f t="shared" si="260"/>
        <v>0</v>
      </c>
      <c r="CI162" s="18">
        <f t="shared" si="261"/>
        <v>0</v>
      </c>
      <c r="CJ162" s="18">
        <f t="shared" si="262"/>
        <v>0</v>
      </c>
    </row>
    <row r="163" spans="1:88" x14ac:dyDescent="0.3">
      <c r="A163" s="1">
        <v>44067</v>
      </c>
      <c r="B163">
        <v>38799.08</v>
      </c>
      <c r="C163">
        <f>Table1[[#This Row],[Close]]-0.001*Table1[[#This Row],[Close]]</f>
        <v>38760.280920000005</v>
      </c>
      <c r="D163">
        <f>Table1[[#This Row],[Close]]+0.001*Table1[[#This Row],[Close]]</f>
        <v>38837.879079999999</v>
      </c>
      <c r="E163" t="str">
        <f>IF(Table1[[#This Row],[Close]]&gt;D162,"UP",IF(Table1[[#This Row],[Close]]&lt;C162,"Down","Constant"))</f>
        <v>UP</v>
      </c>
      <c r="F163" s="3">
        <f>IF(Table1[[#This Row],[Column1]]="Up",1,IF(Table1[[#This Row],[Column1]]="Down",-1,0))</f>
        <v>1</v>
      </c>
      <c r="G163">
        <f t="shared" si="181"/>
        <v>0</v>
      </c>
      <c r="H163" s="18">
        <f t="shared" si="182"/>
        <v>0</v>
      </c>
      <c r="I163" s="18">
        <f t="shared" si="183"/>
        <v>0</v>
      </c>
      <c r="J163" s="18">
        <f t="shared" si="184"/>
        <v>0</v>
      </c>
      <c r="K163" s="18">
        <f t="shared" si="185"/>
        <v>0</v>
      </c>
      <c r="L163" s="18">
        <f t="shared" si="186"/>
        <v>0</v>
      </c>
      <c r="M163" s="18">
        <f t="shared" si="187"/>
        <v>0</v>
      </c>
      <c r="N163" s="18">
        <f t="shared" si="188"/>
        <v>0</v>
      </c>
      <c r="O163" s="18">
        <f t="shared" si="189"/>
        <v>0</v>
      </c>
      <c r="P163" s="18">
        <f t="shared" si="190"/>
        <v>1</v>
      </c>
      <c r="Q163" s="18">
        <f t="shared" si="191"/>
        <v>0</v>
      </c>
      <c r="R163" s="18">
        <f t="shared" si="192"/>
        <v>0</v>
      </c>
      <c r="S163" s="18">
        <f t="shared" si="193"/>
        <v>0</v>
      </c>
      <c r="T163" s="18">
        <f t="shared" si="194"/>
        <v>0</v>
      </c>
      <c r="U163" s="18">
        <f t="shared" si="195"/>
        <v>0</v>
      </c>
      <c r="V163" s="18">
        <f t="shared" si="196"/>
        <v>0</v>
      </c>
      <c r="W163" s="18">
        <f t="shared" si="197"/>
        <v>0</v>
      </c>
      <c r="X163" s="18">
        <f t="shared" si="198"/>
        <v>0</v>
      </c>
      <c r="Y163" s="18">
        <f t="shared" si="199"/>
        <v>0</v>
      </c>
      <c r="Z163" s="18">
        <f t="shared" si="200"/>
        <v>0</v>
      </c>
      <c r="AA163" s="18">
        <f t="shared" si="201"/>
        <v>0</v>
      </c>
      <c r="AB163" s="18">
        <f t="shared" si="202"/>
        <v>0</v>
      </c>
      <c r="AC163" s="18">
        <f t="shared" si="203"/>
        <v>0</v>
      </c>
      <c r="AD163" s="18">
        <f t="shared" si="204"/>
        <v>0</v>
      </c>
      <c r="AE163" s="18">
        <f t="shared" si="205"/>
        <v>0</v>
      </c>
      <c r="AF163" s="18">
        <f t="shared" si="206"/>
        <v>0</v>
      </c>
      <c r="AG163" s="18">
        <f t="shared" si="207"/>
        <v>0</v>
      </c>
      <c r="AH163" s="18">
        <f t="shared" si="208"/>
        <v>0</v>
      </c>
      <c r="AI163" s="18">
        <f t="shared" si="209"/>
        <v>0</v>
      </c>
      <c r="AJ163" s="18">
        <f t="shared" si="210"/>
        <v>0</v>
      </c>
      <c r="AK163" s="18">
        <f t="shared" si="211"/>
        <v>0</v>
      </c>
      <c r="AL163" s="18">
        <f t="shared" si="212"/>
        <v>0</v>
      </c>
      <c r="AM163" s="18">
        <f t="shared" si="213"/>
        <v>0</v>
      </c>
      <c r="AN163" s="18">
        <f t="shared" si="214"/>
        <v>0</v>
      </c>
      <c r="AO163" s="18">
        <f t="shared" si="215"/>
        <v>0</v>
      </c>
      <c r="AP163" s="18">
        <f t="shared" si="216"/>
        <v>0</v>
      </c>
      <c r="AQ163" s="18">
        <f t="shared" si="217"/>
        <v>0</v>
      </c>
      <c r="AR163" s="18">
        <f t="shared" si="218"/>
        <v>0</v>
      </c>
      <c r="AS163" s="18">
        <f t="shared" si="219"/>
        <v>0</v>
      </c>
      <c r="AT163" s="18">
        <f t="shared" si="220"/>
        <v>0</v>
      </c>
      <c r="AU163" s="18">
        <f t="shared" si="221"/>
        <v>0</v>
      </c>
      <c r="AV163" s="18">
        <f t="shared" si="222"/>
        <v>0</v>
      </c>
      <c r="AW163" s="18">
        <f t="shared" si="223"/>
        <v>0</v>
      </c>
      <c r="AX163" s="18">
        <f t="shared" si="224"/>
        <v>0</v>
      </c>
      <c r="AY163" s="18">
        <f t="shared" si="225"/>
        <v>0</v>
      </c>
      <c r="AZ163" s="18">
        <f t="shared" si="226"/>
        <v>0</v>
      </c>
      <c r="BA163" s="18">
        <f t="shared" si="227"/>
        <v>0</v>
      </c>
      <c r="BB163" s="18">
        <f t="shared" si="228"/>
        <v>0</v>
      </c>
      <c r="BC163" s="18">
        <f t="shared" si="229"/>
        <v>0</v>
      </c>
      <c r="BD163" s="18">
        <f t="shared" si="230"/>
        <v>0</v>
      </c>
      <c r="BE163" s="18">
        <f t="shared" si="231"/>
        <v>0</v>
      </c>
      <c r="BF163" s="18">
        <f t="shared" si="232"/>
        <v>0</v>
      </c>
      <c r="BG163" s="18">
        <f t="shared" si="233"/>
        <v>0</v>
      </c>
      <c r="BH163" s="18">
        <f t="shared" si="234"/>
        <v>0</v>
      </c>
      <c r="BI163" s="18">
        <f t="shared" si="235"/>
        <v>0</v>
      </c>
      <c r="BJ163" s="18">
        <f t="shared" si="236"/>
        <v>0</v>
      </c>
      <c r="BK163" s="18">
        <f t="shared" si="237"/>
        <v>0</v>
      </c>
      <c r="BL163" s="18">
        <f t="shared" si="238"/>
        <v>0</v>
      </c>
      <c r="BM163" s="18">
        <f t="shared" si="239"/>
        <v>0</v>
      </c>
      <c r="BN163" s="18">
        <f t="shared" si="240"/>
        <v>0</v>
      </c>
      <c r="BO163" s="18">
        <f t="shared" si="241"/>
        <v>0</v>
      </c>
      <c r="BP163" s="18">
        <f t="shared" si="242"/>
        <v>0</v>
      </c>
      <c r="BQ163" s="18">
        <f t="shared" si="243"/>
        <v>0</v>
      </c>
      <c r="BR163" s="18">
        <f t="shared" si="244"/>
        <v>0</v>
      </c>
      <c r="BS163" s="18">
        <f t="shared" si="245"/>
        <v>0</v>
      </c>
      <c r="BT163" s="18">
        <f t="shared" si="246"/>
        <v>0</v>
      </c>
      <c r="BU163" s="18">
        <f t="shared" si="247"/>
        <v>0</v>
      </c>
      <c r="BV163" s="18">
        <f t="shared" si="248"/>
        <v>0</v>
      </c>
      <c r="BW163" s="18">
        <f t="shared" si="249"/>
        <v>0</v>
      </c>
      <c r="BX163" s="18">
        <f t="shared" si="250"/>
        <v>0</v>
      </c>
      <c r="BY163" s="18">
        <f t="shared" si="251"/>
        <v>0</v>
      </c>
      <c r="BZ163" s="18">
        <f t="shared" si="252"/>
        <v>0</v>
      </c>
      <c r="CA163" s="18">
        <f t="shared" si="253"/>
        <v>0</v>
      </c>
      <c r="CB163" s="18">
        <f t="shared" si="254"/>
        <v>0</v>
      </c>
      <c r="CC163" s="18">
        <f t="shared" si="255"/>
        <v>0</v>
      </c>
      <c r="CD163" s="18">
        <f t="shared" si="256"/>
        <v>0</v>
      </c>
      <c r="CE163" s="18">
        <f t="shared" si="257"/>
        <v>0</v>
      </c>
      <c r="CF163" s="18">
        <f t="shared" si="258"/>
        <v>0</v>
      </c>
      <c r="CG163" s="18">
        <f t="shared" si="259"/>
        <v>0</v>
      </c>
      <c r="CH163" s="18">
        <f t="shared" si="260"/>
        <v>0</v>
      </c>
      <c r="CI163" s="18">
        <f t="shared" si="261"/>
        <v>0</v>
      </c>
      <c r="CJ163" s="18">
        <f t="shared" si="262"/>
        <v>0</v>
      </c>
    </row>
    <row r="164" spans="1:88" x14ac:dyDescent="0.3">
      <c r="A164" s="1">
        <v>44068</v>
      </c>
      <c r="B164">
        <v>38843.879999999997</v>
      </c>
      <c r="C164">
        <f>Table1[[#This Row],[Close]]-0.001*Table1[[#This Row],[Close]]</f>
        <v>38805.036119999997</v>
      </c>
      <c r="D164">
        <f>Table1[[#This Row],[Close]]+0.001*Table1[[#This Row],[Close]]</f>
        <v>38882.723879999998</v>
      </c>
      <c r="E164" t="str">
        <f>IF(Table1[[#This Row],[Close]]&gt;D163,"UP",IF(Table1[[#This Row],[Close]]&lt;C163,"Down","Constant"))</f>
        <v>UP</v>
      </c>
      <c r="F164" s="3">
        <f>IF(Table1[[#This Row],[Column1]]="Up",1,IF(Table1[[#This Row],[Column1]]="Down",-1,0))</f>
        <v>1</v>
      </c>
      <c r="G164">
        <f t="shared" si="181"/>
        <v>0</v>
      </c>
      <c r="H164" s="18">
        <f t="shared" si="182"/>
        <v>0</v>
      </c>
      <c r="I164" s="18">
        <f t="shared" si="183"/>
        <v>0</v>
      </c>
      <c r="J164" s="18">
        <f t="shared" si="184"/>
        <v>0</v>
      </c>
      <c r="K164" s="18">
        <f t="shared" si="185"/>
        <v>0</v>
      </c>
      <c r="L164" s="18">
        <f t="shared" si="186"/>
        <v>0</v>
      </c>
      <c r="M164" s="18">
        <f t="shared" si="187"/>
        <v>1</v>
      </c>
      <c r="N164" s="18">
        <f t="shared" si="188"/>
        <v>0</v>
      </c>
      <c r="O164" s="18">
        <f t="shared" si="189"/>
        <v>0</v>
      </c>
      <c r="P164" s="18">
        <f t="shared" si="190"/>
        <v>0</v>
      </c>
      <c r="Q164" s="18">
        <f t="shared" si="191"/>
        <v>0</v>
      </c>
      <c r="R164" s="18">
        <f t="shared" si="192"/>
        <v>0</v>
      </c>
      <c r="S164" s="18">
        <f t="shared" si="193"/>
        <v>0</v>
      </c>
      <c r="T164" s="18">
        <f t="shared" si="194"/>
        <v>0</v>
      </c>
      <c r="U164" s="18">
        <f t="shared" si="195"/>
        <v>0</v>
      </c>
      <c r="V164" s="18">
        <f t="shared" si="196"/>
        <v>0</v>
      </c>
      <c r="W164" s="18">
        <f t="shared" si="197"/>
        <v>0</v>
      </c>
      <c r="X164" s="18">
        <f t="shared" si="198"/>
        <v>0</v>
      </c>
      <c r="Y164" s="18">
        <f t="shared" si="199"/>
        <v>0</v>
      </c>
      <c r="Z164" s="18">
        <f t="shared" si="200"/>
        <v>0</v>
      </c>
      <c r="AA164" s="18">
        <f t="shared" si="201"/>
        <v>0</v>
      </c>
      <c r="AB164" s="18">
        <f t="shared" si="202"/>
        <v>0</v>
      </c>
      <c r="AC164" s="18">
        <f t="shared" si="203"/>
        <v>0</v>
      </c>
      <c r="AD164" s="18">
        <f t="shared" si="204"/>
        <v>0</v>
      </c>
      <c r="AE164" s="18">
        <f t="shared" si="205"/>
        <v>0</v>
      </c>
      <c r="AF164" s="18">
        <f t="shared" si="206"/>
        <v>0</v>
      </c>
      <c r="AG164" s="18">
        <f t="shared" si="207"/>
        <v>0</v>
      </c>
      <c r="AH164" s="18">
        <f t="shared" si="208"/>
        <v>0</v>
      </c>
      <c r="AI164" s="18">
        <f t="shared" si="209"/>
        <v>0</v>
      </c>
      <c r="AJ164" s="18">
        <f t="shared" si="210"/>
        <v>0</v>
      </c>
      <c r="AK164" s="18">
        <f t="shared" si="211"/>
        <v>0</v>
      </c>
      <c r="AL164" s="18">
        <f t="shared" si="212"/>
        <v>0</v>
      </c>
      <c r="AM164" s="18">
        <f t="shared" si="213"/>
        <v>0</v>
      </c>
      <c r="AN164" s="18">
        <f t="shared" si="214"/>
        <v>0</v>
      </c>
      <c r="AO164" s="18">
        <f t="shared" si="215"/>
        <v>0</v>
      </c>
      <c r="AP164" s="18">
        <f t="shared" si="216"/>
        <v>0</v>
      </c>
      <c r="AQ164" s="18">
        <f t="shared" si="217"/>
        <v>0</v>
      </c>
      <c r="AR164" s="18">
        <f t="shared" si="218"/>
        <v>0</v>
      </c>
      <c r="AS164" s="18">
        <f t="shared" si="219"/>
        <v>0</v>
      </c>
      <c r="AT164" s="18">
        <f t="shared" si="220"/>
        <v>0</v>
      </c>
      <c r="AU164" s="18">
        <f t="shared" si="221"/>
        <v>0</v>
      </c>
      <c r="AV164" s="18">
        <f t="shared" si="222"/>
        <v>0</v>
      </c>
      <c r="AW164" s="18">
        <f t="shared" si="223"/>
        <v>0</v>
      </c>
      <c r="AX164" s="18">
        <f t="shared" si="224"/>
        <v>0</v>
      </c>
      <c r="AY164" s="18">
        <f t="shared" si="225"/>
        <v>0</v>
      </c>
      <c r="AZ164" s="18">
        <f t="shared" si="226"/>
        <v>0</v>
      </c>
      <c r="BA164" s="18">
        <f t="shared" si="227"/>
        <v>0</v>
      </c>
      <c r="BB164" s="18">
        <f t="shared" si="228"/>
        <v>0</v>
      </c>
      <c r="BC164" s="18">
        <f t="shared" si="229"/>
        <v>0</v>
      </c>
      <c r="BD164" s="18">
        <f t="shared" si="230"/>
        <v>0</v>
      </c>
      <c r="BE164" s="18">
        <f t="shared" si="231"/>
        <v>0</v>
      </c>
      <c r="BF164" s="18">
        <f t="shared" si="232"/>
        <v>0</v>
      </c>
      <c r="BG164" s="18">
        <f t="shared" si="233"/>
        <v>0</v>
      </c>
      <c r="BH164" s="18">
        <f t="shared" si="234"/>
        <v>0</v>
      </c>
      <c r="BI164" s="18">
        <f t="shared" si="235"/>
        <v>0</v>
      </c>
      <c r="BJ164" s="18">
        <f t="shared" si="236"/>
        <v>0</v>
      </c>
      <c r="BK164" s="18">
        <f t="shared" si="237"/>
        <v>0</v>
      </c>
      <c r="BL164" s="18">
        <f t="shared" si="238"/>
        <v>0</v>
      </c>
      <c r="BM164" s="18">
        <f t="shared" si="239"/>
        <v>0</v>
      </c>
      <c r="BN164" s="18">
        <f t="shared" si="240"/>
        <v>0</v>
      </c>
      <c r="BO164" s="18">
        <f t="shared" si="241"/>
        <v>0</v>
      </c>
      <c r="BP164" s="18">
        <f t="shared" si="242"/>
        <v>0</v>
      </c>
      <c r="BQ164" s="18">
        <f t="shared" si="243"/>
        <v>0</v>
      </c>
      <c r="BR164" s="18">
        <f t="shared" si="244"/>
        <v>0</v>
      </c>
      <c r="BS164" s="18">
        <f t="shared" si="245"/>
        <v>0</v>
      </c>
      <c r="BT164" s="18">
        <f t="shared" si="246"/>
        <v>0</v>
      </c>
      <c r="BU164" s="18">
        <f t="shared" si="247"/>
        <v>0</v>
      </c>
      <c r="BV164" s="18">
        <f t="shared" si="248"/>
        <v>0</v>
      </c>
      <c r="BW164" s="18">
        <f t="shared" si="249"/>
        <v>0</v>
      </c>
      <c r="BX164" s="18">
        <f t="shared" si="250"/>
        <v>0</v>
      </c>
      <c r="BY164" s="18">
        <f t="shared" si="251"/>
        <v>0</v>
      </c>
      <c r="BZ164" s="18">
        <f t="shared" si="252"/>
        <v>0</v>
      </c>
      <c r="CA164" s="18">
        <f t="shared" si="253"/>
        <v>0</v>
      </c>
      <c r="CB164" s="18">
        <f t="shared" si="254"/>
        <v>0</v>
      </c>
      <c r="CC164" s="18">
        <f t="shared" si="255"/>
        <v>0</v>
      </c>
      <c r="CD164" s="18">
        <f t="shared" si="256"/>
        <v>0</v>
      </c>
      <c r="CE164" s="18">
        <f t="shared" si="257"/>
        <v>0</v>
      </c>
      <c r="CF164" s="18">
        <f t="shared" si="258"/>
        <v>0</v>
      </c>
      <c r="CG164" s="18">
        <f t="shared" si="259"/>
        <v>0</v>
      </c>
      <c r="CH164" s="18">
        <f t="shared" si="260"/>
        <v>0</v>
      </c>
      <c r="CI164" s="18">
        <f t="shared" si="261"/>
        <v>0</v>
      </c>
      <c r="CJ164" s="18">
        <f t="shared" si="262"/>
        <v>0</v>
      </c>
    </row>
    <row r="165" spans="1:88" x14ac:dyDescent="0.3">
      <c r="A165" s="1">
        <v>44069</v>
      </c>
      <c r="B165">
        <v>39073.919999999998</v>
      </c>
      <c r="C165">
        <f>Table1[[#This Row],[Close]]-0.001*Table1[[#This Row],[Close]]</f>
        <v>39034.846079999996</v>
      </c>
      <c r="D165">
        <f>Table1[[#This Row],[Close]]+0.001*Table1[[#This Row],[Close]]</f>
        <v>39112.993920000001</v>
      </c>
      <c r="E165" t="str">
        <f>IF(Table1[[#This Row],[Close]]&gt;D164,"UP",IF(Table1[[#This Row],[Close]]&lt;C164,"Down","Constant"))</f>
        <v>UP</v>
      </c>
      <c r="F165" s="3">
        <f>IF(Table1[[#This Row],[Column1]]="Up",1,IF(Table1[[#This Row],[Column1]]="Down",-1,0))</f>
        <v>1</v>
      </c>
      <c r="G165">
        <f t="shared" si="181"/>
        <v>0</v>
      </c>
      <c r="H165" s="18">
        <f t="shared" si="182"/>
        <v>0</v>
      </c>
      <c r="I165" s="18">
        <f t="shared" si="183"/>
        <v>0</v>
      </c>
      <c r="J165" s="18">
        <f t="shared" si="184"/>
        <v>1</v>
      </c>
      <c r="K165" s="18">
        <f t="shared" si="185"/>
        <v>0</v>
      </c>
      <c r="L165" s="18">
        <f t="shared" si="186"/>
        <v>0</v>
      </c>
      <c r="M165" s="18">
        <f t="shared" si="187"/>
        <v>0</v>
      </c>
      <c r="N165" s="18">
        <f t="shared" si="188"/>
        <v>0</v>
      </c>
      <c r="O165" s="18">
        <f t="shared" si="189"/>
        <v>0</v>
      </c>
      <c r="P165" s="18">
        <f t="shared" si="190"/>
        <v>0</v>
      </c>
      <c r="Q165" s="18">
        <f t="shared" si="191"/>
        <v>0</v>
      </c>
      <c r="R165" s="18">
        <f t="shared" si="192"/>
        <v>0</v>
      </c>
      <c r="S165" s="18">
        <f t="shared" si="193"/>
        <v>0</v>
      </c>
      <c r="T165" s="18">
        <f t="shared" si="194"/>
        <v>0</v>
      </c>
      <c r="U165" s="18">
        <f t="shared" si="195"/>
        <v>0</v>
      </c>
      <c r="V165" s="18">
        <f t="shared" si="196"/>
        <v>0</v>
      </c>
      <c r="W165" s="18">
        <f t="shared" si="197"/>
        <v>0</v>
      </c>
      <c r="X165" s="18">
        <f t="shared" si="198"/>
        <v>0</v>
      </c>
      <c r="Y165" s="18">
        <f t="shared" si="199"/>
        <v>0</v>
      </c>
      <c r="Z165" s="18">
        <f t="shared" si="200"/>
        <v>0</v>
      </c>
      <c r="AA165" s="18">
        <f t="shared" si="201"/>
        <v>0</v>
      </c>
      <c r="AB165" s="18">
        <f t="shared" si="202"/>
        <v>0</v>
      </c>
      <c r="AC165" s="18">
        <f t="shared" si="203"/>
        <v>0</v>
      </c>
      <c r="AD165" s="18">
        <f t="shared" si="204"/>
        <v>0</v>
      </c>
      <c r="AE165" s="18">
        <f t="shared" si="205"/>
        <v>0</v>
      </c>
      <c r="AF165" s="18">
        <f t="shared" si="206"/>
        <v>0</v>
      </c>
      <c r="AG165" s="18">
        <f t="shared" si="207"/>
        <v>0</v>
      </c>
      <c r="AH165" s="18">
        <f t="shared" si="208"/>
        <v>0</v>
      </c>
      <c r="AI165" s="18">
        <f t="shared" si="209"/>
        <v>0</v>
      </c>
      <c r="AJ165" s="18">
        <f t="shared" si="210"/>
        <v>0</v>
      </c>
      <c r="AK165" s="18">
        <f t="shared" si="211"/>
        <v>0</v>
      </c>
      <c r="AL165" s="18">
        <f t="shared" si="212"/>
        <v>0</v>
      </c>
      <c r="AM165" s="18">
        <f t="shared" si="213"/>
        <v>0</v>
      </c>
      <c r="AN165" s="18">
        <f t="shared" si="214"/>
        <v>0</v>
      </c>
      <c r="AO165" s="18">
        <f t="shared" si="215"/>
        <v>0</v>
      </c>
      <c r="AP165" s="18">
        <f t="shared" si="216"/>
        <v>0</v>
      </c>
      <c r="AQ165" s="18">
        <f t="shared" si="217"/>
        <v>0</v>
      </c>
      <c r="AR165" s="18">
        <f t="shared" si="218"/>
        <v>0</v>
      </c>
      <c r="AS165" s="18">
        <f t="shared" si="219"/>
        <v>0</v>
      </c>
      <c r="AT165" s="18">
        <f t="shared" si="220"/>
        <v>0</v>
      </c>
      <c r="AU165" s="18">
        <f t="shared" si="221"/>
        <v>0</v>
      </c>
      <c r="AV165" s="18">
        <f t="shared" si="222"/>
        <v>0</v>
      </c>
      <c r="AW165" s="18">
        <f t="shared" si="223"/>
        <v>0</v>
      </c>
      <c r="AX165" s="18">
        <f t="shared" si="224"/>
        <v>0</v>
      </c>
      <c r="AY165" s="18">
        <f t="shared" si="225"/>
        <v>0</v>
      </c>
      <c r="AZ165" s="18">
        <f t="shared" si="226"/>
        <v>0</v>
      </c>
      <c r="BA165" s="18">
        <f t="shared" si="227"/>
        <v>0</v>
      </c>
      <c r="BB165" s="18">
        <f t="shared" si="228"/>
        <v>0</v>
      </c>
      <c r="BC165" s="18">
        <f t="shared" si="229"/>
        <v>0</v>
      </c>
      <c r="BD165" s="18">
        <f t="shared" si="230"/>
        <v>0</v>
      </c>
      <c r="BE165" s="18">
        <f t="shared" si="231"/>
        <v>0</v>
      </c>
      <c r="BF165" s="18">
        <f t="shared" si="232"/>
        <v>0</v>
      </c>
      <c r="BG165" s="18">
        <f t="shared" si="233"/>
        <v>0</v>
      </c>
      <c r="BH165" s="18">
        <f t="shared" si="234"/>
        <v>0</v>
      </c>
      <c r="BI165" s="18">
        <f t="shared" si="235"/>
        <v>0</v>
      </c>
      <c r="BJ165" s="18">
        <f t="shared" si="236"/>
        <v>0</v>
      </c>
      <c r="BK165" s="18">
        <f t="shared" si="237"/>
        <v>0</v>
      </c>
      <c r="BL165" s="18">
        <f t="shared" si="238"/>
        <v>0</v>
      </c>
      <c r="BM165" s="18">
        <f t="shared" si="239"/>
        <v>0</v>
      </c>
      <c r="BN165" s="18">
        <f t="shared" si="240"/>
        <v>0</v>
      </c>
      <c r="BO165" s="18">
        <f t="shared" si="241"/>
        <v>0</v>
      </c>
      <c r="BP165" s="18">
        <f t="shared" si="242"/>
        <v>0</v>
      </c>
      <c r="BQ165" s="18">
        <f t="shared" si="243"/>
        <v>0</v>
      </c>
      <c r="BR165" s="18">
        <f t="shared" si="244"/>
        <v>0</v>
      </c>
      <c r="BS165" s="18">
        <f t="shared" si="245"/>
        <v>0</v>
      </c>
      <c r="BT165" s="18">
        <f t="shared" si="246"/>
        <v>0</v>
      </c>
      <c r="BU165" s="18">
        <f t="shared" si="247"/>
        <v>0</v>
      </c>
      <c r="BV165" s="18">
        <f t="shared" si="248"/>
        <v>0</v>
      </c>
      <c r="BW165" s="18">
        <f t="shared" si="249"/>
        <v>0</v>
      </c>
      <c r="BX165" s="18">
        <f t="shared" si="250"/>
        <v>0</v>
      </c>
      <c r="BY165" s="18">
        <f t="shared" si="251"/>
        <v>0</v>
      </c>
      <c r="BZ165" s="18">
        <f t="shared" si="252"/>
        <v>0</v>
      </c>
      <c r="CA165" s="18">
        <f t="shared" si="253"/>
        <v>0</v>
      </c>
      <c r="CB165" s="18">
        <f t="shared" si="254"/>
        <v>0</v>
      </c>
      <c r="CC165" s="18">
        <f t="shared" si="255"/>
        <v>0</v>
      </c>
      <c r="CD165" s="18">
        <f t="shared" si="256"/>
        <v>0</v>
      </c>
      <c r="CE165" s="18">
        <f t="shared" si="257"/>
        <v>0</v>
      </c>
      <c r="CF165" s="18">
        <f t="shared" si="258"/>
        <v>0</v>
      </c>
      <c r="CG165" s="18">
        <f t="shared" si="259"/>
        <v>0</v>
      </c>
      <c r="CH165" s="18">
        <f t="shared" si="260"/>
        <v>0</v>
      </c>
      <c r="CI165" s="18">
        <f t="shared" si="261"/>
        <v>0</v>
      </c>
      <c r="CJ165" s="18">
        <f t="shared" si="262"/>
        <v>0</v>
      </c>
    </row>
    <row r="166" spans="1:88" x14ac:dyDescent="0.3">
      <c r="A166" s="1">
        <v>44070</v>
      </c>
      <c r="B166">
        <v>39113.47</v>
      </c>
      <c r="C166">
        <f>Table1[[#This Row],[Close]]-0.001*Table1[[#This Row],[Close]]</f>
        <v>39074.356530000005</v>
      </c>
      <c r="D166">
        <f>Table1[[#This Row],[Close]]+0.001*Table1[[#This Row],[Close]]</f>
        <v>39152.583469999998</v>
      </c>
      <c r="E166" t="str">
        <f>IF(Table1[[#This Row],[Close]]&gt;D165,"UP",IF(Table1[[#This Row],[Close]]&lt;C165,"Down","Constant"))</f>
        <v>UP</v>
      </c>
      <c r="F166" s="3">
        <f>IF(Table1[[#This Row],[Column1]]="Up",1,IF(Table1[[#This Row],[Column1]]="Down",-1,0))</f>
        <v>1</v>
      </c>
      <c r="G166">
        <f t="shared" si="181"/>
        <v>0</v>
      </c>
      <c r="H166" s="18">
        <f t="shared" si="182"/>
        <v>0</v>
      </c>
      <c r="I166" s="18">
        <f t="shared" si="183"/>
        <v>0</v>
      </c>
      <c r="J166" s="18">
        <f t="shared" si="184"/>
        <v>1</v>
      </c>
      <c r="K166" s="18">
        <f t="shared" si="185"/>
        <v>0</v>
      </c>
      <c r="L166" s="18">
        <f t="shared" si="186"/>
        <v>0</v>
      </c>
      <c r="M166" s="18">
        <f t="shared" si="187"/>
        <v>0</v>
      </c>
      <c r="N166" s="18">
        <f t="shared" si="188"/>
        <v>0</v>
      </c>
      <c r="O166" s="18">
        <f t="shared" si="189"/>
        <v>0</v>
      </c>
      <c r="P166" s="18">
        <f t="shared" si="190"/>
        <v>0</v>
      </c>
      <c r="Q166" s="18">
        <f t="shared" si="191"/>
        <v>0</v>
      </c>
      <c r="R166" s="18">
        <f t="shared" si="192"/>
        <v>0</v>
      </c>
      <c r="S166" s="18">
        <f t="shared" si="193"/>
        <v>0</v>
      </c>
      <c r="T166" s="18">
        <f t="shared" si="194"/>
        <v>0</v>
      </c>
      <c r="U166" s="18">
        <f t="shared" si="195"/>
        <v>0</v>
      </c>
      <c r="V166" s="18">
        <f t="shared" si="196"/>
        <v>0</v>
      </c>
      <c r="W166" s="18">
        <f t="shared" si="197"/>
        <v>0</v>
      </c>
      <c r="X166" s="18">
        <f t="shared" si="198"/>
        <v>0</v>
      </c>
      <c r="Y166" s="18">
        <f t="shared" si="199"/>
        <v>0</v>
      </c>
      <c r="Z166" s="18">
        <f t="shared" si="200"/>
        <v>0</v>
      </c>
      <c r="AA166" s="18">
        <f t="shared" si="201"/>
        <v>0</v>
      </c>
      <c r="AB166" s="18">
        <f t="shared" si="202"/>
        <v>0</v>
      </c>
      <c r="AC166" s="18">
        <f t="shared" si="203"/>
        <v>0</v>
      </c>
      <c r="AD166" s="18">
        <f t="shared" si="204"/>
        <v>0</v>
      </c>
      <c r="AE166" s="18">
        <f t="shared" si="205"/>
        <v>0</v>
      </c>
      <c r="AF166" s="18">
        <f t="shared" si="206"/>
        <v>0</v>
      </c>
      <c r="AG166" s="18">
        <f t="shared" si="207"/>
        <v>0</v>
      </c>
      <c r="AH166" s="18">
        <f t="shared" si="208"/>
        <v>0</v>
      </c>
      <c r="AI166" s="18">
        <f t="shared" si="209"/>
        <v>0</v>
      </c>
      <c r="AJ166" s="18">
        <f t="shared" si="210"/>
        <v>0</v>
      </c>
      <c r="AK166" s="18">
        <f t="shared" si="211"/>
        <v>0</v>
      </c>
      <c r="AL166" s="18">
        <f t="shared" si="212"/>
        <v>0</v>
      </c>
      <c r="AM166" s="18">
        <f t="shared" si="213"/>
        <v>0</v>
      </c>
      <c r="AN166" s="18">
        <f t="shared" si="214"/>
        <v>0</v>
      </c>
      <c r="AO166" s="18">
        <f t="shared" si="215"/>
        <v>0</v>
      </c>
      <c r="AP166" s="18">
        <f t="shared" si="216"/>
        <v>0</v>
      </c>
      <c r="AQ166" s="18">
        <f t="shared" si="217"/>
        <v>0</v>
      </c>
      <c r="AR166" s="18">
        <f t="shared" si="218"/>
        <v>0</v>
      </c>
      <c r="AS166" s="18">
        <f t="shared" si="219"/>
        <v>0</v>
      </c>
      <c r="AT166" s="18">
        <f t="shared" si="220"/>
        <v>0</v>
      </c>
      <c r="AU166" s="18">
        <f t="shared" si="221"/>
        <v>0</v>
      </c>
      <c r="AV166" s="18">
        <f t="shared" si="222"/>
        <v>0</v>
      </c>
      <c r="AW166" s="18">
        <f t="shared" si="223"/>
        <v>0</v>
      </c>
      <c r="AX166" s="18">
        <f t="shared" si="224"/>
        <v>0</v>
      </c>
      <c r="AY166" s="18">
        <f t="shared" si="225"/>
        <v>0</v>
      </c>
      <c r="AZ166" s="18">
        <f t="shared" si="226"/>
        <v>0</v>
      </c>
      <c r="BA166" s="18">
        <f t="shared" si="227"/>
        <v>0</v>
      </c>
      <c r="BB166" s="18">
        <f t="shared" si="228"/>
        <v>0</v>
      </c>
      <c r="BC166" s="18">
        <f t="shared" si="229"/>
        <v>0</v>
      </c>
      <c r="BD166" s="18">
        <f t="shared" si="230"/>
        <v>0</v>
      </c>
      <c r="BE166" s="18">
        <f t="shared" si="231"/>
        <v>0</v>
      </c>
      <c r="BF166" s="18">
        <f t="shared" si="232"/>
        <v>0</v>
      </c>
      <c r="BG166" s="18">
        <f t="shared" si="233"/>
        <v>0</v>
      </c>
      <c r="BH166" s="18">
        <f t="shared" si="234"/>
        <v>0</v>
      </c>
      <c r="BI166" s="18">
        <f t="shared" si="235"/>
        <v>0</v>
      </c>
      <c r="BJ166" s="18">
        <f t="shared" si="236"/>
        <v>0</v>
      </c>
      <c r="BK166" s="18">
        <f t="shared" si="237"/>
        <v>0</v>
      </c>
      <c r="BL166" s="18">
        <f t="shared" si="238"/>
        <v>0</v>
      </c>
      <c r="BM166" s="18">
        <f t="shared" si="239"/>
        <v>0</v>
      </c>
      <c r="BN166" s="18">
        <f t="shared" si="240"/>
        <v>0</v>
      </c>
      <c r="BO166" s="18">
        <f t="shared" si="241"/>
        <v>0</v>
      </c>
      <c r="BP166" s="18">
        <f t="shared" si="242"/>
        <v>0</v>
      </c>
      <c r="BQ166" s="18">
        <f t="shared" si="243"/>
        <v>0</v>
      </c>
      <c r="BR166" s="18">
        <f t="shared" si="244"/>
        <v>0</v>
      </c>
      <c r="BS166" s="18">
        <f t="shared" si="245"/>
        <v>0</v>
      </c>
      <c r="BT166" s="18">
        <f t="shared" si="246"/>
        <v>0</v>
      </c>
      <c r="BU166" s="18">
        <f t="shared" si="247"/>
        <v>0</v>
      </c>
      <c r="BV166" s="18">
        <f t="shared" si="248"/>
        <v>0</v>
      </c>
      <c r="BW166" s="18">
        <f t="shared" si="249"/>
        <v>0</v>
      </c>
      <c r="BX166" s="18">
        <f t="shared" si="250"/>
        <v>0</v>
      </c>
      <c r="BY166" s="18">
        <f t="shared" si="251"/>
        <v>0</v>
      </c>
      <c r="BZ166" s="18">
        <f t="shared" si="252"/>
        <v>0</v>
      </c>
      <c r="CA166" s="18">
        <f t="shared" si="253"/>
        <v>0</v>
      </c>
      <c r="CB166" s="18">
        <f t="shared" si="254"/>
        <v>0</v>
      </c>
      <c r="CC166" s="18">
        <f t="shared" si="255"/>
        <v>0</v>
      </c>
      <c r="CD166" s="18">
        <f t="shared" si="256"/>
        <v>0</v>
      </c>
      <c r="CE166" s="18">
        <f t="shared" si="257"/>
        <v>0</v>
      </c>
      <c r="CF166" s="18">
        <f t="shared" si="258"/>
        <v>0</v>
      </c>
      <c r="CG166" s="18">
        <f t="shared" si="259"/>
        <v>0</v>
      </c>
      <c r="CH166" s="18">
        <f t="shared" si="260"/>
        <v>0</v>
      </c>
      <c r="CI166" s="18">
        <f t="shared" si="261"/>
        <v>0</v>
      </c>
      <c r="CJ166" s="18">
        <f t="shared" si="262"/>
        <v>0</v>
      </c>
    </row>
    <row r="167" spans="1:88" x14ac:dyDescent="0.3">
      <c r="A167" s="1">
        <v>44071</v>
      </c>
      <c r="B167">
        <v>39467.31</v>
      </c>
      <c r="C167">
        <f>Table1[[#This Row],[Close]]-0.001*Table1[[#This Row],[Close]]</f>
        <v>39427.842689999998</v>
      </c>
      <c r="D167">
        <f>Table1[[#This Row],[Close]]+0.001*Table1[[#This Row],[Close]]</f>
        <v>39506.777309999998</v>
      </c>
      <c r="E167" t="str">
        <f>IF(Table1[[#This Row],[Close]]&gt;D166,"UP",IF(Table1[[#This Row],[Close]]&lt;C166,"Down","Constant"))</f>
        <v>UP</v>
      </c>
      <c r="F167" s="3">
        <f>IF(Table1[[#This Row],[Column1]]="Up",1,IF(Table1[[#This Row],[Column1]]="Down",-1,0))</f>
        <v>1</v>
      </c>
      <c r="G167">
        <f t="shared" si="181"/>
        <v>0</v>
      </c>
      <c r="H167" s="18">
        <f t="shared" si="182"/>
        <v>0</v>
      </c>
      <c r="I167" s="18">
        <f t="shared" si="183"/>
        <v>0</v>
      </c>
      <c r="J167" s="18">
        <f t="shared" si="184"/>
        <v>1</v>
      </c>
      <c r="K167" s="18">
        <f t="shared" si="185"/>
        <v>0</v>
      </c>
      <c r="L167" s="18">
        <f t="shared" si="186"/>
        <v>0</v>
      </c>
      <c r="M167" s="18">
        <f t="shared" si="187"/>
        <v>0</v>
      </c>
      <c r="N167" s="18">
        <f t="shared" si="188"/>
        <v>0</v>
      </c>
      <c r="O167" s="18">
        <f t="shared" si="189"/>
        <v>0</v>
      </c>
      <c r="P167" s="18">
        <f t="shared" si="190"/>
        <v>0</v>
      </c>
      <c r="Q167" s="18">
        <f t="shared" si="191"/>
        <v>0</v>
      </c>
      <c r="R167" s="18">
        <f t="shared" si="192"/>
        <v>0</v>
      </c>
      <c r="S167" s="18">
        <f t="shared" si="193"/>
        <v>0</v>
      </c>
      <c r="T167" s="18">
        <f t="shared" si="194"/>
        <v>0</v>
      </c>
      <c r="U167" s="18">
        <f t="shared" si="195"/>
        <v>0</v>
      </c>
      <c r="V167" s="18">
        <f t="shared" si="196"/>
        <v>0</v>
      </c>
      <c r="W167" s="18">
        <f t="shared" si="197"/>
        <v>0</v>
      </c>
      <c r="X167" s="18">
        <f t="shared" si="198"/>
        <v>0</v>
      </c>
      <c r="Y167" s="18">
        <f t="shared" si="199"/>
        <v>0</v>
      </c>
      <c r="Z167" s="18">
        <f t="shared" si="200"/>
        <v>0</v>
      </c>
      <c r="AA167" s="18">
        <f t="shared" si="201"/>
        <v>0</v>
      </c>
      <c r="AB167" s="18">
        <f t="shared" si="202"/>
        <v>0</v>
      </c>
      <c r="AC167" s="18">
        <f t="shared" si="203"/>
        <v>0</v>
      </c>
      <c r="AD167" s="18">
        <f t="shared" si="204"/>
        <v>0</v>
      </c>
      <c r="AE167" s="18">
        <f t="shared" si="205"/>
        <v>0</v>
      </c>
      <c r="AF167" s="18">
        <f t="shared" si="206"/>
        <v>0</v>
      </c>
      <c r="AG167" s="18">
        <f t="shared" si="207"/>
        <v>0</v>
      </c>
      <c r="AH167" s="18">
        <f t="shared" si="208"/>
        <v>0</v>
      </c>
      <c r="AI167" s="18">
        <f t="shared" si="209"/>
        <v>0</v>
      </c>
      <c r="AJ167" s="18">
        <f t="shared" si="210"/>
        <v>0</v>
      </c>
      <c r="AK167" s="18">
        <f t="shared" si="211"/>
        <v>0</v>
      </c>
      <c r="AL167" s="18">
        <f t="shared" si="212"/>
        <v>0</v>
      </c>
      <c r="AM167" s="18">
        <f t="shared" si="213"/>
        <v>0</v>
      </c>
      <c r="AN167" s="18">
        <f t="shared" si="214"/>
        <v>0</v>
      </c>
      <c r="AO167" s="18">
        <f t="shared" si="215"/>
        <v>0</v>
      </c>
      <c r="AP167" s="18">
        <f t="shared" si="216"/>
        <v>0</v>
      </c>
      <c r="AQ167" s="18">
        <f t="shared" si="217"/>
        <v>0</v>
      </c>
      <c r="AR167" s="18">
        <f t="shared" si="218"/>
        <v>0</v>
      </c>
      <c r="AS167" s="18">
        <f t="shared" si="219"/>
        <v>0</v>
      </c>
      <c r="AT167" s="18">
        <f t="shared" si="220"/>
        <v>0</v>
      </c>
      <c r="AU167" s="18">
        <f t="shared" si="221"/>
        <v>0</v>
      </c>
      <c r="AV167" s="18">
        <f t="shared" si="222"/>
        <v>0</v>
      </c>
      <c r="AW167" s="18">
        <f t="shared" si="223"/>
        <v>0</v>
      </c>
      <c r="AX167" s="18">
        <f t="shared" si="224"/>
        <v>0</v>
      </c>
      <c r="AY167" s="18">
        <f t="shared" si="225"/>
        <v>0</v>
      </c>
      <c r="AZ167" s="18">
        <f t="shared" si="226"/>
        <v>0</v>
      </c>
      <c r="BA167" s="18">
        <f t="shared" si="227"/>
        <v>0</v>
      </c>
      <c r="BB167" s="18">
        <f t="shared" si="228"/>
        <v>0</v>
      </c>
      <c r="BC167" s="18">
        <f t="shared" si="229"/>
        <v>0</v>
      </c>
      <c r="BD167" s="18">
        <f t="shared" si="230"/>
        <v>0</v>
      </c>
      <c r="BE167" s="18">
        <f t="shared" si="231"/>
        <v>0</v>
      </c>
      <c r="BF167" s="18">
        <f t="shared" si="232"/>
        <v>0</v>
      </c>
      <c r="BG167" s="18">
        <f t="shared" si="233"/>
        <v>0</v>
      </c>
      <c r="BH167" s="18">
        <f t="shared" si="234"/>
        <v>0</v>
      </c>
      <c r="BI167" s="18">
        <f t="shared" si="235"/>
        <v>0</v>
      </c>
      <c r="BJ167" s="18">
        <f t="shared" si="236"/>
        <v>0</v>
      </c>
      <c r="BK167" s="18">
        <f t="shared" si="237"/>
        <v>0</v>
      </c>
      <c r="BL167" s="18">
        <f t="shared" si="238"/>
        <v>0</v>
      </c>
      <c r="BM167" s="18">
        <f t="shared" si="239"/>
        <v>0</v>
      </c>
      <c r="BN167" s="18">
        <f t="shared" si="240"/>
        <v>0</v>
      </c>
      <c r="BO167" s="18">
        <f t="shared" si="241"/>
        <v>0</v>
      </c>
      <c r="BP167" s="18">
        <f t="shared" si="242"/>
        <v>0</v>
      </c>
      <c r="BQ167" s="18">
        <f t="shared" si="243"/>
        <v>0</v>
      </c>
      <c r="BR167" s="18">
        <f t="shared" si="244"/>
        <v>0</v>
      </c>
      <c r="BS167" s="18">
        <f t="shared" si="245"/>
        <v>0</v>
      </c>
      <c r="BT167" s="18">
        <f t="shared" si="246"/>
        <v>0</v>
      </c>
      <c r="BU167" s="18">
        <f t="shared" si="247"/>
        <v>0</v>
      </c>
      <c r="BV167" s="18">
        <f t="shared" si="248"/>
        <v>0</v>
      </c>
      <c r="BW167" s="18">
        <f t="shared" si="249"/>
        <v>0</v>
      </c>
      <c r="BX167" s="18">
        <f t="shared" si="250"/>
        <v>0</v>
      </c>
      <c r="BY167" s="18">
        <f t="shared" si="251"/>
        <v>0</v>
      </c>
      <c r="BZ167" s="18">
        <f t="shared" si="252"/>
        <v>0</v>
      </c>
      <c r="CA167" s="18">
        <f t="shared" si="253"/>
        <v>0</v>
      </c>
      <c r="CB167" s="18">
        <f t="shared" si="254"/>
        <v>0</v>
      </c>
      <c r="CC167" s="18">
        <f t="shared" si="255"/>
        <v>0</v>
      </c>
      <c r="CD167" s="18">
        <f t="shared" si="256"/>
        <v>0</v>
      </c>
      <c r="CE167" s="18">
        <f t="shared" si="257"/>
        <v>0</v>
      </c>
      <c r="CF167" s="18">
        <f t="shared" si="258"/>
        <v>0</v>
      </c>
      <c r="CG167" s="18">
        <f t="shared" si="259"/>
        <v>0</v>
      </c>
      <c r="CH167" s="18">
        <f t="shared" si="260"/>
        <v>0</v>
      </c>
      <c r="CI167" s="18">
        <f t="shared" si="261"/>
        <v>0</v>
      </c>
      <c r="CJ167" s="18">
        <f t="shared" si="262"/>
        <v>0</v>
      </c>
    </row>
    <row r="168" spans="1:88" x14ac:dyDescent="0.3">
      <c r="A168" s="1">
        <v>44074</v>
      </c>
      <c r="B168">
        <v>38628.29</v>
      </c>
      <c r="C168">
        <f>Table1[[#This Row],[Close]]-0.001*Table1[[#This Row],[Close]]</f>
        <v>38589.66171</v>
      </c>
      <c r="D168">
        <f>Table1[[#This Row],[Close]]+0.001*Table1[[#This Row],[Close]]</f>
        <v>38666.918290000001</v>
      </c>
      <c r="E168" t="str">
        <f>IF(Table1[[#This Row],[Close]]&gt;D167,"UP",IF(Table1[[#This Row],[Close]]&lt;C167,"Down","Constant"))</f>
        <v>Down</v>
      </c>
      <c r="F168" s="3">
        <f>IF(Table1[[#This Row],[Column1]]="Up",1,IF(Table1[[#This Row],[Column1]]="Down",-1,0))</f>
        <v>-1</v>
      </c>
      <c r="G168">
        <f t="shared" si="181"/>
        <v>0</v>
      </c>
      <c r="H168" s="18">
        <f t="shared" si="182"/>
        <v>1</v>
      </c>
      <c r="I168" s="18">
        <f t="shared" si="183"/>
        <v>0</v>
      </c>
      <c r="J168" s="18">
        <f t="shared" si="184"/>
        <v>0</v>
      </c>
      <c r="K168" s="18">
        <f t="shared" si="185"/>
        <v>0</v>
      </c>
      <c r="L168" s="18">
        <f t="shared" si="186"/>
        <v>0</v>
      </c>
      <c r="M168" s="18">
        <f t="shared" si="187"/>
        <v>0</v>
      </c>
      <c r="N168" s="18">
        <f t="shared" si="188"/>
        <v>0</v>
      </c>
      <c r="O168" s="18">
        <f t="shared" si="189"/>
        <v>0</v>
      </c>
      <c r="P168" s="18">
        <f t="shared" si="190"/>
        <v>0</v>
      </c>
      <c r="Q168" s="18">
        <f t="shared" si="191"/>
        <v>0</v>
      </c>
      <c r="R168" s="18">
        <f t="shared" si="192"/>
        <v>0</v>
      </c>
      <c r="S168" s="18">
        <f t="shared" si="193"/>
        <v>0</v>
      </c>
      <c r="T168" s="18">
        <f t="shared" si="194"/>
        <v>0</v>
      </c>
      <c r="U168" s="18">
        <f t="shared" si="195"/>
        <v>0</v>
      </c>
      <c r="V168" s="18">
        <f t="shared" si="196"/>
        <v>0</v>
      </c>
      <c r="W168" s="18">
        <f t="shared" si="197"/>
        <v>0</v>
      </c>
      <c r="X168" s="18">
        <f t="shared" si="198"/>
        <v>0</v>
      </c>
      <c r="Y168" s="18">
        <f t="shared" si="199"/>
        <v>0</v>
      </c>
      <c r="Z168" s="18">
        <f t="shared" si="200"/>
        <v>0</v>
      </c>
      <c r="AA168" s="18">
        <f t="shared" si="201"/>
        <v>0</v>
      </c>
      <c r="AB168" s="18">
        <f t="shared" si="202"/>
        <v>0</v>
      </c>
      <c r="AC168" s="18">
        <f t="shared" si="203"/>
        <v>0</v>
      </c>
      <c r="AD168" s="18">
        <f t="shared" si="204"/>
        <v>0</v>
      </c>
      <c r="AE168" s="18">
        <f t="shared" si="205"/>
        <v>0</v>
      </c>
      <c r="AF168" s="18">
        <f t="shared" si="206"/>
        <v>0</v>
      </c>
      <c r="AG168" s="18">
        <f t="shared" si="207"/>
        <v>0</v>
      </c>
      <c r="AH168" s="18">
        <f t="shared" si="208"/>
        <v>0</v>
      </c>
      <c r="AI168" s="18">
        <f t="shared" si="209"/>
        <v>0</v>
      </c>
      <c r="AJ168" s="18">
        <f t="shared" si="210"/>
        <v>0</v>
      </c>
      <c r="AK168" s="18">
        <f t="shared" si="211"/>
        <v>0</v>
      </c>
      <c r="AL168" s="18">
        <f t="shared" si="212"/>
        <v>0</v>
      </c>
      <c r="AM168" s="18">
        <f t="shared" si="213"/>
        <v>0</v>
      </c>
      <c r="AN168" s="18">
        <f t="shared" si="214"/>
        <v>0</v>
      </c>
      <c r="AO168" s="18">
        <f t="shared" si="215"/>
        <v>0</v>
      </c>
      <c r="AP168" s="18">
        <f t="shared" si="216"/>
        <v>0</v>
      </c>
      <c r="AQ168" s="18">
        <f t="shared" si="217"/>
        <v>0</v>
      </c>
      <c r="AR168" s="18">
        <f t="shared" si="218"/>
        <v>0</v>
      </c>
      <c r="AS168" s="18">
        <f t="shared" si="219"/>
        <v>0</v>
      </c>
      <c r="AT168" s="18">
        <f t="shared" si="220"/>
        <v>0</v>
      </c>
      <c r="AU168" s="18">
        <f t="shared" si="221"/>
        <v>0</v>
      </c>
      <c r="AV168" s="18">
        <f t="shared" si="222"/>
        <v>0</v>
      </c>
      <c r="AW168" s="18">
        <f t="shared" si="223"/>
        <v>0</v>
      </c>
      <c r="AX168" s="18">
        <f t="shared" si="224"/>
        <v>0</v>
      </c>
      <c r="AY168" s="18">
        <f t="shared" si="225"/>
        <v>0</v>
      </c>
      <c r="AZ168" s="18">
        <f t="shared" si="226"/>
        <v>0</v>
      </c>
      <c r="BA168" s="18">
        <f t="shared" si="227"/>
        <v>0</v>
      </c>
      <c r="BB168" s="18">
        <f t="shared" si="228"/>
        <v>0</v>
      </c>
      <c r="BC168" s="18">
        <f t="shared" si="229"/>
        <v>0</v>
      </c>
      <c r="BD168" s="18">
        <f t="shared" si="230"/>
        <v>0</v>
      </c>
      <c r="BE168" s="18">
        <f t="shared" si="231"/>
        <v>0</v>
      </c>
      <c r="BF168" s="18">
        <f t="shared" si="232"/>
        <v>0</v>
      </c>
      <c r="BG168" s="18">
        <f t="shared" si="233"/>
        <v>0</v>
      </c>
      <c r="BH168" s="18">
        <f t="shared" si="234"/>
        <v>0</v>
      </c>
      <c r="BI168" s="18">
        <f t="shared" si="235"/>
        <v>0</v>
      </c>
      <c r="BJ168" s="18">
        <f t="shared" si="236"/>
        <v>0</v>
      </c>
      <c r="BK168" s="18">
        <f t="shared" si="237"/>
        <v>0</v>
      </c>
      <c r="BL168" s="18">
        <f t="shared" si="238"/>
        <v>0</v>
      </c>
      <c r="BM168" s="18">
        <f t="shared" si="239"/>
        <v>0</v>
      </c>
      <c r="BN168" s="18">
        <f t="shared" si="240"/>
        <v>0</v>
      </c>
      <c r="BO168" s="18">
        <f t="shared" si="241"/>
        <v>0</v>
      </c>
      <c r="BP168" s="18">
        <f t="shared" si="242"/>
        <v>0</v>
      </c>
      <c r="BQ168" s="18">
        <f t="shared" si="243"/>
        <v>0</v>
      </c>
      <c r="BR168" s="18">
        <f t="shared" si="244"/>
        <v>0</v>
      </c>
      <c r="BS168" s="18">
        <f t="shared" si="245"/>
        <v>0</v>
      </c>
      <c r="BT168" s="18">
        <f t="shared" si="246"/>
        <v>0</v>
      </c>
      <c r="BU168" s="18">
        <f t="shared" si="247"/>
        <v>0</v>
      </c>
      <c r="BV168" s="18">
        <f t="shared" si="248"/>
        <v>0</v>
      </c>
      <c r="BW168" s="18">
        <f t="shared" si="249"/>
        <v>0</v>
      </c>
      <c r="BX168" s="18">
        <f t="shared" si="250"/>
        <v>0</v>
      </c>
      <c r="BY168" s="18">
        <f t="shared" si="251"/>
        <v>0</v>
      </c>
      <c r="BZ168" s="18">
        <f t="shared" si="252"/>
        <v>0</v>
      </c>
      <c r="CA168" s="18">
        <f t="shared" si="253"/>
        <v>0</v>
      </c>
      <c r="CB168" s="18">
        <f t="shared" si="254"/>
        <v>0</v>
      </c>
      <c r="CC168" s="18">
        <f t="shared" si="255"/>
        <v>0</v>
      </c>
      <c r="CD168" s="18">
        <f t="shared" si="256"/>
        <v>0</v>
      </c>
      <c r="CE168" s="18">
        <f t="shared" si="257"/>
        <v>0</v>
      </c>
      <c r="CF168" s="18">
        <f t="shared" si="258"/>
        <v>0</v>
      </c>
      <c r="CG168" s="18">
        <f t="shared" si="259"/>
        <v>0</v>
      </c>
      <c r="CH168" s="18">
        <f t="shared" si="260"/>
        <v>0</v>
      </c>
      <c r="CI168" s="18">
        <f t="shared" si="261"/>
        <v>0</v>
      </c>
      <c r="CJ168" s="18">
        <f t="shared" si="262"/>
        <v>0</v>
      </c>
    </row>
    <row r="169" spans="1:88" x14ac:dyDescent="0.3">
      <c r="A169" s="1">
        <v>44075</v>
      </c>
      <c r="B169">
        <v>38900.800000000003</v>
      </c>
      <c r="C169">
        <f>Table1[[#This Row],[Close]]-0.001*Table1[[#This Row],[Close]]</f>
        <v>38861.8992</v>
      </c>
      <c r="D169">
        <f>Table1[[#This Row],[Close]]+0.001*Table1[[#This Row],[Close]]</f>
        <v>38939.700800000006</v>
      </c>
      <c r="E169" t="str">
        <f>IF(Table1[[#This Row],[Close]]&gt;D168,"UP",IF(Table1[[#This Row],[Close]]&lt;C168,"Down","Constant"))</f>
        <v>UP</v>
      </c>
      <c r="F169" s="3">
        <f>IF(Table1[[#This Row],[Column1]]="Up",1,IF(Table1[[#This Row],[Column1]]="Down",-1,0))</f>
        <v>1</v>
      </c>
      <c r="G169">
        <f t="shared" si="181"/>
        <v>0</v>
      </c>
      <c r="H169" s="18">
        <f t="shared" si="182"/>
        <v>0</v>
      </c>
      <c r="I169" s="18">
        <f t="shared" si="183"/>
        <v>0</v>
      </c>
      <c r="J169" s="18">
        <f t="shared" si="184"/>
        <v>0</v>
      </c>
      <c r="K169" s="18">
        <f t="shared" si="185"/>
        <v>0</v>
      </c>
      <c r="L169" s="18">
        <f t="shared" si="186"/>
        <v>0</v>
      </c>
      <c r="M169" s="18">
        <f t="shared" si="187"/>
        <v>0</v>
      </c>
      <c r="N169" s="18">
        <f t="shared" si="188"/>
        <v>0</v>
      </c>
      <c r="O169" s="18">
        <f t="shared" si="189"/>
        <v>0</v>
      </c>
      <c r="P169" s="18">
        <f t="shared" si="190"/>
        <v>0</v>
      </c>
      <c r="Q169" s="18">
        <f t="shared" si="191"/>
        <v>0</v>
      </c>
      <c r="R169" s="18">
        <f t="shared" si="192"/>
        <v>0</v>
      </c>
      <c r="S169" s="18">
        <f t="shared" si="193"/>
        <v>1</v>
      </c>
      <c r="T169" s="18">
        <f t="shared" si="194"/>
        <v>0</v>
      </c>
      <c r="U169" s="18">
        <f t="shared" si="195"/>
        <v>0</v>
      </c>
      <c r="V169" s="18">
        <f t="shared" si="196"/>
        <v>0</v>
      </c>
      <c r="W169" s="18">
        <f t="shared" si="197"/>
        <v>0</v>
      </c>
      <c r="X169" s="18">
        <f t="shared" si="198"/>
        <v>0</v>
      </c>
      <c r="Y169" s="18">
        <f t="shared" si="199"/>
        <v>0</v>
      </c>
      <c r="Z169" s="18">
        <f t="shared" si="200"/>
        <v>0</v>
      </c>
      <c r="AA169" s="18">
        <f t="shared" si="201"/>
        <v>0</v>
      </c>
      <c r="AB169" s="18">
        <f t="shared" si="202"/>
        <v>0</v>
      </c>
      <c r="AC169" s="18">
        <f t="shared" si="203"/>
        <v>0</v>
      </c>
      <c r="AD169" s="18">
        <f t="shared" si="204"/>
        <v>0</v>
      </c>
      <c r="AE169" s="18">
        <f t="shared" si="205"/>
        <v>0</v>
      </c>
      <c r="AF169" s="18">
        <f t="shared" si="206"/>
        <v>0</v>
      </c>
      <c r="AG169" s="18">
        <f t="shared" si="207"/>
        <v>0</v>
      </c>
      <c r="AH169" s="18">
        <f t="shared" si="208"/>
        <v>0</v>
      </c>
      <c r="AI169" s="18">
        <f t="shared" si="209"/>
        <v>0</v>
      </c>
      <c r="AJ169" s="18">
        <f t="shared" si="210"/>
        <v>0</v>
      </c>
      <c r="AK169" s="18">
        <f t="shared" si="211"/>
        <v>0</v>
      </c>
      <c r="AL169" s="18">
        <f t="shared" si="212"/>
        <v>0</v>
      </c>
      <c r="AM169" s="18">
        <f t="shared" si="213"/>
        <v>0</v>
      </c>
      <c r="AN169" s="18">
        <f t="shared" si="214"/>
        <v>0</v>
      </c>
      <c r="AO169" s="18">
        <f t="shared" si="215"/>
        <v>0</v>
      </c>
      <c r="AP169" s="18">
        <f t="shared" si="216"/>
        <v>0</v>
      </c>
      <c r="AQ169" s="18">
        <f t="shared" si="217"/>
        <v>0</v>
      </c>
      <c r="AR169" s="18">
        <f t="shared" si="218"/>
        <v>0</v>
      </c>
      <c r="AS169" s="18">
        <f t="shared" si="219"/>
        <v>0</v>
      </c>
      <c r="AT169" s="18">
        <f t="shared" si="220"/>
        <v>0</v>
      </c>
      <c r="AU169" s="18">
        <f t="shared" si="221"/>
        <v>0</v>
      </c>
      <c r="AV169" s="18">
        <f t="shared" si="222"/>
        <v>0</v>
      </c>
      <c r="AW169" s="18">
        <f t="shared" si="223"/>
        <v>0</v>
      </c>
      <c r="AX169" s="18">
        <f t="shared" si="224"/>
        <v>0</v>
      </c>
      <c r="AY169" s="18">
        <f t="shared" si="225"/>
        <v>0</v>
      </c>
      <c r="AZ169" s="18">
        <f t="shared" si="226"/>
        <v>0</v>
      </c>
      <c r="BA169" s="18">
        <f t="shared" si="227"/>
        <v>0</v>
      </c>
      <c r="BB169" s="18">
        <f t="shared" si="228"/>
        <v>0</v>
      </c>
      <c r="BC169" s="18">
        <f t="shared" si="229"/>
        <v>0</v>
      </c>
      <c r="BD169" s="18">
        <f t="shared" si="230"/>
        <v>0</v>
      </c>
      <c r="BE169" s="18">
        <f t="shared" si="231"/>
        <v>0</v>
      </c>
      <c r="BF169" s="18">
        <f t="shared" si="232"/>
        <v>0</v>
      </c>
      <c r="BG169" s="18">
        <f t="shared" si="233"/>
        <v>0</v>
      </c>
      <c r="BH169" s="18">
        <f t="shared" si="234"/>
        <v>0</v>
      </c>
      <c r="BI169" s="18">
        <f t="shared" si="235"/>
        <v>0</v>
      </c>
      <c r="BJ169" s="18">
        <f t="shared" si="236"/>
        <v>0</v>
      </c>
      <c r="BK169" s="18">
        <f t="shared" si="237"/>
        <v>0</v>
      </c>
      <c r="BL169" s="18">
        <f t="shared" si="238"/>
        <v>0</v>
      </c>
      <c r="BM169" s="18">
        <f t="shared" si="239"/>
        <v>0</v>
      </c>
      <c r="BN169" s="18">
        <f t="shared" si="240"/>
        <v>0</v>
      </c>
      <c r="BO169" s="18">
        <f t="shared" si="241"/>
        <v>0</v>
      </c>
      <c r="BP169" s="18">
        <f t="shared" si="242"/>
        <v>0</v>
      </c>
      <c r="BQ169" s="18">
        <f t="shared" si="243"/>
        <v>0</v>
      </c>
      <c r="BR169" s="18">
        <f t="shared" si="244"/>
        <v>0</v>
      </c>
      <c r="BS169" s="18">
        <f t="shared" si="245"/>
        <v>0</v>
      </c>
      <c r="BT169" s="18">
        <f t="shared" si="246"/>
        <v>0</v>
      </c>
      <c r="BU169" s="18">
        <f t="shared" si="247"/>
        <v>0</v>
      </c>
      <c r="BV169" s="18">
        <f t="shared" si="248"/>
        <v>0</v>
      </c>
      <c r="BW169" s="18">
        <f t="shared" si="249"/>
        <v>0</v>
      </c>
      <c r="BX169" s="18">
        <f t="shared" si="250"/>
        <v>0</v>
      </c>
      <c r="BY169" s="18">
        <f t="shared" si="251"/>
        <v>0</v>
      </c>
      <c r="BZ169" s="18">
        <f t="shared" si="252"/>
        <v>0</v>
      </c>
      <c r="CA169" s="18">
        <f t="shared" si="253"/>
        <v>0</v>
      </c>
      <c r="CB169" s="18">
        <f t="shared" si="254"/>
        <v>0</v>
      </c>
      <c r="CC169" s="18">
        <f t="shared" si="255"/>
        <v>0</v>
      </c>
      <c r="CD169" s="18">
        <f t="shared" si="256"/>
        <v>0</v>
      </c>
      <c r="CE169" s="18">
        <f t="shared" si="257"/>
        <v>0</v>
      </c>
      <c r="CF169" s="18">
        <f t="shared" si="258"/>
        <v>0</v>
      </c>
      <c r="CG169" s="18">
        <f t="shared" si="259"/>
        <v>0</v>
      </c>
      <c r="CH169" s="18">
        <f t="shared" si="260"/>
        <v>0</v>
      </c>
      <c r="CI169" s="18">
        <f t="shared" si="261"/>
        <v>0</v>
      </c>
      <c r="CJ169" s="18">
        <f t="shared" si="262"/>
        <v>0</v>
      </c>
    </row>
    <row r="170" spans="1:88" x14ac:dyDescent="0.3">
      <c r="A170" s="1">
        <v>44076</v>
      </c>
      <c r="B170">
        <v>39086.03</v>
      </c>
      <c r="C170">
        <f>Table1[[#This Row],[Close]]-0.001*Table1[[#This Row],[Close]]</f>
        <v>39046.94397</v>
      </c>
      <c r="D170">
        <f>Table1[[#This Row],[Close]]+0.001*Table1[[#This Row],[Close]]</f>
        <v>39125.116029999997</v>
      </c>
      <c r="E170" t="str">
        <f>IF(Table1[[#This Row],[Close]]&gt;D169,"UP",IF(Table1[[#This Row],[Close]]&lt;C169,"Down","Constant"))</f>
        <v>UP</v>
      </c>
      <c r="F170" s="3">
        <f>IF(Table1[[#This Row],[Column1]]="Up",1,IF(Table1[[#This Row],[Column1]]="Down",-1,0))</f>
        <v>1</v>
      </c>
      <c r="G170">
        <f t="shared" si="181"/>
        <v>0</v>
      </c>
      <c r="H170" s="18">
        <f t="shared" si="182"/>
        <v>0</v>
      </c>
      <c r="I170" s="18">
        <f t="shared" si="183"/>
        <v>0</v>
      </c>
      <c r="J170" s="18">
        <f t="shared" si="184"/>
        <v>0</v>
      </c>
      <c r="K170" s="18">
        <f t="shared" si="185"/>
        <v>0</v>
      </c>
      <c r="L170" s="18">
        <f t="shared" si="186"/>
        <v>0</v>
      </c>
      <c r="M170" s="18">
        <f t="shared" si="187"/>
        <v>0</v>
      </c>
      <c r="N170" s="18">
        <f t="shared" si="188"/>
        <v>0</v>
      </c>
      <c r="O170" s="18">
        <f t="shared" si="189"/>
        <v>0</v>
      </c>
      <c r="P170" s="18">
        <f t="shared" si="190"/>
        <v>1</v>
      </c>
      <c r="Q170" s="18">
        <f t="shared" si="191"/>
        <v>0</v>
      </c>
      <c r="R170" s="18">
        <f t="shared" si="192"/>
        <v>0</v>
      </c>
      <c r="S170" s="18">
        <f t="shared" si="193"/>
        <v>0</v>
      </c>
      <c r="T170" s="18">
        <f t="shared" si="194"/>
        <v>0</v>
      </c>
      <c r="U170" s="18">
        <f t="shared" si="195"/>
        <v>0</v>
      </c>
      <c r="V170" s="18">
        <f t="shared" si="196"/>
        <v>0</v>
      </c>
      <c r="W170" s="18">
        <f t="shared" si="197"/>
        <v>0</v>
      </c>
      <c r="X170" s="18">
        <f t="shared" si="198"/>
        <v>0</v>
      </c>
      <c r="Y170" s="18">
        <f t="shared" si="199"/>
        <v>0</v>
      </c>
      <c r="Z170" s="18">
        <f t="shared" si="200"/>
        <v>0</v>
      </c>
      <c r="AA170" s="18">
        <f t="shared" si="201"/>
        <v>0</v>
      </c>
      <c r="AB170" s="18">
        <f t="shared" si="202"/>
        <v>0</v>
      </c>
      <c r="AC170" s="18">
        <f t="shared" si="203"/>
        <v>0</v>
      </c>
      <c r="AD170" s="18">
        <f t="shared" si="204"/>
        <v>0</v>
      </c>
      <c r="AE170" s="18">
        <f t="shared" si="205"/>
        <v>0</v>
      </c>
      <c r="AF170" s="18">
        <f t="shared" si="206"/>
        <v>0</v>
      </c>
      <c r="AG170" s="18">
        <f t="shared" si="207"/>
        <v>0</v>
      </c>
      <c r="AH170" s="18">
        <f t="shared" si="208"/>
        <v>0</v>
      </c>
      <c r="AI170" s="18">
        <f t="shared" si="209"/>
        <v>0</v>
      </c>
      <c r="AJ170" s="18">
        <f t="shared" si="210"/>
        <v>0</v>
      </c>
      <c r="AK170" s="18">
        <f t="shared" si="211"/>
        <v>0</v>
      </c>
      <c r="AL170" s="18">
        <f t="shared" si="212"/>
        <v>0</v>
      </c>
      <c r="AM170" s="18">
        <f t="shared" si="213"/>
        <v>0</v>
      </c>
      <c r="AN170" s="18">
        <f t="shared" si="214"/>
        <v>0</v>
      </c>
      <c r="AO170" s="18">
        <f t="shared" si="215"/>
        <v>0</v>
      </c>
      <c r="AP170" s="18">
        <f t="shared" si="216"/>
        <v>0</v>
      </c>
      <c r="AQ170" s="18">
        <f t="shared" si="217"/>
        <v>0</v>
      </c>
      <c r="AR170" s="18">
        <f t="shared" si="218"/>
        <v>0</v>
      </c>
      <c r="AS170" s="18">
        <f t="shared" si="219"/>
        <v>0</v>
      </c>
      <c r="AT170" s="18">
        <f t="shared" si="220"/>
        <v>0</v>
      </c>
      <c r="AU170" s="18">
        <f t="shared" si="221"/>
        <v>0</v>
      </c>
      <c r="AV170" s="18">
        <f t="shared" si="222"/>
        <v>0</v>
      </c>
      <c r="AW170" s="18">
        <f t="shared" si="223"/>
        <v>0</v>
      </c>
      <c r="AX170" s="18">
        <f t="shared" si="224"/>
        <v>0</v>
      </c>
      <c r="AY170" s="18">
        <f t="shared" si="225"/>
        <v>0</v>
      </c>
      <c r="AZ170" s="18">
        <f t="shared" si="226"/>
        <v>0</v>
      </c>
      <c r="BA170" s="18">
        <f t="shared" si="227"/>
        <v>0</v>
      </c>
      <c r="BB170" s="18">
        <f t="shared" si="228"/>
        <v>0</v>
      </c>
      <c r="BC170" s="18">
        <f t="shared" si="229"/>
        <v>0</v>
      </c>
      <c r="BD170" s="18">
        <f t="shared" si="230"/>
        <v>0</v>
      </c>
      <c r="BE170" s="18">
        <f t="shared" si="231"/>
        <v>0</v>
      </c>
      <c r="BF170" s="18">
        <f t="shared" si="232"/>
        <v>0</v>
      </c>
      <c r="BG170" s="18">
        <f t="shared" si="233"/>
        <v>0</v>
      </c>
      <c r="BH170" s="18">
        <f t="shared" si="234"/>
        <v>0</v>
      </c>
      <c r="BI170" s="18">
        <f t="shared" si="235"/>
        <v>0</v>
      </c>
      <c r="BJ170" s="18">
        <f t="shared" si="236"/>
        <v>0</v>
      </c>
      <c r="BK170" s="18">
        <f t="shared" si="237"/>
        <v>0</v>
      </c>
      <c r="BL170" s="18">
        <f t="shared" si="238"/>
        <v>0</v>
      </c>
      <c r="BM170" s="18">
        <f t="shared" si="239"/>
        <v>0</v>
      </c>
      <c r="BN170" s="18">
        <f t="shared" si="240"/>
        <v>0</v>
      </c>
      <c r="BO170" s="18">
        <f t="shared" si="241"/>
        <v>0</v>
      </c>
      <c r="BP170" s="18">
        <f t="shared" si="242"/>
        <v>0</v>
      </c>
      <c r="BQ170" s="18">
        <f t="shared" si="243"/>
        <v>0</v>
      </c>
      <c r="BR170" s="18">
        <f t="shared" si="244"/>
        <v>0</v>
      </c>
      <c r="BS170" s="18">
        <f t="shared" si="245"/>
        <v>0</v>
      </c>
      <c r="BT170" s="18">
        <f t="shared" si="246"/>
        <v>0</v>
      </c>
      <c r="BU170" s="18">
        <f t="shared" si="247"/>
        <v>0</v>
      </c>
      <c r="BV170" s="18">
        <f t="shared" si="248"/>
        <v>0</v>
      </c>
      <c r="BW170" s="18">
        <f t="shared" si="249"/>
        <v>0</v>
      </c>
      <c r="BX170" s="18">
        <f t="shared" si="250"/>
        <v>0</v>
      </c>
      <c r="BY170" s="18">
        <f t="shared" si="251"/>
        <v>0</v>
      </c>
      <c r="BZ170" s="18">
        <f t="shared" si="252"/>
        <v>0</v>
      </c>
      <c r="CA170" s="18">
        <f t="shared" si="253"/>
        <v>0</v>
      </c>
      <c r="CB170" s="18">
        <f t="shared" si="254"/>
        <v>0</v>
      </c>
      <c r="CC170" s="18">
        <f t="shared" si="255"/>
        <v>0</v>
      </c>
      <c r="CD170" s="18">
        <f t="shared" si="256"/>
        <v>0</v>
      </c>
      <c r="CE170" s="18">
        <f t="shared" si="257"/>
        <v>0</v>
      </c>
      <c r="CF170" s="18">
        <f t="shared" si="258"/>
        <v>0</v>
      </c>
      <c r="CG170" s="18">
        <f t="shared" si="259"/>
        <v>0</v>
      </c>
      <c r="CH170" s="18">
        <f t="shared" si="260"/>
        <v>0</v>
      </c>
      <c r="CI170" s="18">
        <f t="shared" si="261"/>
        <v>0</v>
      </c>
      <c r="CJ170" s="18">
        <f t="shared" si="262"/>
        <v>0</v>
      </c>
    </row>
    <row r="171" spans="1:88" x14ac:dyDescent="0.3">
      <c r="A171" s="1">
        <v>44077</v>
      </c>
      <c r="B171">
        <v>38990.94</v>
      </c>
      <c r="C171">
        <f>Table1[[#This Row],[Close]]-0.001*Table1[[#This Row],[Close]]</f>
        <v>38951.949059999999</v>
      </c>
      <c r="D171">
        <f>Table1[[#This Row],[Close]]+0.001*Table1[[#This Row],[Close]]</f>
        <v>39029.930940000006</v>
      </c>
      <c r="E171" t="str">
        <f>IF(Table1[[#This Row],[Close]]&gt;D170,"UP",IF(Table1[[#This Row],[Close]]&lt;C170,"Down","Constant"))</f>
        <v>Down</v>
      </c>
      <c r="F171" s="3">
        <f>IF(Table1[[#This Row],[Column1]]="Up",1,IF(Table1[[#This Row],[Column1]]="Down",-1,0))</f>
        <v>-1</v>
      </c>
      <c r="G171">
        <f t="shared" si="181"/>
        <v>0</v>
      </c>
      <c r="H171" s="18">
        <f t="shared" si="182"/>
        <v>0</v>
      </c>
      <c r="I171" s="18">
        <f t="shared" si="183"/>
        <v>0</v>
      </c>
      <c r="J171" s="18">
        <f t="shared" si="184"/>
        <v>0</v>
      </c>
      <c r="K171" s="18">
        <f t="shared" si="185"/>
        <v>1</v>
      </c>
      <c r="L171" s="18">
        <f t="shared" si="186"/>
        <v>0</v>
      </c>
      <c r="M171" s="18">
        <f t="shared" si="187"/>
        <v>0</v>
      </c>
      <c r="N171" s="18">
        <f t="shared" si="188"/>
        <v>0</v>
      </c>
      <c r="O171" s="18">
        <f t="shared" si="189"/>
        <v>0</v>
      </c>
      <c r="P171" s="18">
        <f t="shared" si="190"/>
        <v>0</v>
      </c>
      <c r="Q171" s="18">
        <f t="shared" si="191"/>
        <v>0</v>
      </c>
      <c r="R171" s="18">
        <f t="shared" si="192"/>
        <v>0</v>
      </c>
      <c r="S171" s="18">
        <f t="shared" si="193"/>
        <v>0</v>
      </c>
      <c r="T171" s="18">
        <f t="shared" si="194"/>
        <v>0</v>
      </c>
      <c r="U171" s="18">
        <f t="shared" si="195"/>
        <v>0</v>
      </c>
      <c r="V171" s="18">
        <f t="shared" si="196"/>
        <v>0</v>
      </c>
      <c r="W171" s="18">
        <f t="shared" si="197"/>
        <v>0</v>
      </c>
      <c r="X171" s="18">
        <f t="shared" si="198"/>
        <v>0</v>
      </c>
      <c r="Y171" s="18">
        <f t="shared" si="199"/>
        <v>0</v>
      </c>
      <c r="Z171" s="18">
        <f t="shared" si="200"/>
        <v>0</v>
      </c>
      <c r="AA171" s="18">
        <f t="shared" si="201"/>
        <v>0</v>
      </c>
      <c r="AB171" s="18">
        <f t="shared" si="202"/>
        <v>0</v>
      </c>
      <c r="AC171" s="18">
        <f t="shared" si="203"/>
        <v>0</v>
      </c>
      <c r="AD171" s="18">
        <f t="shared" si="204"/>
        <v>0</v>
      </c>
      <c r="AE171" s="18">
        <f t="shared" si="205"/>
        <v>0</v>
      </c>
      <c r="AF171" s="18">
        <f t="shared" si="206"/>
        <v>0</v>
      </c>
      <c r="AG171" s="18">
        <f t="shared" si="207"/>
        <v>0</v>
      </c>
      <c r="AH171" s="18">
        <f t="shared" si="208"/>
        <v>0</v>
      </c>
      <c r="AI171" s="18">
        <f t="shared" si="209"/>
        <v>0</v>
      </c>
      <c r="AJ171" s="18">
        <f t="shared" si="210"/>
        <v>0</v>
      </c>
      <c r="AK171" s="18">
        <f t="shared" si="211"/>
        <v>0</v>
      </c>
      <c r="AL171" s="18">
        <f t="shared" si="212"/>
        <v>0</v>
      </c>
      <c r="AM171" s="18">
        <f t="shared" si="213"/>
        <v>0</v>
      </c>
      <c r="AN171" s="18">
        <f t="shared" si="214"/>
        <v>0</v>
      </c>
      <c r="AO171" s="18">
        <f t="shared" si="215"/>
        <v>0</v>
      </c>
      <c r="AP171" s="18">
        <f t="shared" si="216"/>
        <v>0</v>
      </c>
      <c r="AQ171" s="18">
        <f t="shared" si="217"/>
        <v>0</v>
      </c>
      <c r="AR171" s="18">
        <f t="shared" si="218"/>
        <v>0</v>
      </c>
      <c r="AS171" s="18">
        <f t="shared" si="219"/>
        <v>0</v>
      </c>
      <c r="AT171" s="18">
        <f t="shared" si="220"/>
        <v>0</v>
      </c>
      <c r="AU171" s="18">
        <f t="shared" si="221"/>
        <v>0</v>
      </c>
      <c r="AV171" s="18">
        <f t="shared" si="222"/>
        <v>0</v>
      </c>
      <c r="AW171" s="18">
        <f t="shared" si="223"/>
        <v>0</v>
      </c>
      <c r="AX171" s="18">
        <f t="shared" si="224"/>
        <v>0</v>
      </c>
      <c r="AY171" s="18">
        <f t="shared" si="225"/>
        <v>0</v>
      </c>
      <c r="AZ171" s="18">
        <f t="shared" si="226"/>
        <v>0</v>
      </c>
      <c r="BA171" s="18">
        <f t="shared" si="227"/>
        <v>0</v>
      </c>
      <c r="BB171" s="18">
        <f t="shared" si="228"/>
        <v>0</v>
      </c>
      <c r="BC171" s="18">
        <f t="shared" si="229"/>
        <v>0</v>
      </c>
      <c r="BD171" s="18">
        <f t="shared" si="230"/>
        <v>0</v>
      </c>
      <c r="BE171" s="18">
        <f t="shared" si="231"/>
        <v>0</v>
      </c>
      <c r="BF171" s="18">
        <f t="shared" si="232"/>
        <v>0</v>
      </c>
      <c r="BG171" s="18">
        <f t="shared" si="233"/>
        <v>0</v>
      </c>
      <c r="BH171" s="18">
        <f t="shared" si="234"/>
        <v>0</v>
      </c>
      <c r="BI171" s="18">
        <f t="shared" si="235"/>
        <v>0</v>
      </c>
      <c r="BJ171" s="18">
        <f t="shared" si="236"/>
        <v>0</v>
      </c>
      <c r="BK171" s="18">
        <f t="shared" si="237"/>
        <v>0</v>
      </c>
      <c r="BL171" s="18">
        <f t="shared" si="238"/>
        <v>0</v>
      </c>
      <c r="BM171" s="18">
        <f t="shared" si="239"/>
        <v>0</v>
      </c>
      <c r="BN171" s="18">
        <f t="shared" si="240"/>
        <v>0</v>
      </c>
      <c r="BO171" s="18">
        <f t="shared" si="241"/>
        <v>0</v>
      </c>
      <c r="BP171" s="18">
        <f t="shared" si="242"/>
        <v>0</v>
      </c>
      <c r="BQ171" s="18">
        <f t="shared" si="243"/>
        <v>0</v>
      </c>
      <c r="BR171" s="18">
        <f t="shared" si="244"/>
        <v>0</v>
      </c>
      <c r="BS171" s="18">
        <f t="shared" si="245"/>
        <v>0</v>
      </c>
      <c r="BT171" s="18">
        <f t="shared" si="246"/>
        <v>0</v>
      </c>
      <c r="BU171" s="18">
        <f t="shared" si="247"/>
        <v>0</v>
      </c>
      <c r="BV171" s="18">
        <f t="shared" si="248"/>
        <v>0</v>
      </c>
      <c r="BW171" s="18">
        <f t="shared" si="249"/>
        <v>0</v>
      </c>
      <c r="BX171" s="18">
        <f t="shared" si="250"/>
        <v>0</v>
      </c>
      <c r="BY171" s="18">
        <f t="shared" si="251"/>
        <v>0</v>
      </c>
      <c r="BZ171" s="18">
        <f t="shared" si="252"/>
        <v>0</v>
      </c>
      <c r="CA171" s="18">
        <f t="shared" si="253"/>
        <v>0</v>
      </c>
      <c r="CB171" s="18">
        <f t="shared" si="254"/>
        <v>0</v>
      </c>
      <c r="CC171" s="18">
        <f t="shared" si="255"/>
        <v>0</v>
      </c>
      <c r="CD171" s="18">
        <f t="shared" si="256"/>
        <v>0</v>
      </c>
      <c r="CE171" s="18">
        <f t="shared" si="257"/>
        <v>0</v>
      </c>
      <c r="CF171" s="18">
        <f t="shared" si="258"/>
        <v>0</v>
      </c>
      <c r="CG171" s="18">
        <f t="shared" si="259"/>
        <v>0</v>
      </c>
      <c r="CH171" s="18">
        <f t="shared" si="260"/>
        <v>0</v>
      </c>
      <c r="CI171" s="18">
        <f t="shared" si="261"/>
        <v>0</v>
      </c>
      <c r="CJ171" s="18">
        <f t="shared" si="262"/>
        <v>0</v>
      </c>
    </row>
    <row r="172" spans="1:88" x14ac:dyDescent="0.3">
      <c r="A172" s="1">
        <v>44078</v>
      </c>
      <c r="B172">
        <v>38357.18</v>
      </c>
      <c r="C172">
        <f>Table1[[#This Row],[Close]]-0.001*Table1[[#This Row],[Close]]</f>
        <v>38318.822820000001</v>
      </c>
      <c r="D172">
        <f>Table1[[#This Row],[Close]]+0.001*Table1[[#This Row],[Close]]</f>
        <v>38395.537179999999</v>
      </c>
      <c r="E172" t="str">
        <f>IF(Table1[[#This Row],[Close]]&gt;D171,"UP",IF(Table1[[#This Row],[Close]]&lt;C171,"Down","Constant"))</f>
        <v>Down</v>
      </c>
      <c r="F172" s="3">
        <f>IF(Table1[[#This Row],[Column1]]="Up",1,IF(Table1[[#This Row],[Column1]]="Down",-1,0))</f>
        <v>-1</v>
      </c>
      <c r="G172">
        <f t="shared" si="181"/>
        <v>0</v>
      </c>
      <c r="H172" s="18">
        <f t="shared" si="182"/>
        <v>0</v>
      </c>
      <c r="I172" s="18">
        <f t="shared" si="183"/>
        <v>0</v>
      </c>
      <c r="J172" s="18">
        <f t="shared" si="184"/>
        <v>0</v>
      </c>
      <c r="K172" s="18">
        <f t="shared" si="185"/>
        <v>0</v>
      </c>
      <c r="L172" s="18">
        <f t="shared" si="186"/>
        <v>0</v>
      </c>
      <c r="M172" s="18">
        <f t="shared" si="187"/>
        <v>0</v>
      </c>
      <c r="N172" s="18">
        <f t="shared" si="188"/>
        <v>0</v>
      </c>
      <c r="O172" s="18">
        <f t="shared" si="189"/>
        <v>0</v>
      </c>
      <c r="P172" s="18">
        <f t="shared" si="190"/>
        <v>0</v>
      </c>
      <c r="Q172" s="18">
        <f t="shared" si="191"/>
        <v>1</v>
      </c>
      <c r="R172" s="18">
        <f t="shared" si="192"/>
        <v>0</v>
      </c>
      <c r="S172" s="18">
        <f t="shared" si="193"/>
        <v>0</v>
      </c>
      <c r="T172" s="18">
        <f t="shared" si="194"/>
        <v>0</v>
      </c>
      <c r="U172" s="18">
        <f t="shared" si="195"/>
        <v>0</v>
      </c>
      <c r="V172" s="18">
        <f t="shared" si="196"/>
        <v>0</v>
      </c>
      <c r="W172" s="18">
        <f t="shared" si="197"/>
        <v>0</v>
      </c>
      <c r="X172" s="18">
        <f t="shared" si="198"/>
        <v>0</v>
      </c>
      <c r="Y172" s="18">
        <f t="shared" si="199"/>
        <v>0</v>
      </c>
      <c r="Z172" s="18">
        <f t="shared" si="200"/>
        <v>0</v>
      </c>
      <c r="AA172" s="18">
        <f t="shared" si="201"/>
        <v>0</v>
      </c>
      <c r="AB172" s="18">
        <f t="shared" si="202"/>
        <v>0</v>
      </c>
      <c r="AC172" s="18">
        <f t="shared" si="203"/>
        <v>0</v>
      </c>
      <c r="AD172" s="18">
        <f t="shared" si="204"/>
        <v>0</v>
      </c>
      <c r="AE172" s="18">
        <f t="shared" si="205"/>
        <v>0</v>
      </c>
      <c r="AF172" s="18">
        <f t="shared" si="206"/>
        <v>0</v>
      </c>
      <c r="AG172" s="18">
        <f t="shared" si="207"/>
        <v>0</v>
      </c>
      <c r="AH172" s="18">
        <f t="shared" si="208"/>
        <v>0</v>
      </c>
      <c r="AI172" s="18">
        <f t="shared" si="209"/>
        <v>0</v>
      </c>
      <c r="AJ172" s="18">
        <f t="shared" si="210"/>
        <v>0</v>
      </c>
      <c r="AK172" s="18">
        <f t="shared" si="211"/>
        <v>0</v>
      </c>
      <c r="AL172" s="18">
        <f t="shared" si="212"/>
        <v>0</v>
      </c>
      <c r="AM172" s="18">
        <f t="shared" si="213"/>
        <v>0</v>
      </c>
      <c r="AN172" s="18">
        <f t="shared" si="214"/>
        <v>0</v>
      </c>
      <c r="AO172" s="18">
        <f t="shared" si="215"/>
        <v>0</v>
      </c>
      <c r="AP172" s="18">
        <f t="shared" si="216"/>
        <v>0</v>
      </c>
      <c r="AQ172" s="18">
        <f t="shared" si="217"/>
        <v>0</v>
      </c>
      <c r="AR172" s="18">
        <f t="shared" si="218"/>
        <v>0</v>
      </c>
      <c r="AS172" s="18">
        <f t="shared" si="219"/>
        <v>0</v>
      </c>
      <c r="AT172" s="18">
        <f t="shared" si="220"/>
        <v>0</v>
      </c>
      <c r="AU172" s="18">
        <f t="shared" si="221"/>
        <v>0</v>
      </c>
      <c r="AV172" s="18">
        <f t="shared" si="222"/>
        <v>0</v>
      </c>
      <c r="AW172" s="18">
        <f t="shared" si="223"/>
        <v>0</v>
      </c>
      <c r="AX172" s="18">
        <f t="shared" si="224"/>
        <v>0</v>
      </c>
      <c r="AY172" s="18">
        <f t="shared" si="225"/>
        <v>0</v>
      </c>
      <c r="AZ172" s="18">
        <f t="shared" si="226"/>
        <v>0</v>
      </c>
      <c r="BA172" s="18">
        <f t="shared" si="227"/>
        <v>0</v>
      </c>
      <c r="BB172" s="18">
        <f t="shared" si="228"/>
        <v>0</v>
      </c>
      <c r="BC172" s="18">
        <f t="shared" si="229"/>
        <v>0</v>
      </c>
      <c r="BD172" s="18">
        <f t="shared" si="230"/>
        <v>0</v>
      </c>
      <c r="BE172" s="18">
        <f t="shared" si="231"/>
        <v>0</v>
      </c>
      <c r="BF172" s="18">
        <f t="shared" si="232"/>
        <v>0</v>
      </c>
      <c r="BG172" s="18">
        <f t="shared" si="233"/>
        <v>0</v>
      </c>
      <c r="BH172" s="18">
        <f t="shared" si="234"/>
        <v>0</v>
      </c>
      <c r="BI172" s="18">
        <f t="shared" si="235"/>
        <v>0</v>
      </c>
      <c r="BJ172" s="18">
        <f t="shared" si="236"/>
        <v>0</v>
      </c>
      <c r="BK172" s="18">
        <f t="shared" si="237"/>
        <v>0</v>
      </c>
      <c r="BL172" s="18">
        <f t="shared" si="238"/>
        <v>0</v>
      </c>
      <c r="BM172" s="18">
        <f t="shared" si="239"/>
        <v>0</v>
      </c>
      <c r="BN172" s="18">
        <f t="shared" si="240"/>
        <v>0</v>
      </c>
      <c r="BO172" s="18">
        <f t="shared" si="241"/>
        <v>0</v>
      </c>
      <c r="BP172" s="18">
        <f t="shared" si="242"/>
        <v>0</v>
      </c>
      <c r="BQ172" s="18">
        <f t="shared" si="243"/>
        <v>0</v>
      </c>
      <c r="BR172" s="18">
        <f t="shared" si="244"/>
        <v>0</v>
      </c>
      <c r="BS172" s="18">
        <f t="shared" si="245"/>
        <v>0</v>
      </c>
      <c r="BT172" s="18">
        <f t="shared" si="246"/>
        <v>0</v>
      </c>
      <c r="BU172" s="18">
        <f t="shared" si="247"/>
        <v>0</v>
      </c>
      <c r="BV172" s="18">
        <f t="shared" si="248"/>
        <v>0</v>
      </c>
      <c r="BW172" s="18">
        <f t="shared" si="249"/>
        <v>0</v>
      </c>
      <c r="BX172" s="18">
        <f t="shared" si="250"/>
        <v>0</v>
      </c>
      <c r="BY172" s="18">
        <f t="shared" si="251"/>
        <v>0</v>
      </c>
      <c r="BZ172" s="18">
        <f t="shared" si="252"/>
        <v>0</v>
      </c>
      <c r="CA172" s="18">
        <f t="shared" si="253"/>
        <v>0</v>
      </c>
      <c r="CB172" s="18">
        <f t="shared" si="254"/>
        <v>0</v>
      </c>
      <c r="CC172" s="18">
        <f t="shared" si="255"/>
        <v>0</v>
      </c>
      <c r="CD172" s="18">
        <f t="shared" si="256"/>
        <v>0</v>
      </c>
      <c r="CE172" s="18">
        <f t="shared" si="257"/>
        <v>0</v>
      </c>
      <c r="CF172" s="18">
        <f t="shared" si="258"/>
        <v>0</v>
      </c>
      <c r="CG172" s="18">
        <f t="shared" si="259"/>
        <v>0</v>
      </c>
      <c r="CH172" s="18">
        <f t="shared" si="260"/>
        <v>0</v>
      </c>
      <c r="CI172" s="18">
        <f t="shared" si="261"/>
        <v>0</v>
      </c>
      <c r="CJ172" s="18">
        <f t="shared" si="262"/>
        <v>0</v>
      </c>
    </row>
    <row r="173" spans="1:88" x14ac:dyDescent="0.3">
      <c r="A173" s="1">
        <v>44081</v>
      </c>
      <c r="B173">
        <v>38417.230000000003</v>
      </c>
      <c r="C173">
        <f>Table1[[#This Row],[Close]]-0.001*Table1[[#This Row],[Close]]</f>
        <v>38378.812770000004</v>
      </c>
      <c r="D173">
        <f>Table1[[#This Row],[Close]]+0.001*Table1[[#This Row],[Close]]</f>
        <v>38455.647230000002</v>
      </c>
      <c r="E173" t="str">
        <f>IF(Table1[[#This Row],[Close]]&gt;D172,"UP",IF(Table1[[#This Row],[Close]]&lt;C172,"Down","Constant"))</f>
        <v>UP</v>
      </c>
      <c r="F173" s="3">
        <f>IF(Table1[[#This Row],[Column1]]="Up",1,IF(Table1[[#This Row],[Column1]]="Down",-1,0))</f>
        <v>1</v>
      </c>
      <c r="G173">
        <f t="shared" si="181"/>
        <v>0</v>
      </c>
      <c r="H173" s="18">
        <f t="shared" si="182"/>
        <v>0</v>
      </c>
      <c r="I173" s="18">
        <f t="shared" si="183"/>
        <v>0</v>
      </c>
      <c r="J173" s="18">
        <f t="shared" si="184"/>
        <v>0</v>
      </c>
      <c r="K173" s="18">
        <f t="shared" si="185"/>
        <v>0</v>
      </c>
      <c r="L173" s="18">
        <f t="shared" si="186"/>
        <v>0</v>
      </c>
      <c r="M173" s="18">
        <f t="shared" si="187"/>
        <v>0</v>
      </c>
      <c r="N173" s="18">
        <f t="shared" si="188"/>
        <v>0</v>
      </c>
      <c r="O173" s="18">
        <f t="shared" si="189"/>
        <v>0</v>
      </c>
      <c r="P173" s="18">
        <f t="shared" si="190"/>
        <v>0</v>
      </c>
      <c r="Q173" s="18">
        <f t="shared" si="191"/>
        <v>0</v>
      </c>
      <c r="R173" s="18">
        <f t="shared" si="192"/>
        <v>0</v>
      </c>
      <c r="S173" s="18">
        <f t="shared" si="193"/>
        <v>0</v>
      </c>
      <c r="T173" s="18">
        <f t="shared" si="194"/>
        <v>0</v>
      </c>
      <c r="U173" s="18">
        <f t="shared" si="195"/>
        <v>0</v>
      </c>
      <c r="V173" s="18">
        <f t="shared" si="196"/>
        <v>0</v>
      </c>
      <c r="W173" s="18">
        <f t="shared" si="197"/>
        <v>0</v>
      </c>
      <c r="X173" s="18">
        <f t="shared" si="198"/>
        <v>0</v>
      </c>
      <c r="Y173" s="18">
        <f t="shared" si="199"/>
        <v>1</v>
      </c>
      <c r="Z173" s="18">
        <f t="shared" si="200"/>
        <v>0</v>
      </c>
      <c r="AA173" s="18">
        <f t="shared" si="201"/>
        <v>0</v>
      </c>
      <c r="AB173" s="18">
        <f t="shared" si="202"/>
        <v>0</v>
      </c>
      <c r="AC173" s="18">
        <f t="shared" si="203"/>
        <v>0</v>
      </c>
      <c r="AD173" s="18">
        <f t="shared" si="204"/>
        <v>0</v>
      </c>
      <c r="AE173" s="18">
        <f t="shared" si="205"/>
        <v>0</v>
      </c>
      <c r="AF173" s="18">
        <f t="shared" si="206"/>
        <v>0</v>
      </c>
      <c r="AG173" s="18">
        <f t="shared" si="207"/>
        <v>0</v>
      </c>
      <c r="AH173" s="18">
        <f t="shared" si="208"/>
        <v>0</v>
      </c>
      <c r="AI173" s="18">
        <f t="shared" si="209"/>
        <v>0</v>
      </c>
      <c r="AJ173" s="18">
        <f t="shared" si="210"/>
        <v>0</v>
      </c>
      <c r="AK173" s="18">
        <f t="shared" si="211"/>
        <v>0</v>
      </c>
      <c r="AL173" s="18">
        <f t="shared" si="212"/>
        <v>0</v>
      </c>
      <c r="AM173" s="18">
        <f t="shared" si="213"/>
        <v>0</v>
      </c>
      <c r="AN173" s="18">
        <f t="shared" si="214"/>
        <v>0</v>
      </c>
      <c r="AO173" s="18">
        <f t="shared" si="215"/>
        <v>0</v>
      </c>
      <c r="AP173" s="18">
        <f t="shared" si="216"/>
        <v>0</v>
      </c>
      <c r="AQ173" s="18">
        <f t="shared" si="217"/>
        <v>0</v>
      </c>
      <c r="AR173" s="18">
        <f t="shared" si="218"/>
        <v>0</v>
      </c>
      <c r="AS173" s="18">
        <f t="shared" si="219"/>
        <v>0</v>
      </c>
      <c r="AT173" s="18">
        <f t="shared" si="220"/>
        <v>0</v>
      </c>
      <c r="AU173" s="18">
        <f t="shared" si="221"/>
        <v>0</v>
      </c>
      <c r="AV173" s="18">
        <f t="shared" si="222"/>
        <v>0</v>
      </c>
      <c r="AW173" s="18">
        <f t="shared" si="223"/>
        <v>0</v>
      </c>
      <c r="AX173" s="18">
        <f t="shared" si="224"/>
        <v>0</v>
      </c>
      <c r="AY173" s="18">
        <f t="shared" si="225"/>
        <v>0</v>
      </c>
      <c r="AZ173" s="18">
        <f t="shared" si="226"/>
        <v>0</v>
      </c>
      <c r="BA173" s="18">
        <f t="shared" si="227"/>
        <v>0</v>
      </c>
      <c r="BB173" s="18">
        <f t="shared" si="228"/>
        <v>0</v>
      </c>
      <c r="BC173" s="18">
        <f t="shared" si="229"/>
        <v>0</v>
      </c>
      <c r="BD173" s="18">
        <f t="shared" si="230"/>
        <v>0</v>
      </c>
      <c r="BE173" s="18">
        <f t="shared" si="231"/>
        <v>0</v>
      </c>
      <c r="BF173" s="18">
        <f t="shared" si="232"/>
        <v>0</v>
      </c>
      <c r="BG173" s="18">
        <f t="shared" si="233"/>
        <v>0</v>
      </c>
      <c r="BH173" s="18">
        <f t="shared" si="234"/>
        <v>0</v>
      </c>
      <c r="BI173" s="18">
        <f t="shared" si="235"/>
        <v>0</v>
      </c>
      <c r="BJ173" s="18">
        <f t="shared" si="236"/>
        <v>0</v>
      </c>
      <c r="BK173" s="18">
        <f t="shared" si="237"/>
        <v>0</v>
      </c>
      <c r="BL173" s="18">
        <f t="shared" si="238"/>
        <v>0</v>
      </c>
      <c r="BM173" s="18">
        <f t="shared" si="239"/>
        <v>0</v>
      </c>
      <c r="BN173" s="18">
        <f t="shared" si="240"/>
        <v>0</v>
      </c>
      <c r="BO173" s="18">
        <f t="shared" si="241"/>
        <v>0</v>
      </c>
      <c r="BP173" s="18">
        <f t="shared" si="242"/>
        <v>0</v>
      </c>
      <c r="BQ173" s="18">
        <f t="shared" si="243"/>
        <v>0</v>
      </c>
      <c r="BR173" s="18">
        <f t="shared" si="244"/>
        <v>0</v>
      </c>
      <c r="BS173" s="18">
        <f t="shared" si="245"/>
        <v>0</v>
      </c>
      <c r="BT173" s="18">
        <f t="shared" si="246"/>
        <v>0</v>
      </c>
      <c r="BU173" s="18">
        <f t="shared" si="247"/>
        <v>0</v>
      </c>
      <c r="BV173" s="18">
        <f t="shared" si="248"/>
        <v>0</v>
      </c>
      <c r="BW173" s="18">
        <f t="shared" si="249"/>
        <v>0</v>
      </c>
      <c r="BX173" s="18">
        <f t="shared" si="250"/>
        <v>0</v>
      </c>
      <c r="BY173" s="18">
        <f t="shared" si="251"/>
        <v>0</v>
      </c>
      <c r="BZ173" s="18">
        <f t="shared" si="252"/>
        <v>0</v>
      </c>
      <c r="CA173" s="18">
        <f t="shared" si="253"/>
        <v>0</v>
      </c>
      <c r="CB173" s="18">
        <f t="shared" si="254"/>
        <v>0</v>
      </c>
      <c r="CC173" s="18">
        <f t="shared" si="255"/>
        <v>0</v>
      </c>
      <c r="CD173" s="18">
        <f t="shared" si="256"/>
        <v>0</v>
      </c>
      <c r="CE173" s="18">
        <f t="shared" si="257"/>
        <v>0</v>
      </c>
      <c r="CF173" s="18">
        <f t="shared" si="258"/>
        <v>0</v>
      </c>
      <c r="CG173" s="18">
        <f t="shared" si="259"/>
        <v>0</v>
      </c>
      <c r="CH173" s="18">
        <f t="shared" si="260"/>
        <v>0</v>
      </c>
      <c r="CI173" s="18">
        <f t="shared" si="261"/>
        <v>0</v>
      </c>
      <c r="CJ173" s="18">
        <f t="shared" si="262"/>
        <v>0</v>
      </c>
    </row>
    <row r="174" spans="1:88" x14ac:dyDescent="0.3">
      <c r="A174" s="1">
        <v>44082</v>
      </c>
      <c r="B174">
        <v>38365.35</v>
      </c>
      <c r="C174">
        <f>Table1[[#This Row],[Close]]-0.001*Table1[[#This Row],[Close]]</f>
        <v>38326.984649999999</v>
      </c>
      <c r="D174">
        <f>Table1[[#This Row],[Close]]+0.001*Table1[[#This Row],[Close]]</f>
        <v>38403.715349999999</v>
      </c>
      <c r="E174" t="str">
        <f>IF(Table1[[#This Row],[Close]]&gt;D173,"UP",IF(Table1[[#This Row],[Close]]&lt;C173,"Down","Constant"))</f>
        <v>Down</v>
      </c>
      <c r="F174" s="3">
        <f>IF(Table1[[#This Row],[Column1]]="Up",1,IF(Table1[[#This Row],[Column1]]="Down",-1,0))</f>
        <v>-1</v>
      </c>
      <c r="G174">
        <f t="shared" si="181"/>
        <v>0</v>
      </c>
      <c r="H174" s="18">
        <f t="shared" si="182"/>
        <v>0</v>
      </c>
      <c r="I174" s="18">
        <f t="shared" si="183"/>
        <v>0</v>
      </c>
      <c r="J174" s="18">
        <f t="shared" si="184"/>
        <v>0</v>
      </c>
      <c r="K174" s="18">
        <f t="shared" si="185"/>
        <v>0</v>
      </c>
      <c r="L174" s="18">
        <f t="shared" si="186"/>
        <v>0</v>
      </c>
      <c r="M174" s="18">
        <f t="shared" si="187"/>
        <v>0</v>
      </c>
      <c r="N174" s="18">
        <f t="shared" si="188"/>
        <v>0</v>
      </c>
      <c r="O174" s="18">
        <f t="shared" si="189"/>
        <v>0</v>
      </c>
      <c r="P174" s="18">
        <f t="shared" si="190"/>
        <v>0</v>
      </c>
      <c r="Q174" s="18">
        <f t="shared" si="191"/>
        <v>0</v>
      </c>
      <c r="R174" s="18">
        <f t="shared" si="192"/>
        <v>0</v>
      </c>
      <c r="S174" s="18">
        <f t="shared" si="193"/>
        <v>0</v>
      </c>
      <c r="T174" s="18">
        <f t="shared" si="194"/>
        <v>1</v>
      </c>
      <c r="U174" s="18">
        <f t="shared" si="195"/>
        <v>0</v>
      </c>
      <c r="V174" s="18">
        <f t="shared" si="196"/>
        <v>0</v>
      </c>
      <c r="W174" s="18">
        <f t="shared" si="197"/>
        <v>0</v>
      </c>
      <c r="X174" s="18">
        <f t="shared" si="198"/>
        <v>0</v>
      </c>
      <c r="Y174" s="18">
        <f t="shared" si="199"/>
        <v>0</v>
      </c>
      <c r="Z174" s="18">
        <f t="shared" si="200"/>
        <v>0</v>
      </c>
      <c r="AA174" s="18">
        <f t="shared" si="201"/>
        <v>0</v>
      </c>
      <c r="AB174" s="18">
        <f t="shared" si="202"/>
        <v>0</v>
      </c>
      <c r="AC174" s="18">
        <f t="shared" si="203"/>
        <v>0</v>
      </c>
      <c r="AD174" s="18">
        <f t="shared" si="204"/>
        <v>0</v>
      </c>
      <c r="AE174" s="18">
        <f t="shared" si="205"/>
        <v>0</v>
      </c>
      <c r="AF174" s="18">
        <f t="shared" si="206"/>
        <v>0</v>
      </c>
      <c r="AG174" s="18">
        <f t="shared" si="207"/>
        <v>0</v>
      </c>
      <c r="AH174" s="18">
        <f t="shared" si="208"/>
        <v>0</v>
      </c>
      <c r="AI174" s="18">
        <f t="shared" si="209"/>
        <v>0</v>
      </c>
      <c r="AJ174" s="18">
        <f t="shared" si="210"/>
        <v>0</v>
      </c>
      <c r="AK174" s="18">
        <f t="shared" si="211"/>
        <v>0</v>
      </c>
      <c r="AL174" s="18">
        <f t="shared" si="212"/>
        <v>0</v>
      </c>
      <c r="AM174" s="18">
        <f t="shared" si="213"/>
        <v>0</v>
      </c>
      <c r="AN174" s="18">
        <f t="shared" si="214"/>
        <v>0</v>
      </c>
      <c r="AO174" s="18">
        <f t="shared" si="215"/>
        <v>0</v>
      </c>
      <c r="AP174" s="18">
        <f t="shared" si="216"/>
        <v>0</v>
      </c>
      <c r="AQ174" s="18">
        <f t="shared" si="217"/>
        <v>0</v>
      </c>
      <c r="AR174" s="18">
        <f t="shared" si="218"/>
        <v>0</v>
      </c>
      <c r="AS174" s="18">
        <f t="shared" si="219"/>
        <v>0</v>
      </c>
      <c r="AT174" s="18">
        <f t="shared" si="220"/>
        <v>0</v>
      </c>
      <c r="AU174" s="18">
        <f t="shared" si="221"/>
        <v>0</v>
      </c>
      <c r="AV174" s="18">
        <f t="shared" si="222"/>
        <v>0</v>
      </c>
      <c r="AW174" s="18">
        <f t="shared" si="223"/>
        <v>0</v>
      </c>
      <c r="AX174" s="18">
        <f t="shared" si="224"/>
        <v>0</v>
      </c>
      <c r="AY174" s="18">
        <f t="shared" si="225"/>
        <v>0</v>
      </c>
      <c r="AZ174" s="18">
        <f t="shared" si="226"/>
        <v>0</v>
      </c>
      <c r="BA174" s="18">
        <f t="shared" si="227"/>
        <v>0</v>
      </c>
      <c r="BB174" s="18">
        <f t="shared" si="228"/>
        <v>0</v>
      </c>
      <c r="BC174" s="18">
        <f t="shared" si="229"/>
        <v>0</v>
      </c>
      <c r="BD174" s="18">
        <f t="shared" si="230"/>
        <v>0</v>
      </c>
      <c r="BE174" s="18">
        <f t="shared" si="231"/>
        <v>0</v>
      </c>
      <c r="BF174" s="18">
        <f t="shared" si="232"/>
        <v>0</v>
      </c>
      <c r="BG174" s="18">
        <f t="shared" si="233"/>
        <v>0</v>
      </c>
      <c r="BH174" s="18">
        <f t="shared" si="234"/>
        <v>0</v>
      </c>
      <c r="BI174" s="18">
        <f t="shared" si="235"/>
        <v>0</v>
      </c>
      <c r="BJ174" s="18">
        <f t="shared" si="236"/>
        <v>0</v>
      </c>
      <c r="BK174" s="18">
        <f t="shared" si="237"/>
        <v>0</v>
      </c>
      <c r="BL174" s="18">
        <f t="shared" si="238"/>
        <v>0</v>
      </c>
      <c r="BM174" s="18">
        <f t="shared" si="239"/>
        <v>0</v>
      </c>
      <c r="BN174" s="18">
        <f t="shared" si="240"/>
        <v>0</v>
      </c>
      <c r="BO174" s="18">
        <f t="shared" si="241"/>
        <v>0</v>
      </c>
      <c r="BP174" s="18">
        <f t="shared" si="242"/>
        <v>0</v>
      </c>
      <c r="BQ174" s="18">
        <f t="shared" si="243"/>
        <v>0</v>
      </c>
      <c r="BR174" s="18">
        <f t="shared" si="244"/>
        <v>0</v>
      </c>
      <c r="BS174" s="18">
        <f t="shared" si="245"/>
        <v>0</v>
      </c>
      <c r="BT174" s="18">
        <f t="shared" si="246"/>
        <v>0</v>
      </c>
      <c r="BU174" s="18">
        <f t="shared" si="247"/>
        <v>0</v>
      </c>
      <c r="BV174" s="18">
        <f t="shared" si="248"/>
        <v>0</v>
      </c>
      <c r="BW174" s="18">
        <f t="shared" si="249"/>
        <v>0</v>
      </c>
      <c r="BX174" s="18">
        <f t="shared" si="250"/>
        <v>0</v>
      </c>
      <c r="BY174" s="18">
        <f t="shared" si="251"/>
        <v>0</v>
      </c>
      <c r="BZ174" s="18">
        <f t="shared" si="252"/>
        <v>0</v>
      </c>
      <c r="CA174" s="18">
        <f t="shared" si="253"/>
        <v>0</v>
      </c>
      <c r="CB174" s="18">
        <f t="shared" si="254"/>
        <v>0</v>
      </c>
      <c r="CC174" s="18">
        <f t="shared" si="255"/>
        <v>0</v>
      </c>
      <c r="CD174" s="18">
        <f t="shared" si="256"/>
        <v>0</v>
      </c>
      <c r="CE174" s="18">
        <f t="shared" si="257"/>
        <v>0</v>
      </c>
      <c r="CF174" s="18">
        <f t="shared" si="258"/>
        <v>0</v>
      </c>
      <c r="CG174" s="18">
        <f t="shared" si="259"/>
        <v>0</v>
      </c>
      <c r="CH174" s="18">
        <f t="shared" si="260"/>
        <v>0</v>
      </c>
      <c r="CI174" s="18">
        <f t="shared" si="261"/>
        <v>0</v>
      </c>
      <c r="CJ174" s="18">
        <f t="shared" si="262"/>
        <v>0</v>
      </c>
    </row>
    <row r="175" spans="1:88" x14ac:dyDescent="0.3">
      <c r="A175" s="1">
        <v>44083</v>
      </c>
      <c r="B175">
        <v>38193.919999999998</v>
      </c>
      <c r="C175">
        <f>Table1[[#This Row],[Close]]-0.001*Table1[[#This Row],[Close]]</f>
        <v>38155.72608</v>
      </c>
      <c r="D175">
        <f>Table1[[#This Row],[Close]]+0.001*Table1[[#This Row],[Close]]</f>
        <v>38232.113919999996</v>
      </c>
      <c r="E175" t="str">
        <f>IF(Table1[[#This Row],[Close]]&gt;D174,"UP",IF(Table1[[#This Row],[Close]]&lt;C174,"Down","Constant"))</f>
        <v>Down</v>
      </c>
      <c r="F175" s="3">
        <f>IF(Table1[[#This Row],[Column1]]="Up",1,IF(Table1[[#This Row],[Column1]]="Down",-1,0))</f>
        <v>-1</v>
      </c>
      <c r="G175">
        <f t="shared" si="181"/>
        <v>0</v>
      </c>
      <c r="H175" s="18">
        <f t="shared" si="182"/>
        <v>0</v>
      </c>
      <c r="I175" s="18">
        <f t="shared" si="183"/>
        <v>0</v>
      </c>
      <c r="J175" s="18">
        <f t="shared" si="184"/>
        <v>0</v>
      </c>
      <c r="K175" s="18">
        <f t="shared" si="185"/>
        <v>0</v>
      </c>
      <c r="L175" s="18">
        <f t="shared" si="186"/>
        <v>0</v>
      </c>
      <c r="M175" s="18">
        <f t="shared" si="187"/>
        <v>0</v>
      </c>
      <c r="N175" s="18">
        <f t="shared" si="188"/>
        <v>0</v>
      </c>
      <c r="O175" s="18">
        <f t="shared" si="189"/>
        <v>0</v>
      </c>
      <c r="P175" s="18">
        <f t="shared" si="190"/>
        <v>0</v>
      </c>
      <c r="Q175" s="18">
        <f t="shared" si="191"/>
        <v>0</v>
      </c>
      <c r="R175" s="18">
        <f t="shared" si="192"/>
        <v>0</v>
      </c>
      <c r="S175" s="18">
        <f t="shared" si="193"/>
        <v>0</v>
      </c>
      <c r="T175" s="18">
        <f t="shared" si="194"/>
        <v>0</v>
      </c>
      <c r="U175" s="18">
        <f t="shared" si="195"/>
        <v>0</v>
      </c>
      <c r="V175" s="18">
        <f t="shared" si="196"/>
        <v>0</v>
      </c>
      <c r="W175" s="18">
        <f t="shared" si="197"/>
        <v>0</v>
      </c>
      <c r="X175" s="18">
        <f t="shared" si="198"/>
        <v>0</v>
      </c>
      <c r="Y175" s="18">
        <f t="shared" si="199"/>
        <v>0</v>
      </c>
      <c r="Z175" s="18">
        <f t="shared" si="200"/>
        <v>0</v>
      </c>
      <c r="AA175" s="18">
        <f t="shared" si="201"/>
        <v>0</v>
      </c>
      <c r="AB175" s="18">
        <f t="shared" si="202"/>
        <v>0</v>
      </c>
      <c r="AC175" s="18">
        <f t="shared" si="203"/>
        <v>1</v>
      </c>
      <c r="AD175" s="18">
        <f t="shared" si="204"/>
        <v>0</v>
      </c>
      <c r="AE175" s="18">
        <f t="shared" si="205"/>
        <v>0</v>
      </c>
      <c r="AF175" s="18">
        <f t="shared" si="206"/>
        <v>0</v>
      </c>
      <c r="AG175" s="18">
        <f t="shared" si="207"/>
        <v>0</v>
      </c>
      <c r="AH175" s="18">
        <f t="shared" si="208"/>
        <v>0</v>
      </c>
      <c r="AI175" s="18">
        <f t="shared" si="209"/>
        <v>0</v>
      </c>
      <c r="AJ175" s="18">
        <f t="shared" si="210"/>
        <v>0</v>
      </c>
      <c r="AK175" s="18">
        <f t="shared" si="211"/>
        <v>0</v>
      </c>
      <c r="AL175" s="18">
        <f t="shared" si="212"/>
        <v>0</v>
      </c>
      <c r="AM175" s="18">
        <f t="shared" si="213"/>
        <v>0</v>
      </c>
      <c r="AN175" s="18">
        <f t="shared" si="214"/>
        <v>0</v>
      </c>
      <c r="AO175" s="18">
        <f t="shared" si="215"/>
        <v>0</v>
      </c>
      <c r="AP175" s="18">
        <f t="shared" si="216"/>
        <v>0</v>
      </c>
      <c r="AQ175" s="18">
        <f t="shared" si="217"/>
        <v>0</v>
      </c>
      <c r="AR175" s="18">
        <f t="shared" si="218"/>
        <v>0</v>
      </c>
      <c r="AS175" s="18">
        <f t="shared" si="219"/>
        <v>0</v>
      </c>
      <c r="AT175" s="18">
        <f t="shared" si="220"/>
        <v>0</v>
      </c>
      <c r="AU175" s="18">
        <f t="shared" si="221"/>
        <v>0</v>
      </c>
      <c r="AV175" s="18">
        <f t="shared" si="222"/>
        <v>0</v>
      </c>
      <c r="AW175" s="18">
        <f t="shared" si="223"/>
        <v>0</v>
      </c>
      <c r="AX175" s="18">
        <f t="shared" si="224"/>
        <v>0</v>
      </c>
      <c r="AY175" s="18">
        <f t="shared" si="225"/>
        <v>0</v>
      </c>
      <c r="AZ175" s="18">
        <f t="shared" si="226"/>
        <v>0</v>
      </c>
      <c r="BA175" s="18">
        <f t="shared" si="227"/>
        <v>0</v>
      </c>
      <c r="BB175" s="18">
        <f t="shared" si="228"/>
        <v>0</v>
      </c>
      <c r="BC175" s="18">
        <f t="shared" si="229"/>
        <v>0</v>
      </c>
      <c r="BD175" s="18">
        <f t="shared" si="230"/>
        <v>0</v>
      </c>
      <c r="BE175" s="18">
        <f t="shared" si="231"/>
        <v>0</v>
      </c>
      <c r="BF175" s="18">
        <f t="shared" si="232"/>
        <v>0</v>
      </c>
      <c r="BG175" s="18">
        <f t="shared" si="233"/>
        <v>0</v>
      </c>
      <c r="BH175" s="18">
        <f t="shared" si="234"/>
        <v>0</v>
      </c>
      <c r="BI175" s="18">
        <f t="shared" si="235"/>
        <v>0</v>
      </c>
      <c r="BJ175" s="18">
        <f t="shared" si="236"/>
        <v>0</v>
      </c>
      <c r="BK175" s="18">
        <f t="shared" si="237"/>
        <v>0</v>
      </c>
      <c r="BL175" s="18">
        <f t="shared" si="238"/>
        <v>0</v>
      </c>
      <c r="BM175" s="18">
        <f t="shared" si="239"/>
        <v>0</v>
      </c>
      <c r="BN175" s="18">
        <f t="shared" si="240"/>
        <v>0</v>
      </c>
      <c r="BO175" s="18">
        <f t="shared" si="241"/>
        <v>0</v>
      </c>
      <c r="BP175" s="18">
        <f t="shared" si="242"/>
        <v>0</v>
      </c>
      <c r="BQ175" s="18">
        <f t="shared" si="243"/>
        <v>0</v>
      </c>
      <c r="BR175" s="18">
        <f t="shared" si="244"/>
        <v>0</v>
      </c>
      <c r="BS175" s="18">
        <f t="shared" si="245"/>
        <v>0</v>
      </c>
      <c r="BT175" s="18">
        <f t="shared" si="246"/>
        <v>0</v>
      </c>
      <c r="BU175" s="18">
        <f t="shared" si="247"/>
        <v>0</v>
      </c>
      <c r="BV175" s="18">
        <f t="shared" si="248"/>
        <v>0</v>
      </c>
      <c r="BW175" s="18">
        <f t="shared" si="249"/>
        <v>0</v>
      </c>
      <c r="BX175" s="18">
        <f t="shared" si="250"/>
        <v>0</v>
      </c>
      <c r="BY175" s="18">
        <f t="shared" si="251"/>
        <v>0</v>
      </c>
      <c r="BZ175" s="18">
        <f t="shared" si="252"/>
        <v>0</v>
      </c>
      <c r="CA175" s="18">
        <f t="shared" si="253"/>
        <v>0</v>
      </c>
      <c r="CB175" s="18">
        <f t="shared" si="254"/>
        <v>0</v>
      </c>
      <c r="CC175" s="18">
        <f t="shared" si="255"/>
        <v>0</v>
      </c>
      <c r="CD175" s="18">
        <f t="shared" si="256"/>
        <v>0</v>
      </c>
      <c r="CE175" s="18">
        <f t="shared" si="257"/>
        <v>0</v>
      </c>
      <c r="CF175" s="18">
        <f t="shared" si="258"/>
        <v>0</v>
      </c>
      <c r="CG175" s="18">
        <f t="shared" si="259"/>
        <v>0</v>
      </c>
      <c r="CH175" s="18">
        <f t="shared" si="260"/>
        <v>0</v>
      </c>
      <c r="CI175" s="18">
        <f t="shared" si="261"/>
        <v>0</v>
      </c>
      <c r="CJ175" s="18">
        <f t="shared" si="262"/>
        <v>0</v>
      </c>
    </row>
    <row r="176" spans="1:88" x14ac:dyDescent="0.3">
      <c r="A176" s="1">
        <v>44084</v>
      </c>
      <c r="B176">
        <v>38840.32</v>
      </c>
      <c r="C176">
        <f>Table1[[#This Row],[Close]]-0.001*Table1[[#This Row],[Close]]</f>
        <v>38801.479679999997</v>
      </c>
      <c r="D176">
        <f>Table1[[#This Row],[Close]]+0.001*Table1[[#This Row],[Close]]</f>
        <v>38879.160320000003</v>
      </c>
      <c r="E176" t="str">
        <f>IF(Table1[[#This Row],[Close]]&gt;D175,"UP",IF(Table1[[#This Row],[Close]]&lt;C175,"Down","Constant"))</f>
        <v>UP</v>
      </c>
      <c r="F176" s="3">
        <f>IF(Table1[[#This Row],[Column1]]="Up",1,IF(Table1[[#This Row],[Column1]]="Down",-1,0))</f>
        <v>1</v>
      </c>
      <c r="G176">
        <f t="shared" si="181"/>
        <v>0</v>
      </c>
      <c r="H176" s="18">
        <f t="shared" si="182"/>
        <v>0</v>
      </c>
      <c r="I176" s="18">
        <f t="shared" si="183"/>
        <v>0</v>
      </c>
      <c r="J176" s="18">
        <f t="shared" si="184"/>
        <v>0</v>
      </c>
      <c r="K176" s="18">
        <f t="shared" si="185"/>
        <v>0</v>
      </c>
      <c r="L176" s="18">
        <f t="shared" si="186"/>
        <v>0</v>
      </c>
      <c r="M176" s="18">
        <f t="shared" si="187"/>
        <v>0</v>
      </c>
      <c r="N176" s="18">
        <f t="shared" si="188"/>
        <v>0</v>
      </c>
      <c r="O176" s="18">
        <f t="shared" si="189"/>
        <v>0</v>
      </c>
      <c r="P176" s="18">
        <f t="shared" si="190"/>
        <v>0</v>
      </c>
      <c r="Q176" s="18">
        <f t="shared" si="191"/>
        <v>0</v>
      </c>
      <c r="R176" s="18">
        <f t="shared" si="192"/>
        <v>0</v>
      </c>
      <c r="S176" s="18">
        <f t="shared" si="193"/>
        <v>0</v>
      </c>
      <c r="T176" s="18">
        <f t="shared" si="194"/>
        <v>0</v>
      </c>
      <c r="U176" s="18">
        <f t="shared" si="195"/>
        <v>0</v>
      </c>
      <c r="V176" s="18">
        <f t="shared" si="196"/>
        <v>0</v>
      </c>
      <c r="W176" s="18">
        <f t="shared" si="197"/>
        <v>0</v>
      </c>
      <c r="X176" s="18">
        <f t="shared" si="198"/>
        <v>0</v>
      </c>
      <c r="Y176" s="18">
        <f t="shared" si="199"/>
        <v>1</v>
      </c>
      <c r="Z176" s="18">
        <f t="shared" si="200"/>
        <v>0</v>
      </c>
      <c r="AA176" s="18">
        <f t="shared" si="201"/>
        <v>0</v>
      </c>
      <c r="AB176" s="18">
        <f t="shared" si="202"/>
        <v>0</v>
      </c>
      <c r="AC176" s="18">
        <f t="shared" si="203"/>
        <v>0</v>
      </c>
      <c r="AD176" s="18">
        <f t="shared" si="204"/>
        <v>0</v>
      </c>
      <c r="AE176" s="18">
        <f t="shared" si="205"/>
        <v>0</v>
      </c>
      <c r="AF176" s="18">
        <f t="shared" si="206"/>
        <v>0</v>
      </c>
      <c r="AG176" s="18">
        <f t="shared" si="207"/>
        <v>0</v>
      </c>
      <c r="AH176" s="18">
        <f t="shared" si="208"/>
        <v>0</v>
      </c>
      <c r="AI176" s="18">
        <f t="shared" si="209"/>
        <v>0</v>
      </c>
      <c r="AJ176" s="18">
        <f t="shared" si="210"/>
        <v>0</v>
      </c>
      <c r="AK176" s="18">
        <f t="shared" si="211"/>
        <v>0</v>
      </c>
      <c r="AL176" s="18">
        <f t="shared" si="212"/>
        <v>0</v>
      </c>
      <c r="AM176" s="18">
        <f t="shared" si="213"/>
        <v>0</v>
      </c>
      <c r="AN176" s="18">
        <f t="shared" si="214"/>
        <v>0</v>
      </c>
      <c r="AO176" s="18">
        <f t="shared" si="215"/>
        <v>0</v>
      </c>
      <c r="AP176" s="18">
        <f t="shared" si="216"/>
        <v>0</v>
      </c>
      <c r="AQ176" s="18">
        <f t="shared" si="217"/>
        <v>0</v>
      </c>
      <c r="AR176" s="18">
        <f t="shared" si="218"/>
        <v>0</v>
      </c>
      <c r="AS176" s="18">
        <f t="shared" si="219"/>
        <v>0</v>
      </c>
      <c r="AT176" s="18">
        <f t="shared" si="220"/>
        <v>0</v>
      </c>
      <c r="AU176" s="18">
        <f t="shared" si="221"/>
        <v>0</v>
      </c>
      <c r="AV176" s="18">
        <f t="shared" si="222"/>
        <v>0</v>
      </c>
      <c r="AW176" s="18">
        <f t="shared" si="223"/>
        <v>0</v>
      </c>
      <c r="AX176" s="18">
        <f t="shared" si="224"/>
        <v>0</v>
      </c>
      <c r="AY176" s="18">
        <f t="shared" si="225"/>
        <v>0</v>
      </c>
      <c r="AZ176" s="18">
        <f t="shared" si="226"/>
        <v>0</v>
      </c>
      <c r="BA176" s="18">
        <f t="shared" si="227"/>
        <v>0</v>
      </c>
      <c r="BB176" s="18">
        <f t="shared" si="228"/>
        <v>0</v>
      </c>
      <c r="BC176" s="18">
        <f t="shared" si="229"/>
        <v>0</v>
      </c>
      <c r="BD176" s="18">
        <f t="shared" si="230"/>
        <v>0</v>
      </c>
      <c r="BE176" s="18">
        <f t="shared" si="231"/>
        <v>0</v>
      </c>
      <c r="BF176" s="18">
        <f t="shared" si="232"/>
        <v>0</v>
      </c>
      <c r="BG176" s="18">
        <f t="shared" si="233"/>
        <v>0</v>
      </c>
      <c r="BH176" s="18">
        <f t="shared" si="234"/>
        <v>0</v>
      </c>
      <c r="BI176" s="18">
        <f t="shared" si="235"/>
        <v>0</v>
      </c>
      <c r="BJ176" s="18">
        <f t="shared" si="236"/>
        <v>0</v>
      </c>
      <c r="BK176" s="18">
        <f t="shared" si="237"/>
        <v>0</v>
      </c>
      <c r="BL176" s="18">
        <f t="shared" si="238"/>
        <v>0</v>
      </c>
      <c r="BM176" s="18">
        <f t="shared" si="239"/>
        <v>0</v>
      </c>
      <c r="BN176" s="18">
        <f t="shared" si="240"/>
        <v>0</v>
      </c>
      <c r="BO176" s="18">
        <f t="shared" si="241"/>
        <v>0</v>
      </c>
      <c r="BP176" s="18">
        <f t="shared" si="242"/>
        <v>0</v>
      </c>
      <c r="BQ176" s="18">
        <f t="shared" si="243"/>
        <v>0</v>
      </c>
      <c r="BR176" s="18">
        <f t="shared" si="244"/>
        <v>0</v>
      </c>
      <c r="BS176" s="18">
        <f t="shared" si="245"/>
        <v>0</v>
      </c>
      <c r="BT176" s="18">
        <f t="shared" si="246"/>
        <v>0</v>
      </c>
      <c r="BU176" s="18">
        <f t="shared" si="247"/>
        <v>0</v>
      </c>
      <c r="BV176" s="18">
        <f t="shared" si="248"/>
        <v>0</v>
      </c>
      <c r="BW176" s="18">
        <f t="shared" si="249"/>
        <v>0</v>
      </c>
      <c r="BX176" s="18">
        <f t="shared" si="250"/>
        <v>0</v>
      </c>
      <c r="BY176" s="18">
        <f t="shared" si="251"/>
        <v>0</v>
      </c>
      <c r="BZ176" s="18">
        <f t="shared" si="252"/>
        <v>0</v>
      </c>
      <c r="CA176" s="18">
        <f t="shared" si="253"/>
        <v>0</v>
      </c>
      <c r="CB176" s="18">
        <f t="shared" si="254"/>
        <v>0</v>
      </c>
      <c r="CC176" s="18">
        <f t="shared" si="255"/>
        <v>0</v>
      </c>
      <c r="CD176" s="18">
        <f t="shared" si="256"/>
        <v>0</v>
      </c>
      <c r="CE176" s="18">
        <f t="shared" si="257"/>
        <v>0</v>
      </c>
      <c r="CF176" s="18">
        <f t="shared" si="258"/>
        <v>0</v>
      </c>
      <c r="CG176" s="18">
        <f t="shared" si="259"/>
        <v>0</v>
      </c>
      <c r="CH176" s="18">
        <f t="shared" si="260"/>
        <v>0</v>
      </c>
      <c r="CI176" s="18">
        <f t="shared" si="261"/>
        <v>0</v>
      </c>
      <c r="CJ176" s="18">
        <f t="shared" si="262"/>
        <v>0</v>
      </c>
    </row>
    <row r="177" spans="1:88" x14ac:dyDescent="0.3">
      <c r="A177" s="1">
        <v>44085</v>
      </c>
      <c r="B177">
        <v>38854.550000000003</v>
      </c>
      <c r="C177">
        <f>Table1[[#This Row],[Close]]-0.001*Table1[[#This Row],[Close]]</f>
        <v>38815.695450000007</v>
      </c>
      <c r="D177">
        <f>Table1[[#This Row],[Close]]+0.001*Table1[[#This Row],[Close]]</f>
        <v>38893.404549999999</v>
      </c>
      <c r="E177" t="str">
        <f>IF(Table1[[#This Row],[Close]]&gt;D176,"UP",IF(Table1[[#This Row],[Close]]&lt;C176,"Down","Constant"))</f>
        <v>Constant</v>
      </c>
      <c r="F177" s="3">
        <f>IF(Table1[[#This Row],[Column1]]="Up",1,IF(Table1[[#This Row],[Column1]]="Down",-1,0))</f>
        <v>0</v>
      </c>
      <c r="G177">
        <f t="shared" si="181"/>
        <v>0</v>
      </c>
      <c r="H177" s="18">
        <f t="shared" si="182"/>
        <v>0</v>
      </c>
      <c r="I177" s="18">
        <f t="shared" si="183"/>
        <v>0</v>
      </c>
      <c r="J177" s="18">
        <f t="shared" si="184"/>
        <v>0</v>
      </c>
      <c r="K177" s="18">
        <f t="shared" si="185"/>
        <v>0</v>
      </c>
      <c r="L177" s="18">
        <f t="shared" si="186"/>
        <v>0</v>
      </c>
      <c r="M177" s="18">
        <f t="shared" si="187"/>
        <v>0</v>
      </c>
      <c r="N177" s="18">
        <f t="shared" si="188"/>
        <v>0</v>
      </c>
      <c r="O177" s="18">
        <f t="shared" si="189"/>
        <v>0</v>
      </c>
      <c r="P177" s="18">
        <f t="shared" si="190"/>
        <v>0</v>
      </c>
      <c r="Q177" s="18">
        <f t="shared" si="191"/>
        <v>0</v>
      </c>
      <c r="R177" s="18">
        <f t="shared" si="192"/>
        <v>0</v>
      </c>
      <c r="S177" s="18">
        <f t="shared" si="193"/>
        <v>0</v>
      </c>
      <c r="T177" s="18">
        <f t="shared" si="194"/>
        <v>0</v>
      </c>
      <c r="U177" s="18">
        <f t="shared" si="195"/>
        <v>1</v>
      </c>
      <c r="V177" s="18">
        <f t="shared" si="196"/>
        <v>0</v>
      </c>
      <c r="W177" s="18">
        <f t="shared" si="197"/>
        <v>0</v>
      </c>
      <c r="X177" s="18">
        <f t="shared" si="198"/>
        <v>0</v>
      </c>
      <c r="Y177" s="18">
        <f t="shared" si="199"/>
        <v>0</v>
      </c>
      <c r="Z177" s="18">
        <f t="shared" si="200"/>
        <v>0</v>
      </c>
      <c r="AA177" s="18">
        <f t="shared" si="201"/>
        <v>0</v>
      </c>
      <c r="AB177" s="18">
        <f t="shared" si="202"/>
        <v>0</v>
      </c>
      <c r="AC177" s="18">
        <f t="shared" si="203"/>
        <v>0</v>
      </c>
      <c r="AD177" s="18">
        <f t="shared" si="204"/>
        <v>0</v>
      </c>
      <c r="AE177" s="18">
        <f t="shared" si="205"/>
        <v>0</v>
      </c>
      <c r="AF177" s="18">
        <f t="shared" si="206"/>
        <v>0</v>
      </c>
      <c r="AG177" s="18">
        <f t="shared" si="207"/>
        <v>0</v>
      </c>
      <c r="AH177" s="18">
        <f t="shared" si="208"/>
        <v>0</v>
      </c>
      <c r="AI177" s="18">
        <f t="shared" si="209"/>
        <v>0</v>
      </c>
      <c r="AJ177" s="18">
        <f t="shared" si="210"/>
        <v>0</v>
      </c>
      <c r="AK177" s="18">
        <f t="shared" si="211"/>
        <v>0</v>
      </c>
      <c r="AL177" s="18">
        <f t="shared" si="212"/>
        <v>0</v>
      </c>
      <c r="AM177" s="18">
        <f t="shared" si="213"/>
        <v>0</v>
      </c>
      <c r="AN177" s="18">
        <f t="shared" si="214"/>
        <v>0</v>
      </c>
      <c r="AO177" s="18">
        <f t="shared" si="215"/>
        <v>0</v>
      </c>
      <c r="AP177" s="18">
        <f t="shared" si="216"/>
        <v>0</v>
      </c>
      <c r="AQ177" s="18">
        <f t="shared" si="217"/>
        <v>0</v>
      </c>
      <c r="AR177" s="18">
        <f t="shared" si="218"/>
        <v>0</v>
      </c>
      <c r="AS177" s="18">
        <f t="shared" si="219"/>
        <v>0</v>
      </c>
      <c r="AT177" s="18">
        <f t="shared" si="220"/>
        <v>0</v>
      </c>
      <c r="AU177" s="18">
        <f t="shared" si="221"/>
        <v>0</v>
      </c>
      <c r="AV177" s="18">
        <f t="shared" si="222"/>
        <v>0</v>
      </c>
      <c r="AW177" s="18">
        <f t="shared" si="223"/>
        <v>0</v>
      </c>
      <c r="AX177" s="18">
        <f t="shared" si="224"/>
        <v>0</v>
      </c>
      <c r="AY177" s="18">
        <f t="shared" si="225"/>
        <v>0</v>
      </c>
      <c r="AZ177" s="18">
        <f t="shared" si="226"/>
        <v>0</v>
      </c>
      <c r="BA177" s="18">
        <f t="shared" si="227"/>
        <v>0</v>
      </c>
      <c r="BB177" s="18">
        <f t="shared" si="228"/>
        <v>0</v>
      </c>
      <c r="BC177" s="18">
        <f t="shared" si="229"/>
        <v>0</v>
      </c>
      <c r="BD177" s="18">
        <f t="shared" si="230"/>
        <v>0</v>
      </c>
      <c r="BE177" s="18">
        <f t="shared" si="231"/>
        <v>0</v>
      </c>
      <c r="BF177" s="18">
        <f t="shared" si="232"/>
        <v>0</v>
      </c>
      <c r="BG177" s="18">
        <f t="shared" si="233"/>
        <v>0</v>
      </c>
      <c r="BH177" s="18">
        <f t="shared" si="234"/>
        <v>0</v>
      </c>
      <c r="BI177" s="18">
        <f t="shared" si="235"/>
        <v>0</v>
      </c>
      <c r="BJ177" s="18">
        <f t="shared" si="236"/>
        <v>0</v>
      </c>
      <c r="BK177" s="18">
        <f t="shared" si="237"/>
        <v>0</v>
      </c>
      <c r="BL177" s="18">
        <f t="shared" si="238"/>
        <v>0</v>
      </c>
      <c r="BM177" s="18">
        <f t="shared" si="239"/>
        <v>0</v>
      </c>
      <c r="BN177" s="18">
        <f t="shared" si="240"/>
        <v>0</v>
      </c>
      <c r="BO177" s="18">
        <f t="shared" si="241"/>
        <v>0</v>
      </c>
      <c r="BP177" s="18">
        <f t="shared" si="242"/>
        <v>0</v>
      </c>
      <c r="BQ177" s="18">
        <f t="shared" si="243"/>
        <v>0</v>
      </c>
      <c r="BR177" s="18">
        <f t="shared" si="244"/>
        <v>0</v>
      </c>
      <c r="BS177" s="18">
        <f t="shared" si="245"/>
        <v>0</v>
      </c>
      <c r="BT177" s="18">
        <f t="shared" si="246"/>
        <v>0</v>
      </c>
      <c r="BU177" s="18">
        <f t="shared" si="247"/>
        <v>0</v>
      </c>
      <c r="BV177" s="18">
        <f t="shared" si="248"/>
        <v>0</v>
      </c>
      <c r="BW177" s="18">
        <f t="shared" si="249"/>
        <v>0</v>
      </c>
      <c r="BX177" s="18">
        <f t="shared" si="250"/>
        <v>0</v>
      </c>
      <c r="BY177" s="18">
        <f t="shared" si="251"/>
        <v>0</v>
      </c>
      <c r="BZ177" s="18">
        <f t="shared" si="252"/>
        <v>0</v>
      </c>
      <c r="CA177" s="18">
        <f t="shared" si="253"/>
        <v>0</v>
      </c>
      <c r="CB177" s="18">
        <f t="shared" si="254"/>
        <v>0</v>
      </c>
      <c r="CC177" s="18">
        <f t="shared" si="255"/>
        <v>0</v>
      </c>
      <c r="CD177" s="18">
        <f t="shared" si="256"/>
        <v>0</v>
      </c>
      <c r="CE177" s="18">
        <f t="shared" si="257"/>
        <v>0</v>
      </c>
      <c r="CF177" s="18">
        <f t="shared" si="258"/>
        <v>0</v>
      </c>
      <c r="CG177" s="18">
        <f t="shared" si="259"/>
        <v>0</v>
      </c>
      <c r="CH177" s="18">
        <f t="shared" si="260"/>
        <v>0</v>
      </c>
      <c r="CI177" s="18">
        <f t="shared" si="261"/>
        <v>0</v>
      </c>
      <c r="CJ177" s="18">
        <f t="shared" si="262"/>
        <v>0</v>
      </c>
    </row>
    <row r="178" spans="1:88" x14ac:dyDescent="0.3">
      <c r="A178" s="1">
        <v>44088</v>
      </c>
      <c r="B178">
        <v>38756.629999999997</v>
      </c>
      <c r="C178">
        <f>Table1[[#This Row],[Close]]-0.001*Table1[[#This Row],[Close]]</f>
        <v>38717.873369999994</v>
      </c>
      <c r="D178">
        <f>Table1[[#This Row],[Close]]+0.001*Table1[[#This Row],[Close]]</f>
        <v>38795.386630000001</v>
      </c>
      <c r="E178" t="str">
        <f>IF(Table1[[#This Row],[Close]]&gt;D177,"UP",IF(Table1[[#This Row],[Close]]&lt;C177,"Down","Constant"))</f>
        <v>Down</v>
      </c>
      <c r="F178" s="3">
        <f>IF(Table1[[#This Row],[Column1]]="Up",1,IF(Table1[[#This Row],[Column1]]="Down",-1,0))</f>
        <v>-1</v>
      </c>
      <c r="G178">
        <f t="shared" si="181"/>
        <v>0</v>
      </c>
      <c r="H178" s="18">
        <f t="shared" si="182"/>
        <v>0</v>
      </c>
      <c r="I178" s="18">
        <f t="shared" si="183"/>
        <v>0</v>
      </c>
      <c r="J178" s="18">
        <f t="shared" si="184"/>
        <v>0</v>
      </c>
      <c r="K178" s="18">
        <f t="shared" si="185"/>
        <v>0</v>
      </c>
      <c r="L178" s="18">
        <f t="shared" si="186"/>
        <v>0</v>
      </c>
      <c r="M178" s="18">
        <f t="shared" si="187"/>
        <v>0</v>
      </c>
      <c r="N178" s="18">
        <f t="shared" si="188"/>
        <v>0</v>
      </c>
      <c r="O178" s="18">
        <f t="shared" si="189"/>
        <v>0</v>
      </c>
      <c r="P178" s="18">
        <f t="shared" si="190"/>
        <v>0</v>
      </c>
      <c r="Q178" s="18">
        <f t="shared" si="191"/>
        <v>0</v>
      </c>
      <c r="R178" s="18">
        <f t="shared" si="192"/>
        <v>0</v>
      </c>
      <c r="S178" s="18">
        <f t="shared" si="193"/>
        <v>0</v>
      </c>
      <c r="T178" s="18">
        <f t="shared" si="194"/>
        <v>0</v>
      </c>
      <c r="U178" s="18">
        <f t="shared" si="195"/>
        <v>0</v>
      </c>
      <c r="V178" s="18">
        <f t="shared" si="196"/>
        <v>0</v>
      </c>
      <c r="W178" s="18">
        <f t="shared" si="197"/>
        <v>0</v>
      </c>
      <c r="X178" s="18">
        <f t="shared" si="198"/>
        <v>0</v>
      </c>
      <c r="Y178" s="18">
        <f t="shared" si="199"/>
        <v>0</v>
      </c>
      <c r="Z178" s="18">
        <f t="shared" si="200"/>
        <v>0</v>
      </c>
      <c r="AA178" s="18">
        <f t="shared" si="201"/>
        <v>0</v>
      </c>
      <c r="AB178" s="18">
        <f t="shared" si="202"/>
        <v>0</v>
      </c>
      <c r="AC178" s="18">
        <f t="shared" si="203"/>
        <v>0</v>
      </c>
      <c r="AD178" s="18">
        <f t="shared" si="204"/>
        <v>0</v>
      </c>
      <c r="AE178" s="18">
        <f t="shared" si="205"/>
        <v>0</v>
      </c>
      <c r="AF178" s="18">
        <f t="shared" si="206"/>
        <v>0</v>
      </c>
      <c r="AG178" s="18">
        <f t="shared" si="207"/>
        <v>0</v>
      </c>
      <c r="AH178" s="18">
        <f t="shared" si="208"/>
        <v>0</v>
      </c>
      <c r="AI178" s="18">
        <f t="shared" si="209"/>
        <v>0</v>
      </c>
      <c r="AJ178" s="18">
        <f t="shared" si="210"/>
        <v>0</v>
      </c>
      <c r="AK178" s="18">
        <f t="shared" si="211"/>
        <v>0</v>
      </c>
      <c r="AL178" s="18">
        <f t="shared" si="212"/>
        <v>0</v>
      </c>
      <c r="AM178" s="18">
        <f t="shared" si="213"/>
        <v>0</v>
      </c>
      <c r="AN178" s="18">
        <f t="shared" si="214"/>
        <v>0</v>
      </c>
      <c r="AO178" s="18">
        <f t="shared" si="215"/>
        <v>0</v>
      </c>
      <c r="AP178" s="18">
        <f t="shared" si="216"/>
        <v>0</v>
      </c>
      <c r="AQ178" s="18">
        <f t="shared" si="217"/>
        <v>0</v>
      </c>
      <c r="AR178" s="18">
        <f t="shared" si="218"/>
        <v>0</v>
      </c>
      <c r="AS178" s="18">
        <f t="shared" si="219"/>
        <v>0</v>
      </c>
      <c r="AT178" s="18">
        <f t="shared" si="220"/>
        <v>0</v>
      </c>
      <c r="AU178" s="18">
        <f t="shared" si="221"/>
        <v>0</v>
      </c>
      <c r="AV178" s="18">
        <f t="shared" si="222"/>
        <v>0</v>
      </c>
      <c r="AW178" s="18">
        <f t="shared" si="223"/>
        <v>0</v>
      </c>
      <c r="AX178" s="18">
        <f t="shared" si="224"/>
        <v>0</v>
      </c>
      <c r="AY178" s="18">
        <f t="shared" si="225"/>
        <v>0</v>
      </c>
      <c r="AZ178" s="18">
        <f t="shared" si="226"/>
        <v>0</v>
      </c>
      <c r="BA178" s="18">
        <f t="shared" si="227"/>
        <v>0</v>
      </c>
      <c r="BB178" s="18">
        <f t="shared" si="228"/>
        <v>0</v>
      </c>
      <c r="BC178" s="18">
        <f t="shared" si="229"/>
        <v>0</v>
      </c>
      <c r="BD178" s="18">
        <f t="shared" si="230"/>
        <v>0</v>
      </c>
      <c r="BE178" s="18">
        <f t="shared" si="231"/>
        <v>0</v>
      </c>
      <c r="BF178" s="18">
        <f t="shared" si="232"/>
        <v>0</v>
      </c>
      <c r="BG178" s="18">
        <f t="shared" si="233"/>
        <v>1</v>
      </c>
      <c r="BH178" s="18">
        <f t="shared" si="234"/>
        <v>0</v>
      </c>
      <c r="BI178" s="18">
        <f t="shared" si="235"/>
        <v>0</v>
      </c>
      <c r="BJ178" s="18">
        <f t="shared" si="236"/>
        <v>0</v>
      </c>
      <c r="BK178" s="18">
        <f t="shared" si="237"/>
        <v>0</v>
      </c>
      <c r="BL178" s="18">
        <f t="shared" si="238"/>
        <v>0</v>
      </c>
      <c r="BM178" s="18">
        <f t="shared" si="239"/>
        <v>0</v>
      </c>
      <c r="BN178" s="18">
        <f t="shared" si="240"/>
        <v>0</v>
      </c>
      <c r="BO178" s="18">
        <f t="shared" si="241"/>
        <v>0</v>
      </c>
      <c r="BP178" s="18">
        <f t="shared" si="242"/>
        <v>0</v>
      </c>
      <c r="BQ178" s="18">
        <f t="shared" si="243"/>
        <v>0</v>
      </c>
      <c r="BR178" s="18">
        <f t="shared" si="244"/>
        <v>0</v>
      </c>
      <c r="BS178" s="18">
        <f t="shared" si="245"/>
        <v>0</v>
      </c>
      <c r="BT178" s="18">
        <f t="shared" si="246"/>
        <v>0</v>
      </c>
      <c r="BU178" s="18">
        <f t="shared" si="247"/>
        <v>0</v>
      </c>
      <c r="BV178" s="18">
        <f t="shared" si="248"/>
        <v>0</v>
      </c>
      <c r="BW178" s="18">
        <f t="shared" si="249"/>
        <v>0</v>
      </c>
      <c r="BX178" s="18">
        <f t="shared" si="250"/>
        <v>0</v>
      </c>
      <c r="BY178" s="18">
        <f t="shared" si="251"/>
        <v>0</v>
      </c>
      <c r="BZ178" s="18">
        <f t="shared" si="252"/>
        <v>0</v>
      </c>
      <c r="CA178" s="18">
        <f t="shared" si="253"/>
        <v>0</v>
      </c>
      <c r="CB178" s="18">
        <f t="shared" si="254"/>
        <v>0</v>
      </c>
      <c r="CC178" s="18">
        <f t="shared" si="255"/>
        <v>0</v>
      </c>
      <c r="CD178" s="18">
        <f t="shared" si="256"/>
        <v>0</v>
      </c>
      <c r="CE178" s="18">
        <f t="shared" si="257"/>
        <v>0</v>
      </c>
      <c r="CF178" s="18">
        <f t="shared" si="258"/>
        <v>0</v>
      </c>
      <c r="CG178" s="18">
        <f t="shared" si="259"/>
        <v>0</v>
      </c>
      <c r="CH178" s="18">
        <f t="shared" si="260"/>
        <v>0</v>
      </c>
      <c r="CI178" s="18">
        <f t="shared" si="261"/>
        <v>0</v>
      </c>
      <c r="CJ178" s="18">
        <f t="shared" si="262"/>
        <v>0</v>
      </c>
    </row>
    <row r="179" spans="1:88" x14ac:dyDescent="0.3">
      <c r="A179" s="1">
        <v>44089</v>
      </c>
      <c r="B179">
        <v>39044.35</v>
      </c>
      <c r="C179">
        <f>Table1[[#This Row],[Close]]-0.001*Table1[[#This Row],[Close]]</f>
        <v>39005.305650000002</v>
      </c>
      <c r="D179">
        <f>Table1[[#This Row],[Close]]+0.001*Table1[[#This Row],[Close]]</f>
        <v>39083.394349999995</v>
      </c>
      <c r="E179" t="str">
        <f>IF(Table1[[#This Row],[Close]]&gt;D178,"UP",IF(Table1[[#This Row],[Close]]&lt;C178,"Down","Constant"))</f>
        <v>UP</v>
      </c>
      <c r="F179" s="3">
        <f>IF(Table1[[#This Row],[Column1]]="Up",1,IF(Table1[[#This Row],[Column1]]="Down",-1,0))</f>
        <v>1</v>
      </c>
      <c r="G179">
        <f t="shared" si="181"/>
        <v>0</v>
      </c>
      <c r="H179" s="18">
        <f t="shared" si="182"/>
        <v>0</v>
      </c>
      <c r="I179" s="18">
        <f t="shared" si="183"/>
        <v>0</v>
      </c>
      <c r="J179" s="18">
        <f t="shared" si="184"/>
        <v>0</v>
      </c>
      <c r="K179" s="18">
        <f t="shared" si="185"/>
        <v>0</v>
      </c>
      <c r="L179" s="18">
        <f t="shared" si="186"/>
        <v>0</v>
      </c>
      <c r="M179" s="18">
        <f t="shared" si="187"/>
        <v>0</v>
      </c>
      <c r="N179" s="18">
        <f t="shared" si="188"/>
        <v>0</v>
      </c>
      <c r="O179" s="18">
        <f t="shared" si="189"/>
        <v>0</v>
      </c>
      <c r="P179" s="18">
        <f t="shared" si="190"/>
        <v>0</v>
      </c>
      <c r="Q179" s="18">
        <f t="shared" si="191"/>
        <v>0</v>
      </c>
      <c r="R179" s="18">
        <f t="shared" si="192"/>
        <v>0</v>
      </c>
      <c r="S179" s="18">
        <f t="shared" si="193"/>
        <v>0</v>
      </c>
      <c r="T179" s="18">
        <f t="shared" si="194"/>
        <v>0</v>
      </c>
      <c r="U179" s="18">
        <f t="shared" si="195"/>
        <v>0</v>
      </c>
      <c r="V179" s="18">
        <f t="shared" si="196"/>
        <v>0</v>
      </c>
      <c r="W179" s="18">
        <f t="shared" si="197"/>
        <v>0</v>
      </c>
      <c r="X179" s="18">
        <f t="shared" si="198"/>
        <v>0</v>
      </c>
      <c r="Y179" s="18">
        <f t="shared" si="199"/>
        <v>0</v>
      </c>
      <c r="Z179" s="18">
        <f t="shared" si="200"/>
        <v>0</v>
      </c>
      <c r="AA179" s="18">
        <f t="shared" si="201"/>
        <v>0</v>
      </c>
      <c r="AB179" s="18">
        <f t="shared" si="202"/>
        <v>0</v>
      </c>
      <c r="AC179" s="18">
        <f t="shared" si="203"/>
        <v>0</v>
      </c>
      <c r="AD179" s="18">
        <f t="shared" si="204"/>
        <v>0</v>
      </c>
      <c r="AE179" s="18">
        <f t="shared" si="205"/>
        <v>0</v>
      </c>
      <c r="AF179" s="18">
        <f t="shared" si="206"/>
        <v>0</v>
      </c>
      <c r="AG179" s="18">
        <f t="shared" si="207"/>
        <v>0</v>
      </c>
      <c r="AH179" s="18">
        <f t="shared" si="208"/>
        <v>0</v>
      </c>
      <c r="AI179" s="18">
        <f t="shared" si="209"/>
        <v>0</v>
      </c>
      <c r="AJ179" s="18">
        <f t="shared" si="210"/>
        <v>0</v>
      </c>
      <c r="AK179" s="18">
        <f t="shared" si="211"/>
        <v>0</v>
      </c>
      <c r="AL179" s="18">
        <f t="shared" si="212"/>
        <v>0</v>
      </c>
      <c r="AM179" s="18">
        <f t="shared" si="213"/>
        <v>0</v>
      </c>
      <c r="AN179" s="18">
        <f t="shared" si="214"/>
        <v>0</v>
      </c>
      <c r="AO179" s="18">
        <f t="shared" si="215"/>
        <v>0</v>
      </c>
      <c r="AP179" s="18">
        <f t="shared" si="216"/>
        <v>0</v>
      </c>
      <c r="AQ179" s="18">
        <f t="shared" si="217"/>
        <v>0</v>
      </c>
      <c r="AR179" s="18">
        <f t="shared" si="218"/>
        <v>0</v>
      </c>
      <c r="AS179" s="18">
        <f t="shared" si="219"/>
        <v>0</v>
      </c>
      <c r="AT179" s="18">
        <f t="shared" si="220"/>
        <v>0</v>
      </c>
      <c r="AU179" s="18">
        <f t="shared" si="221"/>
        <v>0</v>
      </c>
      <c r="AV179" s="18">
        <f t="shared" si="222"/>
        <v>0</v>
      </c>
      <c r="AW179" s="18">
        <f t="shared" si="223"/>
        <v>0</v>
      </c>
      <c r="AX179" s="18">
        <f t="shared" si="224"/>
        <v>0</v>
      </c>
      <c r="AY179" s="18">
        <f t="shared" si="225"/>
        <v>0</v>
      </c>
      <c r="AZ179" s="18">
        <f t="shared" si="226"/>
        <v>0</v>
      </c>
      <c r="BA179" s="18">
        <f t="shared" si="227"/>
        <v>0</v>
      </c>
      <c r="BB179" s="18">
        <f t="shared" si="228"/>
        <v>0</v>
      </c>
      <c r="BC179" s="18">
        <f t="shared" si="229"/>
        <v>0</v>
      </c>
      <c r="BD179" s="18">
        <f t="shared" si="230"/>
        <v>0</v>
      </c>
      <c r="BE179" s="18">
        <f t="shared" si="231"/>
        <v>0</v>
      </c>
      <c r="BF179" s="18">
        <f t="shared" si="232"/>
        <v>0</v>
      </c>
      <c r="BG179" s="18">
        <f t="shared" si="233"/>
        <v>0</v>
      </c>
      <c r="BH179" s="18">
        <f t="shared" si="234"/>
        <v>0</v>
      </c>
      <c r="BI179" s="18">
        <f t="shared" si="235"/>
        <v>0</v>
      </c>
      <c r="BJ179" s="18">
        <f t="shared" si="236"/>
        <v>0</v>
      </c>
      <c r="BK179" s="18">
        <f t="shared" si="237"/>
        <v>0</v>
      </c>
      <c r="BL179" s="18">
        <f t="shared" si="238"/>
        <v>0</v>
      </c>
      <c r="BM179" s="18">
        <f t="shared" si="239"/>
        <v>0</v>
      </c>
      <c r="BN179" s="18">
        <f t="shared" si="240"/>
        <v>0</v>
      </c>
      <c r="BO179" s="18">
        <f t="shared" si="241"/>
        <v>0</v>
      </c>
      <c r="BP179" s="18">
        <f t="shared" si="242"/>
        <v>0</v>
      </c>
      <c r="BQ179" s="18">
        <f t="shared" si="243"/>
        <v>0</v>
      </c>
      <c r="BR179" s="18">
        <f t="shared" si="244"/>
        <v>1</v>
      </c>
      <c r="BS179" s="18">
        <f t="shared" si="245"/>
        <v>0</v>
      </c>
      <c r="BT179" s="18">
        <f t="shared" si="246"/>
        <v>0</v>
      </c>
      <c r="BU179" s="18">
        <f t="shared" si="247"/>
        <v>0</v>
      </c>
      <c r="BV179" s="18">
        <f t="shared" si="248"/>
        <v>0</v>
      </c>
      <c r="BW179" s="18">
        <f t="shared" si="249"/>
        <v>0</v>
      </c>
      <c r="BX179" s="18">
        <f t="shared" si="250"/>
        <v>0</v>
      </c>
      <c r="BY179" s="18">
        <f t="shared" si="251"/>
        <v>0</v>
      </c>
      <c r="BZ179" s="18">
        <f t="shared" si="252"/>
        <v>0</v>
      </c>
      <c r="CA179" s="18">
        <f t="shared" si="253"/>
        <v>0</v>
      </c>
      <c r="CB179" s="18">
        <f t="shared" si="254"/>
        <v>0</v>
      </c>
      <c r="CC179" s="18">
        <f t="shared" si="255"/>
        <v>0</v>
      </c>
      <c r="CD179" s="18">
        <f t="shared" si="256"/>
        <v>0</v>
      </c>
      <c r="CE179" s="18">
        <f t="shared" si="257"/>
        <v>0</v>
      </c>
      <c r="CF179" s="18">
        <f t="shared" si="258"/>
        <v>0</v>
      </c>
      <c r="CG179" s="18">
        <f t="shared" si="259"/>
        <v>0</v>
      </c>
      <c r="CH179" s="18">
        <f t="shared" si="260"/>
        <v>0</v>
      </c>
      <c r="CI179" s="18">
        <f t="shared" si="261"/>
        <v>0</v>
      </c>
      <c r="CJ179" s="18">
        <f t="shared" si="262"/>
        <v>0</v>
      </c>
    </row>
    <row r="180" spans="1:88" x14ac:dyDescent="0.3">
      <c r="A180" s="1">
        <v>44090</v>
      </c>
      <c r="B180">
        <v>39302.85</v>
      </c>
      <c r="C180">
        <f>Table1[[#This Row],[Close]]-0.001*Table1[[#This Row],[Close]]</f>
        <v>39263.547149999999</v>
      </c>
      <c r="D180">
        <f>Table1[[#This Row],[Close]]+0.001*Table1[[#This Row],[Close]]</f>
        <v>39342.152849999999</v>
      </c>
      <c r="E180" t="str">
        <f>IF(Table1[[#This Row],[Close]]&gt;D179,"UP",IF(Table1[[#This Row],[Close]]&lt;C179,"Down","Constant"))</f>
        <v>UP</v>
      </c>
      <c r="F180" s="3">
        <f>IF(Table1[[#This Row],[Column1]]="Up",1,IF(Table1[[#This Row],[Column1]]="Down",-1,0))</f>
        <v>1</v>
      </c>
      <c r="G180">
        <f t="shared" si="181"/>
        <v>0</v>
      </c>
      <c r="H180" s="18">
        <f t="shared" si="182"/>
        <v>0</v>
      </c>
      <c r="I180" s="18">
        <f t="shared" si="183"/>
        <v>0</v>
      </c>
      <c r="J180" s="18">
        <f t="shared" si="184"/>
        <v>0</v>
      </c>
      <c r="K180" s="18">
        <f t="shared" si="185"/>
        <v>0</v>
      </c>
      <c r="L180" s="18">
        <f t="shared" si="186"/>
        <v>0</v>
      </c>
      <c r="M180" s="18">
        <f t="shared" si="187"/>
        <v>0</v>
      </c>
      <c r="N180" s="18">
        <f t="shared" si="188"/>
        <v>0</v>
      </c>
      <c r="O180" s="18">
        <f t="shared" si="189"/>
        <v>0</v>
      </c>
      <c r="P180" s="18">
        <f t="shared" si="190"/>
        <v>0</v>
      </c>
      <c r="Q180" s="18">
        <f t="shared" si="191"/>
        <v>0</v>
      </c>
      <c r="R180" s="18">
        <f t="shared" si="192"/>
        <v>0</v>
      </c>
      <c r="S180" s="18">
        <f t="shared" si="193"/>
        <v>0</v>
      </c>
      <c r="T180" s="18">
        <f t="shared" si="194"/>
        <v>0</v>
      </c>
      <c r="U180" s="18">
        <f t="shared" si="195"/>
        <v>0</v>
      </c>
      <c r="V180" s="18">
        <f t="shared" si="196"/>
        <v>0</v>
      </c>
      <c r="W180" s="18">
        <f t="shared" si="197"/>
        <v>0</v>
      </c>
      <c r="X180" s="18">
        <f t="shared" si="198"/>
        <v>0</v>
      </c>
      <c r="Y180" s="18">
        <f t="shared" si="199"/>
        <v>0</v>
      </c>
      <c r="Z180" s="18">
        <f t="shared" si="200"/>
        <v>0</v>
      </c>
      <c r="AA180" s="18">
        <f t="shared" si="201"/>
        <v>0</v>
      </c>
      <c r="AB180" s="18">
        <f t="shared" si="202"/>
        <v>0</v>
      </c>
      <c r="AC180" s="18">
        <f t="shared" si="203"/>
        <v>0</v>
      </c>
      <c r="AD180" s="18">
        <f t="shared" si="204"/>
        <v>0</v>
      </c>
      <c r="AE180" s="18">
        <f t="shared" si="205"/>
        <v>0</v>
      </c>
      <c r="AF180" s="18">
        <f t="shared" si="206"/>
        <v>0</v>
      </c>
      <c r="AG180" s="18">
        <f t="shared" si="207"/>
        <v>0</v>
      </c>
      <c r="AH180" s="18">
        <f t="shared" si="208"/>
        <v>0</v>
      </c>
      <c r="AI180" s="18">
        <f t="shared" si="209"/>
        <v>0</v>
      </c>
      <c r="AJ180" s="18">
        <f t="shared" si="210"/>
        <v>0</v>
      </c>
      <c r="AK180" s="18">
        <f t="shared" si="211"/>
        <v>0</v>
      </c>
      <c r="AL180" s="18">
        <f t="shared" si="212"/>
        <v>0</v>
      </c>
      <c r="AM180" s="18">
        <f t="shared" si="213"/>
        <v>0</v>
      </c>
      <c r="AN180" s="18">
        <f t="shared" si="214"/>
        <v>0</v>
      </c>
      <c r="AO180" s="18">
        <f t="shared" si="215"/>
        <v>0</v>
      </c>
      <c r="AP180" s="18">
        <f t="shared" si="216"/>
        <v>0</v>
      </c>
      <c r="AQ180" s="18">
        <f t="shared" si="217"/>
        <v>0</v>
      </c>
      <c r="AR180" s="18">
        <f t="shared" si="218"/>
        <v>0</v>
      </c>
      <c r="AS180" s="18">
        <f t="shared" si="219"/>
        <v>0</v>
      </c>
      <c r="AT180" s="18">
        <f t="shared" si="220"/>
        <v>0</v>
      </c>
      <c r="AU180" s="18">
        <f t="shared" si="221"/>
        <v>0</v>
      </c>
      <c r="AV180" s="18">
        <f t="shared" si="222"/>
        <v>0</v>
      </c>
      <c r="AW180" s="18">
        <f t="shared" si="223"/>
        <v>0</v>
      </c>
      <c r="AX180" s="18">
        <f t="shared" si="224"/>
        <v>0</v>
      </c>
      <c r="AY180" s="18">
        <f t="shared" si="225"/>
        <v>0</v>
      </c>
      <c r="AZ180" s="18">
        <f t="shared" si="226"/>
        <v>0</v>
      </c>
      <c r="BA180" s="18">
        <f t="shared" si="227"/>
        <v>0</v>
      </c>
      <c r="BB180" s="18">
        <f t="shared" si="228"/>
        <v>0</v>
      </c>
      <c r="BC180" s="18">
        <f t="shared" si="229"/>
        <v>0</v>
      </c>
      <c r="BD180" s="18">
        <f t="shared" si="230"/>
        <v>0</v>
      </c>
      <c r="BE180" s="18">
        <f t="shared" si="231"/>
        <v>0</v>
      </c>
      <c r="BF180" s="18">
        <f t="shared" si="232"/>
        <v>0</v>
      </c>
      <c r="BG180" s="18">
        <f t="shared" si="233"/>
        <v>0</v>
      </c>
      <c r="BH180" s="18">
        <f t="shared" si="234"/>
        <v>0</v>
      </c>
      <c r="BI180" s="18">
        <f t="shared" si="235"/>
        <v>0</v>
      </c>
      <c r="BJ180" s="18">
        <f t="shared" si="236"/>
        <v>0</v>
      </c>
      <c r="BK180" s="18">
        <f t="shared" si="237"/>
        <v>0</v>
      </c>
      <c r="BL180" s="18">
        <f t="shared" si="238"/>
        <v>0</v>
      </c>
      <c r="BM180" s="18">
        <f t="shared" si="239"/>
        <v>0</v>
      </c>
      <c r="BN180" s="18">
        <f t="shared" si="240"/>
        <v>0</v>
      </c>
      <c r="BO180" s="18">
        <f t="shared" si="241"/>
        <v>0</v>
      </c>
      <c r="BP180" s="18">
        <f t="shared" si="242"/>
        <v>0</v>
      </c>
      <c r="BQ180" s="18">
        <f t="shared" si="243"/>
        <v>0</v>
      </c>
      <c r="BR180" s="18">
        <f t="shared" si="244"/>
        <v>0</v>
      </c>
      <c r="BS180" s="18">
        <f t="shared" si="245"/>
        <v>0</v>
      </c>
      <c r="BT180" s="18">
        <f t="shared" si="246"/>
        <v>0</v>
      </c>
      <c r="BU180" s="18">
        <f t="shared" si="247"/>
        <v>1</v>
      </c>
      <c r="BV180" s="18">
        <f t="shared" si="248"/>
        <v>0</v>
      </c>
      <c r="BW180" s="18">
        <f t="shared" si="249"/>
        <v>0</v>
      </c>
      <c r="BX180" s="18">
        <f t="shared" si="250"/>
        <v>0</v>
      </c>
      <c r="BY180" s="18">
        <f t="shared" si="251"/>
        <v>0</v>
      </c>
      <c r="BZ180" s="18">
        <f t="shared" si="252"/>
        <v>0</v>
      </c>
      <c r="CA180" s="18">
        <f t="shared" si="253"/>
        <v>0</v>
      </c>
      <c r="CB180" s="18">
        <f t="shared" si="254"/>
        <v>0</v>
      </c>
      <c r="CC180" s="18">
        <f t="shared" si="255"/>
        <v>0</v>
      </c>
      <c r="CD180" s="18">
        <f t="shared" si="256"/>
        <v>0</v>
      </c>
      <c r="CE180" s="18">
        <f t="shared" si="257"/>
        <v>0</v>
      </c>
      <c r="CF180" s="18">
        <f t="shared" si="258"/>
        <v>0</v>
      </c>
      <c r="CG180" s="18">
        <f t="shared" si="259"/>
        <v>0</v>
      </c>
      <c r="CH180" s="18">
        <f t="shared" si="260"/>
        <v>0</v>
      </c>
      <c r="CI180" s="18">
        <f t="shared" si="261"/>
        <v>0</v>
      </c>
      <c r="CJ180" s="18">
        <f t="shared" si="262"/>
        <v>0</v>
      </c>
    </row>
    <row r="181" spans="1:88" x14ac:dyDescent="0.3">
      <c r="A181" s="1">
        <v>44091</v>
      </c>
      <c r="B181">
        <v>38979.85</v>
      </c>
      <c r="C181">
        <f>Table1[[#This Row],[Close]]-0.001*Table1[[#This Row],[Close]]</f>
        <v>38940.870149999995</v>
      </c>
      <c r="D181">
        <f>Table1[[#This Row],[Close]]+0.001*Table1[[#This Row],[Close]]</f>
        <v>39018.829850000002</v>
      </c>
      <c r="E181" t="str">
        <f>IF(Table1[[#This Row],[Close]]&gt;D180,"UP",IF(Table1[[#This Row],[Close]]&lt;C180,"Down","Constant"))</f>
        <v>Down</v>
      </c>
      <c r="F181" s="3">
        <f>IF(Table1[[#This Row],[Column1]]="Up",1,IF(Table1[[#This Row],[Column1]]="Down",-1,0))</f>
        <v>-1</v>
      </c>
      <c r="G181">
        <f t="shared" si="181"/>
        <v>0</v>
      </c>
      <c r="H181" s="18">
        <f t="shared" si="182"/>
        <v>0</v>
      </c>
      <c r="I181" s="18">
        <f t="shared" si="183"/>
        <v>0</v>
      </c>
      <c r="J181" s="18">
        <f t="shared" si="184"/>
        <v>0</v>
      </c>
      <c r="K181" s="18">
        <f t="shared" si="185"/>
        <v>1</v>
      </c>
      <c r="L181" s="18">
        <f t="shared" si="186"/>
        <v>0</v>
      </c>
      <c r="M181" s="18">
        <f t="shared" si="187"/>
        <v>0</v>
      </c>
      <c r="N181" s="18">
        <f t="shared" si="188"/>
        <v>0</v>
      </c>
      <c r="O181" s="18">
        <f t="shared" si="189"/>
        <v>0</v>
      </c>
      <c r="P181" s="18">
        <f t="shared" si="190"/>
        <v>0</v>
      </c>
      <c r="Q181" s="18">
        <f t="shared" si="191"/>
        <v>0</v>
      </c>
      <c r="R181" s="18">
        <f t="shared" si="192"/>
        <v>0</v>
      </c>
      <c r="S181" s="18">
        <f t="shared" si="193"/>
        <v>0</v>
      </c>
      <c r="T181" s="18">
        <f t="shared" si="194"/>
        <v>0</v>
      </c>
      <c r="U181" s="18">
        <f t="shared" si="195"/>
        <v>0</v>
      </c>
      <c r="V181" s="18">
        <f t="shared" si="196"/>
        <v>0</v>
      </c>
      <c r="W181" s="18">
        <f t="shared" si="197"/>
        <v>0</v>
      </c>
      <c r="X181" s="18">
        <f t="shared" si="198"/>
        <v>0</v>
      </c>
      <c r="Y181" s="18">
        <f t="shared" si="199"/>
        <v>0</v>
      </c>
      <c r="Z181" s="18">
        <f t="shared" si="200"/>
        <v>0</v>
      </c>
      <c r="AA181" s="18">
        <f t="shared" si="201"/>
        <v>0</v>
      </c>
      <c r="AB181" s="18">
        <f t="shared" si="202"/>
        <v>0</v>
      </c>
      <c r="AC181" s="18">
        <f t="shared" si="203"/>
        <v>0</v>
      </c>
      <c r="AD181" s="18">
        <f t="shared" si="204"/>
        <v>0</v>
      </c>
      <c r="AE181" s="18">
        <f t="shared" si="205"/>
        <v>0</v>
      </c>
      <c r="AF181" s="18">
        <f t="shared" si="206"/>
        <v>0</v>
      </c>
      <c r="AG181" s="18">
        <f t="shared" si="207"/>
        <v>0</v>
      </c>
      <c r="AH181" s="18">
        <f t="shared" si="208"/>
        <v>0</v>
      </c>
      <c r="AI181" s="18">
        <f t="shared" si="209"/>
        <v>0</v>
      </c>
      <c r="AJ181" s="18">
        <f t="shared" si="210"/>
        <v>0</v>
      </c>
      <c r="AK181" s="18">
        <f t="shared" si="211"/>
        <v>0</v>
      </c>
      <c r="AL181" s="18">
        <f t="shared" si="212"/>
        <v>0</v>
      </c>
      <c r="AM181" s="18">
        <f t="shared" si="213"/>
        <v>0</v>
      </c>
      <c r="AN181" s="18">
        <f t="shared" si="214"/>
        <v>0</v>
      </c>
      <c r="AO181" s="18">
        <f t="shared" si="215"/>
        <v>0</v>
      </c>
      <c r="AP181" s="18">
        <f t="shared" si="216"/>
        <v>0</v>
      </c>
      <c r="AQ181" s="18">
        <f t="shared" si="217"/>
        <v>0</v>
      </c>
      <c r="AR181" s="18">
        <f t="shared" si="218"/>
        <v>0</v>
      </c>
      <c r="AS181" s="18">
        <f t="shared" si="219"/>
        <v>0</v>
      </c>
      <c r="AT181" s="18">
        <f t="shared" si="220"/>
        <v>0</v>
      </c>
      <c r="AU181" s="18">
        <f t="shared" si="221"/>
        <v>0</v>
      </c>
      <c r="AV181" s="18">
        <f t="shared" si="222"/>
        <v>0</v>
      </c>
      <c r="AW181" s="18">
        <f t="shared" si="223"/>
        <v>0</v>
      </c>
      <c r="AX181" s="18">
        <f t="shared" si="224"/>
        <v>0</v>
      </c>
      <c r="AY181" s="18">
        <f t="shared" si="225"/>
        <v>0</v>
      </c>
      <c r="AZ181" s="18">
        <f t="shared" si="226"/>
        <v>0</v>
      </c>
      <c r="BA181" s="18">
        <f t="shared" si="227"/>
        <v>0</v>
      </c>
      <c r="BB181" s="18">
        <f t="shared" si="228"/>
        <v>0</v>
      </c>
      <c r="BC181" s="18">
        <f t="shared" si="229"/>
        <v>0</v>
      </c>
      <c r="BD181" s="18">
        <f t="shared" si="230"/>
        <v>0</v>
      </c>
      <c r="BE181" s="18">
        <f t="shared" si="231"/>
        <v>0</v>
      </c>
      <c r="BF181" s="18">
        <f t="shared" si="232"/>
        <v>0</v>
      </c>
      <c r="BG181" s="18">
        <f t="shared" si="233"/>
        <v>0</v>
      </c>
      <c r="BH181" s="18">
        <f t="shared" si="234"/>
        <v>0</v>
      </c>
      <c r="BI181" s="18">
        <f t="shared" si="235"/>
        <v>0</v>
      </c>
      <c r="BJ181" s="18">
        <f t="shared" si="236"/>
        <v>0</v>
      </c>
      <c r="BK181" s="18">
        <f t="shared" si="237"/>
        <v>0</v>
      </c>
      <c r="BL181" s="18">
        <f t="shared" si="238"/>
        <v>0</v>
      </c>
      <c r="BM181" s="18">
        <f t="shared" si="239"/>
        <v>0</v>
      </c>
      <c r="BN181" s="18">
        <f t="shared" si="240"/>
        <v>0</v>
      </c>
      <c r="BO181" s="18">
        <f t="shared" si="241"/>
        <v>0</v>
      </c>
      <c r="BP181" s="18">
        <f t="shared" si="242"/>
        <v>0</v>
      </c>
      <c r="BQ181" s="18">
        <f t="shared" si="243"/>
        <v>0</v>
      </c>
      <c r="BR181" s="18">
        <f t="shared" si="244"/>
        <v>0</v>
      </c>
      <c r="BS181" s="18">
        <f t="shared" si="245"/>
        <v>0</v>
      </c>
      <c r="BT181" s="18">
        <f t="shared" si="246"/>
        <v>0</v>
      </c>
      <c r="BU181" s="18">
        <f t="shared" si="247"/>
        <v>0</v>
      </c>
      <c r="BV181" s="18">
        <f t="shared" si="248"/>
        <v>0</v>
      </c>
      <c r="BW181" s="18">
        <f t="shared" si="249"/>
        <v>0</v>
      </c>
      <c r="BX181" s="18">
        <f t="shared" si="250"/>
        <v>0</v>
      </c>
      <c r="BY181" s="18">
        <f t="shared" si="251"/>
        <v>0</v>
      </c>
      <c r="BZ181" s="18">
        <f t="shared" si="252"/>
        <v>0</v>
      </c>
      <c r="CA181" s="18">
        <f t="shared" si="253"/>
        <v>0</v>
      </c>
      <c r="CB181" s="18">
        <f t="shared" si="254"/>
        <v>0</v>
      </c>
      <c r="CC181" s="18">
        <f t="shared" si="255"/>
        <v>0</v>
      </c>
      <c r="CD181" s="18">
        <f t="shared" si="256"/>
        <v>0</v>
      </c>
      <c r="CE181" s="18">
        <f t="shared" si="257"/>
        <v>0</v>
      </c>
      <c r="CF181" s="18">
        <f t="shared" si="258"/>
        <v>0</v>
      </c>
      <c r="CG181" s="18">
        <f t="shared" si="259"/>
        <v>0</v>
      </c>
      <c r="CH181" s="18">
        <f t="shared" si="260"/>
        <v>0</v>
      </c>
      <c r="CI181" s="18">
        <f t="shared" si="261"/>
        <v>0</v>
      </c>
      <c r="CJ181" s="18">
        <f t="shared" si="262"/>
        <v>0</v>
      </c>
    </row>
    <row r="182" spans="1:88" x14ac:dyDescent="0.3">
      <c r="A182" s="1">
        <v>44092</v>
      </c>
      <c r="B182">
        <v>38845.82</v>
      </c>
      <c r="C182">
        <f>Table1[[#This Row],[Close]]-0.001*Table1[[#This Row],[Close]]</f>
        <v>38806.974179999997</v>
      </c>
      <c r="D182">
        <f>Table1[[#This Row],[Close]]+0.001*Table1[[#This Row],[Close]]</f>
        <v>38884.665820000002</v>
      </c>
      <c r="E182" t="str">
        <f>IF(Table1[[#This Row],[Close]]&gt;D181,"UP",IF(Table1[[#This Row],[Close]]&lt;C181,"Down","Constant"))</f>
        <v>Down</v>
      </c>
      <c r="F182" s="3">
        <f>IF(Table1[[#This Row],[Column1]]="Up",1,IF(Table1[[#This Row],[Column1]]="Down",-1,0))</f>
        <v>-1</v>
      </c>
      <c r="G182">
        <f t="shared" si="181"/>
        <v>0</v>
      </c>
      <c r="H182" s="18">
        <f t="shared" si="182"/>
        <v>0</v>
      </c>
      <c r="I182" s="18">
        <f t="shared" si="183"/>
        <v>0</v>
      </c>
      <c r="J182" s="18">
        <f t="shared" si="184"/>
        <v>0</v>
      </c>
      <c r="K182" s="18">
        <f t="shared" si="185"/>
        <v>0</v>
      </c>
      <c r="L182" s="18">
        <f t="shared" si="186"/>
        <v>0</v>
      </c>
      <c r="M182" s="18">
        <f t="shared" si="187"/>
        <v>0</v>
      </c>
      <c r="N182" s="18">
        <f t="shared" si="188"/>
        <v>0</v>
      </c>
      <c r="O182" s="18">
        <f t="shared" si="189"/>
        <v>0</v>
      </c>
      <c r="P182" s="18">
        <f t="shared" si="190"/>
        <v>0</v>
      </c>
      <c r="Q182" s="18">
        <f t="shared" si="191"/>
        <v>1</v>
      </c>
      <c r="R182" s="18">
        <f t="shared" si="192"/>
        <v>0</v>
      </c>
      <c r="S182" s="18">
        <f t="shared" si="193"/>
        <v>0</v>
      </c>
      <c r="T182" s="18">
        <f t="shared" si="194"/>
        <v>0</v>
      </c>
      <c r="U182" s="18">
        <f t="shared" si="195"/>
        <v>0</v>
      </c>
      <c r="V182" s="18">
        <f t="shared" si="196"/>
        <v>0</v>
      </c>
      <c r="W182" s="18">
        <f t="shared" si="197"/>
        <v>0</v>
      </c>
      <c r="X182" s="18">
        <f t="shared" si="198"/>
        <v>0</v>
      </c>
      <c r="Y182" s="18">
        <f t="shared" si="199"/>
        <v>0</v>
      </c>
      <c r="Z182" s="18">
        <f t="shared" si="200"/>
        <v>0</v>
      </c>
      <c r="AA182" s="18">
        <f t="shared" si="201"/>
        <v>0</v>
      </c>
      <c r="AB182" s="18">
        <f t="shared" si="202"/>
        <v>0</v>
      </c>
      <c r="AC182" s="18">
        <f t="shared" si="203"/>
        <v>0</v>
      </c>
      <c r="AD182" s="18">
        <f t="shared" si="204"/>
        <v>0</v>
      </c>
      <c r="AE182" s="18">
        <f t="shared" si="205"/>
        <v>0</v>
      </c>
      <c r="AF182" s="18">
        <f t="shared" si="206"/>
        <v>0</v>
      </c>
      <c r="AG182" s="18">
        <f t="shared" si="207"/>
        <v>0</v>
      </c>
      <c r="AH182" s="18">
        <f t="shared" si="208"/>
        <v>0</v>
      </c>
      <c r="AI182" s="18">
        <f t="shared" si="209"/>
        <v>0</v>
      </c>
      <c r="AJ182" s="18">
        <f t="shared" si="210"/>
        <v>0</v>
      </c>
      <c r="AK182" s="18">
        <f t="shared" si="211"/>
        <v>0</v>
      </c>
      <c r="AL182" s="18">
        <f t="shared" si="212"/>
        <v>0</v>
      </c>
      <c r="AM182" s="18">
        <f t="shared" si="213"/>
        <v>0</v>
      </c>
      <c r="AN182" s="18">
        <f t="shared" si="214"/>
        <v>0</v>
      </c>
      <c r="AO182" s="18">
        <f t="shared" si="215"/>
        <v>0</v>
      </c>
      <c r="AP182" s="18">
        <f t="shared" si="216"/>
        <v>0</v>
      </c>
      <c r="AQ182" s="18">
        <f t="shared" si="217"/>
        <v>0</v>
      </c>
      <c r="AR182" s="18">
        <f t="shared" si="218"/>
        <v>0</v>
      </c>
      <c r="AS182" s="18">
        <f t="shared" si="219"/>
        <v>0</v>
      </c>
      <c r="AT182" s="18">
        <f t="shared" si="220"/>
        <v>0</v>
      </c>
      <c r="AU182" s="18">
        <f t="shared" si="221"/>
        <v>0</v>
      </c>
      <c r="AV182" s="18">
        <f t="shared" si="222"/>
        <v>0</v>
      </c>
      <c r="AW182" s="18">
        <f t="shared" si="223"/>
        <v>0</v>
      </c>
      <c r="AX182" s="18">
        <f t="shared" si="224"/>
        <v>0</v>
      </c>
      <c r="AY182" s="18">
        <f t="shared" si="225"/>
        <v>0</v>
      </c>
      <c r="AZ182" s="18">
        <f t="shared" si="226"/>
        <v>0</v>
      </c>
      <c r="BA182" s="18">
        <f t="shared" si="227"/>
        <v>0</v>
      </c>
      <c r="BB182" s="18">
        <f t="shared" si="228"/>
        <v>0</v>
      </c>
      <c r="BC182" s="18">
        <f t="shared" si="229"/>
        <v>0</v>
      </c>
      <c r="BD182" s="18">
        <f t="shared" si="230"/>
        <v>0</v>
      </c>
      <c r="BE182" s="18">
        <f t="shared" si="231"/>
        <v>0</v>
      </c>
      <c r="BF182" s="18">
        <f t="shared" si="232"/>
        <v>0</v>
      </c>
      <c r="BG182" s="18">
        <f t="shared" si="233"/>
        <v>0</v>
      </c>
      <c r="BH182" s="18">
        <f t="shared" si="234"/>
        <v>0</v>
      </c>
      <c r="BI182" s="18">
        <f t="shared" si="235"/>
        <v>0</v>
      </c>
      <c r="BJ182" s="18">
        <f t="shared" si="236"/>
        <v>0</v>
      </c>
      <c r="BK182" s="18">
        <f t="shared" si="237"/>
        <v>0</v>
      </c>
      <c r="BL182" s="18">
        <f t="shared" si="238"/>
        <v>0</v>
      </c>
      <c r="BM182" s="18">
        <f t="shared" si="239"/>
        <v>0</v>
      </c>
      <c r="BN182" s="18">
        <f t="shared" si="240"/>
        <v>0</v>
      </c>
      <c r="BO182" s="18">
        <f t="shared" si="241"/>
        <v>0</v>
      </c>
      <c r="BP182" s="18">
        <f t="shared" si="242"/>
        <v>0</v>
      </c>
      <c r="BQ182" s="18">
        <f t="shared" si="243"/>
        <v>0</v>
      </c>
      <c r="BR182" s="18">
        <f t="shared" si="244"/>
        <v>0</v>
      </c>
      <c r="BS182" s="18">
        <f t="shared" si="245"/>
        <v>0</v>
      </c>
      <c r="BT182" s="18">
        <f t="shared" si="246"/>
        <v>0</v>
      </c>
      <c r="BU182" s="18">
        <f t="shared" si="247"/>
        <v>0</v>
      </c>
      <c r="BV182" s="18">
        <f t="shared" si="248"/>
        <v>0</v>
      </c>
      <c r="BW182" s="18">
        <f t="shared" si="249"/>
        <v>0</v>
      </c>
      <c r="BX182" s="18">
        <f t="shared" si="250"/>
        <v>0</v>
      </c>
      <c r="BY182" s="18">
        <f t="shared" si="251"/>
        <v>0</v>
      </c>
      <c r="BZ182" s="18">
        <f t="shared" si="252"/>
        <v>0</v>
      </c>
      <c r="CA182" s="18">
        <f t="shared" si="253"/>
        <v>0</v>
      </c>
      <c r="CB182" s="18">
        <f t="shared" si="254"/>
        <v>0</v>
      </c>
      <c r="CC182" s="18">
        <f t="shared" si="255"/>
        <v>0</v>
      </c>
      <c r="CD182" s="18">
        <f t="shared" si="256"/>
        <v>0</v>
      </c>
      <c r="CE182" s="18">
        <f t="shared" si="257"/>
        <v>0</v>
      </c>
      <c r="CF182" s="18">
        <f t="shared" si="258"/>
        <v>0</v>
      </c>
      <c r="CG182" s="18">
        <f t="shared" si="259"/>
        <v>0</v>
      </c>
      <c r="CH182" s="18">
        <f t="shared" si="260"/>
        <v>0</v>
      </c>
      <c r="CI182" s="18">
        <f t="shared" si="261"/>
        <v>0</v>
      </c>
      <c r="CJ182" s="18">
        <f t="shared" si="262"/>
        <v>0</v>
      </c>
    </row>
    <row r="183" spans="1:88" x14ac:dyDescent="0.3">
      <c r="A183" s="1">
        <v>44095</v>
      </c>
      <c r="B183">
        <v>38034.14</v>
      </c>
      <c r="C183">
        <f>Table1[[#This Row],[Close]]-0.001*Table1[[#This Row],[Close]]</f>
        <v>37996.105859999996</v>
      </c>
      <c r="D183">
        <f>Table1[[#This Row],[Close]]+0.001*Table1[[#This Row],[Close]]</f>
        <v>38072.174140000003</v>
      </c>
      <c r="E183" t="str">
        <f>IF(Table1[[#This Row],[Close]]&gt;D182,"UP",IF(Table1[[#This Row],[Close]]&lt;C182,"Down","Constant"))</f>
        <v>Down</v>
      </c>
      <c r="F183" s="3">
        <f>IF(Table1[[#This Row],[Column1]]="Up",1,IF(Table1[[#This Row],[Column1]]="Down",-1,0))</f>
        <v>-1</v>
      </c>
      <c r="G183">
        <f t="shared" si="181"/>
        <v>0</v>
      </c>
      <c r="H183" s="18">
        <f t="shared" si="182"/>
        <v>0</v>
      </c>
      <c r="I183" s="18">
        <f t="shared" si="183"/>
        <v>0</v>
      </c>
      <c r="J183" s="18">
        <f t="shared" si="184"/>
        <v>0</v>
      </c>
      <c r="K183" s="18">
        <f t="shared" si="185"/>
        <v>0</v>
      </c>
      <c r="L183" s="18">
        <f t="shared" si="186"/>
        <v>0</v>
      </c>
      <c r="M183" s="18">
        <f t="shared" si="187"/>
        <v>0</v>
      </c>
      <c r="N183" s="18">
        <f t="shared" si="188"/>
        <v>0</v>
      </c>
      <c r="O183" s="18">
        <f t="shared" si="189"/>
        <v>0</v>
      </c>
      <c r="P183" s="18">
        <f t="shared" si="190"/>
        <v>0</v>
      </c>
      <c r="Q183" s="18">
        <f t="shared" si="191"/>
        <v>0</v>
      </c>
      <c r="R183" s="18">
        <f t="shared" si="192"/>
        <v>0</v>
      </c>
      <c r="S183" s="18">
        <f t="shared" si="193"/>
        <v>0</v>
      </c>
      <c r="T183" s="18">
        <f t="shared" si="194"/>
        <v>0</v>
      </c>
      <c r="U183" s="18">
        <f t="shared" si="195"/>
        <v>0</v>
      </c>
      <c r="V183" s="18">
        <f t="shared" si="196"/>
        <v>0</v>
      </c>
      <c r="W183" s="18">
        <f t="shared" si="197"/>
        <v>1</v>
      </c>
      <c r="X183" s="18">
        <f t="shared" si="198"/>
        <v>0</v>
      </c>
      <c r="Y183" s="18">
        <f t="shared" si="199"/>
        <v>0</v>
      </c>
      <c r="Z183" s="18">
        <f t="shared" si="200"/>
        <v>0</v>
      </c>
      <c r="AA183" s="18">
        <f t="shared" si="201"/>
        <v>0</v>
      </c>
      <c r="AB183" s="18">
        <f t="shared" si="202"/>
        <v>0</v>
      </c>
      <c r="AC183" s="18">
        <f t="shared" si="203"/>
        <v>0</v>
      </c>
      <c r="AD183" s="18">
        <f t="shared" si="204"/>
        <v>0</v>
      </c>
      <c r="AE183" s="18">
        <f t="shared" si="205"/>
        <v>0</v>
      </c>
      <c r="AF183" s="18">
        <f t="shared" si="206"/>
        <v>0</v>
      </c>
      <c r="AG183" s="18">
        <f t="shared" si="207"/>
        <v>0</v>
      </c>
      <c r="AH183" s="18">
        <f t="shared" si="208"/>
        <v>0</v>
      </c>
      <c r="AI183" s="18">
        <f t="shared" si="209"/>
        <v>0</v>
      </c>
      <c r="AJ183" s="18">
        <f t="shared" si="210"/>
        <v>0</v>
      </c>
      <c r="AK183" s="18">
        <f t="shared" si="211"/>
        <v>0</v>
      </c>
      <c r="AL183" s="18">
        <f t="shared" si="212"/>
        <v>0</v>
      </c>
      <c r="AM183" s="18">
        <f t="shared" si="213"/>
        <v>0</v>
      </c>
      <c r="AN183" s="18">
        <f t="shared" si="214"/>
        <v>0</v>
      </c>
      <c r="AO183" s="18">
        <f t="shared" si="215"/>
        <v>0</v>
      </c>
      <c r="AP183" s="18">
        <f t="shared" si="216"/>
        <v>0</v>
      </c>
      <c r="AQ183" s="18">
        <f t="shared" si="217"/>
        <v>0</v>
      </c>
      <c r="AR183" s="18">
        <f t="shared" si="218"/>
        <v>0</v>
      </c>
      <c r="AS183" s="18">
        <f t="shared" si="219"/>
        <v>0</v>
      </c>
      <c r="AT183" s="18">
        <f t="shared" si="220"/>
        <v>0</v>
      </c>
      <c r="AU183" s="18">
        <f t="shared" si="221"/>
        <v>0</v>
      </c>
      <c r="AV183" s="18">
        <f t="shared" si="222"/>
        <v>0</v>
      </c>
      <c r="AW183" s="18">
        <f t="shared" si="223"/>
        <v>0</v>
      </c>
      <c r="AX183" s="18">
        <f t="shared" si="224"/>
        <v>0</v>
      </c>
      <c r="AY183" s="18">
        <f t="shared" si="225"/>
        <v>0</v>
      </c>
      <c r="AZ183" s="18">
        <f t="shared" si="226"/>
        <v>0</v>
      </c>
      <c r="BA183" s="18">
        <f t="shared" si="227"/>
        <v>0</v>
      </c>
      <c r="BB183" s="18">
        <f t="shared" si="228"/>
        <v>0</v>
      </c>
      <c r="BC183" s="18">
        <f t="shared" si="229"/>
        <v>0</v>
      </c>
      <c r="BD183" s="18">
        <f t="shared" si="230"/>
        <v>0</v>
      </c>
      <c r="BE183" s="18">
        <f t="shared" si="231"/>
        <v>0</v>
      </c>
      <c r="BF183" s="18">
        <f t="shared" si="232"/>
        <v>0</v>
      </c>
      <c r="BG183" s="18">
        <f t="shared" si="233"/>
        <v>0</v>
      </c>
      <c r="BH183" s="18">
        <f t="shared" si="234"/>
        <v>0</v>
      </c>
      <c r="BI183" s="18">
        <f t="shared" si="235"/>
        <v>0</v>
      </c>
      <c r="BJ183" s="18">
        <f t="shared" si="236"/>
        <v>0</v>
      </c>
      <c r="BK183" s="18">
        <f t="shared" si="237"/>
        <v>0</v>
      </c>
      <c r="BL183" s="18">
        <f t="shared" si="238"/>
        <v>0</v>
      </c>
      <c r="BM183" s="18">
        <f t="shared" si="239"/>
        <v>0</v>
      </c>
      <c r="BN183" s="18">
        <f t="shared" si="240"/>
        <v>0</v>
      </c>
      <c r="BO183" s="18">
        <f t="shared" si="241"/>
        <v>0</v>
      </c>
      <c r="BP183" s="18">
        <f t="shared" si="242"/>
        <v>0</v>
      </c>
      <c r="BQ183" s="18">
        <f t="shared" si="243"/>
        <v>0</v>
      </c>
      <c r="BR183" s="18">
        <f t="shared" si="244"/>
        <v>0</v>
      </c>
      <c r="BS183" s="18">
        <f t="shared" si="245"/>
        <v>0</v>
      </c>
      <c r="BT183" s="18">
        <f t="shared" si="246"/>
        <v>0</v>
      </c>
      <c r="BU183" s="18">
        <f t="shared" si="247"/>
        <v>0</v>
      </c>
      <c r="BV183" s="18">
        <f t="shared" si="248"/>
        <v>0</v>
      </c>
      <c r="BW183" s="18">
        <f t="shared" si="249"/>
        <v>0</v>
      </c>
      <c r="BX183" s="18">
        <f t="shared" si="250"/>
        <v>0</v>
      </c>
      <c r="BY183" s="18">
        <f t="shared" si="251"/>
        <v>0</v>
      </c>
      <c r="BZ183" s="18">
        <f t="shared" si="252"/>
        <v>0</v>
      </c>
      <c r="CA183" s="18">
        <f t="shared" si="253"/>
        <v>0</v>
      </c>
      <c r="CB183" s="18">
        <f t="shared" si="254"/>
        <v>0</v>
      </c>
      <c r="CC183" s="18">
        <f t="shared" si="255"/>
        <v>0</v>
      </c>
      <c r="CD183" s="18">
        <f t="shared" si="256"/>
        <v>0</v>
      </c>
      <c r="CE183" s="18">
        <f t="shared" si="257"/>
        <v>0</v>
      </c>
      <c r="CF183" s="18">
        <f t="shared" si="258"/>
        <v>0</v>
      </c>
      <c r="CG183" s="18">
        <f t="shared" si="259"/>
        <v>0</v>
      </c>
      <c r="CH183" s="18">
        <f t="shared" si="260"/>
        <v>0</v>
      </c>
      <c r="CI183" s="18">
        <f t="shared" si="261"/>
        <v>0</v>
      </c>
      <c r="CJ183" s="18">
        <f t="shared" si="262"/>
        <v>0</v>
      </c>
    </row>
    <row r="184" spans="1:88" x14ac:dyDescent="0.3">
      <c r="A184" s="1">
        <v>44096</v>
      </c>
      <c r="B184">
        <v>37734.080000000002</v>
      </c>
      <c r="C184">
        <f>Table1[[#This Row],[Close]]-0.001*Table1[[#This Row],[Close]]</f>
        <v>37696.34592</v>
      </c>
      <c r="D184">
        <f>Table1[[#This Row],[Close]]+0.001*Table1[[#This Row],[Close]]</f>
        <v>37771.814080000004</v>
      </c>
      <c r="E184" t="str">
        <f>IF(Table1[[#This Row],[Close]]&gt;D183,"UP",IF(Table1[[#This Row],[Close]]&lt;C183,"Down","Constant"))</f>
        <v>Down</v>
      </c>
      <c r="F184" s="3">
        <f>IF(Table1[[#This Row],[Column1]]="Up",1,IF(Table1[[#This Row],[Column1]]="Down",-1,0))</f>
        <v>-1</v>
      </c>
      <c r="G184">
        <f t="shared" si="181"/>
        <v>0</v>
      </c>
      <c r="H184" s="18">
        <f t="shared" si="182"/>
        <v>0</v>
      </c>
      <c r="I184" s="18">
        <f t="shared" si="183"/>
        <v>0</v>
      </c>
      <c r="J184" s="18">
        <f t="shared" si="184"/>
        <v>0</v>
      </c>
      <c r="K184" s="18">
        <f t="shared" si="185"/>
        <v>0</v>
      </c>
      <c r="L184" s="18">
        <f t="shared" si="186"/>
        <v>0</v>
      </c>
      <c r="M184" s="18">
        <f t="shared" si="187"/>
        <v>0</v>
      </c>
      <c r="N184" s="18">
        <f t="shared" si="188"/>
        <v>0</v>
      </c>
      <c r="O184" s="18">
        <f t="shared" si="189"/>
        <v>0</v>
      </c>
      <c r="P184" s="18">
        <f t="shared" si="190"/>
        <v>0</v>
      </c>
      <c r="Q184" s="18">
        <f t="shared" si="191"/>
        <v>0</v>
      </c>
      <c r="R184" s="18">
        <f t="shared" si="192"/>
        <v>0</v>
      </c>
      <c r="S184" s="18">
        <f t="shared" si="193"/>
        <v>0</v>
      </c>
      <c r="T184" s="18">
        <f t="shared" si="194"/>
        <v>0</v>
      </c>
      <c r="U184" s="18">
        <f t="shared" si="195"/>
        <v>0</v>
      </c>
      <c r="V184" s="18">
        <f t="shared" si="196"/>
        <v>0</v>
      </c>
      <c r="W184" s="18">
        <f t="shared" si="197"/>
        <v>0</v>
      </c>
      <c r="X184" s="18">
        <f t="shared" si="198"/>
        <v>0</v>
      </c>
      <c r="Y184" s="18">
        <f t="shared" si="199"/>
        <v>0</v>
      </c>
      <c r="Z184" s="18">
        <f t="shared" si="200"/>
        <v>1</v>
      </c>
      <c r="AA184" s="18">
        <f t="shared" si="201"/>
        <v>0</v>
      </c>
      <c r="AB184" s="18">
        <f t="shared" si="202"/>
        <v>0</v>
      </c>
      <c r="AC184" s="18">
        <f t="shared" si="203"/>
        <v>0</v>
      </c>
      <c r="AD184" s="18">
        <f t="shared" si="204"/>
        <v>0</v>
      </c>
      <c r="AE184" s="18">
        <f t="shared" si="205"/>
        <v>0</v>
      </c>
      <c r="AF184" s="18">
        <f t="shared" si="206"/>
        <v>0</v>
      </c>
      <c r="AG184" s="18">
        <f t="shared" si="207"/>
        <v>0</v>
      </c>
      <c r="AH184" s="18">
        <f t="shared" si="208"/>
        <v>0</v>
      </c>
      <c r="AI184" s="18">
        <f t="shared" si="209"/>
        <v>0</v>
      </c>
      <c r="AJ184" s="18">
        <f t="shared" si="210"/>
        <v>0</v>
      </c>
      <c r="AK184" s="18">
        <f t="shared" si="211"/>
        <v>0</v>
      </c>
      <c r="AL184" s="18">
        <f t="shared" si="212"/>
        <v>0</v>
      </c>
      <c r="AM184" s="18">
        <f t="shared" si="213"/>
        <v>0</v>
      </c>
      <c r="AN184" s="18">
        <f t="shared" si="214"/>
        <v>0</v>
      </c>
      <c r="AO184" s="18">
        <f t="shared" si="215"/>
        <v>0</v>
      </c>
      <c r="AP184" s="18">
        <f t="shared" si="216"/>
        <v>0</v>
      </c>
      <c r="AQ184" s="18">
        <f t="shared" si="217"/>
        <v>0</v>
      </c>
      <c r="AR184" s="18">
        <f t="shared" si="218"/>
        <v>0</v>
      </c>
      <c r="AS184" s="18">
        <f t="shared" si="219"/>
        <v>0</v>
      </c>
      <c r="AT184" s="18">
        <f t="shared" si="220"/>
        <v>0</v>
      </c>
      <c r="AU184" s="18">
        <f t="shared" si="221"/>
        <v>0</v>
      </c>
      <c r="AV184" s="18">
        <f t="shared" si="222"/>
        <v>0</v>
      </c>
      <c r="AW184" s="18">
        <f t="shared" si="223"/>
        <v>0</v>
      </c>
      <c r="AX184" s="18">
        <f t="shared" si="224"/>
        <v>0</v>
      </c>
      <c r="AY184" s="18">
        <f t="shared" si="225"/>
        <v>0</v>
      </c>
      <c r="AZ184" s="18">
        <f t="shared" si="226"/>
        <v>0</v>
      </c>
      <c r="BA184" s="18">
        <f t="shared" si="227"/>
        <v>0</v>
      </c>
      <c r="BB184" s="18">
        <f t="shared" si="228"/>
        <v>0</v>
      </c>
      <c r="BC184" s="18">
        <f t="shared" si="229"/>
        <v>0</v>
      </c>
      <c r="BD184" s="18">
        <f t="shared" si="230"/>
        <v>0</v>
      </c>
      <c r="BE184" s="18">
        <f t="shared" si="231"/>
        <v>0</v>
      </c>
      <c r="BF184" s="18">
        <f t="shared" si="232"/>
        <v>0</v>
      </c>
      <c r="BG184" s="18">
        <f t="shared" si="233"/>
        <v>0</v>
      </c>
      <c r="BH184" s="18">
        <f t="shared" si="234"/>
        <v>0</v>
      </c>
      <c r="BI184" s="18">
        <f t="shared" si="235"/>
        <v>0</v>
      </c>
      <c r="BJ184" s="18">
        <f t="shared" si="236"/>
        <v>0</v>
      </c>
      <c r="BK184" s="18">
        <f t="shared" si="237"/>
        <v>0</v>
      </c>
      <c r="BL184" s="18">
        <f t="shared" si="238"/>
        <v>0</v>
      </c>
      <c r="BM184" s="18">
        <f t="shared" si="239"/>
        <v>0</v>
      </c>
      <c r="BN184" s="18">
        <f t="shared" si="240"/>
        <v>0</v>
      </c>
      <c r="BO184" s="18">
        <f t="shared" si="241"/>
        <v>0</v>
      </c>
      <c r="BP184" s="18">
        <f t="shared" si="242"/>
        <v>0</v>
      </c>
      <c r="BQ184" s="18">
        <f t="shared" si="243"/>
        <v>0</v>
      </c>
      <c r="BR184" s="18">
        <f t="shared" si="244"/>
        <v>0</v>
      </c>
      <c r="BS184" s="18">
        <f t="shared" si="245"/>
        <v>0</v>
      </c>
      <c r="BT184" s="18">
        <f t="shared" si="246"/>
        <v>0</v>
      </c>
      <c r="BU184" s="18">
        <f t="shared" si="247"/>
        <v>0</v>
      </c>
      <c r="BV184" s="18">
        <f t="shared" si="248"/>
        <v>0</v>
      </c>
      <c r="BW184" s="18">
        <f t="shared" si="249"/>
        <v>0</v>
      </c>
      <c r="BX184" s="18">
        <f t="shared" si="250"/>
        <v>0</v>
      </c>
      <c r="BY184" s="18">
        <f t="shared" si="251"/>
        <v>0</v>
      </c>
      <c r="BZ184" s="18">
        <f t="shared" si="252"/>
        <v>0</v>
      </c>
      <c r="CA184" s="18">
        <f t="shared" si="253"/>
        <v>0</v>
      </c>
      <c r="CB184" s="18">
        <f t="shared" si="254"/>
        <v>0</v>
      </c>
      <c r="CC184" s="18">
        <f t="shared" si="255"/>
        <v>0</v>
      </c>
      <c r="CD184" s="18">
        <f t="shared" si="256"/>
        <v>0</v>
      </c>
      <c r="CE184" s="18">
        <f t="shared" si="257"/>
        <v>0</v>
      </c>
      <c r="CF184" s="18">
        <f t="shared" si="258"/>
        <v>0</v>
      </c>
      <c r="CG184" s="18">
        <f t="shared" si="259"/>
        <v>0</v>
      </c>
      <c r="CH184" s="18">
        <f t="shared" si="260"/>
        <v>0</v>
      </c>
      <c r="CI184" s="18">
        <f t="shared" si="261"/>
        <v>0</v>
      </c>
      <c r="CJ184" s="18">
        <f t="shared" si="262"/>
        <v>0</v>
      </c>
    </row>
    <row r="185" spans="1:88" x14ac:dyDescent="0.3">
      <c r="A185" s="1">
        <v>44097</v>
      </c>
      <c r="B185">
        <v>37668.42</v>
      </c>
      <c r="C185">
        <f>Table1[[#This Row],[Close]]-0.001*Table1[[#This Row],[Close]]</f>
        <v>37630.751579999996</v>
      </c>
      <c r="D185">
        <f>Table1[[#This Row],[Close]]+0.001*Table1[[#This Row],[Close]]</f>
        <v>37706.08842</v>
      </c>
      <c r="E185" t="str">
        <f>IF(Table1[[#This Row],[Close]]&gt;D184,"UP",IF(Table1[[#This Row],[Close]]&lt;C184,"Down","Constant"))</f>
        <v>Down</v>
      </c>
      <c r="F185" s="3">
        <f>IF(Table1[[#This Row],[Column1]]="Up",1,IF(Table1[[#This Row],[Column1]]="Down",-1,0))</f>
        <v>-1</v>
      </c>
      <c r="G185">
        <f t="shared" si="181"/>
        <v>0</v>
      </c>
      <c r="H185" s="18">
        <f t="shared" si="182"/>
        <v>0</v>
      </c>
      <c r="I185" s="18">
        <f t="shared" si="183"/>
        <v>0</v>
      </c>
      <c r="J185" s="18">
        <f t="shared" si="184"/>
        <v>0</v>
      </c>
      <c r="K185" s="18">
        <f t="shared" si="185"/>
        <v>0</v>
      </c>
      <c r="L185" s="18">
        <f t="shared" si="186"/>
        <v>0</v>
      </c>
      <c r="M185" s="18">
        <f t="shared" si="187"/>
        <v>0</v>
      </c>
      <c r="N185" s="18">
        <f t="shared" si="188"/>
        <v>0</v>
      </c>
      <c r="O185" s="18">
        <f t="shared" si="189"/>
        <v>0</v>
      </c>
      <c r="P185" s="18">
        <f t="shared" si="190"/>
        <v>0</v>
      </c>
      <c r="Q185" s="18">
        <f t="shared" si="191"/>
        <v>0</v>
      </c>
      <c r="R185" s="18">
        <f t="shared" si="192"/>
        <v>0</v>
      </c>
      <c r="S185" s="18">
        <f t="shared" si="193"/>
        <v>0</v>
      </c>
      <c r="T185" s="18">
        <f t="shared" si="194"/>
        <v>0</v>
      </c>
      <c r="U185" s="18">
        <f t="shared" si="195"/>
        <v>0</v>
      </c>
      <c r="V185" s="18">
        <f t="shared" si="196"/>
        <v>0</v>
      </c>
      <c r="W185" s="18">
        <f t="shared" si="197"/>
        <v>0</v>
      </c>
      <c r="X185" s="18">
        <f t="shared" si="198"/>
        <v>0</v>
      </c>
      <c r="Y185" s="18">
        <f t="shared" si="199"/>
        <v>0</v>
      </c>
      <c r="Z185" s="18">
        <f t="shared" si="200"/>
        <v>1</v>
      </c>
      <c r="AA185" s="18">
        <f t="shared" si="201"/>
        <v>0</v>
      </c>
      <c r="AB185" s="18">
        <f t="shared" si="202"/>
        <v>0</v>
      </c>
      <c r="AC185" s="18">
        <f t="shared" si="203"/>
        <v>0</v>
      </c>
      <c r="AD185" s="18">
        <f t="shared" si="204"/>
        <v>0</v>
      </c>
      <c r="AE185" s="18">
        <f t="shared" si="205"/>
        <v>0</v>
      </c>
      <c r="AF185" s="18">
        <f t="shared" si="206"/>
        <v>0</v>
      </c>
      <c r="AG185" s="18">
        <f t="shared" si="207"/>
        <v>0</v>
      </c>
      <c r="AH185" s="18">
        <f t="shared" si="208"/>
        <v>0</v>
      </c>
      <c r="AI185" s="18">
        <f t="shared" si="209"/>
        <v>0</v>
      </c>
      <c r="AJ185" s="18">
        <f t="shared" si="210"/>
        <v>0</v>
      </c>
      <c r="AK185" s="18">
        <f t="shared" si="211"/>
        <v>0</v>
      </c>
      <c r="AL185" s="18">
        <f t="shared" si="212"/>
        <v>0</v>
      </c>
      <c r="AM185" s="18">
        <f t="shared" si="213"/>
        <v>0</v>
      </c>
      <c r="AN185" s="18">
        <f t="shared" si="214"/>
        <v>0</v>
      </c>
      <c r="AO185" s="18">
        <f t="shared" si="215"/>
        <v>0</v>
      </c>
      <c r="AP185" s="18">
        <f t="shared" si="216"/>
        <v>0</v>
      </c>
      <c r="AQ185" s="18">
        <f t="shared" si="217"/>
        <v>0</v>
      </c>
      <c r="AR185" s="18">
        <f t="shared" si="218"/>
        <v>0</v>
      </c>
      <c r="AS185" s="18">
        <f t="shared" si="219"/>
        <v>0</v>
      </c>
      <c r="AT185" s="18">
        <f t="shared" si="220"/>
        <v>0</v>
      </c>
      <c r="AU185" s="18">
        <f t="shared" si="221"/>
        <v>0</v>
      </c>
      <c r="AV185" s="18">
        <f t="shared" si="222"/>
        <v>0</v>
      </c>
      <c r="AW185" s="18">
        <f t="shared" si="223"/>
        <v>0</v>
      </c>
      <c r="AX185" s="18">
        <f t="shared" si="224"/>
        <v>0</v>
      </c>
      <c r="AY185" s="18">
        <f t="shared" si="225"/>
        <v>0</v>
      </c>
      <c r="AZ185" s="18">
        <f t="shared" si="226"/>
        <v>0</v>
      </c>
      <c r="BA185" s="18">
        <f t="shared" si="227"/>
        <v>0</v>
      </c>
      <c r="BB185" s="18">
        <f t="shared" si="228"/>
        <v>0</v>
      </c>
      <c r="BC185" s="18">
        <f t="shared" si="229"/>
        <v>0</v>
      </c>
      <c r="BD185" s="18">
        <f t="shared" si="230"/>
        <v>0</v>
      </c>
      <c r="BE185" s="18">
        <f t="shared" si="231"/>
        <v>0</v>
      </c>
      <c r="BF185" s="18">
        <f t="shared" si="232"/>
        <v>0</v>
      </c>
      <c r="BG185" s="18">
        <f t="shared" si="233"/>
        <v>0</v>
      </c>
      <c r="BH185" s="18">
        <f t="shared" si="234"/>
        <v>0</v>
      </c>
      <c r="BI185" s="18">
        <f t="shared" si="235"/>
        <v>0</v>
      </c>
      <c r="BJ185" s="18">
        <f t="shared" si="236"/>
        <v>0</v>
      </c>
      <c r="BK185" s="18">
        <f t="shared" si="237"/>
        <v>0</v>
      </c>
      <c r="BL185" s="18">
        <f t="shared" si="238"/>
        <v>0</v>
      </c>
      <c r="BM185" s="18">
        <f t="shared" si="239"/>
        <v>0</v>
      </c>
      <c r="BN185" s="18">
        <f t="shared" si="240"/>
        <v>0</v>
      </c>
      <c r="BO185" s="18">
        <f t="shared" si="241"/>
        <v>0</v>
      </c>
      <c r="BP185" s="18">
        <f t="shared" si="242"/>
        <v>0</v>
      </c>
      <c r="BQ185" s="18">
        <f t="shared" si="243"/>
        <v>0</v>
      </c>
      <c r="BR185" s="18">
        <f t="shared" si="244"/>
        <v>0</v>
      </c>
      <c r="BS185" s="18">
        <f t="shared" si="245"/>
        <v>0</v>
      </c>
      <c r="BT185" s="18">
        <f t="shared" si="246"/>
        <v>0</v>
      </c>
      <c r="BU185" s="18">
        <f t="shared" si="247"/>
        <v>0</v>
      </c>
      <c r="BV185" s="18">
        <f t="shared" si="248"/>
        <v>0</v>
      </c>
      <c r="BW185" s="18">
        <f t="shared" si="249"/>
        <v>0</v>
      </c>
      <c r="BX185" s="18">
        <f t="shared" si="250"/>
        <v>0</v>
      </c>
      <c r="BY185" s="18">
        <f t="shared" si="251"/>
        <v>0</v>
      </c>
      <c r="BZ185" s="18">
        <f t="shared" si="252"/>
        <v>0</v>
      </c>
      <c r="CA185" s="18">
        <f t="shared" si="253"/>
        <v>0</v>
      </c>
      <c r="CB185" s="18">
        <f t="shared" si="254"/>
        <v>0</v>
      </c>
      <c r="CC185" s="18">
        <f t="shared" si="255"/>
        <v>0</v>
      </c>
      <c r="CD185" s="18">
        <f t="shared" si="256"/>
        <v>0</v>
      </c>
      <c r="CE185" s="18">
        <f t="shared" si="257"/>
        <v>0</v>
      </c>
      <c r="CF185" s="18">
        <f t="shared" si="258"/>
        <v>0</v>
      </c>
      <c r="CG185" s="18">
        <f t="shared" si="259"/>
        <v>0</v>
      </c>
      <c r="CH185" s="18">
        <f t="shared" si="260"/>
        <v>0</v>
      </c>
      <c r="CI185" s="18">
        <f t="shared" si="261"/>
        <v>0</v>
      </c>
      <c r="CJ185" s="18">
        <f t="shared" si="262"/>
        <v>0</v>
      </c>
    </row>
    <row r="186" spans="1:88" x14ac:dyDescent="0.3">
      <c r="A186" s="1">
        <v>44098</v>
      </c>
      <c r="B186">
        <v>36553.599999999999</v>
      </c>
      <c r="C186">
        <f>Table1[[#This Row],[Close]]-0.001*Table1[[#This Row],[Close]]</f>
        <v>36517.046399999999</v>
      </c>
      <c r="D186">
        <f>Table1[[#This Row],[Close]]+0.001*Table1[[#This Row],[Close]]</f>
        <v>36590.153599999998</v>
      </c>
      <c r="E186" t="str">
        <f>IF(Table1[[#This Row],[Close]]&gt;D185,"UP",IF(Table1[[#This Row],[Close]]&lt;C185,"Down","Constant"))</f>
        <v>Down</v>
      </c>
      <c r="F186" s="3">
        <f>IF(Table1[[#This Row],[Column1]]="Up",1,IF(Table1[[#This Row],[Column1]]="Down",-1,0))</f>
        <v>-1</v>
      </c>
      <c r="G186">
        <f t="shared" si="181"/>
        <v>0</v>
      </c>
      <c r="H186" s="18">
        <f t="shared" si="182"/>
        <v>0</v>
      </c>
      <c r="I186" s="18">
        <f t="shared" si="183"/>
        <v>0</v>
      </c>
      <c r="J186" s="18">
        <f t="shared" si="184"/>
        <v>0</v>
      </c>
      <c r="K186" s="18">
        <f t="shared" si="185"/>
        <v>0</v>
      </c>
      <c r="L186" s="18">
        <f t="shared" si="186"/>
        <v>0</v>
      </c>
      <c r="M186" s="18">
        <f t="shared" si="187"/>
        <v>0</v>
      </c>
      <c r="N186" s="18">
        <f t="shared" si="188"/>
        <v>0</v>
      </c>
      <c r="O186" s="18">
        <f t="shared" si="189"/>
        <v>0</v>
      </c>
      <c r="P186" s="18">
        <f t="shared" si="190"/>
        <v>0</v>
      </c>
      <c r="Q186" s="18">
        <f t="shared" si="191"/>
        <v>0</v>
      </c>
      <c r="R186" s="18">
        <f t="shared" si="192"/>
        <v>0</v>
      </c>
      <c r="S186" s="18">
        <f t="shared" si="193"/>
        <v>0</v>
      </c>
      <c r="T186" s="18">
        <f t="shared" si="194"/>
        <v>0</v>
      </c>
      <c r="U186" s="18">
        <f t="shared" si="195"/>
        <v>0</v>
      </c>
      <c r="V186" s="18">
        <f t="shared" si="196"/>
        <v>0</v>
      </c>
      <c r="W186" s="18">
        <f t="shared" si="197"/>
        <v>0</v>
      </c>
      <c r="X186" s="18">
        <f t="shared" si="198"/>
        <v>0</v>
      </c>
      <c r="Y186" s="18">
        <f t="shared" si="199"/>
        <v>0</v>
      </c>
      <c r="Z186" s="18">
        <f t="shared" si="200"/>
        <v>1</v>
      </c>
      <c r="AA186" s="18">
        <f t="shared" si="201"/>
        <v>0</v>
      </c>
      <c r="AB186" s="18">
        <f t="shared" si="202"/>
        <v>0</v>
      </c>
      <c r="AC186" s="18">
        <f t="shared" si="203"/>
        <v>0</v>
      </c>
      <c r="AD186" s="18">
        <f t="shared" si="204"/>
        <v>0</v>
      </c>
      <c r="AE186" s="18">
        <f t="shared" si="205"/>
        <v>0</v>
      </c>
      <c r="AF186" s="18">
        <f t="shared" si="206"/>
        <v>0</v>
      </c>
      <c r="AG186" s="18">
        <f t="shared" si="207"/>
        <v>0</v>
      </c>
      <c r="AH186" s="18">
        <f t="shared" si="208"/>
        <v>0</v>
      </c>
      <c r="AI186" s="18">
        <f t="shared" si="209"/>
        <v>0</v>
      </c>
      <c r="AJ186" s="18">
        <f t="shared" si="210"/>
        <v>0</v>
      </c>
      <c r="AK186" s="18">
        <f t="shared" si="211"/>
        <v>0</v>
      </c>
      <c r="AL186" s="18">
        <f t="shared" si="212"/>
        <v>0</v>
      </c>
      <c r="AM186" s="18">
        <f t="shared" si="213"/>
        <v>0</v>
      </c>
      <c r="AN186" s="18">
        <f t="shared" si="214"/>
        <v>0</v>
      </c>
      <c r="AO186" s="18">
        <f t="shared" si="215"/>
        <v>0</v>
      </c>
      <c r="AP186" s="18">
        <f t="shared" si="216"/>
        <v>0</v>
      </c>
      <c r="AQ186" s="18">
        <f t="shared" si="217"/>
        <v>0</v>
      </c>
      <c r="AR186" s="18">
        <f t="shared" si="218"/>
        <v>0</v>
      </c>
      <c r="AS186" s="18">
        <f t="shared" si="219"/>
        <v>0</v>
      </c>
      <c r="AT186" s="18">
        <f t="shared" si="220"/>
        <v>0</v>
      </c>
      <c r="AU186" s="18">
        <f t="shared" si="221"/>
        <v>0</v>
      </c>
      <c r="AV186" s="18">
        <f t="shared" si="222"/>
        <v>0</v>
      </c>
      <c r="AW186" s="18">
        <f t="shared" si="223"/>
        <v>0</v>
      </c>
      <c r="AX186" s="18">
        <f t="shared" si="224"/>
        <v>0</v>
      </c>
      <c r="AY186" s="18">
        <f t="shared" si="225"/>
        <v>0</v>
      </c>
      <c r="AZ186" s="18">
        <f t="shared" si="226"/>
        <v>0</v>
      </c>
      <c r="BA186" s="18">
        <f t="shared" si="227"/>
        <v>0</v>
      </c>
      <c r="BB186" s="18">
        <f t="shared" si="228"/>
        <v>0</v>
      </c>
      <c r="BC186" s="18">
        <f t="shared" si="229"/>
        <v>0</v>
      </c>
      <c r="BD186" s="18">
        <f t="shared" si="230"/>
        <v>0</v>
      </c>
      <c r="BE186" s="18">
        <f t="shared" si="231"/>
        <v>0</v>
      </c>
      <c r="BF186" s="18">
        <f t="shared" si="232"/>
        <v>0</v>
      </c>
      <c r="BG186" s="18">
        <f t="shared" si="233"/>
        <v>0</v>
      </c>
      <c r="BH186" s="18">
        <f t="shared" si="234"/>
        <v>0</v>
      </c>
      <c r="BI186" s="18">
        <f t="shared" si="235"/>
        <v>0</v>
      </c>
      <c r="BJ186" s="18">
        <f t="shared" si="236"/>
        <v>0</v>
      </c>
      <c r="BK186" s="18">
        <f t="shared" si="237"/>
        <v>0</v>
      </c>
      <c r="BL186" s="18">
        <f t="shared" si="238"/>
        <v>0</v>
      </c>
      <c r="BM186" s="18">
        <f t="shared" si="239"/>
        <v>0</v>
      </c>
      <c r="BN186" s="18">
        <f t="shared" si="240"/>
        <v>0</v>
      </c>
      <c r="BO186" s="18">
        <f t="shared" si="241"/>
        <v>0</v>
      </c>
      <c r="BP186" s="18">
        <f t="shared" si="242"/>
        <v>0</v>
      </c>
      <c r="BQ186" s="18">
        <f t="shared" si="243"/>
        <v>0</v>
      </c>
      <c r="BR186" s="18">
        <f t="shared" si="244"/>
        <v>0</v>
      </c>
      <c r="BS186" s="18">
        <f t="shared" si="245"/>
        <v>0</v>
      </c>
      <c r="BT186" s="18">
        <f t="shared" si="246"/>
        <v>0</v>
      </c>
      <c r="BU186" s="18">
        <f t="shared" si="247"/>
        <v>0</v>
      </c>
      <c r="BV186" s="18">
        <f t="shared" si="248"/>
        <v>0</v>
      </c>
      <c r="BW186" s="18">
        <f t="shared" si="249"/>
        <v>0</v>
      </c>
      <c r="BX186" s="18">
        <f t="shared" si="250"/>
        <v>0</v>
      </c>
      <c r="BY186" s="18">
        <f t="shared" si="251"/>
        <v>0</v>
      </c>
      <c r="BZ186" s="18">
        <f t="shared" si="252"/>
        <v>0</v>
      </c>
      <c r="CA186" s="18">
        <f t="shared" si="253"/>
        <v>0</v>
      </c>
      <c r="CB186" s="18">
        <f t="shared" si="254"/>
        <v>0</v>
      </c>
      <c r="CC186" s="18">
        <f t="shared" si="255"/>
        <v>0</v>
      </c>
      <c r="CD186" s="18">
        <f t="shared" si="256"/>
        <v>0</v>
      </c>
      <c r="CE186" s="18">
        <f t="shared" si="257"/>
        <v>0</v>
      </c>
      <c r="CF186" s="18">
        <f t="shared" si="258"/>
        <v>0</v>
      </c>
      <c r="CG186" s="18">
        <f t="shared" si="259"/>
        <v>0</v>
      </c>
      <c r="CH186" s="18">
        <f t="shared" si="260"/>
        <v>0</v>
      </c>
      <c r="CI186" s="18">
        <f t="shared" si="261"/>
        <v>0</v>
      </c>
      <c r="CJ186" s="18">
        <f t="shared" si="262"/>
        <v>0</v>
      </c>
    </row>
    <row r="187" spans="1:88" x14ac:dyDescent="0.3">
      <c r="A187" s="1">
        <v>44099</v>
      </c>
      <c r="B187">
        <v>37388.660000000003</v>
      </c>
      <c r="C187">
        <f>Table1[[#This Row],[Close]]-0.001*Table1[[#This Row],[Close]]</f>
        <v>37351.271340000007</v>
      </c>
      <c r="D187">
        <f>Table1[[#This Row],[Close]]+0.001*Table1[[#This Row],[Close]]</f>
        <v>37426.04866</v>
      </c>
      <c r="E187" t="str">
        <f>IF(Table1[[#This Row],[Close]]&gt;D186,"UP",IF(Table1[[#This Row],[Close]]&lt;C186,"Down","Constant"))</f>
        <v>UP</v>
      </c>
      <c r="F187" s="3">
        <f>IF(Table1[[#This Row],[Column1]]="Up",1,IF(Table1[[#This Row],[Column1]]="Down",-1,0))</f>
        <v>1</v>
      </c>
      <c r="G187">
        <f t="shared" si="181"/>
        <v>0</v>
      </c>
      <c r="H187" s="18">
        <f t="shared" si="182"/>
        <v>0</v>
      </c>
      <c r="I187" s="18">
        <f t="shared" si="183"/>
        <v>0</v>
      </c>
      <c r="J187" s="18">
        <f t="shared" si="184"/>
        <v>0</v>
      </c>
      <c r="K187" s="18">
        <f t="shared" si="185"/>
        <v>0</v>
      </c>
      <c r="L187" s="18">
        <f t="shared" si="186"/>
        <v>0</v>
      </c>
      <c r="M187" s="18">
        <f t="shared" si="187"/>
        <v>0</v>
      </c>
      <c r="N187" s="18">
        <f t="shared" si="188"/>
        <v>0</v>
      </c>
      <c r="O187" s="18">
        <f t="shared" si="189"/>
        <v>0</v>
      </c>
      <c r="P187" s="18">
        <f t="shared" si="190"/>
        <v>0</v>
      </c>
      <c r="Q187" s="18">
        <f t="shared" si="191"/>
        <v>0</v>
      </c>
      <c r="R187" s="18">
        <f t="shared" si="192"/>
        <v>0</v>
      </c>
      <c r="S187" s="18">
        <f t="shared" si="193"/>
        <v>0</v>
      </c>
      <c r="T187" s="18">
        <f t="shared" si="194"/>
        <v>0</v>
      </c>
      <c r="U187" s="18">
        <f t="shared" si="195"/>
        <v>0</v>
      </c>
      <c r="V187" s="18">
        <f t="shared" si="196"/>
        <v>0</v>
      </c>
      <c r="W187" s="18">
        <f t="shared" si="197"/>
        <v>0</v>
      </c>
      <c r="X187" s="18">
        <f t="shared" si="198"/>
        <v>0</v>
      </c>
      <c r="Y187" s="18">
        <f t="shared" si="199"/>
        <v>0</v>
      </c>
      <c r="Z187" s="18">
        <f t="shared" si="200"/>
        <v>0</v>
      </c>
      <c r="AA187" s="18">
        <f t="shared" si="201"/>
        <v>0</v>
      </c>
      <c r="AB187" s="18">
        <f t="shared" si="202"/>
        <v>1</v>
      </c>
      <c r="AC187" s="18">
        <f t="shared" si="203"/>
        <v>0</v>
      </c>
      <c r="AD187" s="18">
        <f t="shared" si="204"/>
        <v>0</v>
      </c>
      <c r="AE187" s="18">
        <f t="shared" si="205"/>
        <v>0</v>
      </c>
      <c r="AF187" s="18">
        <f t="shared" si="206"/>
        <v>0</v>
      </c>
      <c r="AG187" s="18">
        <f t="shared" si="207"/>
        <v>0</v>
      </c>
      <c r="AH187" s="18">
        <f t="shared" si="208"/>
        <v>0</v>
      </c>
      <c r="AI187" s="18">
        <f t="shared" si="209"/>
        <v>0</v>
      </c>
      <c r="AJ187" s="18">
        <f t="shared" si="210"/>
        <v>0</v>
      </c>
      <c r="AK187" s="18">
        <f t="shared" si="211"/>
        <v>0</v>
      </c>
      <c r="AL187" s="18">
        <f t="shared" si="212"/>
        <v>0</v>
      </c>
      <c r="AM187" s="18">
        <f t="shared" si="213"/>
        <v>0</v>
      </c>
      <c r="AN187" s="18">
        <f t="shared" si="214"/>
        <v>0</v>
      </c>
      <c r="AO187" s="18">
        <f t="shared" si="215"/>
        <v>0</v>
      </c>
      <c r="AP187" s="18">
        <f t="shared" si="216"/>
        <v>0</v>
      </c>
      <c r="AQ187" s="18">
        <f t="shared" si="217"/>
        <v>0</v>
      </c>
      <c r="AR187" s="18">
        <f t="shared" si="218"/>
        <v>0</v>
      </c>
      <c r="AS187" s="18">
        <f t="shared" si="219"/>
        <v>0</v>
      </c>
      <c r="AT187" s="18">
        <f t="shared" si="220"/>
        <v>0</v>
      </c>
      <c r="AU187" s="18">
        <f t="shared" si="221"/>
        <v>0</v>
      </c>
      <c r="AV187" s="18">
        <f t="shared" si="222"/>
        <v>0</v>
      </c>
      <c r="AW187" s="18">
        <f t="shared" si="223"/>
        <v>0</v>
      </c>
      <c r="AX187" s="18">
        <f t="shared" si="224"/>
        <v>0</v>
      </c>
      <c r="AY187" s="18">
        <f t="shared" si="225"/>
        <v>0</v>
      </c>
      <c r="AZ187" s="18">
        <f t="shared" si="226"/>
        <v>0</v>
      </c>
      <c r="BA187" s="18">
        <f t="shared" si="227"/>
        <v>0</v>
      </c>
      <c r="BB187" s="18">
        <f t="shared" si="228"/>
        <v>0</v>
      </c>
      <c r="BC187" s="18">
        <f t="shared" si="229"/>
        <v>0</v>
      </c>
      <c r="BD187" s="18">
        <f t="shared" si="230"/>
        <v>0</v>
      </c>
      <c r="BE187" s="18">
        <f t="shared" si="231"/>
        <v>0</v>
      </c>
      <c r="BF187" s="18">
        <f t="shared" si="232"/>
        <v>0</v>
      </c>
      <c r="BG187" s="18">
        <f t="shared" si="233"/>
        <v>0</v>
      </c>
      <c r="BH187" s="18">
        <f t="shared" si="234"/>
        <v>0</v>
      </c>
      <c r="BI187" s="18">
        <f t="shared" si="235"/>
        <v>0</v>
      </c>
      <c r="BJ187" s="18">
        <f t="shared" si="236"/>
        <v>0</v>
      </c>
      <c r="BK187" s="18">
        <f t="shared" si="237"/>
        <v>0</v>
      </c>
      <c r="BL187" s="18">
        <f t="shared" si="238"/>
        <v>0</v>
      </c>
      <c r="BM187" s="18">
        <f t="shared" si="239"/>
        <v>0</v>
      </c>
      <c r="BN187" s="18">
        <f t="shared" si="240"/>
        <v>0</v>
      </c>
      <c r="BO187" s="18">
        <f t="shared" si="241"/>
        <v>0</v>
      </c>
      <c r="BP187" s="18">
        <f t="shared" si="242"/>
        <v>0</v>
      </c>
      <c r="BQ187" s="18">
        <f t="shared" si="243"/>
        <v>0</v>
      </c>
      <c r="BR187" s="18">
        <f t="shared" si="244"/>
        <v>0</v>
      </c>
      <c r="BS187" s="18">
        <f t="shared" si="245"/>
        <v>0</v>
      </c>
      <c r="BT187" s="18">
        <f t="shared" si="246"/>
        <v>0</v>
      </c>
      <c r="BU187" s="18">
        <f t="shared" si="247"/>
        <v>0</v>
      </c>
      <c r="BV187" s="18">
        <f t="shared" si="248"/>
        <v>0</v>
      </c>
      <c r="BW187" s="18">
        <f t="shared" si="249"/>
        <v>0</v>
      </c>
      <c r="BX187" s="18">
        <f t="shared" si="250"/>
        <v>0</v>
      </c>
      <c r="BY187" s="18">
        <f t="shared" si="251"/>
        <v>0</v>
      </c>
      <c r="BZ187" s="18">
        <f t="shared" si="252"/>
        <v>0</v>
      </c>
      <c r="CA187" s="18">
        <f t="shared" si="253"/>
        <v>0</v>
      </c>
      <c r="CB187" s="18">
        <f t="shared" si="254"/>
        <v>0</v>
      </c>
      <c r="CC187" s="18">
        <f t="shared" si="255"/>
        <v>0</v>
      </c>
      <c r="CD187" s="18">
        <f t="shared" si="256"/>
        <v>0</v>
      </c>
      <c r="CE187" s="18">
        <f t="shared" si="257"/>
        <v>0</v>
      </c>
      <c r="CF187" s="18">
        <f t="shared" si="258"/>
        <v>0</v>
      </c>
      <c r="CG187" s="18">
        <f t="shared" si="259"/>
        <v>0</v>
      </c>
      <c r="CH187" s="18">
        <f t="shared" si="260"/>
        <v>0</v>
      </c>
      <c r="CI187" s="18">
        <f t="shared" si="261"/>
        <v>0</v>
      </c>
      <c r="CJ187" s="18">
        <f t="shared" si="262"/>
        <v>0</v>
      </c>
    </row>
    <row r="188" spans="1:88" x14ac:dyDescent="0.3">
      <c r="A188" s="1">
        <v>44102</v>
      </c>
      <c r="B188">
        <v>37981.629999999997</v>
      </c>
      <c r="C188">
        <f>Table1[[#This Row],[Close]]-0.001*Table1[[#This Row],[Close]]</f>
        <v>37943.648369999995</v>
      </c>
      <c r="D188">
        <f>Table1[[#This Row],[Close]]+0.001*Table1[[#This Row],[Close]]</f>
        <v>38019.611629999999</v>
      </c>
      <c r="E188" t="str">
        <f>IF(Table1[[#This Row],[Close]]&gt;D187,"UP",IF(Table1[[#This Row],[Close]]&lt;C187,"Down","Constant"))</f>
        <v>UP</v>
      </c>
      <c r="F188" s="3">
        <f>IF(Table1[[#This Row],[Column1]]="Up",1,IF(Table1[[#This Row],[Column1]]="Down",-1,0))</f>
        <v>1</v>
      </c>
      <c r="G188">
        <f t="shared" si="181"/>
        <v>0</v>
      </c>
      <c r="H188" s="18">
        <f t="shared" si="182"/>
        <v>0</v>
      </c>
      <c r="I188" s="18">
        <f t="shared" si="183"/>
        <v>0</v>
      </c>
      <c r="J188" s="18">
        <f t="shared" si="184"/>
        <v>0</v>
      </c>
      <c r="K188" s="18">
        <f t="shared" si="185"/>
        <v>0</v>
      </c>
      <c r="L188" s="18">
        <f t="shared" si="186"/>
        <v>0</v>
      </c>
      <c r="M188" s="18">
        <f t="shared" si="187"/>
        <v>0</v>
      </c>
      <c r="N188" s="18">
        <f t="shared" si="188"/>
        <v>0</v>
      </c>
      <c r="O188" s="18">
        <f t="shared" si="189"/>
        <v>0</v>
      </c>
      <c r="P188" s="18">
        <f t="shared" si="190"/>
        <v>0</v>
      </c>
      <c r="Q188" s="18">
        <f t="shared" si="191"/>
        <v>0</v>
      </c>
      <c r="R188" s="18">
        <f t="shared" si="192"/>
        <v>0</v>
      </c>
      <c r="S188" s="18">
        <f t="shared" si="193"/>
        <v>0</v>
      </c>
      <c r="T188" s="18">
        <f t="shared" si="194"/>
        <v>0</v>
      </c>
      <c r="U188" s="18">
        <f t="shared" si="195"/>
        <v>0</v>
      </c>
      <c r="V188" s="18">
        <f t="shared" si="196"/>
        <v>1</v>
      </c>
      <c r="W188" s="18">
        <f t="shared" si="197"/>
        <v>0</v>
      </c>
      <c r="X188" s="18">
        <f t="shared" si="198"/>
        <v>0</v>
      </c>
      <c r="Y188" s="18">
        <f t="shared" si="199"/>
        <v>0</v>
      </c>
      <c r="Z188" s="18">
        <f t="shared" si="200"/>
        <v>0</v>
      </c>
      <c r="AA188" s="18">
        <f t="shared" si="201"/>
        <v>0</v>
      </c>
      <c r="AB188" s="18">
        <f t="shared" si="202"/>
        <v>0</v>
      </c>
      <c r="AC188" s="18">
        <f t="shared" si="203"/>
        <v>0</v>
      </c>
      <c r="AD188" s="18">
        <f t="shared" si="204"/>
        <v>0</v>
      </c>
      <c r="AE188" s="18">
        <f t="shared" si="205"/>
        <v>0</v>
      </c>
      <c r="AF188" s="18">
        <f t="shared" si="206"/>
        <v>0</v>
      </c>
      <c r="AG188" s="18">
        <f t="shared" si="207"/>
        <v>0</v>
      </c>
      <c r="AH188" s="18">
        <f t="shared" si="208"/>
        <v>0</v>
      </c>
      <c r="AI188" s="18">
        <f t="shared" si="209"/>
        <v>0</v>
      </c>
      <c r="AJ188" s="18">
        <f t="shared" si="210"/>
        <v>0</v>
      </c>
      <c r="AK188" s="18">
        <f t="shared" si="211"/>
        <v>0</v>
      </c>
      <c r="AL188" s="18">
        <f t="shared" si="212"/>
        <v>0</v>
      </c>
      <c r="AM188" s="18">
        <f t="shared" si="213"/>
        <v>0</v>
      </c>
      <c r="AN188" s="18">
        <f t="shared" si="214"/>
        <v>0</v>
      </c>
      <c r="AO188" s="18">
        <f t="shared" si="215"/>
        <v>0</v>
      </c>
      <c r="AP188" s="18">
        <f t="shared" si="216"/>
        <v>0</v>
      </c>
      <c r="AQ188" s="18">
        <f t="shared" si="217"/>
        <v>0</v>
      </c>
      <c r="AR188" s="18">
        <f t="shared" si="218"/>
        <v>0</v>
      </c>
      <c r="AS188" s="18">
        <f t="shared" si="219"/>
        <v>0</v>
      </c>
      <c r="AT188" s="18">
        <f t="shared" si="220"/>
        <v>0</v>
      </c>
      <c r="AU188" s="18">
        <f t="shared" si="221"/>
        <v>0</v>
      </c>
      <c r="AV188" s="18">
        <f t="shared" si="222"/>
        <v>0</v>
      </c>
      <c r="AW188" s="18">
        <f t="shared" si="223"/>
        <v>0</v>
      </c>
      <c r="AX188" s="18">
        <f t="shared" si="224"/>
        <v>0</v>
      </c>
      <c r="AY188" s="18">
        <f t="shared" si="225"/>
        <v>0</v>
      </c>
      <c r="AZ188" s="18">
        <f t="shared" si="226"/>
        <v>0</v>
      </c>
      <c r="BA188" s="18">
        <f t="shared" si="227"/>
        <v>0</v>
      </c>
      <c r="BB188" s="18">
        <f t="shared" si="228"/>
        <v>0</v>
      </c>
      <c r="BC188" s="18">
        <f t="shared" si="229"/>
        <v>0</v>
      </c>
      <c r="BD188" s="18">
        <f t="shared" si="230"/>
        <v>0</v>
      </c>
      <c r="BE188" s="18">
        <f t="shared" si="231"/>
        <v>0</v>
      </c>
      <c r="BF188" s="18">
        <f t="shared" si="232"/>
        <v>0</v>
      </c>
      <c r="BG188" s="18">
        <f t="shared" si="233"/>
        <v>0</v>
      </c>
      <c r="BH188" s="18">
        <f t="shared" si="234"/>
        <v>0</v>
      </c>
      <c r="BI188" s="18">
        <f t="shared" si="235"/>
        <v>0</v>
      </c>
      <c r="BJ188" s="18">
        <f t="shared" si="236"/>
        <v>0</v>
      </c>
      <c r="BK188" s="18">
        <f t="shared" si="237"/>
        <v>0</v>
      </c>
      <c r="BL188" s="18">
        <f t="shared" si="238"/>
        <v>0</v>
      </c>
      <c r="BM188" s="18">
        <f t="shared" si="239"/>
        <v>0</v>
      </c>
      <c r="BN188" s="18">
        <f t="shared" si="240"/>
        <v>0</v>
      </c>
      <c r="BO188" s="18">
        <f t="shared" si="241"/>
        <v>0</v>
      </c>
      <c r="BP188" s="18">
        <f t="shared" si="242"/>
        <v>0</v>
      </c>
      <c r="BQ188" s="18">
        <f t="shared" si="243"/>
        <v>0</v>
      </c>
      <c r="BR188" s="18">
        <f t="shared" si="244"/>
        <v>0</v>
      </c>
      <c r="BS188" s="18">
        <f t="shared" si="245"/>
        <v>0</v>
      </c>
      <c r="BT188" s="18">
        <f t="shared" si="246"/>
        <v>0</v>
      </c>
      <c r="BU188" s="18">
        <f t="shared" si="247"/>
        <v>0</v>
      </c>
      <c r="BV188" s="18">
        <f t="shared" si="248"/>
        <v>0</v>
      </c>
      <c r="BW188" s="18">
        <f t="shared" si="249"/>
        <v>0</v>
      </c>
      <c r="BX188" s="18">
        <f t="shared" si="250"/>
        <v>0</v>
      </c>
      <c r="BY188" s="18">
        <f t="shared" si="251"/>
        <v>0</v>
      </c>
      <c r="BZ188" s="18">
        <f t="shared" si="252"/>
        <v>0</v>
      </c>
      <c r="CA188" s="18">
        <f t="shared" si="253"/>
        <v>0</v>
      </c>
      <c r="CB188" s="18">
        <f t="shared" si="254"/>
        <v>0</v>
      </c>
      <c r="CC188" s="18">
        <f t="shared" si="255"/>
        <v>0</v>
      </c>
      <c r="CD188" s="18">
        <f t="shared" si="256"/>
        <v>0</v>
      </c>
      <c r="CE188" s="18">
        <f t="shared" si="257"/>
        <v>0</v>
      </c>
      <c r="CF188" s="18">
        <f t="shared" si="258"/>
        <v>0</v>
      </c>
      <c r="CG188" s="18">
        <f t="shared" si="259"/>
        <v>0</v>
      </c>
      <c r="CH188" s="18">
        <f t="shared" si="260"/>
        <v>0</v>
      </c>
      <c r="CI188" s="18">
        <f t="shared" si="261"/>
        <v>0</v>
      </c>
      <c r="CJ188" s="18">
        <f t="shared" si="262"/>
        <v>0</v>
      </c>
    </row>
    <row r="189" spans="1:88" x14ac:dyDescent="0.3">
      <c r="A189" s="1">
        <v>44103</v>
      </c>
      <c r="B189">
        <v>37973.22</v>
      </c>
      <c r="C189">
        <f>Table1[[#This Row],[Close]]-0.001*Table1[[#This Row],[Close]]</f>
        <v>37935.246780000001</v>
      </c>
      <c r="D189">
        <f>Table1[[#This Row],[Close]]+0.001*Table1[[#This Row],[Close]]</f>
        <v>38011.193220000001</v>
      </c>
      <c r="E189" t="str">
        <f>IF(Table1[[#This Row],[Close]]&gt;D188,"UP",IF(Table1[[#This Row],[Close]]&lt;C188,"Down","Constant"))</f>
        <v>Constant</v>
      </c>
      <c r="F189" s="3">
        <f>IF(Table1[[#This Row],[Column1]]="Up",1,IF(Table1[[#This Row],[Column1]]="Down",-1,0))</f>
        <v>0</v>
      </c>
      <c r="G189">
        <f t="shared" si="181"/>
        <v>0</v>
      </c>
      <c r="H189" s="18">
        <f t="shared" si="182"/>
        <v>0</v>
      </c>
      <c r="I189" s="18">
        <f t="shared" si="183"/>
        <v>0</v>
      </c>
      <c r="J189" s="18">
        <f t="shared" si="184"/>
        <v>0</v>
      </c>
      <c r="K189" s="18">
        <f t="shared" si="185"/>
        <v>0</v>
      </c>
      <c r="L189" s="18">
        <f t="shared" si="186"/>
        <v>1</v>
      </c>
      <c r="M189" s="18">
        <f t="shared" si="187"/>
        <v>0</v>
      </c>
      <c r="N189" s="18">
        <f t="shared" si="188"/>
        <v>0</v>
      </c>
      <c r="O189" s="18">
        <f t="shared" si="189"/>
        <v>0</v>
      </c>
      <c r="P189" s="18">
        <f t="shared" si="190"/>
        <v>0</v>
      </c>
      <c r="Q189" s="18">
        <f t="shared" si="191"/>
        <v>0</v>
      </c>
      <c r="R189" s="18">
        <f t="shared" si="192"/>
        <v>0</v>
      </c>
      <c r="S189" s="18">
        <f t="shared" si="193"/>
        <v>0</v>
      </c>
      <c r="T189" s="18">
        <f t="shared" si="194"/>
        <v>0</v>
      </c>
      <c r="U189" s="18">
        <f t="shared" si="195"/>
        <v>0</v>
      </c>
      <c r="V189" s="18">
        <f t="shared" si="196"/>
        <v>0</v>
      </c>
      <c r="W189" s="18">
        <f t="shared" si="197"/>
        <v>0</v>
      </c>
      <c r="X189" s="18">
        <f t="shared" si="198"/>
        <v>0</v>
      </c>
      <c r="Y189" s="18">
        <f t="shared" si="199"/>
        <v>0</v>
      </c>
      <c r="Z189" s="18">
        <f t="shared" si="200"/>
        <v>0</v>
      </c>
      <c r="AA189" s="18">
        <f t="shared" si="201"/>
        <v>0</v>
      </c>
      <c r="AB189" s="18">
        <f t="shared" si="202"/>
        <v>0</v>
      </c>
      <c r="AC189" s="18">
        <f t="shared" si="203"/>
        <v>0</v>
      </c>
      <c r="AD189" s="18">
        <f t="shared" si="204"/>
        <v>0</v>
      </c>
      <c r="AE189" s="18">
        <f t="shared" si="205"/>
        <v>0</v>
      </c>
      <c r="AF189" s="18">
        <f t="shared" si="206"/>
        <v>0</v>
      </c>
      <c r="AG189" s="18">
        <f t="shared" si="207"/>
        <v>0</v>
      </c>
      <c r="AH189" s="18">
        <f t="shared" si="208"/>
        <v>0</v>
      </c>
      <c r="AI189" s="18">
        <f t="shared" si="209"/>
        <v>0</v>
      </c>
      <c r="AJ189" s="18">
        <f t="shared" si="210"/>
        <v>0</v>
      </c>
      <c r="AK189" s="18">
        <f t="shared" si="211"/>
        <v>0</v>
      </c>
      <c r="AL189" s="18">
        <f t="shared" si="212"/>
        <v>0</v>
      </c>
      <c r="AM189" s="18">
        <f t="shared" si="213"/>
        <v>0</v>
      </c>
      <c r="AN189" s="18">
        <f t="shared" si="214"/>
        <v>0</v>
      </c>
      <c r="AO189" s="18">
        <f t="shared" si="215"/>
        <v>0</v>
      </c>
      <c r="AP189" s="18">
        <f t="shared" si="216"/>
        <v>0</v>
      </c>
      <c r="AQ189" s="18">
        <f t="shared" si="217"/>
        <v>0</v>
      </c>
      <c r="AR189" s="18">
        <f t="shared" si="218"/>
        <v>0</v>
      </c>
      <c r="AS189" s="18">
        <f t="shared" si="219"/>
        <v>0</v>
      </c>
      <c r="AT189" s="18">
        <f t="shared" si="220"/>
        <v>0</v>
      </c>
      <c r="AU189" s="18">
        <f t="shared" si="221"/>
        <v>0</v>
      </c>
      <c r="AV189" s="18">
        <f t="shared" si="222"/>
        <v>0</v>
      </c>
      <c r="AW189" s="18">
        <f t="shared" si="223"/>
        <v>0</v>
      </c>
      <c r="AX189" s="18">
        <f t="shared" si="224"/>
        <v>0</v>
      </c>
      <c r="AY189" s="18">
        <f t="shared" si="225"/>
        <v>0</v>
      </c>
      <c r="AZ189" s="18">
        <f t="shared" si="226"/>
        <v>0</v>
      </c>
      <c r="BA189" s="18">
        <f t="shared" si="227"/>
        <v>0</v>
      </c>
      <c r="BB189" s="18">
        <f t="shared" si="228"/>
        <v>0</v>
      </c>
      <c r="BC189" s="18">
        <f t="shared" si="229"/>
        <v>0</v>
      </c>
      <c r="BD189" s="18">
        <f t="shared" si="230"/>
        <v>0</v>
      </c>
      <c r="BE189" s="18">
        <f t="shared" si="231"/>
        <v>0</v>
      </c>
      <c r="BF189" s="18">
        <f t="shared" si="232"/>
        <v>0</v>
      </c>
      <c r="BG189" s="18">
        <f t="shared" si="233"/>
        <v>0</v>
      </c>
      <c r="BH189" s="18">
        <f t="shared" si="234"/>
        <v>0</v>
      </c>
      <c r="BI189" s="18">
        <f t="shared" si="235"/>
        <v>0</v>
      </c>
      <c r="BJ189" s="18">
        <f t="shared" si="236"/>
        <v>0</v>
      </c>
      <c r="BK189" s="18">
        <f t="shared" si="237"/>
        <v>0</v>
      </c>
      <c r="BL189" s="18">
        <f t="shared" si="238"/>
        <v>0</v>
      </c>
      <c r="BM189" s="18">
        <f t="shared" si="239"/>
        <v>0</v>
      </c>
      <c r="BN189" s="18">
        <f t="shared" si="240"/>
        <v>0</v>
      </c>
      <c r="BO189" s="18">
        <f t="shared" si="241"/>
        <v>0</v>
      </c>
      <c r="BP189" s="18">
        <f t="shared" si="242"/>
        <v>0</v>
      </c>
      <c r="BQ189" s="18">
        <f t="shared" si="243"/>
        <v>0</v>
      </c>
      <c r="BR189" s="18">
        <f t="shared" si="244"/>
        <v>0</v>
      </c>
      <c r="BS189" s="18">
        <f t="shared" si="245"/>
        <v>0</v>
      </c>
      <c r="BT189" s="18">
        <f t="shared" si="246"/>
        <v>0</v>
      </c>
      <c r="BU189" s="18">
        <f t="shared" si="247"/>
        <v>0</v>
      </c>
      <c r="BV189" s="18">
        <f t="shared" si="248"/>
        <v>0</v>
      </c>
      <c r="BW189" s="18">
        <f t="shared" si="249"/>
        <v>0</v>
      </c>
      <c r="BX189" s="18">
        <f t="shared" si="250"/>
        <v>0</v>
      </c>
      <c r="BY189" s="18">
        <f t="shared" si="251"/>
        <v>0</v>
      </c>
      <c r="BZ189" s="18">
        <f t="shared" si="252"/>
        <v>0</v>
      </c>
      <c r="CA189" s="18">
        <f t="shared" si="253"/>
        <v>0</v>
      </c>
      <c r="CB189" s="18">
        <f t="shared" si="254"/>
        <v>0</v>
      </c>
      <c r="CC189" s="18">
        <f t="shared" si="255"/>
        <v>0</v>
      </c>
      <c r="CD189" s="18">
        <f t="shared" si="256"/>
        <v>0</v>
      </c>
      <c r="CE189" s="18">
        <f t="shared" si="257"/>
        <v>0</v>
      </c>
      <c r="CF189" s="18">
        <f t="shared" si="258"/>
        <v>0</v>
      </c>
      <c r="CG189" s="18">
        <f t="shared" si="259"/>
        <v>0</v>
      </c>
      <c r="CH189" s="18">
        <f t="shared" si="260"/>
        <v>0</v>
      </c>
      <c r="CI189" s="18">
        <f t="shared" si="261"/>
        <v>0</v>
      </c>
      <c r="CJ189" s="18">
        <f t="shared" si="262"/>
        <v>0</v>
      </c>
    </row>
    <row r="190" spans="1:88" x14ac:dyDescent="0.3">
      <c r="A190" s="1">
        <v>44104</v>
      </c>
      <c r="B190">
        <v>38067.93</v>
      </c>
      <c r="C190">
        <f>Table1[[#This Row],[Close]]-0.001*Table1[[#This Row],[Close]]</f>
        <v>38029.862070000003</v>
      </c>
      <c r="D190">
        <f>Table1[[#This Row],[Close]]+0.001*Table1[[#This Row],[Close]]</f>
        <v>38105.997929999998</v>
      </c>
      <c r="E190" t="str">
        <f>IF(Table1[[#This Row],[Close]]&gt;D189,"UP",IF(Table1[[#This Row],[Close]]&lt;C189,"Down","Constant"))</f>
        <v>UP</v>
      </c>
      <c r="F190" s="3">
        <f>IF(Table1[[#This Row],[Column1]]="Up",1,IF(Table1[[#This Row],[Column1]]="Down",-1,0))</f>
        <v>1</v>
      </c>
      <c r="G190">
        <f t="shared" si="181"/>
        <v>0</v>
      </c>
      <c r="H190" s="18">
        <f t="shared" si="182"/>
        <v>0</v>
      </c>
      <c r="I190" s="18">
        <f t="shared" si="183"/>
        <v>0</v>
      </c>
      <c r="J190" s="18">
        <f t="shared" si="184"/>
        <v>0</v>
      </c>
      <c r="K190" s="18">
        <f t="shared" si="185"/>
        <v>0</v>
      </c>
      <c r="L190" s="18">
        <f t="shared" si="186"/>
        <v>0</v>
      </c>
      <c r="M190" s="18">
        <f t="shared" si="187"/>
        <v>0</v>
      </c>
      <c r="N190" s="18">
        <f t="shared" si="188"/>
        <v>0</v>
      </c>
      <c r="O190" s="18">
        <f t="shared" si="189"/>
        <v>0</v>
      </c>
      <c r="P190" s="18">
        <f t="shared" si="190"/>
        <v>0</v>
      </c>
      <c r="Q190" s="18">
        <f t="shared" si="191"/>
        <v>0</v>
      </c>
      <c r="R190" s="18">
        <f t="shared" si="192"/>
        <v>0</v>
      </c>
      <c r="S190" s="18">
        <f t="shared" si="193"/>
        <v>0</v>
      </c>
      <c r="T190" s="18">
        <f t="shared" si="194"/>
        <v>0</v>
      </c>
      <c r="U190" s="18">
        <f t="shared" si="195"/>
        <v>0</v>
      </c>
      <c r="V190" s="18">
        <f t="shared" si="196"/>
        <v>0</v>
      </c>
      <c r="W190" s="18">
        <f t="shared" si="197"/>
        <v>0</v>
      </c>
      <c r="X190" s="18">
        <f t="shared" si="198"/>
        <v>0</v>
      </c>
      <c r="Y190" s="18">
        <f t="shared" si="199"/>
        <v>0</v>
      </c>
      <c r="Z190" s="18">
        <f t="shared" si="200"/>
        <v>0</v>
      </c>
      <c r="AA190" s="18">
        <f t="shared" si="201"/>
        <v>0</v>
      </c>
      <c r="AB190" s="18">
        <f t="shared" si="202"/>
        <v>0</v>
      </c>
      <c r="AC190" s="18">
        <f t="shared" si="203"/>
        <v>0</v>
      </c>
      <c r="AD190" s="18">
        <f t="shared" si="204"/>
        <v>0</v>
      </c>
      <c r="AE190" s="18">
        <f t="shared" si="205"/>
        <v>0</v>
      </c>
      <c r="AF190" s="18">
        <f t="shared" si="206"/>
        <v>0</v>
      </c>
      <c r="AG190" s="18">
        <f t="shared" si="207"/>
        <v>0</v>
      </c>
      <c r="AH190" s="18">
        <f t="shared" si="208"/>
        <v>0</v>
      </c>
      <c r="AI190" s="18">
        <f t="shared" si="209"/>
        <v>0</v>
      </c>
      <c r="AJ190" s="18">
        <f t="shared" si="210"/>
        <v>0</v>
      </c>
      <c r="AK190" s="18">
        <f t="shared" si="211"/>
        <v>0</v>
      </c>
      <c r="AL190" s="18">
        <f t="shared" si="212"/>
        <v>0</v>
      </c>
      <c r="AM190" s="18">
        <f t="shared" si="213"/>
        <v>0</v>
      </c>
      <c r="AN190" s="18">
        <f t="shared" si="214"/>
        <v>1</v>
      </c>
      <c r="AO190" s="18">
        <f t="shared" si="215"/>
        <v>0</v>
      </c>
      <c r="AP190" s="18">
        <f t="shared" si="216"/>
        <v>0</v>
      </c>
      <c r="AQ190" s="18">
        <f t="shared" si="217"/>
        <v>0</v>
      </c>
      <c r="AR190" s="18">
        <f t="shared" si="218"/>
        <v>0</v>
      </c>
      <c r="AS190" s="18">
        <f t="shared" si="219"/>
        <v>0</v>
      </c>
      <c r="AT190" s="18">
        <f t="shared" si="220"/>
        <v>0</v>
      </c>
      <c r="AU190" s="18">
        <f t="shared" si="221"/>
        <v>0</v>
      </c>
      <c r="AV190" s="18">
        <f t="shared" si="222"/>
        <v>0</v>
      </c>
      <c r="AW190" s="18">
        <f t="shared" si="223"/>
        <v>0</v>
      </c>
      <c r="AX190" s="18">
        <f t="shared" si="224"/>
        <v>0</v>
      </c>
      <c r="AY190" s="18">
        <f t="shared" si="225"/>
        <v>0</v>
      </c>
      <c r="AZ190" s="18">
        <f t="shared" si="226"/>
        <v>0</v>
      </c>
      <c r="BA190" s="18">
        <f t="shared" si="227"/>
        <v>0</v>
      </c>
      <c r="BB190" s="18">
        <f t="shared" si="228"/>
        <v>0</v>
      </c>
      <c r="BC190" s="18">
        <f t="shared" si="229"/>
        <v>0</v>
      </c>
      <c r="BD190" s="18">
        <f t="shared" si="230"/>
        <v>0</v>
      </c>
      <c r="BE190" s="18">
        <f t="shared" si="231"/>
        <v>0</v>
      </c>
      <c r="BF190" s="18">
        <f t="shared" si="232"/>
        <v>0</v>
      </c>
      <c r="BG190" s="18">
        <f t="shared" si="233"/>
        <v>0</v>
      </c>
      <c r="BH190" s="18">
        <f t="shared" si="234"/>
        <v>0</v>
      </c>
      <c r="BI190" s="18">
        <f t="shared" si="235"/>
        <v>0</v>
      </c>
      <c r="BJ190" s="18">
        <f t="shared" si="236"/>
        <v>0</v>
      </c>
      <c r="BK190" s="18">
        <f t="shared" si="237"/>
        <v>0</v>
      </c>
      <c r="BL190" s="18">
        <f t="shared" si="238"/>
        <v>0</v>
      </c>
      <c r="BM190" s="18">
        <f t="shared" si="239"/>
        <v>0</v>
      </c>
      <c r="BN190" s="18">
        <f t="shared" si="240"/>
        <v>0</v>
      </c>
      <c r="BO190" s="18">
        <f t="shared" si="241"/>
        <v>0</v>
      </c>
      <c r="BP190" s="18">
        <f t="shared" si="242"/>
        <v>0</v>
      </c>
      <c r="BQ190" s="18">
        <f t="shared" si="243"/>
        <v>0</v>
      </c>
      <c r="BR190" s="18">
        <f t="shared" si="244"/>
        <v>0</v>
      </c>
      <c r="BS190" s="18">
        <f t="shared" si="245"/>
        <v>0</v>
      </c>
      <c r="BT190" s="18">
        <f t="shared" si="246"/>
        <v>0</v>
      </c>
      <c r="BU190" s="18">
        <f t="shared" si="247"/>
        <v>0</v>
      </c>
      <c r="BV190" s="18">
        <f t="shared" si="248"/>
        <v>0</v>
      </c>
      <c r="BW190" s="18">
        <f t="shared" si="249"/>
        <v>0</v>
      </c>
      <c r="BX190" s="18">
        <f t="shared" si="250"/>
        <v>0</v>
      </c>
      <c r="BY190" s="18">
        <f t="shared" si="251"/>
        <v>0</v>
      </c>
      <c r="BZ190" s="18">
        <f t="shared" si="252"/>
        <v>0</v>
      </c>
      <c r="CA190" s="18">
        <f t="shared" si="253"/>
        <v>0</v>
      </c>
      <c r="CB190" s="18">
        <f t="shared" si="254"/>
        <v>0</v>
      </c>
      <c r="CC190" s="18">
        <f t="shared" si="255"/>
        <v>0</v>
      </c>
      <c r="CD190" s="18">
        <f t="shared" si="256"/>
        <v>0</v>
      </c>
      <c r="CE190" s="18">
        <f t="shared" si="257"/>
        <v>0</v>
      </c>
      <c r="CF190" s="18">
        <f t="shared" si="258"/>
        <v>0</v>
      </c>
      <c r="CG190" s="18">
        <f t="shared" si="259"/>
        <v>0</v>
      </c>
      <c r="CH190" s="18">
        <f t="shared" si="260"/>
        <v>0</v>
      </c>
      <c r="CI190" s="18">
        <f t="shared" si="261"/>
        <v>0</v>
      </c>
      <c r="CJ190" s="18">
        <f t="shared" si="262"/>
        <v>0</v>
      </c>
    </row>
    <row r="191" spans="1:88" x14ac:dyDescent="0.3">
      <c r="A191" s="1">
        <v>44105</v>
      </c>
      <c r="B191">
        <v>38697.050000000003</v>
      </c>
      <c r="C191">
        <f>Table1[[#This Row],[Close]]-0.001*Table1[[#This Row],[Close]]</f>
        <v>38658.35295</v>
      </c>
      <c r="D191">
        <f>Table1[[#This Row],[Close]]+0.001*Table1[[#This Row],[Close]]</f>
        <v>38735.747050000005</v>
      </c>
      <c r="E191" t="str">
        <f>IF(Table1[[#This Row],[Close]]&gt;D190,"UP",IF(Table1[[#This Row],[Close]]&lt;C190,"Down","Constant"))</f>
        <v>UP</v>
      </c>
      <c r="F191" s="3">
        <f>IF(Table1[[#This Row],[Column1]]="Up",1,IF(Table1[[#This Row],[Column1]]="Down",-1,0))</f>
        <v>1</v>
      </c>
      <c r="G191">
        <f t="shared" si="181"/>
        <v>0</v>
      </c>
      <c r="H191" s="18">
        <f t="shared" si="182"/>
        <v>0</v>
      </c>
      <c r="I191" s="18">
        <f t="shared" si="183"/>
        <v>0</v>
      </c>
      <c r="J191" s="18">
        <f t="shared" si="184"/>
        <v>0</v>
      </c>
      <c r="K191" s="18">
        <f t="shared" si="185"/>
        <v>0</v>
      </c>
      <c r="L191" s="18">
        <f t="shared" si="186"/>
        <v>0</v>
      </c>
      <c r="M191" s="18">
        <f t="shared" si="187"/>
        <v>0</v>
      </c>
      <c r="N191" s="18">
        <f t="shared" si="188"/>
        <v>0</v>
      </c>
      <c r="O191" s="18">
        <f t="shared" si="189"/>
        <v>0</v>
      </c>
      <c r="P191" s="18">
        <f t="shared" si="190"/>
        <v>0</v>
      </c>
      <c r="Q191" s="18">
        <f t="shared" si="191"/>
        <v>0</v>
      </c>
      <c r="R191" s="18">
        <f t="shared" si="192"/>
        <v>0</v>
      </c>
      <c r="S191" s="18">
        <f t="shared" si="193"/>
        <v>0</v>
      </c>
      <c r="T191" s="18">
        <f t="shared" si="194"/>
        <v>0</v>
      </c>
      <c r="U191" s="18">
        <f t="shared" si="195"/>
        <v>0</v>
      </c>
      <c r="V191" s="18">
        <f t="shared" si="196"/>
        <v>0</v>
      </c>
      <c r="W191" s="18">
        <f t="shared" si="197"/>
        <v>0</v>
      </c>
      <c r="X191" s="18">
        <f t="shared" si="198"/>
        <v>0</v>
      </c>
      <c r="Y191" s="18">
        <f t="shared" si="199"/>
        <v>0</v>
      </c>
      <c r="Z191" s="18">
        <f t="shared" si="200"/>
        <v>0</v>
      </c>
      <c r="AA191" s="18">
        <f t="shared" si="201"/>
        <v>0</v>
      </c>
      <c r="AB191" s="18">
        <f t="shared" si="202"/>
        <v>0</v>
      </c>
      <c r="AC191" s="18">
        <f t="shared" si="203"/>
        <v>0</v>
      </c>
      <c r="AD191" s="18">
        <f t="shared" si="204"/>
        <v>0</v>
      </c>
      <c r="AE191" s="18">
        <f t="shared" si="205"/>
        <v>0</v>
      </c>
      <c r="AF191" s="18">
        <f t="shared" si="206"/>
        <v>0</v>
      </c>
      <c r="AG191" s="18">
        <f t="shared" si="207"/>
        <v>0</v>
      </c>
      <c r="AH191" s="18">
        <f t="shared" si="208"/>
        <v>0</v>
      </c>
      <c r="AI191" s="18">
        <f t="shared" si="209"/>
        <v>0</v>
      </c>
      <c r="AJ191" s="18">
        <f t="shared" si="210"/>
        <v>0</v>
      </c>
      <c r="AK191" s="18">
        <f t="shared" si="211"/>
        <v>1</v>
      </c>
      <c r="AL191" s="18">
        <f t="shared" si="212"/>
        <v>0</v>
      </c>
      <c r="AM191" s="18">
        <f t="shared" si="213"/>
        <v>0</v>
      </c>
      <c r="AN191" s="18">
        <f t="shared" si="214"/>
        <v>0</v>
      </c>
      <c r="AO191" s="18">
        <f t="shared" si="215"/>
        <v>0</v>
      </c>
      <c r="AP191" s="18">
        <f t="shared" si="216"/>
        <v>0</v>
      </c>
      <c r="AQ191" s="18">
        <f t="shared" si="217"/>
        <v>0</v>
      </c>
      <c r="AR191" s="18">
        <f t="shared" si="218"/>
        <v>0</v>
      </c>
      <c r="AS191" s="18">
        <f t="shared" si="219"/>
        <v>0</v>
      </c>
      <c r="AT191" s="18">
        <f t="shared" si="220"/>
        <v>0</v>
      </c>
      <c r="AU191" s="18">
        <f t="shared" si="221"/>
        <v>0</v>
      </c>
      <c r="AV191" s="18">
        <f t="shared" si="222"/>
        <v>0</v>
      </c>
      <c r="AW191" s="18">
        <f t="shared" si="223"/>
        <v>0</v>
      </c>
      <c r="AX191" s="18">
        <f t="shared" si="224"/>
        <v>0</v>
      </c>
      <c r="AY191" s="18">
        <f t="shared" si="225"/>
        <v>0</v>
      </c>
      <c r="AZ191" s="18">
        <f t="shared" si="226"/>
        <v>0</v>
      </c>
      <c r="BA191" s="18">
        <f t="shared" si="227"/>
        <v>0</v>
      </c>
      <c r="BB191" s="18">
        <f t="shared" si="228"/>
        <v>0</v>
      </c>
      <c r="BC191" s="18">
        <f t="shared" si="229"/>
        <v>0</v>
      </c>
      <c r="BD191" s="18">
        <f t="shared" si="230"/>
        <v>0</v>
      </c>
      <c r="BE191" s="18">
        <f t="shared" si="231"/>
        <v>0</v>
      </c>
      <c r="BF191" s="18">
        <f t="shared" si="232"/>
        <v>0</v>
      </c>
      <c r="BG191" s="18">
        <f t="shared" si="233"/>
        <v>0</v>
      </c>
      <c r="BH191" s="18">
        <f t="shared" si="234"/>
        <v>0</v>
      </c>
      <c r="BI191" s="18">
        <f t="shared" si="235"/>
        <v>0</v>
      </c>
      <c r="BJ191" s="18">
        <f t="shared" si="236"/>
        <v>0</v>
      </c>
      <c r="BK191" s="18">
        <f t="shared" si="237"/>
        <v>0</v>
      </c>
      <c r="BL191" s="18">
        <f t="shared" si="238"/>
        <v>0</v>
      </c>
      <c r="BM191" s="18">
        <f t="shared" si="239"/>
        <v>0</v>
      </c>
      <c r="BN191" s="18">
        <f t="shared" si="240"/>
        <v>0</v>
      </c>
      <c r="BO191" s="18">
        <f t="shared" si="241"/>
        <v>0</v>
      </c>
      <c r="BP191" s="18">
        <f t="shared" si="242"/>
        <v>0</v>
      </c>
      <c r="BQ191" s="18">
        <f t="shared" si="243"/>
        <v>0</v>
      </c>
      <c r="BR191" s="18">
        <f t="shared" si="244"/>
        <v>0</v>
      </c>
      <c r="BS191" s="18">
        <f t="shared" si="245"/>
        <v>0</v>
      </c>
      <c r="BT191" s="18">
        <f t="shared" si="246"/>
        <v>0</v>
      </c>
      <c r="BU191" s="18">
        <f t="shared" si="247"/>
        <v>0</v>
      </c>
      <c r="BV191" s="18">
        <f t="shared" si="248"/>
        <v>0</v>
      </c>
      <c r="BW191" s="18">
        <f t="shared" si="249"/>
        <v>0</v>
      </c>
      <c r="BX191" s="18">
        <f t="shared" si="250"/>
        <v>0</v>
      </c>
      <c r="BY191" s="18">
        <f t="shared" si="251"/>
        <v>0</v>
      </c>
      <c r="BZ191" s="18">
        <f t="shared" si="252"/>
        <v>0</v>
      </c>
      <c r="CA191" s="18">
        <f t="shared" si="253"/>
        <v>0</v>
      </c>
      <c r="CB191" s="18">
        <f t="shared" si="254"/>
        <v>0</v>
      </c>
      <c r="CC191" s="18">
        <f t="shared" si="255"/>
        <v>0</v>
      </c>
      <c r="CD191" s="18">
        <f t="shared" si="256"/>
        <v>0</v>
      </c>
      <c r="CE191" s="18">
        <f t="shared" si="257"/>
        <v>0</v>
      </c>
      <c r="CF191" s="18">
        <f t="shared" si="258"/>
        <v>0</v>
      </c>
      <c r="CG191" s="18">
        <f t="shared" si="259"/>
        <v>0</v>
      </c>
      <c r="CH191" s="18">
        <f t="shared" si="260"/>
        <v>0</v>
      </c>
      <c r="CI191" s="18">
        <f t="shared" si="261"/>
        <v>0</v>
      </c>
      <c r="CJ191" s="18">
        <f t="shared" si="262"/>
        <v>0</v>
      </c>
    </row>
    <row r="192" spans="1:88" x14ac:dyDescent="0.3">
      <c r="A192" s="1">
        <v>44109</v>
      </c>
      <c r="B192">
        <v>38973.699999999997</v>
      </c>
      <c r="C192">
        <f>Table1[[#This Row],[Close]]-0.001*Table1[[#This Row],[Close]]</f>
        <v>38934.726299999995</v>
      </c>
      <c r="D192">
        <f>Table1[[#This Row],[Close]]+0.001*Table1[[#This Row],[Close]]</f>
        <v>39012.673699999999</v>
      </c>
      <c r="E192" t="str">
        <f>IF(Table1[[#This Row],[Close]]&gt;D191,"UP",IF(Table1[[#This Row],[Close]]&lt;C191,"Down","Constant"))</f>
        <v>UP</v>
      </c>
      <c r="F192" s="3">
        <f>IF(Table1[[#This Row],[Column1]]="Up",1,IF(Table1[[#This Row],[Column1]]="Down",-1,0))</f>
        <v>1</v>
      </c>
      <c r="G192">
        <f t="shared" si="181"/>
        <v>0</v>
      </c>
      <c r="H192" s="18">
        <f t="shared" si="182"/>
        <v>0</v>
      </c>
      <c r="I192" s="18">
        <f t="shared" si="183"/>
        <v>0</v>
      </c>
      <c r="J192" s="18">
        <f t="shared" si="184"/>
        <v>0</v>
      </c>
      <c r="K192" s="18">
        <f t="shared" si="185"/>
        <v>0</v>
      </c>
      <c r="L192" s="18">
        <f t="shared" si="186"/>
        <v>0</v>
      </c>
      <c r="M192" s="18">
        <f t="shared" si="187"/>
        <v>0</v>
      </c>
      <c r="N192" s="18">
        <f t="shared" si="188"/>
        <v>0</v>
      </c>
      <c r="O192" s="18">
        <f t="shared" si="189"/>
        <v>0</v>
      </c>
      <c r="P192" s="18">
        <f t="shared" si="190"/>
        <v>0</v>
      </c>
      <c r="Q192" s="18">
        <f t="shared" si="191"/>
        <v>0</v>
      </c>
      <c r="R192" s="18">
        <f t="shared" si="192"/>
        <v>0</v>
      </c>
      <c r="S192" s="18">
        <f t="shared" si="193"/>
        <v>0</v>
      </c>
      <c r="T192" s="18">
        <f t="shared" si="194"/>
        <v>0</v>
      </c>
      <c r="U192" s="18">
        <f t="shared" si="195"/>
        <v>0</v>
      </c>
      <c r="V192" s="18">
        <f t="shared" si="196"/>
        <v>0</v>
      </c>
      <c r="W192" s="18">
        <f t="shared" si="197"/>
        <v>0</v>
      </c>
      <c r="X192" s="18">
        <f t="shared" si="198"/>
        <v>0</v>
      </c>
      <c r="Y192" s="18">
        <f t="shared" si="199"/>
        <v>0</v>
      </c>
      <c r="Z192" s="18">
        <f t="shared" si="200"/>
        <v>0</v>
      </c>
      <c r="AA192" s="18">
        <f t="shared" si="201"/>
        <v>0</v>
      </c>
      <c r="AB192" s="18">
        <f t="shared" si="202"/>
        <v>0</v>
      </c>
      <c r="AC192" s="18">
        <f t="shared" si="203"/>
        <v>0</v>
      </c>
      <c r="AD192" s="18">
        <f t="shared" si="204"/>
        <v>0</v>
      </c>
      <c r="AE192" s="18">
        <f t="shared" si="205"/>
        <v>0</v>
      </c>
      <c r="AF192" s="18">
        <f t="shared" si="206"/>
        <v>0</v>
      </c>
      <c r="AG192" s="18">
        <f t="shared" si="207"/>
        <v>0</v>
      </c>
      <c r="AH192" s="18">
        <f t="shared" si="208"/>
        <v>1</v>
      </c>
      <c r="AI192" s="18">
        <f t="shared" si="209"/>
        <v>0</v>
      </c>
      <c r="AJ192" s="18">
        <f t="shared" si="210"/>
        <v>0</v>
      </c>
      <c r="AK192" s="18">
        <f t="shared" si="211"/>
        <v>0</v>
      </c>
      <c r="AL192" s="18">
        <f t="shared" si="212"/>
        <v>0</v>
      </c>
      <c r="AM192" s="18">
        <f t="shared" si="213"/>
        <v>0</v>
      </c>
      <c r="AN192" s="18">
        <f t="shared" si="214"/>
        <v>0</v>
      </c>
      <c r="AO192" s="18">
        <f t="shared" si="215"/>
        <v>0</v>
      </c>
      <c r="AP192" s="18">
        <f t="shared" si="216"/>
        <v>0</v>
      </c>
      <c r="AQ192" s="18">
        <f t="shared" si="217"/>
        <v>0</v>
      </c>
      <c r="AR192" s="18">
        <f t="shared" si="218"/>
        <v>0</v>
      </c>
      <c r="AS192" s="18">
        <f t="shared" si="219"/>
        <v>0</v>
      </c>
      <c r="AT192" s="18">
        <f t="shared" si="220"/>
        <v>0</v>
      </c>
      <c r="AU192" s="18">
        <f t="shared" si="221"/>
        <v>0</v>
      </c>
      <c r="AV192" s="18">
        <f t="shared" si="222"/>
        <v>0</v>
      </c>
      <c r="AW192" s="18">
        <f t="shared" si="223"/>
        <v>0</v>
      </c>
      <c r="AX192" s="18">
        <f t="shared" si="224"/>
        <v>0</v>
      </c>
      <c r="AY192" s="18">
        <f t="shared" si="225"/>
        <v>0</v>
      </c>
      <c r="AZ192" s="18">
        <f t="shared" si="226"/>
        <v>0</v>
      </c>
      <c r="BA192" s="18">
        <f t="shared" si="227"/>
        <v>0</v>
      </c>
      <c r="BB192" s="18">
        <f t="shared" si="228"/>
        <v>0</v>
      </c>
      <c r="BC192" s="18">
        <f t="shared" si="229"/>
        <v>0</v>
      </c>
      <c r="BD192" s="18">
        <f t="shared" si="230"/>
        <v>0</v>
      </c>
      <c r="BE192" s="18">
        <f t="shared" si="231"/>
        <v>0</v>
      </c>
      <c r="BF192" s="18">
        <f t="shared" si="232"/>
        <v>0</v>
      </c>
      <c r="BG192" s="18">
        <f t="shared" si="233"/>
        <v>0</v>
      </c>
      <c r="BH192" s="18">
        <f t="shared" si="234"/>
        <v>0</v>
      </c>
      <c r="BI192" s="18">
        <f t="shared" si="235"/>
        <v>0</v>
      </c>
      <c r="BJ192" s="18">
        <f t="shared" si="236"/>
        <v>0</v>
      </c>
      <c r="BK192" s="18">
        <f t="shared" si="237"/>
        <v>0</v>
      </c>
      <c r="BL192" s="18">
        <f t="shared" si="238"/>
        <v>0</v>
      </c>
      <c r="BM192" s="18">
        <f t="shared" si="239"/>
        <v>0</v>
      </c>
      <c r="BN192" s="18">
        <f t="shared" si="240"/>
        <v>0</v>
      </c>
      <c r="BO192" s="18">
        <f t="shared" si="241"/>
        <v>0</v>
      </c>
      <c r="BP192" s="18">
        <f t="shared" si="242"/>
        <v>0</v>
      </c>
      <c r="BQ192" s="18">
        <f t="shared" si="243"/>
        <v>0</v>
      </c>
      <c r="BR192" s="18">
        <f t="shared" si="244"/>
        <v>0</v>
      </c>
      <c r="BS192" s="18">
        <f t="shared" si="245"/>
        <v>0</v>
      </c>
      <c r="BT192" s="18">
        <f t="shared" si="246"/>
        <v>0</v>
      </c>
      <c r="BU192" s="18">
        <f t="shared" si="247"/>
        <v>0</v>
      </c>
      <c r="BV192" s="18">
        <f t="shared" si="248"/>
        <v>0</v>
      </c>
      <c r="BW192" s="18">
        <f t="shared" si="249"/>
        <v>0</v>
      </c>
      <c r="BX192" s="18">
        <f t="shared" si="250"/>
        <v>0</v>
      </c>
      <c r="BY192" s="18">
        <f t="shared" si="251"/>
        <v>0</v>
      </c>
      <c r="BZ192" s="18">
        <f t="shared" si="252"/>
        <v>0</v>
      </c>
      <c r="CA192" s="18">
        <f t="shared" si="253"/>
        <v>0</v>
      </c>
      <c r="CB192" s="18">
        <f t="shared" si="254"/>
        <v>0</v>
      </c>
      <c r="CC192" s="18">
        <f t="shared" si="255"/>
        <v>0</v>
      </c>
      <c r="CD192" s="18">
        <f t="shared" si="256"/>
        <v>0</v>
      </c>
      <c r="CE192" s="18">
        <f t="shared" si="257"/>
        <v>0</v>
      </c>
      <c r="CF192" s="18">
        <f t="shared" si="258"/>
        <v>0</v>
      </c>
      <c r="CG192" s="18">
        <f t="shared" si="259"/>
        <v>0</v>
      </c>
      <c r="CH192" s="18">
        <f t="shared" si="260"/>
        <v>0</v>
      </c>
      <c r="CI192" s="18">
        <f t="shared" si="261"/>
        <v>0</v>
      </c>
      <c r="CJ192" s="18">
        <f t="shared" si="262"/>
        <v>0</v>
      </c>
    </row>
    <row r="193" spans="1:88" x14ac:dyDescent="0.3">
      <c r="A193" s="1">
        <v>44110</v>
      </c>
      <c r="B193">
        <v>39574.57</v>
      </c>
      <c r="C193">
        <f>Table1[[#This Row],[Close]]-0.001*Table1[[#This Row],[Close]]</f>
        <v>39534.995430000003</v>
      </c>
      <c r="D193">
        <f>Table1[[#This Row],[Close]]+0.001*Table1[[#This Row],[Close]]</f>
        <v>39614.144569999997</v>
      </c>
      <c r="E193" t="str">
        <f>IF(Table1[[#This Row],[Close]]&gt;D192,"UP",IF(Table1[[#This Row],[Close]]&lt;C192,"Down","Constant"))</f>
        <v>UP</v>
      </c>
      <c r="F193" s="3">
        <f>IF(Table1[[#This Row],[Column1]]="Up",1,IF(Table1[[#This Row],[Column1]]="Down",-1,0))</f>
        <v>1</v>
      </c>
      <c r="G193">
        <f t="shared" si="181"/>
        <v>0</v>
      </c>
      <c r="H193" s="18">
        <f t="shared" si="182"/>
        <v>0</v>
      </c>
      <c r="I193" s="18">
        <f t="shared" si="183"/>
        <v>0</v>
      </c>
      <c r="J193" s="18">
        <f t="shared" si="184"/>
        <v>1</v>
      </c>
      <c r="K193" s="18">
        <f t="shared" si="185"/>
        <v>0</v>
      </c>
      <c r="L193" s="18">
        <f t="shared" si="186"/>
        <v>0</v>
      </c>
      <c r="M193" s="18">
        <f t="shared" si="187"/>
        <v>0</v>
      </c>
      <c r="N193" s="18">
        <f t="shared" si="188"/>
        <v>0</v>
      </c>
      <c r="O193" s="18">
        <f t="shared" si="189"/>
        <v>0</v>
      </c>
      <c r="P193" s="18">
        <f t="shared" si="190"/>
        <v>0</v>
      </c>
      <c r="Q193" s="18">
        <f t="shared" si="191"/>
        <v>0</v>
      </c>
      <c r="R193" s="18">
        <f t="shared" si="192"/>
        <v>0</v>
      </c>
      <c r="S193" s="18">
        <f t="shared" si="193"/>
        <v>0</v>
      </c>
      <c r="T193" s="18">
        <f t="shared" si="194"/>
        <v>0</v>
      </c>
      <c r="U193" s="18">
        <f t="shared" si="195"/>
        <v>0</v>
      </c>
      <c r="V193" s="18">
        <f t="shared" si="196"/>
        <v>0</v>
      </c>
      <c r="W193" s="18">
        <f t="shared" si="197"/>
        <v>0</v>
      </c>
      <c r="X193" s="18">
        <f t="shared" si="198"/>
        <v>0</v>
      </c>
      <c r="Y193" s="18">
        <f t="shared" si="199"/>
        <v>0</v>
      </c>
      <c r="Z193" s="18">
        <f t="shared" si="200"/>
        <v>0</v>
      </c>
      <c r="AA193" s="18">
        <f t="shared" si="201"/>
        <v>0</v>
      </c>
      <c r="AB193" s="18">
        <f t="shared" si="202"/>
        <v>0</v>
      </c>
      <c r="AC193" s="18">
        <f t="shared" si="203"/>
        <v>0</v>
      </c>
      <c r="AD193" s="18">
        <f t="shared" si="204"/>
        <v>0</v>
      </c>
      <c r="AE193" s="18">
        <f t="shared" si="205"/>
        <v>0</v>
      </c>
      <c r="AF193" s="18">
        <f t="shared" si="206"/>
        <v>0</v>
      </c>
      <c r="AG193" s="18">
        <f t="shared" si="207"/>
        <v>0</v>
      </c>
      <c r="AH193" s="18">
        <f t="shared" si="208"/>
        <v>0</v>
      </c>
      <c r="AI193" s="18">
        <f t="shared" si="209"/>
        <v>0</v>
      </c>
      <c r="AJ193" s="18">
        <f t="shared" si="210"/>
        <v>0</v>
      </c>
      <c r="AK193" s="18">
        <f t="shared" si="211"/>
        <v>0</v>
      </c>
      <c r="AL193" s="18">
        <f t="shared" si="212"/>
        <v>0</v>
      </c>
      <c r="AM193" s="18">
        <f t="shared" si="213"/>
        <v>0</v>
      </c>
      <c r="AN193" s="18">
        <f t="shared" si="214"/>
        <v>0</v>
      </c>
      <c r="AO193" s="18">
        <f t="shared" si="215"/>
        <v>0</v>
      </c>
      <c r="AP193" s="18">
        <f t="shared" si="216"/>
        <v>0</v>
      </c>
      <c r="AQ193" s="18">
        <f t="shared" si="217"/>
        <v>0</v>
      </c>
      <c r="AR193" s="18">
        <f t="shared" si="218"/>
        <v>0</v>
      </c>
      <c r="AS193" s="18">
        <f t="shared" si="219"/>
        <v>0</v>
      </c>
      <c r="AT193" s="18">
        <f t="shared" si="220"/>
        <v>0</v>
      </c>
      <c r="AU193" s="18">
        <f t="shared" si="221"/>
        <v>0</v>
      </c>
      <c r="AV193" s="18">
        <f t="shared" si="222"/>
        <v>0</v>
      </c>
      <c r="AW193" s="18">
        <f t="shared" si="223"/>
        <v>0</v>
      </c>
      <c r="AX193" s="18">
        <f t="shared" si="224"/>
        <v>0</v>
      </c>
      <c r="AY193" s="18">
        <f t="shared" si="225"/>
        <v>0</v>
      </c>
      <c r="AZ193" s="18">
        <f t="shared" si="226"/>
        <v>0</v>
      </c>
      <c r="BA193" s="18">
        <f t="shared" si="227"/>
        <v>0</v>
      </c>
      <c r="BB193" s="18">
        <f t="shared" si="228"/>
        <v>0</v>
      </c>
      <c r="BC193" s="18">
        <f t="shared" si="229"/>
        <v>0</v>
      </c>
      <c r="BD193" s="18">
        <f t="shared" si="230"/>
        <v>0</v>
      </c>
      <c r="BE193" s="18">
        <f t="shared" si="231"/>
        <v>0</v>
      </c>
      <c r="BF193" s="18">
        <f t="shared" si="232"/>
        <v>0</v>
      </c>
      <c r="BG193" s="18">
        <f t="shared" si="233"/>
        <v>0</v>
      </c>
      <c r="BH193" s="18">
        <f t="shared" si="234"/>
        <v>0</v>
      </c>
      <c r="BI193" s="18">
        <f t="shared" si="235"/>
        <v>0</v>
      </c>
      <c r="BJ193" s="18">
        <f t="shared" si="236"/>
        <v>0</v>
      </c>
      <c r="BK193" s="18">
        <f t="shared" si="237"/>
        <v>0</v>
      </c>
      <c r="BL193" s="18">
        <f t="shared" si="238"/>
        <v>0</v>
      </c>
      <c r="BM193" s="18">
        <f t="shared" si="239"/>
        <v>0</v>
      </c>
      <c r="BN193" s="18">
        <f t="shared" si="240"/>
        <v>0</v>
      </c>
      <c r="BO193" s="18">
        <f t="shared" si="241"/>
        <v>0</v>
      </c>
      <c r="BP193" s="18">
        <f t="shared" si="242"/>
        <v>0</v>
      </c>
      <c r="BQ193" s="18">
        <f t="shared" si="243"/>
        <v>0</v>
      </c>
      <c r="BR193" s="18">
        <f t="shared" si="244"/>
        <v>0</v>
      </c>
      <c r="BS193" s="18">
        <f t="shared" si="245"/>
        <v>0</v>
      </c>
      <c r="BT193" s="18">
        <f t="shared" si="246"/>
        <v>0</v>
      </c>
      <c r="BU193" s="18">
        <f t="shared" si="247"/>
        <v>0</v>
      </c>
      <c r="BV193" s="18">
        <f t="shared" si="248"/>
        <v>0</v>
      </c>
      <c r="BW193" s="18">
        <f t="shared" si="249"/>
        <v>0</v>
      </c>
      <c r="BX193" s="18">
        <f t="shared" si="250"/>
        <v>0</v>
      </c>
      <c r="BY193" s="18">
        <f t="shared" si="251"/>
        <v>0</v>
      </c>
      <c r="BZ193" s="18">
        <f t="shared" si="252"/>
        <v>0</v>
      </c>
      <c r="CA193" s="18">
        <f t="shared" si="253"/>
        <v>0</v>
      </c>
      <c r="CB193" s="18">
        <f t="shared" si="254"/>
        <v>0</v>
      </c>
      <c r="CC193" s="18">
        <f t="shared" si="255"/>
        <v>0</v>
      </c>
      <c r="CD193" s="18">
        <f t="shared" si="256"/>
        <v>0</v>
      </c>
      <c r="CE193" s="18">
        <f t="shared" si="257"/>
        <v>0</v>
      </c>
      <c r="CF193" s="18">
        <f t="shared" si="258"/>
        <v>0</v>
      </c>
      <c r="CG193" s="18">
        <f t="shared" si="259"/>
        <v>0</v>
      </c>
      <c r="CH193" s="18">
        <f t="shared" si="260"/>
        <v>0</v>
      </c>
      <c r="CI193" s="18">
        <f t="shared" si="261"/>
        <v>0</v>
      </c>
      <c r="CJ193" s="18">
        <f t="shared" si="262"/>
        <v>0</v>
      </c>
    </row>
    <row r="194" spans="1:88" x14ac:dyDescent="0.3">
      <c r="A194" s="1">
        <v>44111</v>
      </c>
      <c r="B194">
        <v>39878.949999999997</v>
      </c>
      <c r="C194">
        <f>Table1[[#This Row],[Close]]-0.001*Table1[[#This Row],[Close]]</f>
        <v>39839.071049999999</v>
      </c>
      <c r="D194">
        <f>Table1[[#This Row],[Close]]+0.001*Table1[[#This Row],[Close]]</f>
        <v>39918.828949999996</v>
      </c>
      <c r="E194" t="str">
        <f>IF(Table1[[#This Row],[Close]]&gt;D193,"UP",IF(Table1[[#This Row],[Close]]&lt;C193,"Down","Constant"))</f>
        <v>UP</v>
      </c>
      <c r="F194" s="3">
        <f>IF(Table1[[#This Row],[Column1]]="Up",1,IF(Table1[[#This Row],[Column1]]="Down",-1,0))</f>
        <v>1</v>
      </c>
      <c r="G194">
        <f t="shared" si="181"/>
        <v>0</v>
      </c>
      <c r="H194" s="18">
        <f t="shared" si="182"/>
        <v>0</v>
      </c>
      <c r="I194" s="18">
        <f t="shared" si="183"/>
        <v>0</v>
      </c>
      <c r="J194" s="18">
        <f t="shared" si="184"/>
        <v>1</v>
      </c>
      <c r="K194" s="18">
        <f t="shared" si="185"/>
        <v>0</v>
      </c>
      <c r="L194" s="18">
        <f t="shared" si="186"/>
        <v>0</v>
      </c>
      <c r="M194" s="18">
        <f t="shared" si="187"/>
        <v>0</v>
      </c>
      <c r="N194" s="18">
        <f t="shared" si="188"/>
        <v>0</v>
      </c>
      <c r="O194" s="18">
        <f t="shared" si="189"/>
        <v>0</v>
      </c>
      <c r="P194" s="18">
        <f t="shared" si="190"/>
        <v>0</v>
      </c>
      <c r="Q194" s="18">
        <f t="shared" si="191"/>
        <v>0</v>
      </c>
      <c r="R194" s="18">
        <f t="shared" si="192"/>
        <v>0</v>
      </c>
      <c r="S194" s="18">
        <f t="shared" si="193"/>
        <v>0</v>
      </c>
      <c r="T194" s="18">
        <f t="shared" si="194"/>
        <v>0</v>
      </c>
      <c r="U194" s="18">
        <f t="shared" si="195"/>
        <v>0</v>
      </c>
      <c r="V194" s="18">
        <f t="shared" si="196"/>
        <v>0</v>
      </c>
      <c r="W194" s="18">
        <f t="shared" si="197"/>
        <v>0</v>
      </c>
      <c r="X194" s="18">
        <f t="shared" si="198"/>
        <v>0</v>
      </c>
      <c r="Y194" s="18">
        <f t="shared" si="199"/>
        <v>0</v>
      </c>
      <c r="Z194" s="18">
        <f t="shared" si="200"/>
        <v>0</v>
      </c>
      <c r="AA194" s="18">
        <f t="shared" si="201"/>
        <v>0</v>
      </c>
      <c r="AB194" s="18">
        <f t="shared" si="202"/>
        <v>0</v>
      </c>
      <c r="AC194" s="18">
        <f t="shared" si="203"/>
        <v>0</v>
      </c>
      <c r="AD194" s="18">
        <f t="shared" si="204"/>
        <v>0</v>
      </c>
      <c r="AE194" s="18">
        <f t="shared" si="205"/>
        <v>0</v>
      </c>
      <c r="AF194" s="18">
        <f t="shared" si="206"/>
        <v>0</v>
      </c>
      <c r="AG194" s="18">
        <f t="shared" si="207"/>
        <v>0</v>
      </c>
      <c r="AH194" s="18">
        <f t="shared" si="208"/>
        <v>0</v>
      </c>
      <c r="AI194" s="18">
        <f t="shared" si="209"/>
        <v>0</v>
      </c>
      <c r="AJ194" s="18">
        <f t="shared" si="210"/>
        <v>0</v>
      </c>
      <c r="AK194" s="18">
        <f t="shared" si="211"/>
        <v>0</v>
      </c>
      <c r="AL194" s="18">
        <f t="shared" si="212"/>
        <v>0</v>
      </c>
      <c r="AM194" s="18">
        <f t="shared" si="213"/>
        <v>0</v>
      </c>
      <c r="AN194" s="18">
        <f t="shared" si="214"/>
        <v>0</v>
      </c>
      <c r="AO194" s="18">
        <f t="shared" si="215"/>
        <v>0</v>
      </c>
      <c r="AP194" s="18">
        <f t="shared" si="216"/>
        <v>0</v>
      </c>
      <c r="AQ194" s="18">
        <f t="shared" si="217"/>
        <v>0</v>
      </c>
      <c r="AR194" s="18">
        <f t="shared" si="218"/>
        <v>0</v>
      </c>
      <c r="AS194" s="18">
        <f t="shared" si="219"/>
        <v>0</v>
      </c>
      <c r="AT194" s="18">
        <f t="shared" si="220"/>
        <v>0</v>
      </c>
      <c r="AU194" s="18">
        <f t="shared" si="221"/>
        <v>0</v>
      </c>
      <c r="AV194" s="18">
        <f t="shared" si="222"/>
        <v>0</v>
      </c>
      <c r="AW194" s="18">
        <f t="shared" si="223"/>
        <v>0</v>
      </c>
      <c r="AX194" s="18">
        <f t="shared" si="224"/>
        <v>0</v>
      </c>
      <c r="AY194" s="18">
        <f t="shared" si="225"/>
        <v>0</v>
      </c>
      <c r="AZ194" s="18">
        <f t="shared" si="226"/>
        <v>0</v>
      </c>
      <c r="BA194" s="18">
        <f t="shared" si="227"/>
        <v>0</v>
      </c>
      <c r="BB194" s="18">
        <f t="shared" si="228"/>
        <v>0</v>
      </c>
      <c r="BC194" s="18">
        <f t="shared" si="229"/>
        <v>0</v>
      </c>
      <c r="BD194" s="18">
        <f t="shared" si="230"/>
        <v>0</v>
      </c>
      <c r="BE194" s="18">
        <f t="shared" si="231"/>
        <v>0</v>
      </c>
      <c r="BF194" s="18">
        <f t="shared" si="232"/>
        <v>0</v>
      </c>
      <c r="BG194" s="18">
        <f t="shared" si="233"/>
        <v>0</v>
      </c>
      <c r="BH194" s="18">
        <f t="shared" si="234"/>
        <v>0</v>
      </c>
      <c r="BI194" s="18">
        <f t="shared" si="235"/>
        <v>0</v>
      </c>
      <c r="BJ194" s="18">
        <f t="shared" si="236"/>
        <v>0</v>
      </c>
      <c r="BK194" s="18">
        <f t="shared" si="237"/>
        <v>0</v>
      </c>
      <c r="BL194" s="18">
        <f t="shared" si="238"/>
        <v>0</v>
      </c>
      <c r="BM194" s="18">
        <f t="shared" si="239"/>
        <v>0</v>
      </c>
      <c r="BN194" s="18">
        <f t="shared" si="240"/>
        <v>0</v>
      </c>
      <c r="BO194" s="18">
        <f t="shared" si="241"/>
        <v>0</v>
      </c>
      <c r="BP194" s="18">
        <f t="shared" si="242"/>
        <v>0</v>
      </c>
      <c r="BQ194" s="18">
        <f t="shared" si="243"/>
        <v>0</v>
      </c>
      <c r="BR194" s="18">
        <f t="shared" si="244"/>
        <v>0</v>
      </c>
      <c r="BS194" s="18">
        <f t="shared" si="245"/>
        <v>0</v>
      </c>
      <c r="BT194" s="18">
        <f t="shared" si="246"/>
        <v>0</v>
      </c>
      <c r="BU194" s="18">
        <f t="shared" si="247"/>
        <v>0</v>
      </c>
      <c r="BV194" s="18">
        <f t="shared" si="248"/>
        <v>0</v>
      </c>
      <c r="BW194" s="18">
        <f t="shared" si="249"/>
        <v>0</v>
      </c>
      <c r="BX194" s="18">
        <f t="shared" si="250"/>
        <v>0</v>
      </c>
      <c r="BY194" s="18">
        <f t="shared" si="251"/>
        <v>0</v>
      </c>
      <c r="BZ194" s="18">
        <f t="shared" si="252"/>
        <v>0</v>
      </c>
      <c r="CA194" s="18">
        <f t="shared" si="253"/>
        <v>0</v>
      </c>
      <c r="CB194" s="18">
        <f t="shared" si="254"/>
        <v>0</v>
      </c>
      <c r="CC194" s="18">
        <f t="shared" si="255"/>
        <v>0</v>
      </c>
      <c r="CD194" s="18">
        <f t="shared" si="256"/>
        <v>0</v>
      </c>
      <c r="CE194" s="18">
        <f t="shared" si="257"/>
        <v>0</v>
      </c>
      <c r="CF194" s="18">
        <f t="shared" si="258"/>
        <v>0</v>
      </c>
      <c r="CG194" s="18">
        <f t="shared" si="259"/>
        <v>0</v>
      </c>
      <c r="CH194" s="18">
        <f t="shared" si="260"/>
        <v>0</v>
      </c>
      <c r="CI194" s="18">
        <f t="shared" si="261"/>
        <v>0</v>
      </c>
      <c r="CJ194" s="18">
        <f t="shared" si="262"/>
        <v>0</v>
      </c>
    </row>
    <row r="195" spans="1:88" x14ac:dyDescent="0.3">
      <c r="A195" s="1">
        <v>44112</v>
      </c>
      <c r="B195">
        <v>40182.67</v>
      </c>
      <c r="C195">
        <f>Table1[[#This Row],[Close]]-0.001*Table1[[#This Row],[Close]]</f>
        <v>40142.487329999996</v>
      </c>
      <c r="D195">
        <f>Table1[[#This Row],[Close]]+0.001*Table1[[#This Row],[Close]]</f>
        <v>40222.85267</v>
      </c>
      <c r="E195" t="str">
        <f>IF(Table1[[#This Row],[Close]]&gt;D194,"UP",IF(Table1[[#This Row],[Close]]&lt;C194,"Down","Constant"))</f>
        <v>UP</v>
      </c>
      <c r="F195" s="3">
        <f>IF(Table1[[#This Row],[Column1]]="Up",1,IF(Table1[[#This Row],[Column1]]="Down",-1,0))</f>
        <v>1</v>
      </c>
      <c r="G195">
        <f t="shared" si="181"/>
        <v>0</v>
      </c>
      <c r="H195" s="18">
        <f t="shared" si="182"/>
        <v>0</v>
      </c>
      <c r="I195" s="18">
        <f t="shared" si="183"/>
        <v>0</v>
      </c>
      <c r="J195" s="18">
        <f t="shared" si="184"/>
        <v>1</v>
      </c>
      <c r="K195" s="18">
        <f t="shared" si="185"/>
        <v>0</v>
      </c>
      <c r="L195" s="18">
        <f t="shared" si="186"/>
        <v>0</v>
      </c>
      <c r="M195" s="18">
        <f t="shared" si="187"/>
        <v>0</v>
      </c>
      <c r="N195" s="18">
        <f t="shared" si="188"/>
        <v>0</v>
      </c>
      <c r="O195" s="18">
        <f t="shared" si="189"/>
        <v>0</v>
      </c>
      <c r="P195" s="18">
        <f t="shared" si="190"/>
        <v>0</v>
      </c>
      <c r="Q195" s="18">
        <f t="shared" si="191"/>
        <v>0</v>
      </c>
      <c r="R195" s="18">
        <f t="shared" si="192"/>
        <v>0</v>
      </c>
      <c r="S195" s="18">
        <f t="shared" si="193"/>
        <v>0</v>
      </c>
      <c r="T195" s="18">
        <f t="shared" si="194"/>
        <v>0</v>
      </c>
      <c r="U195" s="18">
        <f t="shared" si="195"/>
        <v>0</v>
      </c>
      <c r="V195" s="18">
        <f t="shared" si="196"/>
        <v>0</v>
      </c>
      <c r="W195" s="18">
        <f t="shared" si="197"/>
        <v>0</v>
      </c>
      <c r="X195" s="18">
        <f t="shared" si="198"/>
        <v>0</v>
      </c>
      <c r="Y195" s="18">
        <f t="shared" si="199"/>
        <v>0</v>
      </c>
      <c r="Z195" s="18">
        <f t="shared" si="200"/>
        <v>0</v>
      </c>
      <c r="AA195" s="18">
        <f t="shared" si="201"/>
        <v>0</v>
      </c>
      <c r="AB195" s="18">
        <f t="shared" si="202"/>
        <v>0</v>
      </c>
      <c r="AC195" s="18">
        <f t="shared" si="203"/>
        <v>0</v>
      </c>
      <c r="AD195" s="18">
        <f t="shared" si="204"/>
        <v>0</v>
      </c>
      <c r="AE195" s="18">
        <f t="shared" si="205"/>
        <v>0</v>
      </c>
      <c r="AF195" s="18">
        <f t="shared" si="206"/>
        <v>0</v>
      </c>
      <c r="AG195" s="18">
        <f t="shared" si="207"/>
        <v>0</v>
      </c>
      <c r="AH195" s="18">
        <f t="shared" si="208"/>
        <v>0</v>
      </c>
      <c r="AI195" s="18">
        <f t="shared" si="209"/>
        <v>0</v>
      </c>
      <c r="AJ195" s="18">
        <f t="shared" si="210"/>
        <v>0</v>
      </c>
      <c r="AK195" s="18">
        <f t="shared" si="211"/>
        <v>0</v>
      </c>
      <c r="AL195" s="18">
        <f t="shared" si="212"/>
        <v>0</v>
      </c>
      <c r="AM195" s="18">
        <f t="shared" si="213"/>
        <v>0</v>
      </c>
      <c r="AN195" s="18">
        <f t="shared" si="214"/>
        <v>0</v>
      </c>
      <c r="AO195" s="18">
        <f t="shared" si="215"/>
        <v>0</v>
      </c>
      <c r="AP195" s="18">
        <f t="shared" si="216"/>
        <v>0</v>
      </c>
      <c r="AQ195" s="18">
        <f t="shared" si="217"/>
        <v>0</v>
      </c>
      <c r="AR195" s="18">
        <f t="shared" si="218"/>
        <v>0</v>
      </c>
      <c r="AS195" s="18">
        <f t="shared" si="219"/>
        <v>0</v>
      </c>
      <c r="AT195" s="18">
        <f t="shared" si="220"/>
        <v>0</v>
      </c>
      <c r="AU195" s="18">
        <f t="shared" si="221"/>
        <v>0</v>
      </c>
      <c r="AV195" s="18">
        <f t="shared" si="222"/>
        <v>0</v>
      </c>
      <c r="AW195" s="18">
        <f t="shared" si="223"/>
        <v>0</v>
      </c>
      <c r="AX195" s="18">
        <f t="shared" si="224"/>
        <v>0</v>
      </c>
      <c r="AY195" s="18">
        <f t="shared" si="225"/>
        <v>0</v>
      </c>
      <c r="AZ195" s="18">
        <f t="shared" si="226"/>
        <v>0</v>
      </c>
      <c r="BA195" s="18">
        <f t="shared" si="227"/>
        <v>0</v>
      </c>
      <c r="BB195" s="18">
        <f t="shared" si="228"/>
        <v>0</v>
      </c>
      <c r="BC195" s="18">
        <f t="shared" si="229"/>
        <v>0</v>
      </c>
      <c r="BD195" s="18">
        <f t="shared" si="230"/>
        <v>0</v>
      </c>
      <c r="BE195" s="18">
        <f t="shared" si="231"/>
        <v>0</v>
      </c>
      <c r="BF195" s="18">
        <f t="shared" si="232"/>
        <v>0</v>
      </c>
      <c r="BG195" s="18">
        <f t="shared" si="233"/>
        <v>0</v>
      </c>
      <c r="BH195" s="18">
        <f t="shared" si="234"/>
        <v>0</v>
      </c>
      <c r="BI195" s="18">
        <f t="shared" si="235"/>
        <v>0</v>
      </c>
      <c r="BJ195" s="18">
        <f t="shared" si="236"/>
        <v>0</v>
      </c>
      <c r="BK195" s="18">
        <f t="shared" si="237"/>
        <v>0</v>
      </c>
      <c r="BL195" s="18">
        <f t="shared" si="238"/>
        <v>0</v>
      </c>
      <c r="BM195" s="18">
        <f t="shared" si="239"/>
        <v>0</v>
      </c>
      <c r="BN195" s="18">
        <f t="shared" si="240"/>
        <v>0</v>
      </c>
      <c r="BO195" s="18">
        <f t="shared" si="241"/>
        <v>0</v>
      </c>
      <c r="BP195" s="18">
        <f t="shared" si="242"/>
        <v>0</v>
      </c>
      <c r="BQ195" s="18">
        <f t="shared" si="243"/>
        <v>0</v>
      </c>
      <c r="BR195" s="18">
        <f t="shared" si="244"/>
        <v>0</v>
      </c>
      <c r="BS195" s="18">
        <f t="shared" si="245"/>
        <v>0</v>
      </c>
      <c r="BT195" s="18">
        <f t="shared" si="246"/>
        <v>0</v>
      </c>
      <c r="BU195" s="18">
        <f t="shared" si="247"/>
        <v>0</v>
      </c>
      <c r="BV195" s="18">
        <f t="shared" si="248"/>
        <v>0</v>
      </c>
      <c r="BW195" s="18">
        <f t="shared" si="249"/>
        <v>0</v>
      </c>
      <c r="BX195" s="18">
        <f t="shared" si="250"/>
        <v>0</v>
      </c>
      <c r="BY195" s="18">
        <f t="shared" si="251"/>
        <v>0</v>
      </c>
      <c r="BZ195" s="18">
        <f t="shared" si="252"/>
        <v>0</v>
      </c>
      <c r="CA195" s="18">
        <f t="shared" si="253"/>
        <v>0</v>
      </c>
      <c r="CB195" s="18">
        <f t="shared" si="254"/>
        <v>0</v>
      </c>
      <c r="CC195" s="18">
        <f t="shared" si="255"/>
        <v>0</v>
      </c>
      <c r="CD195" s="18">
        <f t="shared" si="256"/>
        <v>0</v>
      </c>
      <c r="CE195" s="18">
        <f t="shared" si="257"/>
        <v>0</v>
      </c>
      <c r="CF195" s="18">
        <f t="shared" si="258"/>
        <v>0</v>
      </c>
      <c r="CG195" s="18">
        <f t="shared" si="259"/>
        <v>0</v>
      </c>
      <c r="CH195" s="18">
        <f t="shared" si="260"/>
        <v>0</v>
      </c>
      <c r="CI195" s="18">
        <f t="shared" si="261"/>
        <v>0</v>
      </c>
      <c r="CJ195" s="18">
        <f t="shared" si="262"/>
        <v>0</v>
      </c>
    </row>
    <row r="196" spans="1:88" x14ac:dyDescent="0.3">
      <c r="A196" s="1">
        <v>44113</v>
      </c>
      <c r="B196">
        <v>40509.49</v>
      </c>
      <c r="C196">
        <f>Table1[[#This Row],[Close]]-0.001*Table1[[#This Row],[Close]]</f>
        <v>40468.980510000001</v>
      </c>
      <c r="D196">
        <f>Table1[[#This Row],[Close]]+0.001*Table1[[#This Row],[Close]]</f>
        <v>40549.999489999995</v>
      </c>
      <c r="E196" t="str">
        <f>IF(Table1[[#This Row],[Close]]&gt;D195,"UP",IF(Table1[[#This Row],[Close]]&lt;C195,"Down","Constant"))</f>
        <v>UP</v>
      </c>
      <c r="F196" s="3">
        <f>IF(Table1[[#This Row],[Column1]]="Up",1,IF(Table1[[#This Row],[Column1]]="Down",-1,0))</f>
        <v>1</v>
      </c>
      <c r="G196">
        <f t="shared" si="181"/>
        <v>0</v>
      </c>
      <c r="H196" s="18">
        <f t="shared" si="182"/>
        <v>0</v>
      </c>
      <c r="I196" s="18">
        <f t="shared" si="183"/>
        <v>0</v>
      </c>
      <c r="J196" s="18">
        <f t="shared" si="184"/>
        <v>1</v>
      </c>
      <c r="K196" s="18">
        <f t="shared" si="185"/>
        <v>0</v>
      </c>
      <c r="L196" s="18">
        <f t="shared" si="186"/>
        <v>0</v>
      </c>
      <c r="M196" s="18">
        <f t="shared" si="187"/>
        <v>0</v>
      </c>
      <c r="N196" s="18">
        <f t="shared" si="188"/>
        <v>0</v>
      </c>
      <c r="O196" s="18">
        <f t="shared" si="189"/>
        <v>0</v>
      </c>
      <c r="P196" s="18">
        <f t="shared" si="190"/>
        <v>0</v>
      </c>
      <c r="Q196" s="18">
        <f t="shared" si="191"/>
        <v>0</v>
      </c>
      <c r="R196" s="18">
        <f t="shared" si="192"/>
        <v>0</v>
      </c>
      <c r="S196" s="18">
        <f t="shared" si="193"/>
        <v>0</v>
      </c>
      <c r="T196" s="18">
        <f t="shared" si="194"/>
        <v>0</v>
      </c>
      <c r="U196" s="18">
        <f t="shared" si="195"/>
        <v>0</v>
      </c>
      <c r="V196" s="18">
        <f t="shared" si="196"/>
        <v>0</v>
      </c>
      <c r="W196" s="18">
        <f t="shared" si="197"/>
        <v>0</v>
      </c>
      <c r="X196" s="18">
        <f t="shared" si="198"/>
        <v>0</v>
      </c>
      <c r="Y196" s="18">
        <f t="shared" si="199"/>
        <v>0</v>
      </c>
      <c r="Z196" s="18">
        <f t="shared" si="200"/>
        <v>0</v>
      </c>
      <c r="AA196" s="18">
        <f t="shared" si="201"/>
        <v>0</v>
      </c>
      <c r="AB196" s="18">
        <f t="shared" si="202"/>
        <v>0</v>
      </c>
      <c r="AC196" s="18">
        <f t="shared" si="203"/>
        <v>0</v>
      </c>
      <c r="AD196" s="18">
        <f t="shared" si="204"/>
        <v>0</v>
      </c>
      <c r="AE196" s="18">
        <f t="shared" si="205"/>
        <v>0</v>
      </c>
      <c r="AF196" s="18">
        <f t="shared" si="206"/>
        <v>0</v>
      </c>
      <c r="AG196" s="18">
        <f t="shared" si="207"/>
        <v>0</v>
      </c>
      <c r="AH196" s="18">
        <f t="shared" si="208"/>
        <v>0</v>
      </c>
      <c r="AI196" s="18">
        <f t="shared" si="209"/>
        <v>0</v>
      </c>
      <c r="AJ196" s="18">
        <f t="shared" si="210"/>
        <v>0</v>
      </c>
      <c r="AK196" s="18">
        <f t="shared" si="211"/>
        <v>0</v>
      </c>
      <c r="AL196" s="18">
        <f t="shared" si="212"/>
        <v>0</v>
      </c>
      <c r="AM196" s="18">
        <f t="shared" si="213"/>
        <v>0</v>
      </c>
      <c r="AN196" s="18">
        <f t="shared" si="214"/>
        <v>0</v>
      </c>
      <c r="AO196" s="18">
        <f t="shared" si="215"/>
        <v>0</v>
      </c>
      <c r="AP196" s="18">
        <f t="shared" si="216"/>
        <v>0</v>
      </c>
      <c r="AQ196" s="18">
        <f t="shared" si="217"/>
        <v>0</v>
      </c>
      <c r="AR196" s="18">
        <f t="shared" si="218"/>
        <v>0</v>
      </c>
      <c r="AS196" s="18">
        <f t="shared" si="219"/>
        <v>0</v>
      </c>
      <c r="AT196" s="18">
        <f t="shared" si="220"/>
        <v>0</v>
      </c>
      <c r="AU196" s="18">
        <f t="shared" si="221"/>
        <v>0</v>
      </c>
      <c r="AV196" s="18">
        <f t="shared" si="222"/>
        <v>0</v>
      </c>
      <c r="AW196" s="18">
        <f t="shared" si="223"/>
        <v>0</v>
      </c>
      <c r="AX196" s="18">
        <f t="shared" si="224"/>
        <v>0</v>
      </c>
      <c r="AY196" s="18">
        <f t="shared" si="225"/>
        <v>0</v>
      </c>
      <c r="AZ196" s="18">
        <f t="shared" si="226"/>
        <v>0</v>
      </c>
      <c r="BA196" s="18">
        <f t="shared" si="227"/>
        <v>0</v>
      </c>
      <c r="BB196" s="18">
        <f t="shared" si="228"/>
        <v>0</v>
      </c>
      <c r="BC196" s="18">
        <f t="shared" si="229"/>
        <v>0</v>
      </c>
      <c r="BD196" s="18">
        <f t="shared" si="230"/>
        <v>0</v>
      </c>
      <c r="BE196" s="18">
        <f t="shared" si="231"/>
        <v>0</v>
      </c>
      <c r="BF196" s="18">
        <f t="shared" si="232"/>
        <v>0</v>
      </c>
      <c r="BG196" s="18">
        <f t="shared" si="233"/>
        <v>0</v>
      </c>
      <c r="BH196" s="18">
        <f t="shared" si="234"/>
        <v>0</v>
      </c>
      <c r="BI196" s="18">
        <f t="shared" si="235"/>
        <v>0</v>
      </c>
      <c r="BJ196" s="18">
        <f t="shared" si="236"/>
        <v>0</v>
      </c>
      <c r="BK196" s="18">
        <f t="shared" si="237"/>
        <v>0</v>
      </c>
      <c r="BL196" s="18">
        <f t="shared" si="238"/>
        <v>0</v>
      </c>
      <c r="BM196" s="18">
        <f t="shared" si="239"/>
        <v>0</v>
      </c>
      <c r="BN196" s="18">
        <f t="shared" si="240"/>
        <v>0</v>
      </c>
      <c r="BO196" s="18">
        <f t="shared" si="241"/>
        <v>0</v>
      </c>
      <c r="BP196" s="18">
        <f t="shared" si="242"/>
        <v>0</v>
      </c>
      <c r="BQ196" s="18">
        <f t="shared" si="243"/>
        <v>0</v>
      </c>
      <c r="BR196" s="18">
        <f t="shared" si="244"/>
        <v>0</v>
      </c>
      <c r="BS196" s="18">
        <f t="shared" si="245"/>
        <v>0</v>
      </c>
      <c r="BT196" s="18">
        <f t="shared" si="246"/>
        <v>0</v>
      </c>
      <c r="BU196" s="18">
        <f t="shared" si="247"/>
        <v>0</v>
      </c>
      <c r="BV196" s="18">
        <f t="shared" si="248"/>
        <v>0</v>
      </c>
      <c r="BW196" s="18">
        <f t="shared" si="249"/>
        <v>0</v>
      </c>
      <c r="BX196" s="18">
        <f t="shared" si="250"/>
        <v>0</v>
      </c>
      <c r="BY196" s="18">
        <f t="shared" si="251"/>
        <v>0</v>
      </c>
      <c r="BZ196" s="18">
        <f t="shared" si="252"/>
        <v>0</v>
      </c>
      <c r="CA196" s="18">
        <f t="shared" si="253"/>
        <v>0</v>
      </c>
      <c r="CB196" s="18">
        <f t="shared" si="254"/>
        <v>0</v>
      </c>
      <c r="CC196" s="18">
        <f t="shared" si="255"/>
        <v>0</v>
      </c>
      <c r="CD196" s="18">
        <f t="shared" si="256"/>
        <v>0</v>
      </c>
      <c r="CE196" s="18">
        <f t="shared" si="257"/>
        <v>0</v>
      </c>
      <c r="CF196" s="18">
        <f t="shared" si="258"/>
        <v>0</v>
      </c>
      <c r="CG196" s="18">
        <f t="shared" si="259"/>
        <v>0</v>
      </c>
      <c r="CH196" s="18">
        <f t="shared" si="260"/>
        <v>0</v>
      </c>
      <c r="CI196" s="18">
        <f t="shared" si="261"/>
        <v>0</v>
      </c>
      <c r="CJ196" s="18">
        <f t="shared" si="262"/>
        <v>0</v>
      </c>
    </row>
    <row r="197" spans="1:88" x14ac:dyDescent="0.3">
      <c r="A197" s="1">
        <v>44116</v>
      </c>
      <c r="B197">
        <v>40593.800000000003</v>
      </c>
      <c r="C197">
        <f>Table1[[#This Row],[Close]]-0.001*Table1[[#This Row],[Close]]</f>
        <v>40553.206200000001</v>
      </c>
      <c r="D197">
        <f>Table1[[#This Row],[Close]]+0.001*Table1[[#This Row],[Close]]</f>
        <v>40634.393800000005</v>
      </c>
      <c r="E197" t="str">
        <f>IF(Table1[[#This Row],[Close]]&gt;D196,"UP",IF(Table1[[#This Row],[Close]]&lt;C196,"Down","Constant"))</f>
        <v>UP</v>
      </c>
      <c r="F197" s="3">
        <f>IF(Table1[[#This Row],[Column1]]="Up",1,IF(Table1[[#This Row],[Column1]]="Down",-1,0))</f>
        <v>1</v>
      </c>
      <c r="G197">
        <f t="shared" si="181"/>
        <v>0</v>
      </c>
      <c r="H197" s="18">
        <f t="shared" si="182"/>
        <v>0</v>
      </c>
      <c r="I197" s="18">
        <f t="shared" si="183"/>
        <v>0</v>
      </c>
      <c r="J197" s="18">
        <f t="shared" si="184"/>
        <v>1</v>
      </c>
      <c r="K197" s="18">
        <f t="shared" si="185"/>
        <v>0</v>
      </c>
      <c r="L197" s="18">
        <f t="shared" si="186"/>
        <v>0</v>
      </c>
      <c r="M197" s="18">
        <f t="shared" si="187"/>
        <v>0</v>
      </c>
      <c r="N197" s="18">
        <f t="shared" si="188"/>
        <v>0</v>
      </c>
      <c r="O197" s="18">
        <f t="shared" si="189"/>
        <v>0</v>
      </c>
      <c r="P197" s="18">
        <f t="shared" si="190"/>
        <v>0</v>
      </c>
      <c r="Q197" s="18">
        <f t="shared" si="191"/>
        <v>0</v>
      </c>
      <c r="R197" s="18">
        <f t="shared" si="192"/>
        <v>0</v>
      </c>
      <c r="S197" s="18">
        <f t="shared" si="193"/>
        <v>0</v>
      </c>
      <c r="T197" s="18">
        <f t="shared" si="194"/>
        <v>0</v>
      </c>
      <c r="U197" s="18">
        <f t="shared" si="195"/>
        <v>0</v>
      </c>
      <c r="V197" s="18">
        <f t="shared" si="196"/>
        <v>0</v>
      </c>
      <c r="W197" s="18">
        <f t="shared" si="197"/>
        <v>0</v>
      </c>
      <c r="X197" s="18">
        <f t="shared" si="198"/>
        <v>0</v>
      </c>
      <c r="Y197" s="18">
        <f t="shared" si="199"/>
        <v>0</v>
      </c>
      <c r="Z197" s="18">
        <f t="shared" si="200"/>
        <v>0</v>
      </c>
      <c r="AA197" s="18">
        <f t="shared" si="201"/>
        <v>0</v>
      </c>
      <c r="AB197" s="18">
        <f t="shared" si="202"/>
        <v>0</v>
      </c>
      <c r="AC197" s="18">
        <f t="shared" si="203"/>
        <v>0</v>
      </c>
      <c r="AD197" s="18">
        <f t="shared" si="204"/>
        <v>0</v>
      </c>
      <c r="AE197" s="18">
        <f t="shared" si="205"/>
        <v>0</v>
      </c>
      <c r="AF197" s="18">
        <f t="shared" si="206"/>
        <v>0</v>
      </c>
      <c r="AG197" s="18">
        <f t="shared" si="207"/>
        <v>0</v>
      </c>
      <c r="AH197" s="18">
        <f t="shared" si="208"/>
        <v>0</v>
      </c>
      <c r="AI197" s="18">
        <f t="shared" si="209"/>
        <v>0</v>
      </c>
      <c r="AJ197" s="18">
        <f t="shared" si="210"/>
        <v>0</v>
      </c>
      <c r="AK197" s="18">
        <f t="shared" si="211"/>
        <v>0</v>
      </c>
      <c r="AL197" s="18">
        <f t="shared" si="212"/>
        <v>0</v>
      </c>
      <c r="AM197" s="18">
        <f t="shared" si="213"/>
        <v>0</v>
      </c>
      <c r="AN197" s="18">
        <f t="shared" si="214"/>
        <v>0</v>
      </c>
      <c r="AO197" s="18">
        <f t="shared" si="215"/>
        <v>0</v>
      </c>
      <c r="AP197" s="18">
        <f t="shared" si="216"/>
        <v>0</v>
      </c>
      <c r="AQ197" s="18">
        <f t="shared" si="217"/>
        <v>0</v>
      </c>
      <c r="AR197" s="18">
        <f t="shared" si="218"/>
        <v>0</v>
      </c>
      <c r="AS197" s="18">
        <f t="shared" si="219"/>
        <v>0</v>
      </c>
      <c r="AT197" s="18">
        <f t="shared" si="220"/>
        <v>0</v>
      </c>
      <c r="AU197" s="18">
        <f t="shared" si="221"/>
        <v>0</v>
      </c>
      <c r="AV197" s="18">
        <f t="shared" si="222"/>
        <v>0</v>
      </c>
      <c r="AW197" s="18">
        <f t="shared" si="223"/>
        <v>0</v>
      </c>
      <c r="AX197" s="18">
        <f t="shared" si="224"/>
        <v>0</v>
      </c>
      <c r="AY197" s="18">
        <f t="shared" si="225"/>
        <v>0</v>
      </c>
      <c r="AZ197" s="18">
        <f t="shared" si="226"/>
        <v>0</v>
      </c>
      <c r="BA197" s="18">
        <f t="shared" si="227"/>
        <v>0</v>
      </c>
      <c r="BB197" s="18">
        <f t="shared" si="228"/>
        <v>0</v>
      </c>
      <c r="BC197" s="18">
        <f t="shared" si="229"/>
        <v>0</v>
      </c>
      <c r="BD197" s="18">
        <f t="shared" si="230"/>
        <v>0</v>
      </c>
      <c r="BE197" s="18">
        <f t="shared" si="231"/>
        <v>0</v>
      </c>
      <c r="BF197" s="18">
        <f t="shared" si="232"/>
        <v>0</v>
      </c>
      <c r="BG197" s="18">
        <f t="shared" si="233"/>
        <v>0</v>
      </c>
      <c r="BH197" s="18">
        <f t="shared" si="234"/>
        <v>0</v>
      </c>
      <c r="BI197" s="18">
        <f t="shared" si="235"/>
        <v>0</v>
      </c>
      <c r="BJ197" s="18">
        <f t="shared" si="236"/>
        <v>0</v>
      </c>
      <c r="BK197" s="18">
        <f t="shared" si="237"/>
        <v>0</v>
      </c>
      <c r="BL197" s="18">
        <f t="shared" si="238"/>
        <v>0</v>
      </c>
      <c r="BM197" s="18">
        <f t="shared" si="239"/>
        <v>0</v>
      </c>
      <c r="BN197" s="18">
        <f t="shared" si="240"/>
        <v>0</v>
      </c>
      <c r="BO197" s="18">
        <f t="shared" si="241"/>
        <v>0</v>
      </c>
      <c r="BP197" s="18">
        <f t="shared" si="242"/>
        <v>0</v>
      </c>
      <c r="BQ197" s="18">
        <f t="shared" si="243"/>
        <v>0</v>
      </c>
      <c r="BR197" s="18">
        <f t="shared" si="244"/>
        <v>0</v>
      </c>
      <c r="BS197" s="18">
        <f t="shared" si="245"/>
        <v>0</v>
      </c>
      <c r="BT197" s="18">
        <f t="shared" si="246"/>
        <v>0</v>
      </c>
      <c r="BU197" s="18">
        <f t="shared" si="247"/>
        <v>0</v>
      </c>
      <c r="BV197" s="18">
        <f t="shared" si="248"/>
        <v>0</v>
      </c>
      <c r="BW197" s="18">
        <f t="shared" si="249"/>
        <v>0</v>
      </c>
      <c r="BX197" s="18">
        <f t="shared" si="250"/>
        <v>0</v>
      </c>
      <c r="BY197" s="18">
        <f t="shared" si="251"/>
        <v>0</v>
      </c>
      <c r="BZ197" s="18">
        <f t="shared" si="252"/>
        <v>0</v>
      </c>
      <c r="CA197" s="18">
        <f t="shared" si="253"/>
        <v>0</v>
      </c>
      <c r="CB197" s="18">
        <f t="shared" si="254"/>
        <v>0</v>
      </c>
      <c r="CC197" s="18">
        <f t="shared" si="255"/>
        <v>0</v>
      </c>
      <c r="CD197" s="18">
        <f t="shared" si="256"/>
        <v>0</v>
      </c>
      <c r="CE197" s="18">
        <f t="shared" si="257"/>
        <v>0</v>
      </c>
      <c r="CF197" s="18">
        <f t="shared" si="258"/>
        <v>0</v>
      </c>
      <c r="CG197" s="18">
        <f t="shared" si="259"/>
        <v>0</v>
      </c>
      <c r="CH197" s="18">
        <f t="shared" si="260"/>
        <v>0</v>
      </c>
      <c r="CI197" s="18">
        <f t="shared" si="261"/>
        <v>0</v>
      </c>
      <c r="CJ197" s="18">
        <f t="shared" si="262"/>
        <v>0</v>
      </c>
    </row>
    <row r="198" spans="1:88" x14ac:dyDescent="0.3">
      <c r="A198" s="1">
        <v>44117</v>
      </c>
      <c r="B198">
        <v>40625.51</v>
      </c>
      <c r="C198">
        <f>Table1[[#This Row],[Close]]-0.001*Table1[[#This Row],[Close]]</f>
        <v>40584.884490000004</v>
      </c>
      <c r="D198">
        <f>Table1[[#This Row],[Close]]+0.001*Table1[[#This Row],[Close]]</f>
        <v>40666.13551</v>
      </c>
      <c r="E198" t="str">
        <f>IF(Table1[[#This Row],[Close]]&gt;D197,"UP",IF(Table1[[#This Row],[Close]]&lt;C197,"Down","Constant"))</f>
        <v>Constant</v>
      </c>
      <c r="F198" s="3">
        <f>IF(Table1[[#This Row],[Column1]]="Up",1,IF(Table1[[#This Row],[Column1]]="Down",-1,0))</f>
        <v>0</v>
      </c>
      <c r="G198">
        <f t="shared" ref="G198:G253" si="263">IF(AND(F198=-1,F197=1,F196=-1,F195=0),1,0)</f>
        <v>0</v>
      </c>
      <c r="H198" s="18">
        <f t="shared" ref="H198:H253" si="264">IF(AND(F198=-1,F197=1,F196=1,F195=1),1,0)</f>
        <v>0</v>
      </c>
      <c r="I198" s="18">
        <f t="shared" ref="I198:I253" si="265">IF(AND(F198=0,F197=1,F196=1,F195=1),1,0)</f>
        <v>1</v>
      </c>
      <c r="J198" s="18">
        <f t="shared" ref="J198:J253" si="266">IF(AND(F198=1,F197=1,F196=1,F195=1),1,0)</f>
        <v>0</v>
      </c>
      <c r="K198" s="18">
        <f t="shared" ref="K198:K253" si="267">IF(AND(F198=-1,F197=1,F196=1,F195=-1),1,0)</f>
        <v>0</v>
      </c>
      <c r="L198" s="18">
        <f t="shared" ref="L198:L253" si="268">IF(AND(F198=0,F197=1,F196=1,F195=-1),1,0)</f>
        <v>0</v>
      </c>
      <c r="M198" s="18">
        <f t="shared" ref="M198:M253" si="269">IF(AND(F198=1,F197=1,F196=1,F195=-1),1,0)</f>
        <v>0</v>
      </c>
      <c r="N198" s="18">
        <f t="shared" ref="N198:N253" si="270">IF(AND(F198=-1,F197=1,F196=-1,F195=1),1,0)</f>
        <v>0</v>
      </c>
      <c r="O198" s="18">
        <f t="shared" ref="O198:O253" si="271">IF(AND(F198=0,F197=1,F196=-1,F195=1),1,0)</f>
        <v>0</v>
      </c>
      <c r="P198" s="18">
        <f t="shared" ref="P198:P253" si="272">IF(AND(F198=1,F197=1,F196=-1,F195=1),1,0)</f>
        <v>0</v>
      </c>
      <c r="Q198" s="18">
        <f t="shared" ref="Q198:Q253" si="273">IF(AND(F198=-1,F197=-1,F196=1,F195=1),1,0)</f>
        <v>0</v>
      </c>
      <c r="R198" s="18">
        <f t="shared" ref="R198:R253" si="274">IF(AND(F198=0,F197=-1,F196=1,F195=1),1,0)</f>
        <v>0</v>
      </c>
      <c r="S198" s="18">
        <f t="shared" ref="S198:S253" si="275">IF(AND(F198=1,F197=-1,F196=1,F195=1),1,0)</f>
        <v>0</v>
      </c>
      <c r="T198" s="18">
        <f t="shared" ref="T198:T253" si="276">IF(AND(F198=-1,F197=1,F196=-1,F195=-1),1,0)</f>
        <v>0</v>
      </c>
      <c r="U198" s="18">
        <f t="shared" ref="U198:U253" si="277">IF(AND(F198=0,F197=1,F196=-1,F195=-1),1,0)</f>
        <v>0</v>
      </c>
      <c r="V198" s="18">
        <f t="shared" ref="V198:V253" si="278">IF(AND(F198=1,F197=1,F196=-1,F195=-1),1,0)</f>
        <v>0</v>
      </c>
      <c r="W198" s="18">
        <f t="shared" ref="W198:W253" si="279">IF(AND(F198=-1,F197=-1,F196=-1,F195=1),1,0)</f>
        <v>0</v>
      </c>
      <c r="X198" s="18">
        <f t="shared" ref="X198:X253" si="280">IF(AND(F198=0,F197=-1,F196=-1,F195=1),1,0)</f>
        <v>0</v>
      </c>
      <c r="Y198" s="18">
        <f t="shared" ref="Y198:Y253" si="281">IF(AND(F198=1,F197=-1,F196=-1,F195=1),1,0)</f>
        <v>0</v>
      </c>
      <c r="Z198" s="18">
        <f t="shared" ref="Z198:Z253" si="282">IF(AND(F198=-1,F197=-1,F196=-1,F195=-1),1,0)</f>
        <v>0</v>
      </c>
      <c r="AA198" s="18">
        <f t="shared" ref="AA198:AA253" si="283">IF(AND(F198=0,F197=-1,F196=-1,F195=-1),1,0)</f>
        <v>0</v>
      </c>
      <c r="AB198" s="18">
        <f t="shared" ref="AB198:AB253" si="284">IF(AND(F198=1,F197=-1,F196=-1,F195=-1),1,0)</f>
        <v>0</v>
      </c>
      <c r="AC198" s="18">
        <f t="shared" ref="AC198:AC253" si="285">IF(AND(F198=-1,F197=-1,F196=1,F195=-1),1,0)</f>
        <v>0</v>
      </c>
      <c r="AD198" s="18">
        <f t="shared" ref="AD198:AD253" si="286">IF(AND(F198=0,F197=-1,F196=1,F195=-1),1,0)</f>
        <v>0</v>
      </c>
      <c r="AE198" s="18">
        <f t="shared" ref="AE198:AE253" si="287">IF(AND(F198=1,F197=-1,F196=1,F195=-1),1,0)</f>
        <v>0</v>
      </c>
      <c r="AF198" s="18">
        <f t="shared" ref="AF198:AF253" si="288">IF(AND(F198=-1,F197=1,F196=1,F195=0),1,0)</f>
        <v>0</v>
      </c>
      <c r="AG198" s="18">
        <f t="shared" ref="AG198:AG253" si="289">IF(AND(F198=0,F197=1,F196=1,F195=0),1,0)</f>
        <v>0</v>
      </c>
      <c r="AH198" s="18">
        <f t="shared" ref="AH198:AH253" si="290">IF(AND(F198=1,F197=1,F196=1,F195=0),1,0)</f>
        <v>0</v>
      </c>
      <c r="AI198" s="18">
        <f t="shared" ref="AI198:AI253" si="291">IF(AND(F198=-1,F197=1,F196=0,F195=1),1,0)</f>
        <v>0</v>
      </c>
      <c r="AJ198" s="18">
        <f t="shared" ref="AJ198:AJ253" si="292">IF(AND(F198=0,F197=1,F196=0,F195=1),1,0)</f>
        <v>0</v>
      </c>
      <c r="AK198" s="18">
        <f t="shared" ref="AK198:AK253" si="293">IF(AND(F198=1,F197=1,F196=0,F195=1),1,0)</f>
        <v>0</v>
      </c>
      <c r="AL198" s="18">
        <f t="shared" ref="AL198:AL253" si="294">IF(AND(F198=-1,F197=0,F196=1,F195=1),1,0)</f>
        <v>0</v>
      </c>
      <c r="AM198" s="18">
        <f t="shared" ref="AM198:AM253" si="295">IF(AND(F198=0,F197=0,F196=1,F195=1),1,0)</f>
        <v>0</v>
      </c>
      <c r="AN198" s="18">
        <f t="shared" ref="AN198:AN253" si="296">IF(AND(F198=1,F197=0,F196=1,F195=1),1,0)</f>
        <v>0</v>
      </c>
      <c r="AO198" s="18">
        <f t="shared" ref="AO198:AO253" si="297">IF(AND(F198=-1,F197=0,F196=0,F195=1),1,0)</f>
        <v>0</v>
      </c>
      <c r="AP198" s="18">
        <f t="shared" ref="AP198:AP253" si="298">IF(AND(F198=0,F197=0,F196=0,F195=1),1,0)</f>
        <v>0</v>
      </c>
      <c r="AQ198" s="18">
        <f t="shared" ref="AQ198:AQ253" si="299">IF(AND(F198=1,F197=0,F196=0,F195=1),1,0)</f>
        <v>0</v>
      </c>
      <c r="AR198" s="18">
        <f t="shared" ref="AR198:AR253" si="300">IF(AND(F198=-1,F197=0,F196=1,F195=0),1,0)</f>
        <v>0</v>
      </c>
      <c r="AS198" s="18">
        <f t="shared" ref="AS198:AS253" si="301">IF(AND(F198=0,F197=0,F196=1,F195=0),1,0)</f>
        <v>0</v>
      </c>
      <c r="AT198" s="18">
        <f t="shared" ref="AT198:AT253" si="302">IF(AND(F198=1,F197=0,F196=1,F195=0),1,0)</f>
        <v>0</v>
      </c>
      <c r="AU198" s="18">
        <f t="shared" ref="AU198:AU253" si="303">IF(AND(F198=-1,F197=1,F196=0,F195=0),1,0)</f>
        <v>0</v>
      </c>
      <c r="AV198" s="18">
        <f t="shared" ref="AV198:AV253" si="304">IF(AND(F198=0,F197=1,F196=0,F195=0),1,0)</f>
        <v>0</v>
      </c>
      <c r="AW198" s="18">
        <f t="shared" ref="AW198:AW253" si="305">IF(AND(F198=1,F197=1,F196=0,F195=0),1,0)</f>
        <v>0</v>
      </c>
      <c r="AX198" s="18">
        <f t="shared" ref="AX198:AX253" si="306">IF(AND(F198=-1,F197=-1,F196=-1,F195=0),1,0)</f>
        <v>0</v>
      </c>
      <c r="AY198" s="18">
        <f t="shared" ref="AY198:AY253" si="307">IF(AND(F198=0,F197=-1,F196=-1,F195=0),1,0)</f>
        <v>0</v>
      </c>
      <c r="AZ198" s="18">
        <f t="shared" ref="AZ198:AZ253" si="308">IF(AND(F198=1,F197=-1,F196=-1,F195=0),1,0)</f>
        <v>0</v>
      </c>
      <c r="BA198" s="18">
        <f t="shared" ref="BA198:BA253" si="309">IF(AND(F198=-1,F197=-1,F196=0,F195=-1),1,0)</f>
        <v>0</v>
      </c>
      <c r="BB198" s="18">
        <f t="shared" ref="BB198:BB253" si="310">IF(AND(F198=0,F197=-1,F196=0,F195=-1),1,0)</f>
        <v>0</v>
      </c>
      <c r="BC198" s="18">
        <f t="shared" ref="BC198:BC253" si="311">IF(AND(F198=1,F197=-1,F196=0,F195=-1),1,0)</f>
        <v>0</v>
      </c>
      <c r="BD198" s="18">
        <f t="shared" ref="BD198:BD253" si="312">IF(AND(F198=-1,F197=0,F196=-1,F195=-1),1,0)</f>
        <v>0</v>
      </c>
      <c r="BE198" s="18">
        <f t="shared" ref="BE198:BE253" si="313">IF(AND(F198=0,F197=0,F196=-1,F195=-1),1,0)</f>
        <v>0</v>
      </c>
      <c r="BF198" s="18">
        <f t="shared" ref="BF198:BF253" si="314">IF(AND(F198=1,F197=0,F196=-1,F195=-1),1,0)</f>
        <v>0</v>
      </c>
      <c r="BG198" s="18">
        <f t="shared" ref="BG198:BG253" si="315">IF(AND(F198=-1,F197=0,F196=1,F195=-1),1,0)</f>
        <v>0</v>
      </c>
      <c r="BH198" s="18">
        <f t="shared" ref="BH198:BH253" si="316">IF(AND(F198=0,F197=0,F196=1,F195=-1),1,0)</f>
        <v>0</v>
      </c>
      <c r="BI198" s="18">
        <f t="shared" ref="BI198:BI253" si="317">IF(AND(F198=1,F197=0,F196=1,F195=-1),1,0)</f>
        <v>0</v>
      </c>
      <c r="BJ198" s="18">
        <f t="shared" ref="BJ198:BJ253" si="318">IF(AND(F198=-1,F197=0,F196=-1,F195=1),1,0)</f>
        <v>0</v>
      </c>
      <c r="BK198" s="18">
        <f t="shared" ref="BK198:BK253" si="319">IF(AND(F198=0,F197=0,F196=-1,F195=1),1,0)</f>
        <v>0</v>
      </c>
      <c r="BL198" s="18">
        <f t="shared" ref="BL198:BL253" si="320">IF(AND(F198=1,F197=0,F196=-1,F195=1),1,0)</f>
        <v>0</v>
      </c>
      <c r="BM198" s="18">
        <f t="shared" ref="BM198:BM253" si="321">IF(AND(F198=-1,F197=1,F196=0,F195=-1),1,0)</f>
        <v>0</v>
      </c>
      <c r="BN198" s="18">
        <f t="shared" ref="BN198:BN253" si="322">IF(AND(F198=0,F197=1,F196=0,F195=-1),1,0)</f>
        <v>0</v>
      </c>
      <c r="BO198" s="18">
        <f t="shared" ref="BO198:BO253" si="323">IF(AND(F198=1,F197=1,F196=0,F195=-1),1,0)</f>
        <v>0</v>
      </c>
      <c r="BP198" s="18">
        <f t="shared" ref="BP198:BP253" si="324">IF(AND(F198=-1,F197=-1,F196=0,F195=1),1,0)</f>
        <v>0</v>
      </c>
      <c r="BQ198" s="18">
        <f t="shared" ref="BQ198:BQ253" si="325">IF(AND(F198=0,F197=-1,F196=0,F195=1),1,0)</f>
        <v>0</v>
      </c>
      <c r="BR198" s="18">
        <f t="shared" ref="BR198:BR253" si="326">IF(AND(F198=1,F197=-1,F196=0,F195=1),1,0)</f>
        <v>0</v>
      </c>
      <c r="BS198" s="18">
        <f t="shared" ref="BS198:BS253" si="327">IF(AND(F198=-1,F197=1,F196=-1,F195=0),1,0)</f>
        <v>0</v>
      </c>
      <c r="BT198" s="18">
        <f t="shared" ref="BT198:BT253" si="328">IF(AND(F198=0,F197=1,F196=-1,F195=0),1,0)</f>
        <v>0</v>
      </c>
      <c r="BU198" s="18">
        <f t="shared" ref="BU198:BU253" si="329">IF(AND(F198=1,F197=1,F196=-1,F195=0),1,0)</f>
        <v>0</v>
      </c>
      <c r="BV198" s="18">
        <f t="shared" ref="BV198:BV253" si="330">IF(AND(F198=-1,F197=-1,F196=1,F195=0),1,0)</f>
        <v>0</v>
      </c>
      <c r="BW198" s="18">
        <f t="shared" ref="BW198:BW253" si="331">IF(AND(F198=0,F197=-1,F196=1,F195=0),1,0)</f>
        <v>0</v>
      </c>
      <c r="BX198" s="18">
        <f t="shared" ref="BX198:BX253" si="332">IF(AND(F198=1,F197=-1,F196=1,F195=0),1,0)</f>
        <v>0</v>
      </c>
      <c r="BY198" s="18">
        <f t="shared" ref="BY198:BY253" si="333">IF(AND(F198=-1,F197=0,F196=0,F195=-1),1,0)</f>
        <v>0</v>
      </c>
      <c r="BZ198" s="18">
        <f t="shared" ref="BZ198:BZ253" si="334">IF(AND(F198=0,F197=0,F196=0,F195=-1),1,0)</f>
        <v>0</v>
      </c>
      <c r="CA198" s="18">
        <f t="shared" ref="CA198:CA253" si="335">IF(AND(F198=1,F197=0,F196=0,F195=-1),1,0)</f>
        <v>0</v>
      </c>
      <c r="CB198" s="18">
        <f t="shared" ref="CB198:CB253" si="336">IF(AND(F198=-1,F197=0,F196=-1,F195=0),1,0)</f>
        <v>0</v>
      </c>
      <c r="CC198" s="18">
        <f t="shared" ref="CC198:CC253" si="337">IF(AND(F198=0,F197=0,F196=-1,F195=0),1,0)</f>
        <v>0</v>
      </c>
      <c r="CD198" s="18">
        <f t="shared" ref="CD198:CD253" si="338">IF(AND(F198=1,F197=0,F196=-1,F195=0),1,0)</f>
        <v>0</v>
      </c>
      <c r="CE198" s="18">
        <f t="shared" ref="CE198:CE253" si="339">IF(AND(F198=-1,F197=-1,F196=0,F195=0),1,0)</f>
        <v>0</v>
      </c>
      <c r="CF198" s="18">
        <f t="shared" ref="CF198:CF253" si="340">IF(AND(F198=0,F197=-1,F196=0,F195=0),1,0)</f>
        <v>0</v>
      </c>
      <c r="CG198" s="18">
        <f t="shared" ref="CG198:CG253" si="341">IF(AND(F198=1,F197=-1,F196=0,F195=0),1,0)</f>
        <v>0</v>
      </c>
      <c r="CH198" s="18">
        <f t="shared" ref="CH198:CH253" si="342">IF(AND(F198=-1,F197=0,F196=0,F195=0),1,0)</f>
        <v>0</v>
      </c>
      <c r="CI198" s="18">
        <f t="shared" ref="CI198:CI253" si="343">IF(AND(F198=0,F197=0,F196=0,F195=0),1,0)</f>
        <v>0</v>
      </c>
      <c r="CJ198" s="18">
        <f t="shared" ref="CJ198:CJ253" si="344">IF(AND(F198=1,F197=0,F196=0,F195=0),1,0)</f>
        <v>0</v>
      </c>
    </row>
    <row r="199" spans="1:88" x14ac:dyDescent="0.3">
      <c r="A199" s="1">
        <v>44118</v>
      </c>
      <c r="B199">
        <v>40794.74</v>
      </c>
      <c r="C199">
        <f>Table1[[#This Row],[Close]]-0.001*Table1[[#This Row],[Close]]</f>
        <v>40753.94526</v>
      </c>
      <c r="D199">
        <f>Table1[[#This Row],[Close]]+0.001*Table1[[#This Row],[Close]]</f>
        <v>40835.534739999996</v>
      </c>
      <c r="E199" t="str">
        <f>IF(Table1[[#This Row],[Close]]&gt;D198,"UP",IF(Table1[[#This Row],[Close]]&lt;C198,"Down","Constant"))</f>
        <v>UP</v>
      </c>
      <c r="F199" s="3">
        <f>IF(Table1[[#This Row],[Column1]]="Up",1,IF(Table1[[#This Row],[Column1]]="Down",-1,0))</f>
        <v>1</v>
      </c>
      <c r="G199">
        <f t="shared" si="263"/>
        <v>0</v>
      </c>
      <c r="H199" s="18">
        <f t="shared" si="264"/>
        <v>0</v>
      </c>
      <c r="I199" s="18">
        <f t="shared" si="265"/>
        <v>0</v>
      </c>
      <c r="J199" s="18">
        <f t="shared" si="266"/>
        <v>0</v>
      </c>
      <c r="K199" s="18">
        <f t="shared" si="267"/>
        <v>0</v>
      </c>
      <c r="L199" s="18">
        <f t="shared" si="268"/>
        <v>0</v>
      </c>
      <c r="M199" s="18">
        <f t="shared" si="269"/>
        <v>0</v>
      </c>
      <c r="N199" s="18">
        <f t="shared" si="270"/>
        <v>0</v>
      </c>
      <c r="O199" s="18">
        <f t="shared" si="271"/>
        <v>0</v>
      </c>
      <c r="P199" s="18">
        <f t="shared" si="272"/>
        <v>0</v>
      </c>
      <c r="Q199" s="18">
        <f t="shared" si="273"/>
        <v>0</v>
      </c>
      <c r="R199" s="18">
        <f t="shared" si="274"/>
        <v>0</v>
      </c>
      <c r="S199" s="18">
        <f t="shared" si="275"/>
        <v>0</v>
      </c>
      <c r="T199" s="18">
        <f t="shared" si="276"/>
        <v>0</v>
      </c>
      <c r="U199" s="18">
        <f t="shared" si="277"/>
        <v>0</v>
      </c>
      <c r="V199" s="18">
        <f t="shared" si="278"/>
        <v>0</v>
      </c>
      <c r="W199" s="18">
        <f t="shared" si="279"/>
        <v>0</v>
      </c>
      <c r="X199" s="18">
        <f t="shared" si="280"/>
        <v>0</v>
      </c>
      <c r="Y199" s="18">
        <f t="shared" si="281"/>
        <v>0</v>
      </c>
      <c r="Z199" s="18">
        <f t="shared" si="282"/>
        <v>0</v>
      </c>
      <c r="AA199" s="18">
        <f t="shared" si="283"/>
        <v>0</v>
      </c>
      <c r="AB199" s="18">
        <f t="shared" si="284"/>
        <v>0</v>
      </c>
      <c r="AC199" s="18">
        <f t="shared" si="285"/>
        <v>0</v>
      </c>
      <c r="AD199" s="18">
        <f t="shared" si="286"/>
        <v>0</v>
      </c>
      <c r="AE199" s="18">
        <f t="shared" si="287"/>
        <v>0</v>
      </c>
      <c r="AF199" s="18">
        <f t="shared" si="288"/>
        <v>0</v>
      </c>
      <c r="AG199" s="18">
        <f t="shared" si="289"/>
        <v>0</v>
      </c>
      <c r="AH199" s="18">
        <f t="shared" si="290"/>
        <v>0</v>
      </c>
      <c r="AI199" s="18">
        <f t="shared" si="291"/>
        <v>0</v>
      </c>
      <c r="AJ199" s="18">
        <f t="shared" si="292"/>
        <v>0</v>
      </c>
      <c r="AK199" s="18">
        <f t="shared" si="293"/>
        <v>0</v>
      </c>
      <c r="AL199" s="18">
        <f t="shared" si="294"/>
        <v>0</v>
      </c>
      <c r="AM199" s="18">
        <f t="shared" si="295"/>
        <v>0</v>
      </c>
      <c r="AN199" s="18">
        <f t="shared" si="296"/>
        <v>1</v>
      </c>
      <c r="AO199" s="18">
        <f t="shared" si="297"/>
        <v>0</v>
      </c>
      <c r="AP199" s="18">
        <f t="shared" si="298"/>
        <v>0</v>
      </c>
      <c r="AQ199" s="18">
        <f t="shared" si="299"/>
        <v>0</v>
      </c>
      <c r="AR199" s="18">
        <f t="shared" si="300"/>
        <v>0</v>
      </c>
      <c r="AS199" s="18">
        <f t="shared" si="301"/>
        <v>0</v>
      </c>
      <c r="AT199" s="18">
        <f t="shared" si="302"/>
        <v>0</v>
      </c>
      <c r="AU199" s="18">
        <f t="shared" si="303"/>
        <v>0</v>
      </c>
      <c r="AV199" s="18">
        <f t="shared" si="304"/>
        <v>0</v>
      </c>
      <c r="AW199" s="18">
        <f t="shared" si="305"/>
        <v>0</v>
      </c>
      <c r="AX199" s="18">
        <f t="shared" si="306"/>
        <v>0</v>
      </c>
      <c r="AY199" s="18">
        <f t="shared" si="307"/>
        <v>0</v>
      </c>
      <c r="AZ199" s="18">
        <f t="shared" si="308"/>
        <v>0</v>
      </c>
      <c r="BA199" s="18">
        <f t="shared" si="309"/>
        <v>0</v>
      </c>
      <c r="BB199" s="18">
        <f t="shared" si="310"/>
        <v>0</v>
      </c>
      <c r="BC199" s="18">
        <f t="shared" si="311"/>
        <v>0</v>
      </c>
      <c r="BD199" s="18">
        <f t="shared" si="312"/>
        <v>0</v>
      </c>
      <c r="BE199" s="18">
        <f t="shared" si="313"/>
        <v>0</v>
      </c>
      <c r="BF199" s="18">
        <f t="shared" si="314"/>
        <v>0</v>
      </c>
      <c r="BG199" s="18">
        <f t="shared" si="315"/>
        <v>0</v>
      </c>
      <c r="BH199" s="18">
        <f t="shared" si="316"/>
        <v>0</v>
      </c>
      <c r="BI199" s="18">
        <f t="shared" si="317"/>
        <v>0</v>
      </c>
      <c r="BJ199" s="18">
        <f t="shared" si="318"/>
        <v>0</v>
      </c>
      <c r="BK199" s="18">
        <f t="shared" si="319"/>
        <v>0</v>
      </c>
      <c r="BL199" s="18">
        <f t="shared" si="320"/>
        <v>0</v>
      </c>
      <c r="BM199" s="18">
        <f t="shared" si="321"/>
        <v>0</v>
      </c>
      <c r="BN199" s="18">
        <f t="shared" si="322"/>
        <v>0</v>
      </c>
      <c r="BO199" s="18">
        <f t="shared" si="323"/>
        <v>0</v>
      </c>
      <c r="BP199" s="18">
        <f t="shared" si="324"/>
        <v>0</v>
      </c>
      <c r="BQ199" s="18">
        <f t="shared" si="325"/>
        <v>0</v>
      </c>
      <c r="BR199" s="18">
        <f t="shared" si="326"/>
        <v>0</v>
      </c>
      <c r="BS199" s="18">
        <f t="shared" si="327"/>
        <v>0</v>
      </c>
      <c r="BT199" s="18">
        <f t="shared" si="328"/>
        <v>0</v>
      </c>
      <c r="BU199" s="18">
        <f t="shared" si="329"/>
        <v>0</v>
      </c>
      <c r="BV199" s="18">
        <f t="shared" si="330"/>
        <v>0</v>
      </c>
      <c r="BW199" s="18">
        <f t="shared" si="331"/>
        <v>0</v>
      </c>
      <c r="BX199" s="18">
        <f t="shared" si="332"/>
        <v>0</v>
      </c>
      <c r="BY199" s="18">
        <f t="shared" si="333"/>
        <v>0</v>
      </c>
      <c r="BZ199" s="18">
        <f t="shared" si="334"/>
        <v>0</v>
      </c>
      <c r="CA199" s="18">
        <f t="shared" si="335"/>
        <v>0</v>
      </c>
      <c r="CB199" s="18">
        <f t="shared" si="336"/>
        <v>0</v>
      </c>
      <c r="CC199" s="18">
        <f t="shared" si="337"/>
        <v>0</v>
      </c>
      <c r="CD199" s="18">
        <f t="shared" si="338"/>
        <v>0</v>
      </c>
      <c r="CE199" s="18">
        <f t="shared" si="339"/>
        <v>0</v>
      </c>
      <c r="CF199" s="18">
        <f t="shared" si="340"/>
        <v>0</v>
      </c>
      <c r="CG199" s="18">
        <f t="shared" si="341"/>
        <v>0</v>
      </c>
      <c r="CH199" s="18">
        <f t="shared" si="342"/>
        <v>0</v>
      </c>
      <c r="CI199" s="18">
        <f t="shared" si="343"/>
        <v>0</v>
      </c>
      <c r="CJ199" s="18">
        <f t="shared" si="344"/>
        <v>0</v>
      </c>
    </row>
    <row r="200" spans="1:88" x14ac:dyDescent="0.3">
      <c r="A200" s="1">
        <v>44119</v>
      </c>
      <c r="B200">
        <v>39728.410000000003</v>
      </c>
      <c r="C200">
        <f>Table1[[#This Row],[Close]]-0.001*Table1[[#This Row],[Close]]</f>
        <v>39688.68159</v>
      </c>
      <c r="D200">
        <f>Table1[[#This Row],[Close]]+0.001*Table1[[#This Row],[Close]]</f>
        <v>39768.138410000007</v>
      </c>
      <c r="E200" t="str">
        <f>IF(Table1[[#This Row],[Close]]&gt;D199,"UP",IF(Table1[[#This Row],[Close]]&lt;C199,"Down","Constant"))</f>
        <v>Down</v>
      </c>
      <c r="F200" s="3">
        <f>IF(Table1[[#This Row],[Column1]]="Up",1,IF(Table1[[#This Row],[Column1]]="Down",-1,0))</f>
        <v>-1</v>
      </c>
      <c r="G200">
        <f t="shared" si="263"/>
        <v>0</v>
      </c>
      <c r="H200" s="18">
        <f t="shared" si="264"/>
        <v>0</v>
      </c>
      <c r="I200" s="18">
        <f t="shared" si="265"/>
        <v>0</v>
      </c>
      <c r="J200" s="18">
        <f t="shared" si="266"/>
        <v>0</v>
      </c>
      <c r="K200" s="18">
        <f t="shared" si="267"/>
        <v>0</v>
      </c>
      <c r="L200" s="18">
        <f t="shared" si="268"/>
        <v>0</v>
      </c>
      <c r="M200" s="18">
        <f t="shared" si="269"/>
        <v>0</v>
      </c>
      <c r="N200" s="18">
        <f t="shared" si="270"/>
        <v>0</v>
      </c>
      <c r="O200" s="18">
        <f t="shared" si="271"/>
        <v>0</v>
      </c>
      <c r="P200" s="18">
        <f t="shared" si="272"/>
        <v>0</v>
      </c>
      <c r="Q200" s="18">
        <f t="shared" si="273"/>
        <v>0</v>
      </c>
      <c r="R200" s="18">
        <f t="shared" si="274"/>
        <v>0</v>
      </c>
      <c r="S200" s="18">
        <f t="shared" si="275"/>
        <v>0</v>
      </c>
      <c r="T200" s="18">
        <f t="shared" si="276"/>
        <v>0</v>
      </c>
      <c r="U200" s="18">
        <f t="shared" si="277"/>
        <v>0</v>
      </c>
      <c r="V200" s="18">
        <f t="shared" si="278"/>
        <v>0</v>
      </c>
      <c r="W200" s="18">
        <f t="shared" si="279"/>
        <v>0</v>
      </c>
      <c r="X200" s="18">
        <f t="shared" si="280"/>
        <v>0</v>
      </c>
      <c r="Y200" s="18">
        <f t="shared" si="281"/>
        <v>0</v>
      </c>
      <c r="Z200" s="18">
        <f t="shared" si="282"/>
        <v>0</v>
      </c>
      <c r="AA200" s="18">
        <f t="shared" si="283"/>
        <v>0</v>
      </c>
      <c r="AB200" s="18">
        <f t="shared" si="284"/>
        <v>0</v>
      </c>
      <c r="AC200" s="18">
        <f t="shared" si="285"/>
        <v>0</v>
      </c>
      <c r="AD200" s="18">
        <f t="shared" si="286"/>
        <v>0</v>
      </c>
      <c r="AE200" s="18">
        <f t="shared" si="287"/>
        <v>0</v>
      </c>
      <c r="AF200" s="18">
        <f t="shared" si="288"/>
        <v>0</v>
      </c>
      <c r="AG200" s="18">
        <f t="shared" si="289"/>
        <v>0</v>
      </c>
      <c r="AH200" s="18">
        <f t="shared" si="290"/>
        <v>0</v>
      </c>
      <c r="AI200" s="18">
        <f t="shared" si="291"/>
        <v>1</v>
      </c>
      <c r="AJ200" s="18">
        <f t="shared" si="292"/>
        <v>0</v>
      </c>
      <c r="AK200" s="18">
        <f t="shared" si="293"/>
        <v>0</v>
      </c>
      <c r="AL200" s="18">
        <f t="shared" si="294"/>
        <v>0</v>
      </c>
      <c r="AM200" s="18">
        <f t="shared" si="295"/>
        <v>0</v>
      </c>
      <c r="AN200" s="18">
        <f t="shared" si="296"/>
        <v>0</v>
      </c>
      <c r="AO200" s="18">
        <f t="shared" si="297"/>
        <v>0</v>
      </c>
      <c r="AP200" s="18">
        <f t="shared" si="298"/>
        <v>0</v>
      </c>
      <c r="AQ200" s="18">
        <f t="shared" si="299"/>
        <v>0</v>
      </c>
      <c r="AR200" s="18">
        <f t="shared" si="300"/>
        <v>0</v>
      </c>
      <c r="AS200" s="18">
        <f t="shared" si="301"/>
        <v>0</v>
      </c>
      <c r="AT200" s="18">
        <f t="shared" si="302"/>
        <v>0</v>
      </c>
      <c r="AU200" s="18">
        <f t="shared" si="303"/>
        <v>0</v>
      </c>
      <c r="AV200" s="18">
        <f t="shared" si="304"/>
        <v>0</v>
      </c>
      <c r="AW200" s="18">
        <f t="shared" si="305"/>
        <v>0</v>
      </c>
      <c r="AX200" s="18">
        <f t="shared" si="306"/>
        <v>0</v>
      </c>
      <c r="AY200" s="18">
        <f t="shared" si="307"/>
        <v>0</v>
      </c>
      <c r="AZ200" s="18">
        <f t="shared" si="308"/>
        <v>0</v>
      </c>
      <c r="BA200" s="18">
        <f t="shared" si="309"/>
        <v>0</v>
      </c>
      <c r="BB200" s="18">
        <f t="shared" si="310"/>
        <v>0</v>
      </c>
      <c r="BC200" s="18">
        <f t="shared" si="311"/>
        <v>0</v>
      </c>
      <c r="BD200" s="18">
        <f t="shared" si="312"/>
        <v>0</v>
      </c>
      <c r="BE200" s="18">
        <f t="shared" si="313"/>
        <v>0</v>
      </c>
      <c r="BF200" s="18">
        <f t="shared" si="314"/>
        <v>0</v>
      </c>
      <c r="BG200" s="18">
        <f t="shared" si="315"/>
        <v>0</v>
      </c>
      <c r="BH200" s="18">
        <f t="shared" si="316"/>
        <v>0</v>
      </c>
      <c r="BI200" s="18">
        <f t="shared" si="317"/>
        <v>0</v>
      </c>
      <c r="BJ200" s="18">
        <f t="shared" si="318"/>
        <v>0</v>
      </c>
      <c r="BK200" s="18">
        <f t="shared" si="319"/>
        <v>0</v>
      </c>
      <c r="BL200" s="18">
        <f t="shared" si="320"/>
        <v>0</v>
      </c>
      <c r="BM200" s="18">
        <f t="shared" si="321"/>
        <v>0</v>
      </c>
      <c r="BN200" s="18">
        <f t="shared" si="322"/>
        <v>0</v>
      </c>
      <c r="BO200" s="18">
        <f t="shared" si="323"/>
        <v>0</v>
      </c>
      <c r="BP200" s="18">
        <f t="shared" si="324"/>
        <v>0</v>
      </c>
      <c r="BQ200" s="18">
        <f t="shared" si="325"/>
        <v>0</v>
      </c>
      <c r="BR200" s="18">
        <f t="shared" si="326"/>
        <v>0</v>
      </c>
      <c r="BS200" s="18">
        <f t="shared" si="327"/>
        <v>0</v>
      </c>
      <c r="BT200" s="18">
        <f t="shared" si="328"/>
        <v>0</v>
      </c>
      <c r="BU200" s="18">
        <f t="shared" si="329"/>
        <v>0</v>
      </c>
      <c r="BV200" s="18">
        <f t="shared" si="330"/>
        <v>0</v>
      </c>
      <c r="BW200" s="18">
        <f t="shared" si="331"/>
        <v>0</v>
      </c>
      <c r="BX200" s="18">
        <f t="shared" si="332"/>
        <v>0</v>
      </c>
      <c r="BY200" s="18">
        <f t="shared" si="333"/>
        <v>0</v>
      </c>
      <c r="BZ200" s="18">
        <f t="shared" si="334"/>
        <v>0</v>
      </c>
      <c r="CA200" s="18">
        <f t="shared" si="335"/>
        <v>0</v>
      </c>
      <c r="CB200" s="18">
        <f t="shared" si="336"/>
        <v>0</v>
      </c>
      <c r="CC200" s="18">
        <f t="shared" si="337"/>
        <v>0</v>
      </c>
      <c r="CD200" s="18">
        <f t="shared" si="338"/>
        <v>0</v>
      </c>
      <c r="CE200" s="18">
        <f t="shared" si="339"/>
        <v>0</v>
      </c>
      <c r="CF200" s="18">
        <f t="shared" si="340"/>
        <v>0</v>
      </c>
      <c r="CG200" s="18">
        <f t="shared" si="341"/>
        <v>0</v>
      </c>
      <c r="CH200" s="18">
        <f t="shared" si="342"/>
        <v>0</v>
      </c>
      <c r="CI200" s="18">
        <f t="shared" si="343"/>
        <v>0</v>
      </c>
      <c r="CJ200" s="18">
        <f t="shared" si="344"/>
        <v>0</v>
      </c>
    </row>
    <row r="201" spans="1:88" x14ac:dyDescent="0.3">
      <c r="A201" s="1">
        <v>44120</v>
      </c>
      <c r="B201">
        <v>39982.980000000003</v>
      </c>
      <c r="C201">
        <f>Table1[[#This Row],[Close]]-0.001*Table1[[#This Row],[Close]]</f>
        <v>39942.997020000003</v>
      </c>
      <c r="D201">
        <f>Table1[[#This Row],[Close]]+0.001*Table1[[#This Row],[Close]]</f>
        <v>40022.962980000004</v>
      </c>
      <c r="E201" t="str">
        <f>IF(Table1[[#This Row],[Close]]&gt;D200,"UP",IF(Table1[[#This Row],[Close]]&lt;C200,"Down","Constant"))</f>
        <v>UP</v>
      </c>
      <c r="F201" s="3">
        <f>IF(Table1[[#This Row],[Column1]]="Up",1,IF(Table1[[#This Row],[Column1]]="Down",-1,0))</f>
        <v>1</v>
      </c>
      <c r="G201">
        <f t="shared" si="263"/>
        <v>0</v>
      </c>
      <c r="H201" s="18">
        <f t="shared" si="264"/>
        <v>0</v>
      </c>
      <c r="I201" s="18">
        <f t="shared" si="265"/>
        <v>0</v>
      </c>
      <c r="J201" s="18">
        <f t="shared" si="266"/>
        <v>0</v>
      </c>
      <c r="K201" s="18">
        <f t="shared" si="267"/>
        <v>0</v>
      </c>
      <c r="L201" s="18">
        <f t="shared" si="268"/>
        <v>0</v>
      </c>
      <c r="M201" s="18">
        <f t="shared" si="269"/>
        <v>0</v>
      </c>
      <c r="N201" s="18">
        <f t="shared" si="270"/>
        <v>0</v>
      </c>
      <c r="O201" s="18">
        <f t="shared" si="271"/>
        <v>0</v>
      </c>
      <c r="P201" s="18">
        <f t="shared" si="272"/>
        <v>0</v>
      </c>
      <c r="Q201" s="18">
        <f t="shared" si="273"/>
        <v>0</v>
      </c>
      <c r="R201" s="18">
        <f t="shared" si="274"/>
        <v>0</v>
      </c>
      <c r="S201" s="18">
        <f t="shared" si="275"/>
        <v>0</v>
      </c>
      <c r="T201" s="18">
        <f t="shared" si="276"/>
        <v>0</v>
      </c>
      <c r="U201" s="18">
        <f t="shared" si="277"/>
        <v>0</v>
      </c>
      <c r="V201" s="18">
        <f t="shared" si="278"/>
        <v>0</v>
      </c>
      <c r="W201" s="18">
        <f t="shared" si="279"/>
        <v>0</v>
      </c>
      <c r="X201" s="18">
        <f t="shared" si="280"/>
        <v>0</v>
      </c>
      <c r="Y201" s="18">
        <f t="shared" si="281"/>
        <v>0</v>
      </c>
      <c r="Z201" s="18">
        <f t="shared" si="282"/>
        <v>0</v>
      </c>
      <c r="AA201" s="18">
        <f t="shared" si="283"/>
        <v>0</v>
      </c>
      <c r="AB201" s="18">
        <f t="shared" si="284"/>
        <v>0</v>
      </c>
      <c r="AC201" s="18">
        <f t="shared" si="285"/>
        <v>0</v>
      </c>
      <c r="AD201" s="18">
        <f t="shared" si="286"/>
        <v>0</v>
      </c>
      <c r="AE201" s="18">
        <f t="shared" si="287"/>
        <v>0</v>
      </c>
      <c r="AF201" s="18">
        <f t="shared" si="288"/>
        <v>0</v>
      </c>
      <c r="AG201" s="18">
        <f t="shared" si="289"/>
        <v>0</v>
      </c>
      <c r="AH201" s="18">
        <f t="shared" si="290"/>
        <v>0</v>
      </c>
      <c r="AI201" s="18">
        <f t="shared" si="291"/>
        <v>0</v>
      </c>
      <c r="AJ201" s="18">
        <f t="shared" si="292"/>
        <v>0</v>
      </c>
      <c r="AK201" s="18">
        <f t="shared" si="293"/>
        <v>0</v>
      </c>
      <c r="AL201" s="18">
        <f t="shared" si="294"/>
        <v>0</v>
      </c>
      <c r="AM201" s="18">
        <f t="shared" si="295"/>
        <v>0</v>
      </c>
      <c r="AN201" s="18">
        <f t="shared" si="296"/>
        <v>0</v>
      </c>
      <c r="AO201" s="18">
        <f t="shared" si="297"/>
        <v>0</v>
      </c>
      <c r="AP201" s="18">
        <f t="shared" si="298"/>
        <v>0</v>
      </c>
      <c r="AQ201" s="18">
        <f t="shared" si="299"/>
        <v>0</v>
      </c>
      <c r="AR201" s="18">
        <f t="shared" si="300"/>
        <v>0</v>
      </c>
      <c r="AS201" s="18">
        <f t="shared" si="301"/>
        <v>0</v>
      </c>
      <c r="AT201" s="18">
        <f t="shared" si="302"/>
        <v>0</v>
      </c>
      <c r="AU201" s="18">
        <f t="shared" si="303"/>
        <v>0</v>
      </c>
      <c r="AV201" s="18">
        <f t="shared" si="304"/>
        <v>0</v>
      </c>
      <c r="AW201" s="18">
        <f t="shared" si="305"/>
        <v>0</v>
      </c>
      <c r="AX201" s="18">
        <f t="shared" si="306"/>
        <v>0</v>
      </c>
      <c r="AY201" s="18">
        <f t="shared" si="307"/>
        <v>0</v>
      </c>
      <c r="AZ201" s="18">
        <f t="shared" si="308"/>
        <v>0</v>
      </c>
      <c r="BA201" s="18">
        <f t="shared" si="309"/>
        <v>0</v>
      </c>
      <c r="BB201" s="18">
        <f t="shared" si="310"/>
        <v>0</v>
      </c>
      <c r="BC201" s="18">
        <f t="shared" si="311"/>
        <v>0</v>
      </c>
      <c r="BD201" s="18">
        <f t="shared" si="312"/>
        <v>0</v>
      </c>
      <c r="BE201" s="18">
        <f t="shared" si="313"/>
        <v>0</v>
      </c>
      <c r="BF201" s="18">
        <f t="shared" si="314"/>
        <v>0</v>
      </c>
      <c r="BG201" s="18">
        <f t="shared" si="315"/>
        <v>0</v>
      </c>
      <c r="BH201" s="18">
        <f t="shared" si="316"/>
        <v>0</v>
      </c>
      <c r="BI201" s="18">
        <f t="shared" si="317"/>
        <v>0</v>
      </c>
      <c r="BJ201" s="18">
        <f t="shared" si="318"/>
        <v>0</v>
      </c>
      <c r="BK201" s="18">
        <f t="shared" si="319"/>
        <v>0</v>
      </c>
      <c r="BL201" s="18">
        <f t="shared" si="320"/>
        <v>0</v>
      </c>
      <c r="BM201" s="18">
        <f t="shared" si="321"/>
        <v>0</v>
      </c>
      <c r="BN201" s="18">
        <f t="shared" si="322"/>
        <v>0</v>
      </c>
      <c r="BO201" s="18">
        <f t="shared" si="323"/>
        <v>0</v>
      </c>
      <c r="BP201" s="18">
        <f t="shared" si="324"/>
        <v>0</v>
      </c>
      <c r="BQ201" s="18">
        <f t="shared" si="325"/>
        <v>0</v>
      </c>
      <c r="BR201" s="18">
        <f t="shared" si="326"/>
        <v>0</v>
      </c>
      <c r="BS201" s="18">
        <f t="shared" si="327"/>
        <v>0</v>
      </c>
      <c r="BT201" s="18">
        <f t="shared" si="328"/>
        <v>0</v>
      </c>
      <c r="BU201" s="18">
        <f t="shared" si="329"/>
        <v>0</v>
      </c>
      <c r="BV201" s="18">
        <f t="shared" si="330"/>
        <v>0</v>
      </c>
      <c r="BW201" s="18">
        <f t="shared" si="331"/>
        <v>0</v>
      </c>
      <c r="BX201" s="18">
        <f t="shared" si="332"/>
        <v>1</v>
      </c>
      <c r="BY201" s="18">
        <f t="shared" si="333"/>
        <v>0</v>
      </c>
      <c r="BZ201" s="18">
        <f t="shared" si="334"/>
        <v>0</v>
      </c>
      <c r="CA201" s="18">
        <f t="shared" si="335"/>
        <v>0</v>
      </c>
      <c r="CB201" s="18">
        <f t="shared" si="336"/>
        <v>0</v>
      </c>
      <c r="CC201" s="18">
        <f t="shared" si="337"/>
        <v>0</v>
      </c>
      <c r="CD201" s="18">
        <f t="shared" si="338"/>
        <v>0</v>
      </c>
      <c r="CE201" s="18">
        <f t="shared" si="339"/>
        <v>0</v>
      </c>
      <c r="CF201" s="18">
        <f t="shared" si="340"/>
        <v>0</v>
      </c>
      <c r="CG201" s="18">
        <f t="shared" si="341"/>
        <v>0</v>
      </c>
      <c r="CH201" s="18">
        <f t="shared" si="342"/>
        <v>0</v>
      </c>
      <c r="CI201" s="18">
        <f t="shared" si="343"/>
        <v>0</v>
      </c>
      <c r="CJ201" s="18">
        <f t="shared" si="344"/>
        <v>0</v>
      </c>
    </row>
    <row r="202" spans="1:88" x14ac:dyDescent="0.3">
      <c r="A202" s="1">
        <v>44123</v>
      </c>
      <c r="B202">
        <v>40431.599999999999</v>
      </c>
      <c r="C202">
        <f>Table1[[#This Row],[Close]]-0.001*Table1[[#This Row],[Close]]</f>
        <v>40391.168399999995</v>
      </c>
      <c r="D202">
        <f>Table1[[#This Row],[Close]]+0.001*Table1[[#This Row],[Close]]</f>
        <v>40472.031600000002</v>
      </c>
      <c r="E202" t="str">
        <f>IF(Table1[[#This Row],[Close]]&gt;D201,"UP",IF(Table1[[#This Row],[Close]]&lt;C201,"Down","Constant"))</f>
        <v>UP</v>
      </c>
      <c r="F202" s="3">
        <f>IF(Table1[[#This Row],[Column1]]="Up",1,IF(Table1[[#This Row],[Column1]]="Down",-1,0))</f>
        <v>1</v>
      </c>
      <c r="G202">
        <f t="shared" si="263"/>
        <v>0</v>
      </c>
      <c r="H202" s="18">
        <f t="shared" si="264"/>
        <v>0</v>
      </c>
      <c r="I202" s="18">
        <f t="shared" si="265"/>
        <v>0</v>
      </c>
      <c r="J202" s="18">
        <f t="shared" si="266"/>
        <v>0</v>
      </c>
      <c r="K202" s="18">
        <f t="shared" si="267"/>
        <v>0</v>
      </c>
      <c r="L202" s="18">
        <f t="shared" si="268"/>
        <v>0</v>
      </c>
      <c r="M202" s="18">
        <f t="shared" si="269"/>
        <v>0</v>
      </c>
      <c r="N202" s="18">
        <f t="shared" si="270"/>
        <v>0</v>
      </c>
      <c r="O202" s="18">
        <f t="shared" si="271"/>
        <v>0</v>
      </c>
      <c r="P202" s="18">
        <f t="shared" si="272"/>
        <v>1</v>
      </c>
      <c r="Q202" s="18">
        <f t="shared" si="273"/>
        <v>0</v>
      </c>
      <c r="R202" s="18">
        <f t="shared" si="274"/>
        <v>0</v>
      </c>
      <c r="S202" s="18">
        <f t="shared" si="275"/>
        <v>0</v>
      </c>
      <c r="T202" s="18">
        <f t="shared" si="276"/>
        <v>0</v>
      </c>
      <c r="U202" s="18">
        <f t="shared" si="277"/>
        <v>0</v>
      </c>
      <c r="V202" s="18">
        <f t="shared" si="278"/>
        <v>0</v>
      </c>
      <c r="W202" s="18">
        <f t="shared" si="279"/>
        <v>0</v>
      </c>
      <c r="X202" s="18">
        <f t="shared" si="280"/>
        <v>0</v>
      </c>
      <c r="Y202" s="18">
        <f t="shared" si="281"/>
        <v>0</v>
      </c>
      <c r="Z202" s="18">
        <f t="shared" si="282"/>
        <v>0</v>
      </c>
      <c r="AA202" s="18">
        <f t="shared" si="283"/>
        <v>0</v>
      </c>
      <c r="AB202" s="18">
        <f t="shared" si="284"/>
        <v>0</v>
      </c>
      <c r="AC202" s="18">
        <f t="shared" si="285"/>
        <v>0</v>
      </c>
      <c r="AD202" s="18">
        <f t="shared" si="286"/>
        <v>0</v>
      </c>
      <c r="AE202" s="18">
        <f t="shared" si="287"/>
        <v>0</v>
      </c>
      <c r="AF202" s="18">
        <f t="shared" si="288"/>
        <v>0</v>
      </c>
      <c r="AG202" s="18">
        <f t="shared" si="289"/>
        <v>0</v>
      </c>
      <c r="AH202" s="18">
        <f t="shared" si="290"/>
        <v>0</v>
      </c>
      <c r="AI202" s="18">
        <f t="shared" si="291"/>
        <v>0</v>
      </c>
      <c r="AJ202" s="18">
        <f t="shared" si="292"/>
        <v>0</v>
      </c>
      <c r="AK202" s="18">
        <f t="shared" si="293"/>
        <v>0</v>
      </c>
      <c r="AL202" s="18">
        <f t="shared" si="294"/>
        <v>0</v>
      </c>
      <c r="AM202" s="18">
        <f t="shared" si="295"/>
        <v>0</v>
      </c>
      <c r="AN202" s="18">
        <f t="shared" si="296"/>
        <v>0</v>
      </c>
      <c r="AO202" s="18">
        <f t="shared" si="297"/>
        <v>0</v>
      </c>
      <c r="AP202" s="18">
        <f t="shared" si="298"/>
        <v>0</v>
      </c>
      <c r="AQ202" s="18">
        <f t="shared" si="299"/>
        <v>0</v>
      </c>
      <c r="AR202" s="18">
        <f t="shared" si="300"/>
        <v>0</v>
      </c>
      <c r="AS202" s="18">
        <f t="shared" si="301"/>
        <v>0</v>
      </c>
      <c r="AT202" s="18">
        <f t="shared" si="302"/>
        <v>0</v>
      </c>
      <c r="AU202" s="18">
        <f t="shared" si="303"/>
        <v>0</v>
      </c>
      <c r="AV202" s="18">
        <f t="shared" si="304"/>
        <v>0</v>
      </c>
      <c r="AW202" s="18">
        <f t="shared" si="305"/>
        <v>0</v>
      </c>
      <c r="AX202" s="18">
        <f t="shared" si="306"/>
        <v>0</v>
      </c>
      <c r="AY202" s="18">
        <f t="shared" si="307"/>
        <v>0</v>
      </c>
      <c r="AZ202" s="18">
        <f t="shared" si="308"/>
        <v>0</v>
      </c>
      <c r="BA202" s="18">
        <f t="shared" si="309"/>
        <v>0</v>
      </c>
      <c r="BB202" s="18">
        <f t="shared" si="310"/>
        <v>0</v>
      </c>
      <c r="BC202" s="18">
        <f t="shared" si="311"/>
        <v>0</v>
      </c>
      <c r="BD202" s="18">
        <f t="shared" si="312"/>
        <v>0</v>
      </c>
      <c r="BE202" s="18">
        <f t="shared" si="313"/>
        <v>0</v>
      </c>
      <c r="BF202" s="18">
        <f t="shared" si="314"/>
        <v>0</v>
      </c>
      <c r="BG202" s="18">
        <f t="shared" si="315"/>
        <v>0</v>
      </c>
      <c r="BH202" s="18">
        <f t="shared" si="316"/>
        <v>0</v>
      </c>
      <c r="BI202" s="18">
        <f t="shared" si="317"/>
        <v>0</v>
      </c>
      <c r="BJ202" s="18">
        <f t="shared" si="318"/>
        <v>0</v>
      </c>
      <c r="BK202" s="18">
        <f t="shared" si="319"/>
        <v>0</v>
      </c>
      <c r="BL202" s="18">
        <f t="shared" si="320"/>
        <v>0</v>
      </c>
      <c r="BM202" s="18">
        <f t="shared" si="321"/>
        <v>0</v>
      </c>
      <c r="BN202" s="18">
        <f t="shared" si="322"/>
        <v>0</v>
      </c>
      <c r="BO202" s="18">
        <f t="shared" si="323"/>
        <v>0</v>
      </c>
      <c r="BP202" s="18">
        <f t="shared" si="324"/>
        <v>0</v>
      </c>
      <c r="BQ202" s="18">
        <f t="shared" si="325"/>
        <v>0</v>
      </c>
      <c r="BR202" s="18">
        <f t="shared" si="326"/>
        <v>0</v>
      </c>
      <c r="BS202" s="18">
        <f t="shared" si="327"/>
        <v>0</v>
      </c>
      <c r="BT202" s="18">
        <f t="shared" si="328"/>
        <v>0</v>
      </c>
      <c r="BU202" s="18">
        <f t="shared" si="329"/>
        <v>0</v>
      </c>
      <c r="BV202" s="18">
        <f t="shared" si="330"/>
        <v>0</v>
      </c>
      <c r="BW202" s="18">
        <f t="shared" si="331"/>
        <v>0</v>
      </c>
      <c r="BX202" s="18">
        <f t="shared" si="332"/>
        <v>0</v>
      </c>
      <c r="BY202" s="18">
        <f t="shared" si="333"/>
        <v>0</v>
      </c>
      <c r="BZ202" s="18">
        <f t="shared" si="334"/>
        <v>0</v>
      </c>
      <c r="CA202" s="18">
        <f t="shared" si="335"/>
        <v>0</v>
      </c>
      <c r="CB202" s="18">
        <f t="shared" si="336"/>
        <v>0</v>
      </c>
      <c r="CC202" s="18">
        <f t="shared" si="337"/>
        <v>0</v>
      </c>
      <c r="CD202" s="18">
        <f t="shared" si="338"/>
        <v>0</v>
      </c>
      <c r="CE202" s="18">
        <f t="shared" si="339"/>
        <v>0</v>
      </c>
      <c r="CF202" s="18">
        <f t="shared" si="340"/>
        <v>0</v>
      </c>
      <c r="CG202" s="18">
        <f t="shared" si="341"/>
        <v>0</v>
      </c>
      <c r="CH202" s="18">
        <f t="shared" si="342"/>
        <v>0</v>
      </c>
      <c r="CI202" s="18">
        <f t="shared" si="343"/>
        <v>0</v>
      </c>
      <c r="CJ202" s="18">
        <f t="shared" si="344"/>
        <v>0</v>
      </c>
    </row>
    <row r="203" spans="1:88" x14ac:dyDescent="0.3">
      <c r="A203" s="1">
        <v>44124</v>
      </c>
      <c r="B203">
        <v>40544.370000000003</v>
      </c>
      <c r="C203">
        <f>Table1[[#This Row],[Close]]-0.001*Table1[[#This Row],[Close]]</f>
        <v>40503.825629999999</v>
      </c>
      <c r="D203">
        <f>Table1[[#This Row],[Close]]+0.001*Table1[[#This Row],[Close]]</f>
        <v>40584.914370000006</v>
      </c>
      <c r="E203" t="str">
        <f>IF(Table1[[#This Row],[Close]]&gt;D202,"UP",IF(Table1[[#This Row],[Close]]&lt;C202,"Down","Constant"))</f>
        <v>UP</v>
      </c>
      <c r="F203" s="3">
        <f>IF(Table1[[#This Row],[Column1]]="Up",1,IF(Table1[[#This Row],[Column1]]="Down",-1,0))</f>
        <v>1</v>
      </c>
      <c r="G203">
        <f t="shared" si="263"/>
        <v>0</v>
      </c>
      <c r="H203" s="18">
        <f t="shared" si="264"/>
        <v>0</v>
      </c>
      <c r="I203" s="18">
        <f t="shared" si="265"/>
        <v>0</v>
      </c>
      <c r="J203" s="18">
        <f t="shared" si="266"/>
        <v>0</v>
      </c>
      <c r="K203" s="18">
        <f t="shared" si="267"/>
        <v>0</v>
      </c>
      <c r="L203" s="18">
        <f t="shared" si="268"/>
        <v>0</v>
      </c>
      <c r="M203" s="18">
        <f t="shared" si="269"/>
        <v>1</v>
      </c>
      <c r="N203" s="18">
        <f t="shared" si="270"/>
        <v>0</v>
      </c>
      <c r="O203" s="18">
        <f t="shared" si="271"/>
        <v>0</v>
      </c>
      <c r="P203" s="18">
        <f t="shared" si="272"/>
        <v>0</v>
      </c>
      <c r="Q203" s="18">
        <f t="shared" si="273"/>
        <v>0</v>
      </c>
      <c r="R203" s="18">
        <f t="shared" si="274"/>
        <v>0</v>
      </c>
      <c r="S203" s="18">
        <f t="shared" si="275"/>
        <v>0</v>
      </c>
      <c r="T203" s="18">
        <f t="shared" si="276"/>
        <v>0</v>
      </c>
      <c r="U203" s="18">
        <f t="shared" si="277"/>
        <v>0</v>
      </c>
      <c r="V203" s="18">
        <f t="shared" si="278"/>
        <v>0</v>
      </c>
      <c r="W203" s="18">
        <f t="shared" si="279"/>
        <v>0</v>
      </c>
      <c r="X203" s="18">
        <f t="shared" si="280"/>
        <v>0</v>
      </c>
      <c r="Y203" s="18">
        <f t="shared" si="281"/>
        <v>0</v>
      </c>
      <c r="Z203" s="18">
        <f t="shared" si="282"/>
        <v>0</v>
      </c>
      <c r="AA203" s="18">
        <f t="shared" si="283"/>
        <v>0</v>
      </c>
      <c r="AB203" s="18">
        <f t="shared" si="284"/>
        <v>0</v>
      </c>
      <c r="AC203" s="18">
        <f t="shared" si="285"/>
        <v>0</v>
      </c>
      <c r="AD203" s="18">
        <f t="shared" si="286"/>
        <v>0</v>
      </c>
      <c r="AE203" s="18">
        <f t="shared" si="287"/>
        <v>0</v>
      </c>
      <c r="AF203" s="18">
        <f t="shared" si="288"/>
        <v>0</v>
      </c>
      <c r="AG203" s="18">
        <f t="shared" si="289"/>
        <v>0</v>
      </c>
      <c r="AH203" s="18">
        <f t="shared" si="290"/>
        <v>0</v>
      </c>
      <c r="AI203" s="18">
        <f t="shared" si="291"/>
        <v>0</v>
      </c>
      <c r="AJ203" s="18">
        <f t="shared" si="292"/>
        <v>0</v>
      </c>
      <c r="AK203" s="18">
        <f t="shared" si="293"/>
        <v>0</v>
      </c>
      <c r="AL203" s="18">
        <f t="shared" si="294"/>
        <v>0</v>
      </c>
      <c r="AM203" s="18">
        <f t="shared" si="295"/>
        <v>0</v>
      </c>
      <c r="AN203" s="18">
        <f t="shared" si="296"/>
        <v>0</v>
      </c>
      <c r="AO203" s="18">
        <f t="shared" si="297"/>
        <v>0</v>
      </c>
      <c r="AP203" s="18">
        <f t="shared" si="298"/>
        <v>0</v>
      </c>
      <c r="AQ203" s="18">
        <f t="shared" si="299"/>
        <v>0</v>
      </c>
      <c r="AR203" s="18">
        <f t="shared" si="300"/>
        <v>0</v>
      </c>
      <c r="AS203" s="18">
        <f t="shared" si="301"/>
        <v>0</v>
      </c>
      <c r="AT203" s="18">
        <f t="shared" si="302"/>
        <v>0</v>
      </c>
      <c r="AU203" s="18">
        <f t="shared" si="303"/>
        <v>0</v>
      </c>
      <c r="AV203" s="18">
        <f t="shared" si="304"/>
        <v>0</v>
      </c>
      <c r="AW203" s="18">
        <f t="shared" si="305"/>
        <v>0</v>
      </c>
      <c r="AX203" s="18">
        <f t="shared" si="306"/>
        <v>0</v>
      </c>
      <c r="AY203" s="18">
        <f t="shared" si="307"/>
        <v>0</v>
      </c>
      <c r="AZ203" s="18">
        <f t="shared" si="308"/>
        <v>0</v>
      </c>
      <c r="BA203" s="18">
        <f t="shared" si="309"/>
        <v>0</v>
      </c>
      <c r="BB203" s="18">
        <f t="shared" si="310"/>
        <v>0</v>
      </c>
      <c r="BC203" s="18">
        <f t="shared" si="311"/>
        <v>0</v>
      </c>
      <c r="BD203" s="18">
        <f t="shared" si="312"/>
        <v>0</v>
      </c>
      <c r="BE203" s="18">
        <f t="shared" si="313"/>
        <v>0</v>
      </c>
      <c r="BF203" s="18">
        <f t="shared" si="314"/>
        <v>0</v>
      </c>
      <c r="BG203" s="18">
        <f t="shared" si="315"/>
        <v>0</v>
      </c>
      <c r="BH203" s="18">
        <f t="shared" si="316"/>
        <v>0</v>
      </c>
      <c r="BI203" s="18">
        <f t="shared" si="317"/>
        <v>0</v>
      </c>
      <c r="BJ203" s="18">
        <f t="shared" si="318"/>
        <v>0</v>
      </c>
      <c r="BK203" s="18">
        <f t="shared" si="319"/>
        <v>0</v>
      </c>
      <c r="BL203" s="18">
        <f t="shared" si="320"/>
        <v>0</v>
      </c>
      <c r="BM203" s="18">
        <f t="shared" si="321"/>
        <v>0</v>
      </c>
      <c r="BN203" s="18">
        <f t="shared" si="322"/>
        <v>0</v>
      </c>
      <c r="BO203" s="18">
        <f t="shared" si="323"/>
        <v>0</v>
      </c>
      <c r="BP203" s="18">
        <f t="shared" si="324"/>
        <v>0</v>
      </c>
      <c r="BQ203" s="18">
        <f t="shared" si="325"/>
        <v>0</v>
      </c>
      <c r="BR203" s="18">
        <f t="shared" si="326"/>
        <v>0</v>
      </c>
      <c r="BS203" s="18">
        <f t="shared" si="327"/>
        <v>0</v>
      </c>
      <c r="BT203" s="18">
        <f t="shared" si="328"/>
        <v>0</v>
      </c>
      <c r="BU203" s="18">
        <f t="shared" si="329"/>
        <v>0</v>
      </c>
      <c r="BV203" s="18">
        <f t="shared" si="330"/>
        <v>0</v>
      </c>
      <c r="BW203" s="18">
        <f t="shared" si="331"/>
        <v>0</v>
      </c>
      <c r="BX203" s="18">
        <f t="shared" si="332"/>
        <v>0</v>
      </c>
      <c r="BY203" s="18">
        <f t="shared" si="333"/>
        <v>0</v>
      </c>
      <c r="BZ203" s="18">
        <f t="shared" si="334"/>
        <v>0</v>
      </c>
      <c r="CA203" s="18">
        <f t="shared" si="335"/>
        <v>0</v>
      </c>
      <c r="CB203" s="18">
        <f t="shared" si="336"/>
        <v>0</v>
      </c>
      <c r="CC203" s="18">
        <f t="shared" si="337"/>
        <v>0</v>
      </c>
      <c r="CD203" s="18">
        <f t="shared" si="338"/>
        <v>0</v>
      </c>
      <c r="CE203" s="18">
        <f t="shared" si="339"/>
        <v>0</v>
      </c>
      <c r="CF203" s="18">
        <f t="shared" si="340"/>
        <v>0</v>
      </c>
      <c r="CG203" s="18">
        <f t="shared" si="341"/>
        <v>0</v>
      </c>
      <c r="CH203" s="18">
        <f t="shared" si="342"/>
        <v>0</v>
      </c>
      <c r="CI203" s="18">
        <f t="shared" si="343"/>
        <v>0</v>
      </c>
      <c r="CJ203" s="18">
        <f t="shared" si="344"/>
        <v>0</v>
      </c>
    </row>
    <row r="204" spans="1:88" x14ac:dyDescent="0.3">
      <c r="A204" s="1">
        <v>44125</v>
      </c>
      <c r="B204">
        <v>40707.31</v>
      </c>
      <c r="C204">
        <f>Table1[[#This Row],[Close]]-0.001*Table1[[#This Row],[Close]]</f>
        <v>40666.60269</v>
      </c>
      <c r="D204">
        <f>Table1[[#This Row],[Close]]+0.001*Table1[[#This Row],[Close]]</f>
        <v>40748.017309999996</v>
      </c>
      <c r="E204" t="str">
        <f>IF(Table1[[#This Row],[Close]]&gt;D203,"UP",IF(Table1[[#This Row],[Close]]&lt;C203,"Down","Constant"))</f>
        <v>UP</v>
      </c>
      <c r="F204" s="3">
        <f>IF(Table1[[#This Row],[Column1]]="Up",1,IF(Table1[[#This Row],[Column1]]="Down",-1,0))</f>
        <v>1</v>
      </c>
      <c r="G204">
        <f t="shared" si="263"/>
        <v>0</v>
      </c>
      <c r="H204" s="18">
        <f t="shared" si="264"/>
        <v>0</v>
      </c>
      <c r="I204" s="18">
        <f t="shared" si="265"/>
        <v>0</v>
      </c>
      <c r="J204" s="18">
        <f t="shared" si="266"/>
        <v>1</v>
      </c>
      <c r="K204" s="18">
        <f t="shared" si="267"/>
        <v>0</v>
      </c>
      <c r="L204" s="18">
        <f t="shared" si="268"/>
        <v>0</v>
      </c>
      <c r="M204" s="18">
        <f t="shared" si="269"/>
        <v>0</v>
      </c>
      <c r="N204" s="18">
        <f t="shared" si="270"/>
        <v>0</v>
      </c>
      <c r="O204" s="18">
        <f t="shared" si="271"/>
        <v>0</v>
      </c>
      <c r="P204" s="18">
        <f t="shared" si="272"/>
        <v>0</v>
      </c>
      <c r="Q204" s="18">
        <f t="shared" si="273"/>
        <v>0</v>
      </c>
      <c r="R204" s="18">
        <f t="shared" si="274"/>
        <v>0</v>
      </c>
      <c r="S204" s="18">
        <f t="shared" si="275"/>
        <v>0</v>
      </c>
      <c r="T204" s="18">
        <f t="shared" si="276"/>
        <v>0</v>
      </c>
      <c r="U204" s="18">
        <f t="shared" si="277"/>
        <v>0</v>
      </c>
      <c r="V204" s="18">
        <f t="shared" si="278"/>
        <v>0</v>
      </c>
      <c r="W204" s="18">
        <f t="shared" si="279"/>
        <v>0</v>
      </c>
      <c r="X204" s="18">
        <f t="shared" si="280"/>
        <v>0</v>
      </c>
      <c r="Y204" s="18">
        <f t="shared" si="281"/>
        <v>0</v>
      </c>
      <c r="Z204" s="18">
        <f t="shared" si="282"/>
        <v>0</v>
      </c>
      <c r="AA204" s="18">
        <f t="shared" si="283"/>
        <v>0</v>
      </c>
      <c r="AB204" s="18">
        <f t="shared" si="284"/>
        <v>0</v>
      </c>
      <c r="AC204" s="18">
        <f t="shared" si="285"/>
        <v>0</v>
      </c>
      <c r="AD204" s="18">
        <f t="shared" si="286"/>
        <v>0</v>
      </c>
      <c r="AE204" s="18">
        <f t="shared" si="287"/>
        <v>0</v>
      </c>
      <c r="AF204" s="18">
        <f t="shared" si="288"/>
        <v>0</v>
      </c>
      <c r="AG204" s="18">
        <f t="shared" si="289"/>
        <v>0</v>
      </c>
      <c r="AH204" s="18">
        <f t="shared" si="290"/>
        <v>0</v>
      </c>
      <c r="AI204" s="18">
        <f t="shared" si="291"/>
        <v>0</v>
      </c>
      <c r="AJ204" s="18">
        <f t="shared" si="292"/>
        <v>0</v>
      </c>
      <c r="AK204" s="18">
        <f t="shared" si="293"/>
        <v>0</v>
      </c>
      <c r="AL204" s="18">
        <f t="shared" si="294"/>
        <v>0</v>
      </c>
      <c r="AM204" s="18">
        <f t="shared" si="295"/>
        <v>0</v>
      </c>
      <c r="AN204" s="18">
        <f t="shared" si="296"/>
        <v>0</v>
      </c>
      <c r="AO204" s="18">
        <f t="shared" si="297"/>
        <v>0</v>
      </c>
      <c r="AP204" s="18">
        <f t="shared" si="298"/>
        <v>0</v>
      </c>
      <c r="AQ204" s="18">
        <f t="shared" si="299"/>
        <v>0</v>
      </c>
      <c r="AR204" s="18">
        <f t="shared" si="300"/>
        <v>0</v>
      </c>
      <c r="AS204" s="18">
        <f t="shared" si="301"/>
        <v>0</v>
      </c>
      <c r="AT204" s="18">
        <f t="shared" si="302"/>
        <v>0</v>
      </c>
      <c r="AU204" s="18">
        <f t="shared" si="303"/>
        <v>0</v>
      </c>
      <c r="AV204" s="18">
        <f t="shared" si="304"/>
        <v>0</v>
      </c>
      <c r="AW204" s="18">
        <f t="shared" si="305"/>
        <v>0</v>
      </c>
      <c r="AX204" s="18">
        <f t="shared" si="306"/>
        <v>0</v>
      </c>
      <c r="AY204" s="18">
        <f t="shared" si="307"/>
        <v>0</v>
      </c>
      <c r="AZ204" s="18">
        <f t="shared" si="308"/>
        <v>0</v>
      </c>
      <c r="BA204" s="18">
        <f t="shared" si="309"/>
        <v>0</v>
      </c>
      <c r="BB204" s="18">
        <f t="shared" si="310"/>
        <v>0</v>
      </c>
      <c r="BC204" s="18">
        <f t="shared" si="311"/>
        <v>0</v>
      </c>
      <c r="BD204" s="18">
        <f t="shared" si="312"/>
        <v>0</v>
      </c>
      <c r="BE204" s="18">
        <f t="shared" si="313"/>
        <v>0</v>
      </c>
      <c r="BF204" s="18">
        <f t="shared" si="314"/>
        <v>0</v>
      </c>
      <c r="BG204" s="18">
        <f t="shared" si="315"/>
        <v>0</v>
      </c>
      <c r="BH204" s="18">
        <f t="shared" si="316"/>
        <v>0</v>
      </c>
      <c r="BI204" s="18">
        <f t="shared" si="317"/>
        <v>0</v>
      </c>
      <c r="BJ204" s="18">
        <f t="shared" si="318"/>
        <v>0</v>
      </c>
      <c r="BK204" s="18">
        <f t="shared" si="319"/>
        <v>0</v>
      </c>
      <c r="BL204" s="18">
        <f t="shared" si="320"/>
        <v>0</v>
      </c>
      <c r="BM204" s="18">
        <f t="shared" si="321"/>
        <v>0</v>
      </c>
      <c r="BN204" s="18">
        <f t="shared" si="322"/>
        <v>0</v>
      </c>
      <c r="BO204" s="18">
        <f t="shared" si="323"/>
        <v>0</v>
      </c>
      <c r="BP204" s="18">
        <f t="shared" si="324"/>
        <v>0</v>
      </c>
      <c r="BQ204" s="18">
        <f t="shared" si="325"/>
        <v>0</v>
      </c>
      <c r="BR204" s="18">
        <f t="shared" si="326"/>
        <v>0</v>
      </c>
      <c r="BS204" s="18">
        <f t="shared" si="327"/>
        <v>0</v>
      </c>
      <c r="BT204" s="18">
        <f t="shared" si="328"/>
        <v>0</v>
      </c>
      <c r="BU204" s="18">
        <f t="shared" si="329"/>
        <v>0</v>
      </c>
      <c r="BV204" s="18">
        <f t="shared" si="330"/>
        <v>0</v>
      </c>
      <c r="BW204" s="18">
        <f t="shared" si="331"/>
        <v>0</v>
      </c>
      <c r="BX204" s="18">
        <f t="shared" si="332"/>
        <v>0</v>
      </c>
      <c r="BY204" s="18">
        <f t="shared" si="333"/>
        <v>0</v>
      </c>
      <c r="BZ204" s="18">
        <f t="shared" si="334"/>
        <v>0</v>
      </c>
      <c r="CA204" s="18">
        <f t="shared" si="335"/>
        <v>0</v>
      </c>
      <c r="CB204" s="18">
        <f t="shared" si="336"/>
        <v>0</v>
      </c>
      <c r="CC204" s="18">
        <f t="shared" si="337"/>
        <v>0</v>
      </c>
      <c r="CD204" s="18">
        <f t="shared" si="338"/>
        <v>0</v>
      </c>
      <c r="CE204" s="18">
        <f t="shared" si="339"/>
        <v>0</v>
      </c>
      <c r="CF204" s="18">
        <f t="shared" si="340"/>
        <v>0</v>
      </c>
      <c r="CG204" s="18">
        <f t="shared" si="341"/>
        <v>0</v>
      </c>
      <c r="CH204" s="18">
        <f t="shared" si="342"/>
        <v>0</v>
      </c>
      <c r="CI204" s="18">
        <f t="shared" si="343"/>
        <v>0</v>
      </c>
      <c r="CJ204" s="18">
        <f t="shared" si="344"/>
        <v>0</v>
      </c>
    </row>
    <row r="205" spans="1:88" x14ac:dyDescent="0.3">
      <c r="A205" s="1">
        <v>44126</v>
      </c>
      <c r="B205">
        <v>40558.49</v>
      </c>
      <c r="C205">
        <f>Table1[[#This Row],[Close]]-0.001*Table1[[#This Row],[Close]]</f>
        <v>40517.931509999995</v>
      </c>
      <c r="D205">
        <f>Table1[[#This Row],[Close]]+0.001*Table1[[#This Row],[Close]]</f>
        <v>40599.048490000001</v>
      </c>
      <c r="E205" t="str">
        <f>IF(Table1[[#This Row],[Close]]&gt;D204,"UP",IF(Table1[[#This Row],[Close]]&lt;C204,"Down","Constant"))</f>
        <v>Down</v>
      </c>
      <c r="F205" s="3">
        <f>IF(Table1[[#This Row],[Column1]]="Up",1,IF(Table1[[#This Row],[Column1]]="Down",-1,0))</f>
        <v>-1</v>
      </c>
      <c r="G205">
        <f t="shared" si="263"/>
        <v>0</v>
      </c>
      <c r="H205" s="18">
        <f t="shared" si="264"/>
        <v>1</v>
      </c>
      <c r="I205" s="18">
        <f t="shared" si="265"/>
        <v>0</v>
      </c>
      <c r="J205" s="18">
        <f t="shared" si="266"/>
        <v>0</v>
      </c>
      <c r="K205" s="18">
        <f t="shared" si="267"/>
        <v>0</v>
      </c>
      <c r="L205" s="18">
        <f t="shared" si="268"/>
        <v>0</v>
      </c>
      <c r="M205" s="18">
        <f t="shared" si="269"/>
        <v>0</v>
      </c>
      <c r="N205" s="18">
        <f t="shared" si="270"/>
        <v>0</v>
      </c>
      <c r="O205" s="18">
        <f t="shared" si="271"/>
        <v>0</v>
      </c>
      <c r="P205" s="18">
        <f t="shared" si="272"/>
        <v>0</v>
      </c>
      <c r="Q205" s="18">
        <f t="shared" si="273"/>
        <v>0</v>
      </c>
      <c r="R205" s="18">
        <f t="shared" si="274"/>
        <v>0</v>
      </c>
      <c r="S205" s="18">
        <f t="shared" si="275"/>
        <v>0</v>
      </c>
      <c r="T205" s="18">
        <f t="shared" si="276"/>
        <v>0</v>
      </c>
      <c r="U205" s="18">
        <f t="shared" si="277"/>
        <v>0</v>
      </c>
      <c r="V205" s="18">
        <f t="shared" si="278"/>
        <v>0</v>
      </c>
      <c r="W205" s="18">
        <f t="shared" si="279"/>
        <v>0</v>
      </c>
      <c r="X205" s="18">
        <f t="shared" si="280"/>
        <v>0</v>
      </c>
      <c r="Y205" s="18">
        <f t="shared" si="281"/>
        <v>0</v>
      </c>
      <c r="Z205" s="18">
        <f t="shared" si="282"/>
        <v>0</v>
      </c>
      <c r="AA205" s="18">
        <f t="shared" si="283"/>
        <v>0</v>
      </c>
      <c r="AB205" s="18">
        <f t="shared" si="284"/>
        <v>0</v>
      </c>
      <c r="AC205" s="18">
        <f t="shared" si="285"/>
        <v>0</v>
      </c>
      <c r="AD205" s="18">
        <f t="shared" si="286"/>
        <v>0</v>
      </c>
      <c r="AE205" s="18">
        <f t="shared" si="287"/>
        <v>0</v>
      </c>
      <c r="AF205" s="18">
        <f t="shared" si="288"/>
        <v>0</v>
      </c>
      <c r="AG205" s="18">
        <f t="shared" si="289"/>
        <v>0</v>
      </c>
      <c r="AH205" s="18">
        <f t="shared" si="290"/>
        <v>0</v>
      </c>
      <c r="AI205" s="18">
        <f t="shared" si="291"/>
        <v>0</v>
      </c>
      <c r="AJ205" s="18">
        <f t="shared" si="292"/>
        <v>0</v>
      </c>
      <c r="AK205" s="18">
        <f t="shared" si="293"/>
        <v>0</v>
      </c>
      <c r="AL205" s="18">
        <f t="shared" si="294"/>
        <v>0</v>
      </c>
      <c r="AM205" s="18">
        <f t="shared" si="295"/>
        <v>0</v>
      </c>
      <c r="AN205" s="18">
        <f t="shared" si="296"/>
        <v>0</v>
      </c>
      <c r="AO205" s="18">
        <f t="shared" si="297"/>
        <v>0</v>
      </c>
      <c r="AP205" s="18">
        <f t="shared" si="298"/>
        <v>0</v>
      </c>
      <c r="AQ205" s="18">
        <f t="shared" si="299"/>
        <v>0</v>
      </c>
      <c r="AR205" s="18">
        <f t="shared" si="300"/>
        <v>0</v>
      </c>
      <c r="AS205" s="18">
        <f t="shared" si="301"/>
        <v>0</v>
      </c>
      <c r="AT205" s="18">
        <f t="shared" si="302"/>
        <v>0</v>
      </c>
      <c r="AU205" s="18">
        <f t="shared" si="303"/>
        <v>0</v>
      </c>
      <c r="AV205" s="18">
        <f t="shared" si="304"/>
        <v>0</v>
      </c>
      <c r="AW205" s="18">
        <f t="shared" si="305"/>
        <v>0</v>
      </c>
      <c r="AX205" s="18">
        <f t="shared" si="306"/>
        <v>0</v>
      </c>
      <c r="AY205" s="18">
        <f t="shared" si="307"/>
        <v>0</v>
      </c>
      <c r="AZ205" s="18">
        <f t="shared" si="308"/>
        <v>0</v>
      </c>
      <c r="BA205" s="18">
        <f t="shared" si="309"/>
        <v>0</v>
      </c>
      <c r="BB205" s="18">
        <f t="shared" si="310"/>
        <v>0</v>
      </c>
      <c r="BC205" s="18">
        <f t="shared" si="311"/>
        <v>0</v>
      </c>
      <c r="BD205" s="18">
        <f t="shared" si="312"/>
        <v>0</v>
      </c>
      <c r="BE205" s="18">
        <f t="shared" si="313"/>
        <v>0</v>
      </c>
      <c r="BF205" s="18">
        <f t="shared" si="314"/>
        <v>0</v>
      </c>
      <c r="BG205" s="18">
        <f t="shared" si="315"/>
        <v>0</v>
      </c>
      <c r="BH205" s="18">
        <f t="shared" si="316"/>
        <v>0</v>
      </c>
      <c r="BI205" s="18">
        <f t="shared" si="317"/>
        <v>0</v>
      </c>
      <c r="BJ205" s="18">
        <f t="shared" si="318"/>
        <v>0</v>
      </c>
      <c r="BK205" s="18">
        <f t="shared" si="319"/>
        <v>0</v>
      </c>
      <c r="BL205" s="18">
        <f t="shared" si="320"/>
        <v>0</v>
      </c>
      <c r="BM205" s="18">
        <f t="shared" si="321"/>
        <v>0</v>
      </c>
      <c r="BN205" s="18">
        <f t="shared" si="322"/>
        <v>0</v>
      </c>
      <c r="BO205" s="18">
        <f t="shared" si="323"/>
        <v>0</v>
      </c>
      <c r="BP205" s="18">
        <f t="shared" si="324"/>
        <v>0</v>
      </c>
      <c r="BQ205" s="18">
        <f t="shared" si="325"/>
        <v>0</v>
      </c>
      <c r="BR205" s="18">
        <f t="shared" si="326"/>
        <v>0</v>
      </c>
      <c r="BS205" s="18">
        <f t="shared" si="327"/>
        <v>0</v>
      </c>
      <c r="BT205" s="18">
        <f t="shared" si="328"/>
        <v>0</v>
      </c>
      <c r="BU205" s="18">
        <f t="shared" si="329"/>
        <v>0</v>
      </c>
      <c r="BV205" s="18">
        <f t="shared" si="330"/>
        <v>0</v>
      </c>
      <c r="BW205" s="18">
        <f t="shared" si="331"/>
        <v>0</v>
      </c>
      <c r="BX205" s="18">
        <f t="shared" si="332"/>
        <v>0</v>
      </c>
      <c r="BY205" s="18">
        <f t="shared" si="333"/>
        <v>0</v>
      </c>
      <c r="BZ205" s="18">
        <f t="shared" si="334"/>
        <v>0</v>
      </c>
      <c r="CA205" s="18">
        <f t="shared" si="335"/>
        <v>0</v>
      </c>
      <c r="CB205" s="18">
        <f t="shared" si="336"/>
        <v>0</v>
      </c>
      <c r="CC205" s="18">
        <f t="shared" si="337"/>
        <v>0</v>
      </c>
      <c r="CD205" s="18">
        <f t="shared" si="338"/>
        <v>0</v>
      </c>
      <c r="CE205" s="18">
        <f t="shared" si="339"/>
        <v>0</v>
      </c>
      <c r="CF205" s="18">
        <f t="shared" si="340"/>
        <v>0</v>
      </c>
      <c r="CG205" s="18">
        <f t="shared" si="341"/>
        <v>0</v>
      </c>
      <c r="CH205" s="18">
        <f t="shared" si="342"/>
        <v>0</v>
      </c>
      <c r="CI205" s="18">
        <f t="shared" si="343"/>
        <v>0</v>
      </c>
      <c r="CJ205" s="18">
        <f t="shared" si="344"/>
        <v>0</v>
      </c>
    </row>
    <row r="206" spans="1:88" x14ac:dyDescent="0.3">
      <c r="A206" s="1">
        <v>44127</v>
      </c>
      <c r="B206">
        <v>40685.5</v>
      </c>
      <c r="C206">
        <f>Table1[[#This Row],[Close]]-0.001*Table1[[#This Row],[Close]]</f>
        <v>40644.8145</v>
      </c>
      <c r="D206">
        <f>Table1[[#This Row],[Close]]+0.001*Table1[[#This Row],[Close]]</f>
        <v>40726.1855</v>
      </c>
      <c r="E206" t="str">
        <f>IF(Table1[[#This Row],[Close]]&gt;D205,"UP",IF(Table1[[#This Row],[Close]]&lt;C205,"Down","Constant"))</f>
        <v>UP</v>
      </c>
      <c r="F206" s="3">
        <f>IF(Table1[[#This Row],[Column1]]="Up",1,IF(Table1[[#This Row],[Column1]]="Down",-1,0))</f>
        <v>1</v>
      </c>
      <c r="G206">
        <f t="shared" si="263"/>
        <v>0</v>
      </c>
      <c r="H206" s="18">
        <f t="shared" si="264"/>
        <v>0</v>
      </c>
      <c r="I206" s="18">
        <f t="shared" si="265"/>
        <v>0</v>
      </c>
      <c r="J206" s="18">
        <f t="shared" si="266"/>
        <v>0</v>
      </c>
      <c r="K206" s="18">
        <f t="shared" si="267"/>
        <v>0</v>
      </c>
      <c r="L206" s="18">
        <f t="shared" si="268"/>
        <v>0</v>
      </c>
      <c r="M206" s="18">
        <f t="shared" si="269"/>
        <v>0</v>
      </c>
      <c r="N206" s="18">
        <f t="shared" si="270"/>
        <v>0</v>
      </c>
      <c r="O206" s="18">
        <f t="shared" si="271"/>
        <v>0</v>
      </c>
      <c r="P206" s="18">
        <f t="shared" si="272"/>
        <v>0</v>
      </c>
      <c r="Q206" s="18">
        <f t="shared" si="273"/>
        <v>0</v>
      </c>
      <c r="R206" s="18">
        <f t="shared" si="274"/>
        <v>0</v>
      </c>
      <c r="S206" s="18">
        <f t="shared" si="275"/>
        <v>1</v>
      </c>
      <c r="T206" s="18">
        <f t="shared" si="276"/>
        <v>0</v>
      </c>
      <c r="U206" s="18">
        <f t="shared" si="277"/>
        <v>0</v>
      </c>
      <c r="V206" s="18">
        <f t="shared" si="278"/>
        <v>0</v>
      </c>
      <c r="W206" s="18">
        <f t="shared" si="279"/>
        <v>0</v>
      </c>
      <c r="X206" s="18">
        <f t="shared" si="280"/>
        <v>0</v>
      </c>
      <c r="Y206" s="18">
        <f t="shared" si="281"/>
        <v>0</v>
      </c>
      <c r="Z206" s="18">
        <f t="shared" si="282"/>
        <v>0</v>
      </c>
      <c r="AA206" s="18">
        <f t="shared" si="283"/>
        <v>0</v>
      </c>
      <c r="AB206" s="18">
        <f t="shared" si="284"/>
        <v>0</v>
      </c>
      <c r="AC206" s="18">
        <f t="shared" si="285"/>
        <v>0</v>
      </c>
      <c r="AD206" s="18">
        <f t="shared" si="286"/>
        <v>0</v>
      </c>
      <c r="AE206" s="18">
        <f t="shared" si="287"/>
        <v>0</v>
      </c>
      <c r="AF206" s="18">
        <f t="shared" si="288"/>
        <v>0</v>
      </c>
      <c r="AG206" s="18">
        <f t="shared" si="289"/>
        <v>0</v>
      </c>
      <c r="AH206" s="18">
        <f t="shared" si="290"/>
        <v>0</v>
      </c>
      <c r="AI206" s="18">
        <f t="shared" si="291"/>
        <v>0</v>
      </c>
      <c r="AJ206" s="18">
        <f t="shared" si="292"/>
        <v>0</v>
      </c>
      <c r="AK206" s="18">
        <f t="shared" si="293"/>
        <v>0</v>
      </c>
      <c r="AL206" s="18">
        <f t="shared" si="294"/>
        <v>0</v>
      </c>
      <c r="AM206" s="18">
        <f t="shared" si="295"/>
        <v>0</v>
      </c>
      <c r="AN206" s="18">
        <f t="shared" si="296"/>
        <v>0</v>
      </c>
      <c r="AO206" s="18">
        <f t="shared" si="297"/>
        <v>0</v>
      </c>
      <c r="AP206" s="18">
        <f t="shared" si="298"/>
        <v>0</v>
      </c>
      <c r="AQ206" s="18">
        <f t="shared" si="299"/>
        <v>0</v>
      </c>
      <c r="AR206" s="18">
        <f t="shared" si="300"/>
        <v>0</v>
      </c>
      <c r="AS206" s="18">
        <f t="shared" si="301"/>
        <v>0</v>
      </c>
      <c r="AT206" s="18">
        <f t="shared" si="302"/>
        <v>0</v>
      </c>
      <c r="AU206" s="18">
        <f t="shared" si="303"/>
        <v>0</v>
      </c>
      <c r="AV206" s="18">
        <f t="shared" si="304"/>
        <v>0</v>
      </c>
      <c r="AW206" s="18">
        <f t="shared" si="305"/>
        <v>0</v>
      </c>
      <c r="AX206" s="18">
        <f t="shared" si="306"/>
        <v>0</v>
      </c>
      <c r="AY206" s="18">
        <f t="shared" si="307"/>
        <v>0</v>
      </c>
      <c r="AZ206" s="18">
        <f t="shared" si="308"/>
        <v>0</v>
      </c>
      <c r="BA206" s="18">
        <f t="shared" si="309"/>
        <v>0</v>
      </c>
      <c r="BB206" s="18">
        <f t="shared" si="310"/>
        <v>0</v>
      </c>
      <c r="BC206" s="18">
        <f t="shared" si="311"/>
        <v>0</v>
      </c>
      <c r="BD206" s="18">
        <f t="shared" si="312"/>
        <v>0</v>
      </c>
      <c r="BE206" s="18">
        <f t="shared" si="313"/>
        <v>0</v>
      </c>
      <c r="BF206" s="18">
        <f t="shared" si="314"/>
        <v>0</v>
      </c>
      <c r="BG206" s="18">
        <f t="shared" si="315"/>
        <v>0</v>
      </c>
      <c r="BH206" s="18">
        <f t="shared" si="316"/>
        <v>0</v>
      </c>
      <c r="BI206" s="18">
        <f t="shared" si="317"/>
        <v>0</v>
      </c>
      <c r="BJ206" s="18">
        <f t="shared" si="318"/>
        <v>0</v>
      </c>
      <c r="BK206" s="18">
        <f t="shared" si="319"/>
        <v>0</v>
      </c>
      <c r="BL206" s="18">
        <f t="shared" si="320"/>
        <v>0</v>
      </c>
      <c r="BM206" s="18">
        <f t="shared" si="321"/>
        <v>0</v>
      </c>
      <c r="BN206" s="18">
        <f t="shared" si="322"/>
        <v>0</v>
      </c>
      <c r="BO206" s="18">
        <f t="shared" si="323"/>
        <v>0</v>
      </c>
      <c r="BP206" s="18">
        <f t="shared" si="324"/>
        <v>0</v>
      </c>
      <c r="BQ206" s="18">
        <f t="shared" si="325"/>
        <v>0</v>
      </c>
      <c r="BR206" s="18">
        <f t="shared" si="326"/>
        <v>0</v>
      </c>
      <c r="BS206" s="18">
        <f t="shared" si="327"/>
        <v>0</v>
      </c>
      <c r="BT206" s="18">
        <f t="shared" si="328"/>
        <v>0</v>
      </c>
      <c r="BU206" s="18">
        <f t="shared" si="329"/>
        <v>0</v>
      </c>
      <c r="BV206" s="18">
        <f t="shared" si="330"/>
        <v>0</v>
      </c>
      <c r="BW206" s="18">
        <f t="shared" si="331"/>
        <v>0</v>
      </c>
      <c r="BX206" s="18">
        <f t="shared" si="332"/>
        <v>0</v>
      </c>
      <c r="BY206" s="18">
        <f t="shared" si="333"/>
        <v>0</v>
      </c>
      <c r="BZ206" s="18">
        <f t="shared" si="334"/>
        <v>0</v>
      </c>
      <c r="CA206" s="18">
        <f t="shared" si="335"/>
        <v>0</v>
      </c>
      <c r="CB206" s="18">
        <f t="shared" si="336"/>
        <v>0</v>
      </c>
      <c r="CC206" s="18">
        <f t="shared" si="337"/>
        <v>0</v>
      </c>
      <c r="CD206" s="18">
        <f t="shared" si="338"/>
        <v>0</v>
      </c>
      <c r="CE206" s="18">
        <f t="shared" si="339"/>
        <v>0</v>
      </c>
      <c r="CF206" s="18">
        <f t="shared" si="340"/>
        <v>0</v>
      </c>
      <c r="CG206" s="18">
        <f t="shared" si="341"/>
        <v>0</v>
      </c>
      <c r="CH206" s="18">
        <f t="shared" si="342"/>
        <v>0</v>
      </c>
      <c r="CI206" s="18">
        <f t="shared" si="343"/>
        <v>0</v>
      </c>
      <c r="CJ206" s="18">
        <f t="shared" si="344"/>
        <v>0</v>
      </c>
    </row>
    <row r="207" spans="1:88" x14ac:dyDescent="0.3">
      <c r="A207" s="1">
        <v>44130</v>
      </c>
      <c r="B207">
        <v>40145.5</v>
      </c>
      <c r="C207">
        <f>Table1[[#This Row],[Close]]-0.001*Table1[[#This Row],[Close]]</f>
        <v>40105.354500000001</v>
      </c>
      <c r="D207">
        <f>Table1[[#This Row],[Close]]+0.001*Table1[[#This Row],[Close]]</f>
        <v>40185.645499999999</v>
      </c>
      <c r="E207" t="str">
        <f>IF(Table1[[#This Row],[Close]]&gt;D206,"UP",IF(Table1[[#This Row],[Close]]&lt;C206,"Down","Constant"))</f>
        <v>Down</v>
      </c>
      <c r="F207" s="3">
        <f>IF(Table1[[#This Row],[Column1]]="Up",1,IF(Table1[[#This Row],[Column1]]="Down",-1,0))</f>
        <v>-1</v>
      </c>
      <c r="G207">
        <f t="shared" si="263"/>
        <v>0</v>
      </c>
      <c r="H207" s="18">
        <f t="shared" si="264"/>
        <v>0</v>
      </c>
      <c r="I207" s="18">
        <f t="shared" si="265"/>
        <v>0</v>
      </c>
      <c r="J207" s="18">
        <f t="shared" si="266"/>
        <v>0</v>
      </c>
      <c r="K207" s="18">
        <f t="shared" si="267"/>
        <v>0</v>
      </c>
      <c r="L207" s="18">
        <f t="shared" si="268"/>
        <v>0</v>
      </c>
      <c r="M207" s="18">
        <f t="shared" si="269"/>
        <v>0</v>
      </c>
      <c r="N207" s="18">
        <f t="shared" si="270"/>
        <v>1</v>
      </c>
      <c r="O207" s="18">
        <f t="shared" si="271"/>
        <v>0</v>
      </c>
      <c r="P207" s="18">
        <f t="shared" si="272"/>
        <v>0</v>
      </c>
      <c r="Q207" s="18">
        <f t="shared" si="273"/>
        <v>0</v>
      </c>
      <c r="R207" s="18">
        <f t="shared" si="274"/>
        <v>0</v>
      </c>
      <c r="S207" s="18">
        <f t="shared" si="275"/>
        <v>0</v>
      </c>
      <c r="T207" s="18">
        <f t="shared" si="276"/>
        <v>0</v>
      </c>
      <c r="U207" s="18">
        <f t="shared" si="277"/>
        <v>0</v>
      </c>
      <c r="V207" s="18">
        <f t="shared" si="278"/>
        <v>0</v>
      </c>
      <c r="W207" s="18">
        <f t="shared" si="279"/>
        <v>0</v>
      </c>
      <c r="X207" s="18">
        <f t="shared" si="280"/>
        <v>0</v>
      </c>
      <c r="Y207" s="18">
        <f t="shared" si="281"/>
        <v>0</v>
      </c>
      <c r="Z207" s="18">
        <f t="shared" si="282"/>
        <v>0</v>
      </c>
      <c r="AA207" s="18">
        <f t="shared" si="283"/>
        <v>0</v>
      </c>
      <c r="AB207" s="18">
        <f t="shared" si="284"/>
        <v>0</v>
      </c>
      <c r="AC207" s="18">
        <f t="shared" si="285"/>
        <v>0</v>
      </c>
      <c r="AD207" s="18">
        <f t="shared" si="286"/>
        <v>0</v>
      </c>
      <c r="AE207" s="18">
        <f t="shared" si="287"/>
        <v>0</v>
      </c>
      <c r="AF207" s="18">
        <f t="shared" si="288"/>
        <v>0</v>
      </c>
      <c r="AG207" s="18">
        <f t="shared" si="289"/>
        <v>0</v>
      </c>
      <c r="AH207" s="18">
        <f t="shared" si="290"/>
        <v>0</v>
      </c>
      <c r="AI207" s="18">
        <f t="shared" si="291"/>
        <v>0</v>
      </c>
      <c r="AJ207" s="18">
        <f t="shared" si="292"/>
        <v>0</v>
      </c>
      <c r="AK207" s="18">
        <f t="shared" si="293"/>
        <v>0</v>
      </c>
      <c r="AL207" s="18">
        <f t="shared" si="294"/>
        <v>0</v>
      </c>
      <c r="AM207" s="18">
        <f t="shared" si="295"/>
        <v>0</v>
      </c>
      <c r="AN207" s="18">
        <f t="shared" si="296"/>
        <v>0</v>
      </c>
      <c r="AO207" s="18">
        <f t="shared" si="297"/>
        <v>0</v>
      </c>
      <c r="AP207" s="18">
        <f t="shared" si="298"/>
        <v>0</v>
      </c>
      <c r="AQ207" s="18">
        <f t="shared" si="299"/>
        <v>0</v>
      </c>
      <c r="AR207" s="18">
        <f t="shared" si="300"/>
        <v>0</v>
      </c>
      <c r="AS207" s="18">
        <f t="shared" si="301"/>
        <v>0</v>
      </c>
      <c r="AT207" s="18">
        <f t="shared" si="302"/>
        <v>0</v>
      </c>
      <c r="AU207" s="18">
        <f t="shared" si="303"/>
        <v>0</v>
      </c>
      <c r="AV207" s="18">
        <f t="shared" si="304"/>
        <v>0</v>
      </c>
      <c r="AW207" s="18">
        <f t="shared" si="305"/>
        <v>0</v>
      </c>
      <c r="AX207" s="18">
        <f t="shared" si="306"/>
        <v>0</v>
      </c>
      <c r="AY207" s="18">
        <f t="shared" si="307"/>
        <v>0</v>
      </c>
      <c r="AZ207" s="18">
        <f t="shared" si="308"/>
        <v>0</v>
      </c>
      <c r="BA207" s="18">
        <f t="shared" si="309"/>
        <v>0</v>
      </c>
      <c r="BB207" s="18">
        <f t="shared" si="310"/>
        <v>0</v>
      </c>
      <c r="BC207" s="18">
        <f t="shared" si="311"/>
        <v>0</v>
      </c>
      <c r="BD207" s="18">
        <f t="shared" si="312"/>
        <v>0</v>
      </c>
      <c r="BE207" s="18">
        <f t="shared" si="313"/>
        <v>0</v>
      </c>
      <c r="BF207" s="18">
        <f t="shared" si="314"/>
        <v>0</v>
      </c>
      <c r="BG207" s="18">
        <f t="shared" si="315"/>
        <v>0</v>
      </c>
      <c r="BH207" s="18">
        <f t="shared" si="316"/>
        <v>0</v>
      </c>
      <c r="BI207" s="18">
        <f t="shared" si="317"/>
        <v>0</v>
      </c>
      <c r="BJ207" s="18">
        <f t="shared" si="318"/>
        <v>0</v>
      </c>
      <c r="BK207" s="18">
        <f t="shared" si="319"/>
        <v>0</v>
      </c>
      <c r="BL207" s="18">
        <f t="shared" si="320"/>
        <v>0</v>
      </c>
      <c r="BM207" s="18">
        <f t="shared" si="321"/>
        <v>0</v>
      </c>
      <c r="BN207" s="18">
        <f t="shared" si="322"/>
        <v>0</v>
      </c>
      <c r="BO207" s="18">
        <f t="shared" si="323"/>
        <v>0</v>
      </c>
      <c r="BP207" s="18">
        <f t="shared" si="324"/>
        <v>0</v>
      </c>
      <c r="BQ207" s="18">
        <f t="shared" si="325"/>
        <v>0</v>
      </c>
      <c r="BR207" s="18">
        <f t="shared" si="326"/>
        <v>0</v>
      </c>
      <c r="BS207" s="18">
        <f t="shared" si="327"/>
        <v>0</v>
      </c>
      <c r="BT207" s="18">
        <f t="shared" si="328"/>
        <v>0</v>
      </c>
      <c r="BU207" s="18">
        <f t="shared" si="329"/>
        <v>0</v>
      </c>
      <c r="BV207" s="18">
        <f t="shared" si="330"/>
        <v>0</v>
      </c>
      <c r="BW207" s="18">
        <f t="shared" si="331"/>
        <v>0</v>
      </c>
      <c r="BX207" s="18">
        <f t="shared" si="332"/>
        <v>0</v>
      </c>
      <c r="BY207" s="18">
        <f t="shared" si="333"/>
        <v>0</v>
      </c>
      <c r="BZ207" s="18">
        <f t="shared" si="334"/>
        <v>0</v>
      </c>
      <c r="CA207" s="18">
        <f t="shared" si="335"/>
        <v>0</v>
      </c>
      <c r="CB207" s="18">
        <f t="shared" si="336"/>
        <v>0</v>
      </c>
      <c r="CC207" s="18">
        <f t="shared" si="337"/>
        <v>0</v>
      </c>
      <c r="CD207" s="18">
        <f t="shared" si="338"/>
        <v>0</v>
      </c>
      <c r="CE207" s="18">
        <f t="shared" si="339"/>
        <v>0</v>
      </c>
      <c r="CF207" s="18">
        <f t="shared" si="340"/>
        <v>0</v>
      </c>
      <c r="CG207" s="18">
        <f t="shared" si="341"/>
        <v>0</v>
      </c>
      <c r="CH207" s="18">
        <f t="shared" si="342"/>
        <v>0</v>
      </c>
      <c r="CI207" s="18">
        <f t="shared" si="343"/>
        <v>0</v>
      </c>
      <c r="CJ207" s="18">
        <f t="shared" si="344"/>
        <v>0</v>
      </c>
    </row>
    <row r="208" spans="1:88" x14ac:dyDescent="0.3">
      <c r="A208" s="1">
        <v>44131</v>
      </c>
      <c r="B208">
        <v>40522.1</v>
      </c>
      <c r="C208">
        <f>Table1[[#This Row],[Close]]-0.001*Table1[[#This Row],[Close]]</f>
        <v>40481.577899999997</v>
      </c>
      <c r="D208">
        <f>Table1[[#This Row],[Close]]+0.001*Table1[[#This Row],[Close]]</f>
        <v>40562.622100000001</v>
      </c>
      <c r="E208" t="str">
        <f>IF(Table1[[#This Row],[Close]]&gt;D207,"UP",IF(Table1[[#This Row],[Close]]&lt;C207,"Down","Constant"))</f>
        <v>UP</v>
      </c>
      <c r="F208" s="3">
        <f>IF(Table1[[#This Row],[Column1]]="Up",1,IF(Table1[[#This Row],[Column1]]="Down",-1,0))</f>
        <v>1</v>
      </c>
      <c r="G208">
        <f t="shared" si="263"/>
        <v>0</v>
      </c>
      <c r="H208" s="18">
        <f t="shared" si="264"/>
        <v>0</v>
      </c>
      <c r="I208" s="18">
        <f t="shared" si="265"/>
        <v>0</v>
      </c>
      <c r="J208" s="18">
        <f t="shared" si="266"/>
        <v>0</v>
      </c>
      <c r="K208" s="18">
        <f t="shared" si="267"/>
        <v>0</v>
      </c>
      <c r="L208" s="18">
        <f t="shared" si="268"/>
        <v>0</v>
      </c>
      <c r="M208" s="18">
        <f t="shared" si="269"/>
        <v>0</v>
      </c>
      <c r="N208" s="18">
        <f t="shared" si="270"/>
        <v>0</v>
      </c>
      <c r="O208" s="18">
        <f t="shared" si="271"/>
        <v>0</v>
      </c>
      <c r="P208" s="18">
        <f t="shared" si="272"/>
        <v>0</v>
      </c>
      <c r="Q208" s="18">
        <f t="shared" si="273"/>
        <v>0</v>
      </c>
      <c r="R208" s="18">
        <f t="shared" si="274"/>
        <v>0</v>
      </c>
      <c r="S208" s="18">
        <f t="shared" si="275"/>
        <v>0</v>
      </c>
      <c r="T208" s="18">
        <f t="shared" si="276"/>
        <v>0</v>
      </c>
      <c r="U208" s="18">
        <f t="shared" si="277"/>
        <v>0</v>
      </c>
      <c r="V208" s="18">
        <f t="shared" si="278"/>
        <v>0</v>
      </c>
      <c r="W208" s="18">
        <f t="shared" si="279"/>
        <v>0</v>
      </c>
      <c r="X208" s="18">
        <f t="shared" si="280"/>
        <v>0</v>
      </c>
      <c r="Y208" s="18">
        <f t="shared" si="281"/>
        <v>0</v>
      </c>
      <c r="Z208" s="18">
        <f t="shared" si="282"/>
        <v>0</v>
      </c>
      <c r="AA208" s="18">
        <f t="shared" si="283"/>
        <v>0</v>
      </c>
      <c r="AB208" s="18">
        <f t="shared" si="284"/>
        <v>0</v>
      </c>
      <c r="AC208" s="18">
        <f t="shared" si="285"/>
        <v>0</v>
      </c>
      <c r="AD208" s="18">
        <f t="shared" si="286"/>
        <v>0</v>
      </c>
      <c r="AE208" s="18">
        <f t="shared" si="287"/>
        <v>1</v>
      </c>
      <c r="AF208" s="18">
        <f t="shared" si="288"/>
        <v>0</v>
      </c>
      <c r="AG208" s="18">
        <f t="shared" si="289"/>
        <v>0</v>
      </c>
      <c r="AH208" s="18">
        <f t="shared" si="290"/>
        <v>0</v>
      </c>
      <c r="AI208" s="18">
        <f t="shared" si="291"/>
        <v>0</v>
      </c>
      <c r="AJ208" s="18">
        <f t="shared" si="292"/>
        <v>0</v>
      </c>
      <c r="AK208" s="18">
        <f t="shared" si="293"/>
        <v>0</v>
      </c>
      <c r="AL208" s="18">
        <f t="shared" si="294"/>
        <v>0</v>
      </c>
      <c r="AM208" s="18">
        <f t="shared" si="295"/>
        <v>0</v>
      </c>
      <c r="AN208" s="18">
        <f t="shared" si="296"/>
        <v>0</v>
      </c>
      <c r="AO208" s="18">
        <f t="shared" si="297"/>
        <v>0</v>
      </c>
      <c r="AP208" s="18">
        <f t="shared" si="298"/>
        <v>0</v>
      </c>
      <c r="AQ208" s="18">
        <f t="shared" si="299"/>
        <v>0</v>
      </c>
      <c r="AR208" s="18">
        <f t="shared" si="300"/>
        <v>0</v>
      </c>
      <c r="AS208" s="18">
        <f t="shared" si="301"/>
        <v>0</v>
      </c>
      <c r="AT208" s="18">
        <f t="shared" si="302"/>
        <v>0</v>
      </c>
      <c r="AU208" s="18">
        <f t="shared" si="303"/>
        <v>0</v>
      </c>
      <c r="AV208" s="18">
        <f t="shared" si="304"/>
        <v>0</v>
      </c>
      <c r="AW208" s="18">
        <f t="shared" si="305"/>
        <v>0</v>
      </c>
      <c r="AX208" s="18">
        <f t="shared" si="306"/>
        <v>0</v>
      </c>
      <c r="AY208" s="18">
        <f t="shared" si="307"/>
        <v>0</v>
      </c>
      <c r="AZ208" s="18">
        <f t="shared" si="308"/>
        <v>0</v>
      </c>
      <c r="BA208" s="18">
        <f t="shared" si="309"/>
        <v>0</v>
      </c>
      <c r="BB208" s="18">
        <f t="shared" si="310"/>
        <v>0</v>
      </c>
      <c r="BC208" s="18">
        <f t="shared" si="311"/>
        <v>0</v>
      </c>
      <c r="BD208" s="18">
        <f t="shared" si="312"/>
        <v>0</v>
      </c>
      <c r="BE208" s="18">
        <f t="shared" si="313"/>
        <v>0</v>
      </c>
      <c r="BF208" s="18">
        <f t="shared" si="314"/>
        <v>0</v>
      </c>
      <c r="BG208" s="18">
        <f t="shared" si="315"/>
        <v>0</v>
      </c>
      <c r="BH208" s="18">
        <f t="shared" si="316"/>
        <v>0</v>
      </c>
      <c r="BI208" s="18">
        <f t="shared" si="317"/>
        <v>0</v>
      </c>
      <c r="BJ208" s="18">
        <f t="shared" si="318"/>
        <v>0</v>
      </c>
      <c r="BK208" s="18">
        <f t="shared" si="319"/>
        <v>0</v>
      </c>
      <c r="BL208" s="18">
        <f t="shared" si="320"/>
        <v>0</v>
      </c>
      <c r="BM208" s="18">
        <f t="shared" si="321"/>
        <v>0</v>
      </c>
      <c r="BN208" s="18">
        <f t="shared" si="322"/>
        <v>0</v>
      </c>
      <c r="BO208" s="18">
        <f t="shared" si="323"/>
        <v>0</v>
      </c>
      <c r="BP208" s="18">
        <f t="shared" si="324"/>
        <v>0</v>
      </c>
      <c r="BQ208" s="18">
        <f t="shared" si="325"/>
        <v>0</v>
      </c>
      <c r="BR208" s="18">
        <f t="shared" si="326"/>
        <v>0</v>
      </c>
      <c r="BS208" s="18">
        <f t="shared" si="327"/>
        <v>0</v>
      </c>
      <c r="BT208" s="18">
        <f t="shared" si="328"/>
        <v>0</v>
      </c>
      <c r="BU208" s="18">
        <f t="shared" si="329"/>
        <v>0</v>
      </c>
      <c r="BV208" s="18">
        <f t="shared" si="330"/>
        <v>0</v>
      </c>
      <c r="BW208" s="18">
        <f t="shared" si="331"/>
        <v>0</v>
      </c>
      <c r="BX208" s="18">
        <f t="shared" si="332"/>
        <v>0</v>
      </c>
      <c r="BY208" s="18">
        <f t="shared" si="333"/>
        <v>0</v>
      </c>
      <c r="BZ208" s="18">
        <f t="shared" si="334"/>
        <v>0</v>
      </c>
      <c r="CA208" s="18">
        <f t="shared" si="335"/>
        <v>0</v>
      </c>
      <c r="CB208" s="18">
        <f t="shared" si="336"/>
        <v>0</v>
      </c>
      <c r="CC208" s="18">
        <f t="shared" si="337"/>
        <v>0</v>
      </c>
      <c r="CD208" s="18">
        <f t="shared" si="338"/>
        <v>0</v>
      </c>
      <c r="CE208" s="18">
        <f t="shared" si="339"/>
        <v>0</v>
      </c>
      <c r="CF208" s="18">
        <f t="shared" si="340"/>
        <v>0</v>
      </c>
      <c r="CG208" s="18">
        <f t="shared" si="341"/>
        <v>0</v>
      </c>
      <c r="CH208" s="18">
        <f t="shared" si="342"/>
        <v>0</v>
      </c>
      <c r="CI208" s="18">
        <f t="shared" si="343"/>
        <v>0</v>
      </c>
      <c r="CJ208" s="18">
        <f t="shared" si="344"/>
        <v>0</v>
      </c>
    </row>
    <row r="209" spans="1:88" x14ac:dyDescent="0.3">
      <c r="A209" s="1">
        <v>44132</v>
      </c>
      <c r="B209">
        <v>39922.46</v>
      </c>
      <c r="C209">
        <f>Table1[[#This Row],[Close]]-0.001*Table1[[#This Row],[Close]]</f>
        <v>39882.537539999998</v>
      </c>
      <c r="D209">
        <f>Table1[[#This Row],[Close]]+0.001*Table1[[#This Row],[Close]]</f>
        <v>39962.382460000001</v>
      </c>
      <c r="E209" t="str">
        <f>IF(Table1[[#This Row],[Close]]&gt;D208,"UP",IF(Table1[[#This Row],[Close]]&lt;C208,"Down","Constant"))</f>
        <v>Down</v>
      </c>
      <c r="F209" s="3">
        <f>IF(Table1[[#This Row],[Column1]]="Up",1,IF(Table1[[#This Row],[Column1]]="Down",-1,0))</f>
        <v>-1</v>
      </c>
      <c r="G209">
        <f t="shared" si="263"/>
        <v>0</v>
      </c>
      <c r="H209" s="18">
        <f t="shared" si="264"/>
        <v>0</v>
      </c>
      <c r="I209" s="18">
        <f t="shared" si="265"/>
        <v>0</v>
      </c>
      <c r="J209" s="18">
        <f t="shared" si="266"/>
        <v>0</v>
      </c>
      <c r="K209" s="18">
        <f t="shared" si="267"/>
        <v>0</v>
      </c>
      <c r="L209" s="18">
        <f t="shared" si="268"/>
        <v>0</v>
      </c>
      <c r="M209" s="18">
        <f t="shared" si="269"/>
        <v>0</v>
      </c>
      <c r="N209" s="18">
        <f t="shared" si="270"/>
        <v>1</v>
      </c>
      <c r="O209" s="18">
        <f t="shared" si="271"/>
        <v>0</v>
      </c>
      <c r="P209" s="18">
        <f t="shared" si="272"/>
        <v>0</v>
      </c>
      <c r="Q209" s="18">
        <f t="shared" si="273"/>
        <v>0</v>
      </c>
      <c r="R209" s="18">
        <f t="shared" si="274"/>
        <v>0</v>
      </c>
      <c r="S209" s="18">
        <f t="shared" si="275"/>
        <v>0</v>
      </c>
      <c r="T209" s="18">
        <f t="shared" si="276"/>
        <v>0</v>
      </c>
      <c r="U209" s="18">
        <f t="shared" si="277"/>
        <v>0</v>
      </c>
      <c r="V209" s="18">
        <f t="shared" si="278"/>
        <v>0</v>
      </c>
      <c r="W209" s="18">
        <f t="shared" si="279"/>
        <v>0</v>
      </c>
      <c r="X209" s="18">
        <f t="shared" si="280"/>
        <v>0</v>
      </c>
      <c r="Y209" s="18">
        <f t="shared" si="281"/>
        <v>0</v>
      </c>
      <c r="Z209" s="18">
        <f t="shared" si="282"/>
        <v>0</v>
      </c>
      <c r="AA209" s="18">
        <f t="shared" si="283"/>
        <v>0</v>
      </c>
      <c r="AB209" s="18">
        <f t="shared" si="284"/>
        <v>0</v>
      </c>
      <c r="AC209" s="18">
        <f t="shared" si="285"/>
        <v>0</v>
      </c>
      <c r="AD209" s="18">
        <f t="shared" si="286"/>
        <v>0</v>
      </c>
      <c r="AE209" s="18">
        <f t="shared" si="287"/>
        <v>0</v>
      </c>
      <c r="AF209" s="18">
        <f t="shared" si="288"/>
        <v>0</v>
      </c>
      <c r="AG209" s="18">
        <f t="shared" si="289"/>
        <v>0</v>
      </c>
      <c r="AH209" s="18">
        <f t="shared" si="290"/>
        <v>0</v>
      </c>
      <c r="AI209" s="18">
        <f t="shared" si="291"/>
        <v>0</v>
      </c>
      <c r="AJ209" s="18">
        <f t="shared" si="292"/>
        <v>0</v>
      </c>
      <c r="AK209" s="18">
        <f t="shared" si="293"/>
        <v>0</v>
      </c>
      <c r="AL209" s="18">
        <f t="shared" si="294"/>
        <v>0</v>
      </c>
      <c r="AM209" s="18">
        <f t="shared" si="295"/>
        <v>0</v>
      </c>
      <c r="AN209" s="18">
        <f t="shared" si="296"/>
        <v>0</v>
      </c>
      <c r="AO209" s="18">
        <f t="shared" si="297"/>
        <v>0</v>
      </c>
      <c r="AP209" s="18">
        <f t="shared" si="298"/>
        <v>0</v>
      </c>
      <c r="AQ209" s="18">
        <f t="shared" si="299"/>
        <v>0</v>
      </c>
      <c r="AR209" s="18">
        <f t="shared" si="300"/>
        <v>0</v>
      </c>
      <c r="AS209" s="18">
        <f t="shared" si="301"/>
        <v>0</v>
      </c>
      <c r="AT209" s="18">
        <f t="shared" si="302"/>
        <v>0</v>
      </c>
      <c r="AU209" s="18">
        <f t="shared" si="303"/>
        <v>0</v>
      </c>
      <c r="AV209" s="18">
        <f t="shared" si="304"/>
        <v>0</v>
      </c>
      <c r="AW209" s="18">
        <f t="shared" si="305"/>
        <v>0</v>
      </c>
      <c r="AX209" s="18">
        <f t="shared" si="306"/>
        <v>0</v>
      </c>
      <c r="AY209" s="18">
        <f t="shared" si="307"/>
        <v>0</v>
      </c>
      <c r="AZ209" s="18">
        <f t="shared" si="308"/>
        <v>0</v>
      </c>
      <c r="BA209" s="18">
        <f t="shared" si="309"/>
        <v>0</v>
      </c>
      <c r="BB209" s="18">
        <f t="shared" si="310"/>
        <v>0</v>
      </c>
      <c r="BC209" s="18">
        <f t="shared" si="311"/>
        <v>0</v>
      </c>
      <c r="BD209" s="18">
        <f t="shared" si="312"/>
        <v>0</v>
      </c>
      <c r="BE209" s="18">
        <f t="shared" si="313"/>
        <v>0</v>
      </c>
      <c r="BF209" s="18">
        <f t="shared" si="314"/>
        <v>0</v>
      </c>
      <c r="BG209" s="18">
        <f t="shared" si="315"/>
        <v>0</v>
      </c>
      <c r="BH209" s="18">
        <f t="shared" si="316"/>
        <v>0</v>
      </c>
      <c r="BI209" s="18">
        <f t="shared" si="317"/>
        <v>0</v>
      </c>
      <c r="BJ209" s="18">
        <f t="shared" si="318"/>
        <v>0</v>
      </c>
      <c r="BK209" s="18">
        <f t="shared" si="319"/>
        <v>0</v>
      </c>
      <c r="BL209" s="18">
        <f t="shared" si="320"/>
        <v>0</v>
      </c>
      <c r="BM209" s="18">
        <f t="shared" si="321"/>
        <v>0</v>
      </c>
      <c r="BN209" s="18">
        <f t="shared" si="322"/>
        <v>0</v>
      </c>
      <c r="BO209" s="18">
        <f t="shared" si="323"/>
        <v>0</v>
      </c>
      <c r="BP209" s="18">
        <f t="shared" si="324"/>
        <v>0</v>
      </c>
      <c r="BQ209" s="18">
        <f t="shared" si="325"/>
        <v>0</v>
      </c>
      <c r="BR209" s="18">
        <f t="shared" si="326"/>
        <v>0</v>
      </c>
      <c r="BS209" s="18">
        <f t="shared" si="327"/>
        <v>0</v>
      </c>
      <c r="BT209" s="18">
        <f t="shared" si="328"/>
        <v>0</v>
      </c>
      <c r="BU209" s="18">
        <f t="shared" si="329"/>
        <v>0</v>
      </c>
      <c r="BV209" s="18">
        <f t="shared" si="330"/>
        <v>0</v>
      </c>
      <c r="BW209" s="18">
        <f t="shared" si="331"/>
        <v>0</v>
      </c>
      <c r="BX209" s="18">
        <f t="shared" si="332"/>
        <v>0</v>
      </c>
      <c r="BY209" s="18">
        <f t="shared" si="333"/>
        <v>0</v>
      </c>
      <c r="BZ209" s="18">
        <f t="shared" si="334"/>
        <v>0</v>
      </c>
      <c r="CA209" s="18">
        <f t="shared" si="335"/>
        <v>0</v>
      </c>
      <c r="CB209" s="18">
        <f t="shared" si="336"/>
        <v>0</v>
      </c>
      <c r="CC209" s="18">
        <f t="shared" si="337"/>
        <v>0</v>
      </c>
      <c r="CD209" s="18">
        <f t="shared" si="338"/>
        <v>0</v>
      </c>
      <c r="CE209" s="18">
        <f t="shared" si="339"/>
        <v>0</v>
      </c>
      <c r="CF209" s="18">
        <f t="shared" si="340"/>
        <v>0</v>
      </c>
      <c r="CG209" s="18">
        <f t="shared" si="341"/>
        <v>0</v>
      </c>
      <c r="CH209" s="18">
        <f t="shared" si="342"/>
        <v>0</v>
      </c>
      <c r="CI209" s="18">
        <f t="shared" si="343"/>
        <v>0</v>
      </c>
      <c r="CJ209" s="18">
        <f t="shared" si="344"/>
        <v>0</v>
      </c>
    </row>
    <row r="210" spans="1:88" x14ac:dyDescent="0.3">
      <c r="A210" s="1">
        <v>44133</v>
      </c>
      <c r="B210">
        <v>39749.85</v>
      </c>
      <c r="C210">
        <f>Table1[[#This Row],[Close]]-0.001*Table1[[#This Row],[Close]]</f>
        <v>39710.100149999998</v>
      </c>
      <c r="D210">
        <f>Table1[[#This Row],[Close]]+0.001*Table1[[#This Row],[Close]]</f>
        <v>39789.599849999999</v>
      </c>
      <c r="E210" t="str">
        <f>IF(Table1[[#This Row],[Close]]&gt;D209,"UP",IF(Table1[[#This Row],[Close]]&lt;C209,"Down","Constant"))</f>
        <v>Down</v>
      </c>
      <c r="F210" s="3">
        <f>IF(Table1[[#This Row],[Column1]]="Up",1,IF(Table1[[#This Row],[Column1]]="Down",-1,0))</f>
        <v>-1</v>
      </c>
      <c r="G210">
        <f t="shared" si="263"/>
        <v>0</v>
      </c>
      <c r="H210" s="18">
        <f t="shared" si="264"/>
        <v>0</v>
      </c>
      <c r="I210" s="18">
        <f t="shared" si="265"/>
        <v>0</v>
      </c>
      <c r="J210" s="18">
        <f t="shared" si="266"/>
        <v>0</v>
      </c>
      <c r="K210" s="18">
        <f t="shared" si="267"/>
        <v>0</v>
      </c>
      <c r="L210" s="18">
        <f t="shared" si="268"/>
        <v>0</v>
      </c>
      <c r="M210" s="18">
        <f t="shared" si="269"/>
        <v>0</v>
      </c>
      <c r="N210" s="18">
        <f t="shared" si="270"/>
        <v>0</v>
      </c>
      <c r="O210" s="18">
        <f t="shared" si="271"/>
        <v>0</v>
      </c>
      <c r="P210" s="18">
        <f t="shared" si="272"/>
        <v>0</v>
      </c>
      <c r="Q210" s="18">
        <f t="shared" si="273"/>
        <v>0</v>
      </c>
      <c r="R210" s="18">
        <f t="shared" si="274"/>
        <v>0</v>
      </c>
      <c r="S210" s="18">
        <f t="shared" si="275"/>
        <v>0</v>
      </c>
      <c r="T210" s="18">
        <f t="shared" si="276"/>
        <v>0</v>
      </c>
      <c r="U210" s="18">
        <f t="shared" si="277"/>
        <v>0</v>
      </c>
      <c r="V210" s="18">
        <f t="shared" si="278"/>
        <v>0</v>
      </c>
      <c r="W210" s="18">
        <f t="shared" si="279"/>
        <v>0</v>
      </c>
      <c r="X210" s="18">
        <f t="shared" si="280"/>
        <v>0</v>
      </c>
      <c r="Y210" s="18">
        <f t="shared" si="281"/>
        <v>0</v>
      </c>
      <c r="Z210" s="18">
        <f t="shared" si="282"/>
        <v>0</v>
      </c>
      <c r="AA210" s="18">
        <f t="shared" si="283"/>
        <v>0</v>
      </c>
      <c r="AB210" s="18">
        <f t="shared" si="284"/>
        <v>0</v>
      </c>
      <c r="AC210" s="18">
        <f t="shared" si="285"/>
        <v>1</v>
      </c>
      <c r="AD210" s="18">
        <f t="shared" si="286"/>
        <v>0</v>
      </c>
      <c r="AE210" s="18">
        <f t="shared" si="287"/>
        <v>0</v>
      </c>
      <c r="AF210" s="18">
        <f t="shared" si="288"/>
        <v>0</v>
      </c>
      <c r="AG210" s="18">
        <f t="shared" si="289"/>
        <v>0</v>
      </c>
      <c r="AH210" s="18">
        <f t="shared" si="290"/>
        <v>0</v>
      </c>
      <c r="AI210" s="18">
        <f t="shared" si="291"/>
        <v>0</v>
      </c>
      <c r="AJ210" s="18">
        <f t="shared" si="292"/>
        <v>0</v>
      </c>
      <c r="AK210" s="18">
        <f t="shared" si="293"/>
        <v>0</v>
      </c>
      <c r="AL210" s="18">
        <f t="shared" si="294"/>
        <v>0</v>
      </c>
      <c r="AM210" s="18">
        <f t="shared" si="295"/>
        <v>0</v>
      </c>
      <c r="AN210" s="18">
        <f t="shared" si="296"/>
        <v>0</v>
      </c>
      <c r="AO210" s="18">
        <f t="shared" si="297"/>
        <v>0</v>
      </c>
      <c r="AP210" s="18">
        <f t="shared" si="298"/>
        <v>0</v>
      </c>
      <c r="AQ210" s="18">
        <f t="shared" si="299"/>
        <v>0</v>
      </c>
      <c r="AR210" s="18">
        <f t="shared" si="300"/>
        <v>0</v>
      </c>
      <c r="AS210" s="18">
        <f t="shared" si="301"/>
        <v>0</v>
      </c>
      <c r="AT210" s="18">
        <f t="shared" si="302"/>
        <v>0</v>
      </c>
      <c r="AU210" s="18">
        <f t="shared" si="303"/>
        <v>0</v>
      </c>
      <c r="AV210" s="18">
        <f t="shared" si="304"/>
        <v>0</v>
      </c>
      <c r="AW210" s="18">
        <f t="shared" si="305"/>
        <v>0</v>
      </c>
      <c r="AX210" s="18">
        <f t="shared" si="306"/>
        <v>0</v>
      </c>
      <c r="AY210" s="18">
        <f t="shared" si="307"/>
        <v>0</v>
      </c>
      <c r="AZ210" s="18">
        <f t="shared" si="308"/>
        <v>0</v>
      </c>
      <c r="BA210" s="18">
        <f t="shared" si="309"/>
        <v>0</v>
      </c>
      <c r="BB210" s="18">
        <f t="shared" si="310"/>
        <v>0</v>
      </c>
      <c r="BC210" s="18">
        <f t="shared" si="311"/>
        <v>0</v>
      </c>
      <c r="BD210" s="18">
        <f t="shared" si="312"/>
        <v>0</v>
      </c>
      <c r="BE210" s="18">
        <f t="shared" si="313"/>
        <v>0</v>
      </c>
      <c r="BF210" s="18">
        <f t="shared" si="314"/>
        <v>0</v>
      </c>
      <c r="BG210" s="18">
        <f t="shared" si="315"/>
        <v>0</v>
      </c>
      <c r="BH210" s="18">
        <f t="shared" si="316"/>
        <v>0</v>
      </c>
      <c r="BI210" s="18">
        <f t="shared" si="317"/>
        <v>0</v>
      </c>
      <c r="BJ210" s="18">
        <f t="shared" si="318"/>
        <v>0</v>
      </c>
      <c r="BK210" s="18">
        <f t="shared" si="319"/>
        <v>0</v>
      </c>
      <c r="BL210" s="18">
        <f t="shared" si="320"/>
        <v>0</v>
      </c>
      <c r="BM210" s="18">
        <f t="shared" si="321"/>
        <v>0</v>
      </c>
      <c r="BN210" s="18">
        <f t="shared" si="322"/>
        <v>0</v>
      </c>
      <c r="BO210" s="18">
        <f t="shared" si="323"/>
        <v>0</v>
      </c>
      <c r="BP210" s="18">
        <f t="shared" si="324"/>
        <v>0</v>
      </c>
      <c r="BQ210" s="18">
        <f t="shared" si="325"/>
        <v>0</v>
      </c>
      <c r="BR210" s="18">
        <f t="shared" si="326"/>
        <v>0</v>
      </c>
      <c r="BS210" s="18">
        <f t="shared" si="327"/>
        <v>0</v>
      </c>
      <c r="BT210" s="18">
        <f t="shared" si="328"/>
        <v>0</v>
      </c>
      <c r="BU210" s="18">
        <f t="shared" si="329"/>
        <v>0</v>
      </c>
      <c r="BV210" s="18">
        <f t="shared" si="330"/>
        <v>0</v>
      </c>
      <c r="BW210" s="18">
        <f t="shared" si="331"/>
        <v>0</v>
      </c>
      <c r="BX210" s="18">
        <f t="shared" si="332"/>
        <v>0</v>
      </c>
      <c r="BY210" s="18">
        <f t="shared" si="333"/>
        <v>0</v>
      </c>
      <c r="BZ210" s="18">
        <f t="shared" si="334"/>
        <v>0</v>
      </c>
      <c r="CA210" s="18">
        <f t="shared" si="335"/>
        <v>0</v>
      </c>
      <c r="CB210" s="18">
        <f t="shared" si="336"/>
        <v>0</v>
      </c>
      <c r="CC210" s="18">
        <f t="shared" si="337"/>
        <v>0</v>
      </c>
      <c r="CD210" s="18">
        <f t="shared" si="338"/>
        <v>0</v>
      </c>
      <c r="CE210" s="18">
        <f t="shared" si="339"/>
        <v>0</v>
      </c>
      <c r="CF210" s="18">
        <f t="shared" si="340"/>
        <v>0</v>
      </c>
      <c r="CG210" s="18">
        <f t="shared" si="341"/>
        <v>0</v>
      </c>
      <c r="CH210" s="18">
        <f t="shared" si="342"/>
        <v>0</v>
      </c>
      <c r="CI210" s="18">
        <f t="shared" si="343"/>
        <v>0</v>
      </c>
      <c r="CJ210" s="18">
        <f t="shared" si="344"/>
        <v>0</v>
      </c>
    </row>
    <row r="211" spans="1:88" x14ac:dyDescent="0.3">
      <c r="A211" s="1">
        <v>44134</v>
      </c>
      <c r="B211">
        <v>39614.07</v>
      </c>
      <c r="C211">
        <f>Table1[[#This Row],[Close]]-0.001*Table1[[#This Row],[Close]]</f>
        <v>39574.455929999996</v>
      </c>
      <c r="D211">
        <f>Table1[[#This Row],[Close]]+0.001*Table1[[#This Row],[Close]]</f>
        <v>39653.684070000003</v>
      </c>
      <c r="E211" t="str">
        <f>IF(Table1[[#This Row],[Close]]&gt;D210,"UP",IF(Table1[[#This Row],[Close]]&lt;C210,"Down","Constant"))</f>
        <v>Down</v>
      </c>
      <c r="F211" s="3">
        <f>IF(Table1[[#This Row],[Column1]]="Up",1,IF(Table1[[#This Row],[Column1]]="Down",-1,0))</f>
        <v>-1</v>
      </c>
      <c r="G211">
        <f t="shared" si="263"/>
        <v>0</v>
      </c>
      <c r="H211" s="18">
        <f t="shared" si="264"/>
        <v>0</v>
      </c>
      <c r="I211" s="18">
        <f t="shared" si="265"/>
        <v>0</v>
      </c>
      <c r="J211" s="18">
        <f t="shared" si="266"/>
        <v>0</v>
      </c>
      <c r="K211" s="18">
        <f t="shared" si="267"/>
        <v>0</v>
      </c>
      <c r="L211" s="18">
        <f t="shared" si="268"/>
        <v>0</v>
      </c>
      <c r="M211" s="18">
        <f t="shared" si="269"/>
        <v>0</v>
      </c>
      <c r="N211" s="18">
        <f t="shared" si="270"/>
        <v>0</v>
      </c>
      <c r="O211" s="18">
        <f t="shared" si="271"/>
        <v>0</v>
      </c>
      <c r="P211" s="18">
        <f t="shared" si="272"/>
        <v>0</v>
      </c>
      <c r="Q211" s="18">
        <f t="shared" si="273"/>
        <v>0</v>
      </c>
      <c r="R211" s="18">
        <f t="shared" si="274"/>
        <v>0</v>
      </c>
      <c r="S211" s="18">
        <f t="shared" si="275"/>
        <v>0</v>
      </c>
      <c r="T211" s="18">
        <f t="shared" si="276"/>
        <v>0</v>
      </c>
      <c r="U211" s="18">
        <f t="shared" si="277"/>
        <v>0</v>
      </c>
      <c r="V211" s="18">
        <f t="shared" si="278"/>
        <v>0</v>
      </c>
      <c r="W211" s="18">
        <f t="shared" si="279"/>
        <v>1</v>
      </c>
      <c r="X211" s="18">
        <f t="shared" si="280"/>
        <v>0</v>
      </c>
      <c r="Y211" s="18">
        <f t="shared" si="281"/>
        <v>0</v>
      </c>
      <c r="Z211" s="18">
        <f t="shared" si="282"/>
        <v>0</v>
      </c>
      <c r="AA211" s="18">
        <f t="shared" si="283"/>
        <v>0</v>
      </c>
      <c r="AB211" s="18">
        <f t="shared" si="284"/>
        <v>0</v>
      </c>
      <c r="AC211" s="18">
        <f t="shared" si="285"/>
        <v>0</v>
      </c>
      <c r="AD211" s="18">
        <f t="shared" si="286"/>
        <v>0</v>
      </c>
      <c r="AE211" s="18">
        <f t="shared" si="287"/>
        <v>0</v>
      </c>
      <c r="AF211" s="18">
        <f t="shared" si="288"/>
        <v>0</v>
      </c>
      <c r="AG211" s="18">
        <f t="shared" si="289"/>
        <v>0</v>
      </c>
      <c r="AH211" s="18">
        <f t="shared" si="290"/>
        <v>0</v>
      </c>
      <c r="AI211" s="18">
        <f t="shared" si="291"/>
        <v>0</v>
      </c>
      <c r="AJ211" s="18">
        <f t="shared" si="292"/>
        <v>0</v>
      </c>
      <c r="AK211" s="18">
        <f t="shared" si="293"/>
        <v>0</v>
      </c>
      <c r="AL211" s="18">
        <f t="shared" si="294"/>
        <v>0</v>
      </c>
      <c r="AM211" s="18">
        <f t="shared" si="295"/>
        <v>0</v>
      </c>
      <c r="AN211" s="18">
        <f t="shared" si="296"/>
        <v>0</v>
      </c>
      <c r="AO211" s="18">
        <f t="shared" si="297"/>
        <v>0</v>
      </c>
      <c r="AP211" s="18">
        <f t="shared" si="298"/>
        <v>0</v>
      </c>
      <c r="AQ211" s="18">
        <f t="shared" si="299"/>
        <v>0</v>
      </c>
      <c r="AR211" s="18">
        <f t="shared" si="300"/>
        <v>0</v>
      </c>
      <c r="AS211" s="18">
        <f t="shared" si="301"/>
        <v>0</v>
      </c>
      <c r="AT211" s="18">
        <f t="shared" si="302"/>
        <v>0</v>
      </c>
      <c r="AU211" s="18">
        <f t="shared" si="303"/>
        <v>0</v>
      </c>
      <c r="AV211" s="18">
        <f t="shared" si="304"/>
        <v>0</v>
      </c>
      <c r="AW211" s="18">
        <f t="shared" si="305"/>
        <v>0</v>
      </c>
      <c r="AX211" s="18">
        <f t="shared" si="306"/>
        <v>0</v>
      </c>
      <c r="AY211" s="18">
        <f t="shared" si="307"/>
        <v>0</v>
      </c>
      <c r="AZ211" s="18">
        <f t="shared" si="308"/>
        <v>0</v>
      </c>
      <c r="BA211" s="18">
        <f t="shared" si="309"/>
        <v>0</v>
      </c>
      <c r="BB211" s="18">
        <f t="shared" si="310"/>
        <v>0</v>
      </c>
      <c r="BC211" s="18">
        <f t="shared" si="311"/>
        <v>0</v>
      </c>
      <c r="BD211" s="18">
        <f t="shared" si="312"/>
        <v>0</v>
      </c>
      <c r="BE211" s="18">
        <f t="shared" si="313"/>
        <v>0</v>
      </c>
      <c r="BF211" s="18">
        <f t="shared" si="314"/>
        <v>0</v>
      </c>
      <c r="BG211" s="18">
        <f t="shared" si="315"/>
        <v>0</v>
      </c>
      <c r="BH211" s="18">
        <f t="shared" si="316"/>
        <v>0</v>
      </c>
      <c r="BI211" s="18">
        <f t="shared" si="317"/>
        <v>0</v>
      </c>
      <c r="BJ211" s="18">
        <f t="shared" si="318"/>
        <v>0</v>
      </c>
      <c r="BK211" s="18">
        <f t="shared" si="319"/>
        <v>0</v>
      </c>
      <c r="BL211" s="18">
        <f t="shared" si="320"/>
        <v>0</v>
      </c>
      <c r="BM211" s="18">
        <f t="shared" si="321"/>
        <v>0</v>
      </c>
      <c r="BN211" s="18">
        <f t="shared" si="322"/>
        <v>0</v>
      </c>
      <c r="BO211" s="18">
        <f t="shared" si="323"/>
        <v>0</v>
      </c>
      <c r="BP211" s="18">
        <f t="shared" si="324"/>
        <v>0</v>
      </c>
      <c r="BQ211" s="18">
        <f t="shared" si="325"/>
        <v>0</v>
      </c>
      <c r="BR211" s="18">
        <f t="shared" si="326"/>
        <v>0</v>
      </c>
      <c r="BS211" s="18">
        <f t="shared" si="327"/>
        <v>0</v>
      </c>
      <c r="BT211" s="18">
        <f t="shared" si="328"/>
        <v>0</v>
      </c>
      <c r="BU211" s="18">
        <f t="shared" si="329"/>
        <v>0</v>
      </c>
      <c r="BV211" s="18">
        <f t="shared" si="330"/>
        <v>0</v>
      </c>
      <c r="BW211" s="18">
        <f t="shared" si="331"/>
        <v>0</v>
      </c>
      <c r="BX211" s="18">
        <f t="shared" si="332"/>
        <v>0</v>
      </c>
      <c r="BY211" s="18">
        <f t="shared" si="333"/>
        <v>0</v>
      </c>
      <c r="BZ211" s="18">
        <f t="shared" si="334"/>
        <v>0</v>
      </c>
      <c r="CA211" s="18">
        <f t="shared" si="335"/>
        <v>0</v>
      </c>
      <c r="CB211" s="18">
        <f t="shared" si="336"/>
        <v>0</v>
      </c>
      <c r="CC211" s="18">
        <f t="shared" si="337"/>
        <v>0</v>
      </c>
      <c r="CD211" s="18">
        <f t="shared" si="338"/>
        <v>0</v>
      </c>
      <c r="CE211" s="18">
        <f t="shared" si="339"/>
        <v>0</v>
      </c>
      <c r="CF211" s="18">
        <f t="shared" si="340"/>
        <v>0</v>
      </c>
      <c r="CG211" s="18">
        <f t="shared" si="341"/>
        <v>0</v>
      </c>
      <c r="CH211" s="18">
        <f t="shared" si="342"/>
        <v>0</v>
      </c>
      <c r="CI211" s="18">
        <f t="shared" si="343"/>
        <v>0</v>
      </c>
      <c r="CJ211" s="18">
        <f t="shared" si="344"/>
        <v>0</v>
      </c>
    </row>
    <row r="212" spans="1:88" x14ac:dyDescent="0.3">
      <c r="A212" s="1">
        <v>44137</v>
      </c>
      <c r="B212">
        <v>39757.58</v>
      </c>
      <c r="C212">
        <f>Table1[[#This Row],[Close]]-0.001*Table1[[#This Row],[Close]]</f>
        <v>39717.822420000004</v>
      </c>
      <c r="D212">
        <f>Table1[[#This Row],[Close]]+0.001*Table1[[#This Row],[Close]]</f>
        <v>39797.337579999999</v>
      </c>
      <c r="E212" t="str">
        <f>IF(Table1[[#This Row],[Close]]&gt;D211,"UP",IF(Table1[[#This Row],[Close]]&lt;C211,"Down","Constant"))</f>
        <v>UP</v>
      </c>
      <c r="F212" s="3">
        <f>IF(Table1[[#This Row],[Column1]]="Up",1,IF(Table1[[#This Row],[Column1]]="Down",-1,0))</f>
        <v>1</v>
      </c>
      <c r="G212">
        <f t="shared" si="263"/>
        <v>0</v>
      </c>
      <c r="H212" s="18">
        <f t="shared" si="264"/>
        <v>0</v>
      </c>
      <c r="I212" s="18">
        <f t="shared" si="265"/>
        <v>0</v>
      </c>
      <c r="J212" s="18">
        <f t="shared" si="266"/>
        <v>0</v>
      </c>
      <c r="K212" s="18">
        <f t="shared" si="267"/>
        <v>0</v>
      </c>
      <c r="L212" s="18">
        <f t="shared" si="268"/>
        <v>0</v>
      </c>
      <c r="M212" s="18">
        <f t="shared" si="269"/>
        <v>0</v>
      </c>
      <c r="N212" s="18">
        <f t="shared" si="270"/>
        <v>0</v>
      </c>
      <c r="O212" s="18">
        <f t="shared" si="271"/>
        <v>0</v>
      </c>
      <c r="P212" s="18">
        <f t="shared" si="272"/>
        <v>0</v>
      </c>
      <c r="Q212" s="18">
        <f t="shared" si="273"/>
        <v>0</v>
      </c>
      <c r="R212" s="18">
        <f t="shared" si="274"/>
        <v>0</v>
      </c>
      <c r="S212" s="18">
        <f t="shared" si="275"/>
        <v>0</v>
      </c>
      <c r="T212" s="18">
        <f t="shared" si="276"/>
        <v>0</v>
      </c>
      <c r="U212" s="18">
        <f t="shared" si="277"/>
        <v>0</v>
      </c>
      <c r="V212" s="18">
        <f t="shared" si="278"/>
        <v>0</v>
      </c>
      <c r="W212" s="18">
        <f t="shared" si="279"/>
        <v>0</v>
      </c>
      <c r="X212" s="18">
        <f t="shared" si="280"/>
        <v>0</v>
      </c>
      <c r="Y212" s="18">
        <f t="shared" si="281"/>
        <v>0</v>
      </c>
      <c r="Z212" s="18">
        <f t="shared" si="282"/>
        <v>0</v>
      </c>
      <c r="AA212" s="18">
        <f t="shared" si="283"/>
        <v>0</v>
      </c>
      <c r="AB212" s="18">
        <f t="shared" si="284"/>
        <v>1</v>
      </c>
      <c r="AC212" s="18">
        <f t="shared" si="285"/>
        <v>0</v>
      </c>
      <c r="AD212" s="18">
        <f t="shared" si="286"/>
        <v>0</v>
      </c>
      <c r="AE212" s="18">
        <f t="shared" si="287"/>
        <v>0</v>
      </c>
      <c r="AF212" s="18">
        <f t="shared" si="288"/>
        <v>0</v>
      </c>
      <c r="AG212" s="18">
        <f t="shared" si="289"/>
        <v>0</v>
      </c>
      <c r="AH212" s="18">
        <f t="shared" si="290"/>
        <v>0</v>
      </c>
      <c r="AI212" s="18">
        <f t="shared" si="291"/>
        <v>0</v>
      </c>
      <c r="AJ212" s="18">
        <f t="shared" si="292"/>
        <v>0</v>
      </c>
      <c r="AK212" s="18">
        <f t="shared" si="293"/>
        <v>0</v>
      </c>
      <c r="AL212" s="18">
        <f t="shared" si="294"/>
        <v>0</v>
      </c>
      <c r="AM212" s="18">
        <f t="shared" si="295"/>
        <v>0</v>
      </c>
      <c r="AN212" s="18">
        <f t="shared" si="296"/>
        <v>0</v>
      </c>
      <c r="AO212" s="18">
        <f t="shared" si="297"/>
        <v>0</v>
      </c>
      <c r="AP212" s="18">
        <f t="shared" si="298"/>
        <v>0</v>
      </c>
      <c r="AQ212" s="18">
        <f t="shared" si="299"/>
        <v>0</v>
      </c>
      <c r="AR212" s="18">
        <f t="shared" si="300"/>
        <v>0</v>
      </c>
      <c r="AS212" s="18">
        <f t="shared" si="301"/>
        <v>0</v>
      </c>
      <c r="AT212" s="18">
        <f t="shared" si="302"/>
        <v>0</v>
      </c>
      <c r="AU212" s="18">
        <f t="shared" si="303"/>
        <v>0</v>
      </c>
      <c r="AV212" s="18">
        <f t="shared" si="304"/>
        <v>0</v>
      </c>
      <c r="AW212" s="18">
        <f t="shared" si="305"/>
        <v>0</v>
      </c>
      <c r="AX212" s="18">
        <f t="shared" si="306"/>
        <v>0</v>
      </c>
      <c r="AY212" s="18">
        <f t="shared" si="307"/>
        <v>0</v>
      </c>
      <c r="AZ212" s="18">
        <f t="shared" si="308"/>
        <v>0</v>
      </c>
      <c r="BA212" s="18">
        <f t="shared" si="309"/>
        <v>0</v>
      </c>
      <c r="BB212" s="18">
        <f t="shared" si="310"/>
        <v>0</v>
      </c>
      <c r="BC212" s="18">
        <f t="shared" si="311"/>
        <v>0</v>
      </c>
      <c r="BD212" s="18">
        <f t="shared" si="312"/>
        <v>0</v>
      </c>
      <c r="BE212" s="18">
        <f t="shared" si="313"/>
        <v>0</v>
      </c>
      <c r="BF212" s="18">
        <f t="shared" si="314"/>
        <v>0</v>
      </c>
      <c r="BG212" s="18">
        <f t="shared" si="315"/>
        <v>0</v>
      </c>
      <c r="BH212" s="18">
        <f t="shared" si="316"/>
        <v>0</v>
      </c>
      <c r="BI212" s="18">
        <f t="shared" si="317"/>
        <v>0</v>
      </c>
      <c r="BJ212" s="18">
        <f t="shared" si="318"/>
        <v>0</v>
      </c>
      <c r="BK212" s="18">
        <f t="shared" si="319"/>
        <v>0</v>
      </c>
      <c r="BL212" s="18">
        <f t="shared" si="320"/>
        <v>0</v>
      </c>
      <c r="BM212" s="18">
        <f t="shared" si="321"/>
        <v>0</v>
      </c>
      <c r="BN212" s="18">
        <f t="shared" si="322"/>
        <v>0</v>
      </c>
      <c r="BO212" s="18">
        <f t="shared" si="323"/>
        <v>0</v>
      </c>
      <c r="BP212" s="18">
        <f t="shared" si="324"/>
        <v>0</v>
      </c>
      <c r="BQ212" s="18">
        <f t="shared" si="325"/>
        <v>0</v>
      </c>
      <c r="BR212" s="18">
        <f t="shared" si="326"/>
        <v>0</v>
      </c>
      <c r="BS212" s="18">
        <f t="shared" si="327"/>
        <v>0</v>
      </c>
      <c r="BT212" s="18">
        <f t="shared" si="328"/>
        <v>0</v>
      </c>
      <c r="BU212" s="18">
        <f t="shared" si="329"/>
        <v>0</v>
      </c>
      <c r="BV212" s="18">
        <f t="shared" si="330"/>
        <v>0</v>
      </c>
      <c r="BW212" s="18">
        <f t="shared" si="331"/>
        <v>0</v>
      </c>
      <c r="BX212" s="18">
        <f t="shared" si="332"/>
        <v>0</v>
      </c>
      <c r="BY212" s="18">
        <f t="shared" si="333"/>
        <v>0</v>
      </c>
      <c r="BZ212" s="18">
        <f t="shared" si="334"/>
        <v>0</v>
      </c>
      <c r="CA212" s="18">
        <f t="shared" si="335"/>
        <v>0</v>
      </c>
      <c r="CB212" s="18">
        <f t="shared" si="336"/>
        <v>0</v>
      </c>
      <c r="CC212" s="18">
        <f t="shared" si="337"/>
        <v>0</v>
      </c>
      <c r="CD212" s="18">
        <f t="shared" si="338"/>
        <v>0</v>
      </c>
      <c r="CE212" s="18">
        <f t="shared" si="339"/>
        <v>0</v>
      </c>
      <c r="CF212" s="18">
        <f t="shared" si="340"/>
        <v>0</v>
      </c>
      <c r="CG212" s="18">
        <f t="shared" si="341"/>
        <v>0</v>
      </c>
      <c r="CH212" s="18">
        <f t="shared" si="342"/>
        <v>0</v>
      </c>
      <c r="CI212" s="18">
        <f t="shared" si="343"/>
        <v>0</v>
      </c>
      <c r="CJ212" s="18">
        <f t="shared" si="344"/>
        <v>0</v>
      </c>
    </row>
    <row r="213" spans="1:88" x14ac:dyDescent="0.3">
      <c r="A213" s="1">
        <v>44138</v>
      </c>
      <c r="B213">
        <v>40261.129999999997</v>
      </c>
      <c r="C213">
        <f>Table1[[#This Row],[Close]]-0.001*Table1[[#This Row],[Close]]</f>
        <v>40220.868869999998</v>
      </c>
      <c r="D213">
        <f>Table1[[#This Row],[Close]]+0.001*Table1[[#This Row],[Close]]</f>
        <v>40301.391129999996</v>
      </c>
      <c r="E213" t="str">
        <f>IF(Table1[[#This Row],[Close]]&gt;D212,"UP",IF(Table1[[#This Row],[Close]]&lt;C212,"Down","Constant"))</f>
        <v>UP</v>
      </c>
      <c r="F213" s="3">
        <f>IF(Table1[[#This Row],[Column1]]="Up",1,IF(Table1[[#This Row],[Column1]]="Down",-1,0))</f>
        <v>1</v>
      </c>
      <c r="G213">
        <f t="shared" si="263"/>
        <v>0</v>
      </c>
      <c r="H213" s="18">
        <f t="shared" si="264"/>
        <v>0</v>
      </c>
      <c r="I213" s="18">
        <f t="shared" si="265"/>
        <v>0</v>
      </c>
      <c r="J213" s="18">
        <f t="shared" si="266"/>
        <v>0</v>
      </c>
      <c r="K213" s="18">
        <f t="shared" si="267"/>
        <v>0</v>
      </c>
      <c r="L213" s="18">
        <f t="shared" si="268"/>
        <v>0</v>
      </c>
      <c r="M213" s="18">
        <f t="shared" si="269"/>
        <v>0</v>
      </c>
      <c r="N213" s="18">
        <f t="shared" si="270"/>
        <v>0</v>
      </c>
      <c r="O213" s="18">
        <f t="shared" si="271"/>
        <v>0</v>
      </c>
      <c r="P213" s="18">
        <f t="shared" si="272"/>
        <v>0</v>
      </c>
      <c r="Q213" s="18">
        <f t="shared" si="273"/>
        <v>0</v>
      </c>
      <c r="R213" s="18">
        <f t="shared" si="274"/>
        <v>0</v>
      </c>
      <c r="S213" s="18">
        <f t="shared" si="275"/>
        <v>0</v>
      </c>
      <c r="T213" s="18">
        <f t="shared" si="276"/>
        <v>0</v>
      </c>
      <c r="U213" s="18">
        <f t="shared" si="277"/>
        <v>0</v>
      </c>
      <c r="V213" s="18">
        <f t="shared" si="278"/>
        <v>1</v>
      </c>
      <c r="W213" s="18">
        <f t="shared" si="279"/>
        <v>0</v>
      </c>
      <c r="X213" s="18">
        <f t="shared" si="280"/>
        <v>0</v>
      </c>
      <c r="Y213" s="18">
        <f t="shared" si="281"/>
        <v>0</v>
      </c>
      <c r="Z213" s="18">
        <f t="shared" si="282"/>
        <v>0</v>
      </c>
      <c r="AA213" s="18">
        <f t="shared" si="283"/>
        <v>0</v>
      </c>
      <c r="AB213" s="18">
        <f t="shared" si="284"/>
        <v>0</v>
      </c>
      <c r="AC213" s="18">
        <f t="shared" si="285"/>
        <v>0</v>
      </c>
      <c r="AD213" s="18">
        <f t="shared" si="286"/>
        <v>0</v>
      </c>
      <c r="AE213" s="18">
        <f t="shared" si="287"/>
        <v>0</v>
      </c>
      <c r="AF213" s="18">
        <f t="shared" si="288"/>
        <v>0</v>
      </c>
      <c r="AG213" s="18">
        <f t="shared" si="289"/>
        <v>0</v>
      </c>
      <c r="AH213" s="18">
        <f t="shared" si="290"/>
        <v>0</v>
      </c>
      <c r="AI213" s="18">
        <f t="shared" si="291"/>
        <v>0</v>
      </c>
      <c r="AJ213" s="18">
        <f t="shared" si="292"/>
        <v>0</v>
      </c>
      <c r="AK213" s="18">
        <f t="shared" si="293"/>
        <v>0</v>
      </c>
      <c r="AL213" s="18">
        <f t="shared" si="294"/>
        <v>0</v>
      </c>
      <c r="AM213" s="18">
        <f t="shared" si="295"/>
        <v>0</v>
      </c>
      <c r="AN213" s="18">
        <f t="shared" si="296"/>
        <v>0</v>
      </c>
      <c r="AO213" s="18">
        <f t="shared" si="297"/>
        <v>0</v>
      </c>
      <c r="AP213" s="18">
        <f t="shared" si="298"/>
        <v>0</v>
      </c>
      <c r="AQ213" s="18">
        <f t="shared" si="299"/>
        <v>0</v>
      </c>
      <c r="AR213" s="18">
        <f t="shared" si="300"/>
        <v>0</v>
      </c>
      <c r="AS213" s="18">
        <f t="shared" si="301"/>
        <v>0</v>
      </c>
      <c r="AT213" s="18">
        <f t="shared" si="302"/>
        <v>0</v>
      </c>
      <c r="AU213" s="18">
        <f t="shared" si="303"/>
        <v>0</v>
      </c>
      <c r="AV213" s="18">
        <f t="shared" si="304"/>
        <v>0</v>
      </c>
      <c r="AW213" s="18">
        <f t="shared" si="305"/>
        <v>0</v>
      </c>
      <c r="AX213" s="18">
        <f t="shared" si="306"/>
        <v>0</v>
      </c>
      <c r="AY213" s="18">
        <f t="shared" si="307"/>
        <v>0</v>
      </c>
      <c r="AZ213" s="18">
        <f t="shared" si="308"/>
        <v>0</v>
      </c>
      <c r="BA213" s="18">
        <f t="shared" si="309"/>
        <v>0</v>
      </c>
      <c r="BB213" s="18">
        <f t="shared" si="310"/>
        <v>0</v>
      </c>
      <c r="BC213" s="18">
        <f t="shared" si="311"/>
        <v>0</v>
      </c>
      <c r="BD213" s="18">
        <f t="shared" si="312"/>
        <v>0</v>
      </c>
      <c r="BE213" s="18">
        <f t="shared" si="313"/>
        <v>0</v>
      </c>
      <c r="BF213" s="18">
        <f t="shared" si="314"/>
        <v>0</v>
      </c>
      <c r="BG213" s="18">
        <f t="shared" si="315"/>
        <v>0</v>
      </c>
      <c r="BH213" s="18">
        <f t="shared" si="316"/>
        <v>0</v>
      </c>
      <c r="BI213" s="18">
        <f t="shared" si="317"/>
        <v>0</v>
      </c>
      <c r="BJ213" s="18">
        <f t="shared" si="318"/>
        <v>0</v>
      </c>
      <c r="BK213" s="18">
        <f t="shared" si="319"/>
        <v>0</v>
      </c>
      <c r="BL213" s="18">
        <f t="shared" si="320"/>
        <v>0</v>
      </c>
      <c r="BM213" s="18">
        <f t="shared" si="321"/>
        <v>0</v>
      </c>
      <c r="BN213" s="18">
        <f t="shared" si="322"/>
        <v>0</v>
      </c>
      <c r="BO213" s="18">
        <f t="shared" si="323"/>
        <v>0</v>
      </c>
      <c r="BP213" s="18">
        <f t="shared" si="324"/>
        <v>0</v>
      </c>
      <c r="BQ213" s="18">
        <f t="shared" si="325"/>
        <v>0</v>
      </c>
      <c r="BR213" s="18">
        <f t="shared" si="326"/>
        <v>0</v>
      </c>
      <c r="BS213" s="18">
        <f t="shared" si="327"/>
        <v>0</v>
      </c>
      <c r="BT213" s="18">
        <f t="shared" si="328"/>
        <v>0</v>
      </c>
      <c r="BU213" s="18">
        <f t="shared" si="329"/>
        <v>0</v>
      </c>
      <c r="BV213" s="18">
        <f t="shared" si="330"/>
        <v>0</v>
      </c>
      <c r="BW213" s="18">
        <f t="shared" si="331"/>
        <v>0</v>
      </c>
      <c r="BX213" s="18">
        <f t="shared" si="332"/>
        <v>0</v>
      </c>
      <c r="BY213" s="18">
        <f t="shared" si="333"/>
        <v>0</v>
      </c>
      <c r="BZ213" s="18">
        <f t="shared" si="334"/>
        <v>0</v>
      </c>
      <c r="CA213" s="18">
        <f t="shared" si="335"/>
        <v>0</v>
      </c>
      <c r="CB213" s="18">
        <f t="shared" si="336"/>
        <v>0</v>
      </c>
      <c r="CC213" s="18">
        <f t="shared" si="337"/>
        <v>0</v>
      </c>
      <c r="CD213" s="18">
        <f t="shared" si="338"/>
        <v>0</v>
      </c>
      <c r="CE213" s="18">
        <f t="shared" si="339"/>
        <v>0</v>
      </c>
      <c r="CF213" s="18">
        <f t="shared" si="340"/>
        <v>0</v>
      </c>
      <c r="CG213" s="18">
        <f t="shared" si="341"/>
        <v>0</v>
      </c>
      <c r="CH213" s="18">
        <f t="shared" si="342"/>
        <v>0</v>
      </c>
      <c r="CI213" s="18">
        <f t="shared" si="343"/>
        <v>0</v>
      </c>
      <c r="CJ213" s="18">
        <f t="shared" si="344"/>
        <v>0</v>
      </c>
    </row>
    <row r="214" spans="1:88" x14ac:dyDescent="0.3">
      <c r="A214" s="1">
        <v>44139</v>
      </c>
      <c r="B214">
        <v>40616.14</v>
      </c>
      <c r="C214">
        <f>Table1[[#This Row],[Close]]-0.001*Table1[[#This Row],[Close]]</f>
        <v>40575.523860000001</v>
      </c>
      <c r="D214">
        <f>Table1[[#This Row],[Close]]+0.001*Table1[[#This Row],[Close]]</f>
        <v>40656.756139999998</v>
      </c>
      <c r="E214" t="str">
        <f>IF(Table1[[#This Row],[Close]]&gt;D213,"UP",IF(Table1[[#This Row],[Close]]&lt;C213,"Down","Constant"))</f>
        <v>UP</v>
      </c>
      <c r="F214" s="3">
        <f>IF(Table1[[#This Row],[Column1]]="Up",1,IF(Table1[[#This Row],[Column1]]="Down",-1,0))</f>
        <v>1</v>
      </c>
      <c r="G214">
        <f t="shared" si="263"/>
        <v>0</v>
      </c>
      <c r="H214" s="18">
        <f t="shared" si="264"/>
        <v>0</v>
      </c>
      <c r="I214" s="18">
        <f t="shared" si="265"/>
        <v>0</v>
      </c>
      <c r="J214" s="18">
        <f t="shared" si="266"/>
        <v>0</v>
      </c>
      <c r="K214" s="18">
        <f t="shared" si="267"/>
        <v>0</v>
      </c>
      <c r="L214" s="18">
        <f t="shared" si="268"/>
        <v>0</v>
      </c>
      <c r="M214" s="18">
        <f t="shared" si="269"/>
        <v>1</v>
      </c>
      <c r="N214" s="18">
        <f t="shared" si="270"/>
        <v>0</v>
      </c>
      <c r="O214" s="18">
        <f t="shared" si="271"/>
        <v>0</v>
      </c>
      <c r="P214" s="18">
        <f t="shared" si="272"/>
        <v>0</v>
      </c>
      <c r="Q214" s="18">
        <f t="shared" si="273"/>
        <v>0</v>
      </c>
      <c r="R214" s="18">
        <f t="shared" si="274"/>
        <v>0</v>
      </c>
      <c r="S214" s="18">
        <f t="shared" si="275"/>
        <v>0</v>
      </c>
      <c r="T214" s="18">
        <f t="shared" si="276"/>
        <v>0</v>
      </c>
      <c r="U214" s="18">
        <f t="shared" si="277"/>
        <v>0</v>
      </c>
      <c r="V214" s="18">
        <f t="shared" si="278"/>
        <v>0</v>
      </c>
      <c r="W214" s="18">
        <f t="shared" si="279"/>
        <v>0</v>
      </c>
      <c r="X214" s="18">
        <f t="shared" si="280"/>
        <v>0</v>
      </c>
      <c r="Y214" s="18">
        <f t="shared" si="281"/>
        <v>0</v>
      </c>
      <c r="Z214" s="18">
        <f t="shared" si="282"/>
        <v>0</v>
      </c>
      <c r="AA214" s="18">
        <f t="shared" si="283"/>
        <v>0</v>
      </c>
      <c r="AB214" s="18">
        <f t="shared" si="284"/>
        <v>0</v>
      </c>
      <c r="AC214" s="18">
        <f t="shared" si="285"/>
        <v>0</v>
      </c>
      <c r="AD214" s="18">
        <f t="shared" si="286"/>
        <v>0</v>
      </c>
      <c r="AE214" s="18">
        <f t="shared" si="287"/>
        <v>0</v>
      </c>
      <c r="AF214" s="18">
        <f t="shared" si="288"/>
        <v>0</v>
      </c>
      <c r="AG214" s="18">
        <f t="shared" si="289"/>
        <v>0</v>
      </c>
      <c r="AH214" s="18">
        <f t="shared" si="290"/>
        <v>0</v>
      </c>
      <c r="AI214" s="18">
        <f t="shared" si="291"/>
        <v>0</v>
      </c>
      <c r="AJ214" s="18">
        <f t="shared" si="292"/>
        <v>0</v>
      </c>
      <c r="AK214" s="18">
        <f t="shared" si="293"/>
        <v>0</v>
      </c>
      <c r="AL214" s="18">
        <f t="shared" si="294"/>
        <v>0</v>
      </c>
      <c r="AM214" s="18">
        <f t="shared" si="295"/>
        <v>0</v>
      </c>
      <c r="AN214" s="18">
        <f t="shared" si="296"/>
        <v>0</v>
      </c>
      <c r="AO214" s="18">
        <f t="shared" si="297"/>
        <v>0</v>
      </c>
      <c r="AP214" s="18">
        <f t="shared" si="298"/>
        <v>0</v>
      </c>
      <c r="AQ214" s="18">
        <f t="shared" si="299"/>
        <v>0</v>
      </c>
      <c r="AR214" s="18">
        <f t="shared" si="300"/>
        <v>0</v>
      </c>
      <c r="AS214" s="18">
        <f t="shared" si="301"/>
        <v>0</v>
      </c>
      <c r="AT214" s="18">
        <f t="shared" si="302"/>
        <v>0</v>
      </c>
      <c r="AU214" s="18">
        <f t="shared" si="303"/>
        <v>0</v>
      </c>
      <c r="AV214" s="18">
        <f t="shared" si="304"/>
        <v>0</v>
      </c>
      <c r="AW214" s="18">
        <f t="shared" si="305"/>
        <v>0</v>
      </c>
      <c r="AX214" s="18">
        <f t="shared" si="306"/>
        <v>0</v>
      </c>
      <c r="AY214" s="18">
        <f t="shared" si="307"/>
        <v>0</v>
      </c>
      <c r="AZ214" s="18">
        <f t="shared" si="308"/>
        <v>0</v>
      </c>
      <c r="BA214" s="18">
        <f t="shared" si="309"/>
        <v>0</v>
      </c>
      <c r="BB214" s="18">
        <f t="shared" si="310"/>
        <v>0</v>
      </c>
      <c r="BC214" s="18">
        <f t="shared" si="311"/>
        <v>0</v>
      </c>
      <c r="BD214" s="18">
        <f t="shared" si="312"/>
        <v>0</v>
      </c>
      <c r="BE214" s="18">
        <f t="shared" si="313"/>
        <v>0</v>
      </c>
      <c r="BF214" s="18">
        <f t="shared" si="314"/>
        <v>0</v>
      </c>
      <c r="BG214" s="18">
        <f t="shared" si="315"/>
        <v>0</v>
      </c>
      <c r="BH214" s="18">
        <f t="shared" si="316"/>
        <v>0</v>
      </c>
      <c r="BI214" s="18">
        <f t="shared" si="317"/>
        <v>0</v>
      </c>
      <c r="BJ214" s="18">
        <f t="shared" si="318"/>
        <v>0</v>
      </c>
      <c r="BK214" s="18">
        <f t="shared" si="319"/>
        <v>0</v>
      </c>
      <c r="BL214" s="18">
        <f t="shared" si="320"/>
        <v>0</v>
      </c>
      <c r="BM214" s="18">
        <f t="shared" si="321"/>
        <v>0</v>
      </c>
      <c r="BN214" s="18">
        <f t="shared" si="322"/>
        <v>0</v>
      </c>
      <c r="BO214" s="18">
        <f t="shared" si="323"/>
        <v>0</v>
      </c>
      <c r="BP214" s="18">
        <f t="shared" si="324"/>
        <v>0</v>
      </c>
      <c r="BQ214" s="18">
        <f t="shared" si="325"/>
        <v>0</v>
      </c>
      <c r="BR214" s="18">
        <f t="shared" si="326"/>
        <v>0</v>
      </c>
      <c r="BS214" s="18">
        <f t="shared" si="327"/>
        <v>0</v>
      </c>
      <c r="BT214" s="18">
        <f t="shared" si="328"/>
        <v>0</v>
      </c>
      <c r="BU214" s="18">
        <f t="shared" si="329"/>
        <v>0</v>
      </c>
      <c r="BV214" s="18">
        <f t="shared" si="330"/>
        <v>0</v>
      </c>
      <c r="BW214" s="18">
        <f t="shared" si="331"/>
        <v>0</v>
      </c>
      <c r="BX214" s="18">
        <f t="shared" si="332"/>
        <v>0</v>
      </c>
      <c r="BY214" s="18">
        <f t="shared" si="333"/>
        <v>0</v>
      </c>
      <c r="BZ214" s="18">
        <f t="shared" si="334"/>
        <v>0</v>
      </c>
      <c r="CA214" s="18">
        <f t="shared" si="335"/>
        <v>0</v>
      </c>
      <c r="CB214" s="18">
        <f t="shared" si="336"/>
        <v>0</v>
      </c>
      <c r="CC214" s="18">
        <f t="shared" si="337"/>
        <v>0</v>
      </c>
      <c r="CD214" s="18">
        <f t="shared" si="338"/>
        <v>0</v>
      </c>
      <c r="CE214" s="18">
        <f t="shared" si="339"/>
        <v>0</v>
      </c>
      <c r="CF214" s="18">
        <f t="shared" si="340"/>
        <v>0</v>
      </c>
      <c r="CG214" s="18">
        <f t="shared" si="341"/>
        <v>0</v>
      </c>
      <c r="CH214" s="18">
        <f t="shared" si="342"/>
        <v>0</v>
      </c>
      <c r="CI214" s="18">
        <f t="shared" si="343"/>
        <v>0</v>
      </c>
      <c r="CJ214" s="18">
        <f t="shared" si="344"/>
        <v>0</v>
      </c>
    </row>
    <row r="215" spans="1:88" x14ac:dyDescent="0.3">
      <c r="A215" s="1">
        <v>44140</v>
      </c>
      <c r="B215">
        <v>41340.160000000003</v>
      </c>
      <c r="C215">
        <f>Table1[[#This Row],[Close]]-0.001*Table1[[#This Row],[Close]]</f>
        <v>41298.819840000004</v>
      </c>
      <c r="D215">
        <f>Table1[[#This Row],[Close]]+0.001*Table1[[#This Row],[Close]]</f>
        <v>41381.500160000003</v>
      </c>
      <c r="E215" t="str">
        <f>IF(Table1[[#This Row],[Close]]&gt;D214,"UP",IF(Table1[[#This Row],[Close]]&lt;C214,"Down","Constant"))</f>
        <v>UP</v>
      </c>
      <c r="F215" s="3">
        <f>IF(Table1[[#This Row],[Column1]]="Up",1,IF(Table1[[#This Row],[Column1]]="Down",-1,0))</f>
        <v>1</v>
      </c>
      <c r="G215">
        <f t="shared" si="263"/>
        <v>0</v>
      </c>
      <c r="H215" s="18">
        <f t="shared" si="264"/>
        <v>0</v>
      </c>
      <c r="I215" s="18">
        <f t="shared" si="265"/>
        <v>0</v>
      </c>
      <c r="J215" s="18">
        <f t="shared" si="266"/>
        <v>1</v>
      </c>
      <c r="K215" s="18">
        <f t="shared" si="267"/>
        <v>0</v>
      </c>
      <c r="L215" s="18">
        <f t="shared" si="268"/>
        <v>0</v>
      </c>
      <c r="M215" s="18">
        <f t="shared" si="269"/>
        <v>0</v>
      </c>
      <c r="N215" s="18">
        <f t="shared" si="270"/>
        <v>0</v>
      </c>
      <c r="O215" s="18">
        <f t="shared" si="271"/>
        <v>0</v>
      </c>
      <c r="P215" s="18">
        <f t="shared" si="272"/>
        <v>0</v>
      </c>
      <c r="Q215" s="18">
        <f t="shared" si="273"/>
        <v>0</v>
      </c>
      <c r="R215" s="18">
        <f t="shared" si="274"/>
        <v>0</v>
      </c>
      <c r="S215" s="18">
        <f t="shared" si="275"/>
        <v>0</v>
      </c>
      <c r="T215" s="18">
        <f t="shared" si="276"/>
        <v>0</v>
      </c>
      <c r="U215" s="18">
        <f t="shared" si="277"/>
        <v>0</v>
      </c>
      <c r="V215" s="18">
        <f t="shared" si="278"/>
        <v>0</v>
      </c>
      <c r="W215" s="18">
        <f t="shared" si="279"/>
        <v>0</v>
      </c>
      <c r="X215" s="18">
        <f t="shared" si="280"/>
        <v>0</v>
      </c>
      <c r="Y215" s="18">
        <f t="shared" si="281"/>
        <v>0</v>
      </c>
      <c r="Z215" s="18">
        <f t="shared" si="282"/>
        <v>0</v>
      </c>
      <c r="AA215" s="18">
        <f t="shared" si="283"/>
        <v>0</v>
      </c>
      <c r="AB215" s="18">
        <f t="shared" si="284"/>
        <v>0</v>
      </c>
      <c r="AC215" s="18">
        <f t="shared" si="285"/>
        <v>0</v>
      </c>
      <c r="AD215" s="18">
        <f t="shared" si="286"/>
        <v>0</v>
      </c>
      <c r="AE215" s="18">
        <f t="shared" si="287"/>
        <v>0</v>
      </c>
      <c r="AF215" s="18">
        <f t="shared" si="288"/>
        <v>0</v>
      </c>
      <c r="AG215" s="18">
        <f t="shared" si="289"/>
        <v>0</v>
      </c>
      <c r="AH215" s="18">
        <f t="shared" si="290"/>
        <v>0</v>
      </c>
      <c r="AI215" s="18">
        <f t="shared" si="291"/>
        <v>0</v>
      </c>
      <c r="AJ215" s="18">
        <f t="shared" si="292"/>
        <v>0</v>
      </c>
      <c r="AK215" s="18">
        <f t="shared" si="293"/>
        <v>0</v>
      </c>
      <c r="AL215" s="18">
        <f t="shared" si="294"/>
        <v>0</v>
      </c>
      <c r="AM215" s="18">
        <f t="shared" si="295"/>
        <v>0</v>
      </c>
      <c r="AN215" s="18">
        <f t="shared" si="296"/>
        <v>0</v>
      </c>
      <c r="AO215" s="18">
        <f t="shared" si="297"/>
        <v>0</v>
      </c>
      <c r="AP215" s="18">
        <f t="shared" si="298"/>
        <v>0</v>
      </c>
      <c r="AQ215" s="18">
        <f t="shared" si="299"/>
        <v>0</v>
      </c>
      <c r="AR215" s="18">
        <f t="shared" si="300"/>
        <v>0</v>
      </c>
      <c r="AS215" s="18">
        <f t="shared" si="301"/>
        <v>0</v>
      </c>
      <c r="AT215" s="18">
        <f t="shared" si="302"/>
        <v>0</v>
      </c>
      <c r="AU215" s="18">
        <f t="shared" si="303"/>
        <v>0</v>
      </c>
      <c r="AV215" s="18">
        <f t="shared" si="304"/>
        <v>0</v>
      </c>
      <c r="AW215" s="18">
        <f t="shared" si="305"/>
        <v>0</v>
      </c>
      <c r="AX215" s="18">
        <f t="shared" si="306"/>
        <v>0</v>
      </c>
      <c r="AY215" s="18">
        <f t="shared" si="307"/>
        <v>0</v>
      </c>
      <c r="AZ215" s="18">
        <f t="shared" si="308"/>
        <v>0</v>
      </c>
      <c r="BA215" s="18">
        <f t="shared" si="309"/>
        <v>0</v>
      </c>
      <c r="BB215" s="18">
        <f t="shared" si="310"/>
        <v>0</v>
      </c>
      <c r="BC215" s="18">
        <f t="shared" si="311"/>
        <v>0</v>
      </c>
      <c r="BD215" s="18">
        <f t="shared" si="312"/>
        <v>0</v>
      </c>
      <c r="BE215" s="18">
        <f t="shared" si="313"/>
        <v>0</v>
      </c>
      <c r="BF215" s="18">
        <f t="shared" si="314"/>
        <v>0</v>
      </c>
      <c r="BG215" s="18">
        <f t="shared" si="315"/>
        <v>0</v>
      </c>
      <c r="BH215" s="18">
        <f t="shared" si="316"/>
        <v>0</v>
      </c>
      <c r="BI215" s="18">
        <f t="shared" si="317"/>
        <v>0</v>
      </c>
      <c r="BJ215" s="18">
        <f t="shared" si="318"/>
        <v>0</v>
      </c>
      <c r="BK215" s="18">
        <f t="shared" si="319"/>
        <v>0</v>
      </c>
      <c r="BL215" s="18">
        <f t="shared" si="320"/>
        <v>0</v>
      </c>
      <c r="BM215" s="18">
        <f t="shared" si="321"/>
        <v>0</v>
      </c>
      <c r="BN215" s="18">
        <f t="shared" si="322"/>
        <v>0</v>
      </c>
      <c r="BO215" s="18">
        <f t="shared" si="323"/>
        <v>0</v>
      </c>
      <c r="BP215" s="18">
        <f t="shared" si="324"/>
        <v>0</v>
      </c>
      <c r="BQ215" s="18">
        <f t="shared" si="325"/>
        <v>0</v>
      </c>
      <c r="BR215" s="18">
        <f t="shared" si="326"/>
        <v>0</v>
      </c>
      <c r="BS215" s="18">
        <f t="shared" si="327"/>
        <v>0</v>
      </c>
      <c r="BT215" s="18">
        <f t="shared" si="328"/>
        <v>0</v>
      </c>
      <c r="BU215" s="18">
        <f t="shared" si="329"/>
        <v>0</v>
      </c>
      <c r="BV215" s="18">
        <f t="shared" si="330"/>
        <v>0</v>
      </c>
      <c r="BW215" s="18">
        <f t="shared" si="331"/>
        <v>0</v>
      </c>
      <c r="BX215" s="18">
        <f t="shared" si="332"/>
        <v>0</v>
      </c>
      <c r="BY215" s="18">
        <f t="shared" si="333"/>
        <v>0</v>
      </c>
      <c r="BZ215" s="18">
        <f t="shared" si="334"/>
        <v>0</v>
      </c>
      <c r="CA215" s="18">
        <f t="shared" si="335"/>
        <v>0</v>
      </c>
      <c r="CB215" s="18">
        <f t="shared" si="336"/>
        <v>0</v>
      </c>
      <c r="CC215" s="18">
        <f t="shared" si="337"/>
        <v>0</v>
      </c>
      <c r="CD215" s="18">
        <f t="shared" si="338"/>
        <v>0</v>
      </c>
      <c r="CE215" s="18">
        <f t="shared" si="339"/>
        <v>0</v>
      </c>
      <c r="CF215" s="18">
        <f t="shared" si="340"/>
        <v>0</v>
      </c>
      <c r="CG215" s="18">
        <f t="shared" si="341"/>
        <v>0</v>
      </c>
      <c r="CH215" s="18">
        <f t="shared" si="342"/>
        <v>0</v>
      </c>
      <c r="CI215" s="18">
        <f t="shared" si="343"/>
        <v>0</v>
      </c>
      <c r="CJ215" s="18">
        <f t="shared" si="344"/>
        <v>0</v>
      </c>
    </row>
    <row r="216" spans="1:88" x14ac:dyDescent="0.3">
      <c r="A216" s="1">
        <v>44141</v>
      </c>
      <c r="B216">
        <v>41893.06</v>
      </c>
      <c r="C216">
        <f>Table1[[#This Row],[Close]]-0.001*Table1[[#This Row],[Close]]</f>
        <v>41851.166939999996</v>
      </c>
      <c r="D216">
        <f>Table1[[#This Row],[Close]]+0.001*Table1[[#This Row],[Close]]</f>
        <v>41934.95306</v>
      </c>
      <c r="E216" t="str">
        <f>IF(Table1[[#This Row],[Close]]&gt;D215,"UP",IF(Table1[[#This Row],[Close]]&lt;C215,"Down","Constant"))</f>
        <v>UP</v>
      </c>
      <c r="F216" s="3">
        <f>IF(Table1[[#This Row],[Column1]]="Up",1,IF(Table1[[#This Row],[Column1]]="Down",-1,0))</f>
        <v>1</v>
      </c>
      <c r="G216">
        <f t="shared" si="263"/>
        <v>0</v>
      </c>
      <c r="H216" s="18">
        <f t="shared" si="264"/>
        <v>0</v>
      </c>
      <c r="I216" s="18">
        <f t="shared" si="265"/>
        <v>0</v>
      </c>
      <c r="J216" s="18">
        <f t="shared" si="266"/>
        <v>1</v>
      </c>
      <c r="K216" s="18">
        <f t="shared" si="267"/>
        <v>0</v>
      </c>
      <c r="L216" s="18">
        <f t="shared" si="268"/>
        <v>0</v>
      </c>
      <c r="M216" s="18">
        <f t="shared" si="269"/>
        <v>0</v>
      </c>
      <c r="N216" s="18">
        <f t="shared" si="270"/>
        <v>0</v>
      </c>
      <c r="O216" s="18">
        <f t="shared" si="271"/>
        <v>0</v>
      </c>
      <c r="P216" s="18">
        <f t="shared" si="272"/>
        <v>0</v>
      </c>
      <c r="Q216" s="18">
        <f t="shared" si="273"/>
        <v>0</v>
      </c>
      <c r="R216" s="18">
        <f t="shared" si="274"/>
        <v>0</v>
      </c>
      <c r="S216" s="18">
        <f t="shared" si="275"/>
        <v>0</v>
      </c>
      <c r="T216" s="18">
        <f t="shared" si="276"/>
        <v>0</v>
      </c>
      <c r="U216" s="18">
        <f t="shared" si="277"/>
        <v>0</v>
      </c>
      <c r="V216" s="18">
        <f t="shared" si="278"/>
        <v>0</v>
      </c>
      <c r="W216" s="18">
        <f t="shared" si="279"/>
        <v>0</v>
      </c>
      <c r="X216" s="18">
        <f t="shared" si="280"/>
        <v>0</v>
      </c>
      <c r="Y216" s="18">
        <f t="shared" si="281"/>
        <v>0</v>
      </c>
      <c r="Z216" s="18">
        <f t="shared" si="282"/>
        <v>0</v>
      </c>
      <c r="AA216" s="18">
        <f t="shared" si="283"/>
        <v>0</v>
      </c>
      <c r="AB216" s="18">
        <f t="shared" si="284"/>
        <v>0</v>
      </c>
      <c r="AC216" s="18">
        <f t="shared" si="285"/>
        <v>0</v>
      </c>
      <c r="AD216" s="18">
        <f t="shared" si="286"/>
        <v>0</v>
      </c>
      <c r="AE216" s="18">
        <f t="shared" si="287"/>
        <v>0</v>
      </c>
      <c r="AF216" s="18">
        <f t="shared" si="288"/>
        <v>0</v>
      </c>
      <c r="AG216" s="18">
        <f t="shared" si="289"/>
        <v>0</v>
      </c>
      <c r="AH216" s="18">
        <f t="shared" si="290"/>
        <v>0</v>
      </c>
      <c r="AI216" s="18">
        <f t="shared" si="291"/>
        <v>0</v>
      </c>
      <c r="AJ216" s="18">
        <f t="shared" si="292"/>
        <v>0</v>
      </c>
      <c r="AK216" s="18">
        <f t="shared" si="293"/>
        <v>0</v>
      </c>
      <c r="AL216" s="18">
        <f t="shared" si="294"/>
        <v>0</v>
      </c>
      <c r="AM216" s="18">
        <f t="shared" si="295"/>
        <v>0</v>
      </c>
      <c r="AN216" s="18">
        <f t="shared" si="296"/>
        <v>0</v>
      </c>
      <c r="AO216" s="18">
        <f t="shared" si="297"/>
        <v>0</v>
      </c>
      <c r="AP216" s="18">
        <f t="shared" si="298"/>
        <v>0</v>
      </c>
      <c r="AQ216" s="18">
        <f t="shared" si="299"/>
        <v>0</v>
      </c>
      <c r="AR216" s="18">
        <f t="shared" si="300"/>
        <v>0</v>
      </c>
      <c r="AS216" s="18">
        <f t="shared" si="301"/>
        <v>0</v>
      </c>
      <c r="AT216" s="18">
        <f t="shared" si="302"/>
        <v>0</v>
      </c>
      <c r="AU216" s="18">
        <f t="shared" si="303"/>
        <v>0</v>
      </c>
      <c r="AV216" s="18">
        <f t="shared" si="304"/>
        <v>0</v>
      </c>
      <c r="AW216" s="18">
        <f t="shared" si="305"/>
        <v>0</v>
      </c>
      <c r="AX216" s="18">
        <f t="shared" si="306"/>
        <v>0</v>
      </c>
      <c r="AY216" s="18">
        <f t="shared" si="307"/>
        <v>0</v>
      </c>
      <c r="AZ216" s="18">
        <f t="shared" si="308"/>
        <v>0</v>
      </c>
      <c r="BA216" s="18">
        <f t="shared" si="309"/>
        <v>0</v>
      </c>
      <c r="BB216" s="18">
        <f t="shared" si="310"/>
        <v>0</v>
      </c>
      <c r="BC216" s="18">
        <f t="shared" si="311"/>
        <v>0</v>
      </c>
      <c r="BD216" s="18">
        <f t="shared" si="312"/>
        <v>0</v>
      </c>
      <c r="BE216" s="18">
        <f t="shared" si="313"/>
        <v>0</v>
      </c>
      <c r="BF216" s="18">
        <f t="shared" si="314"/>
        <v>0</v>
      </c>
      <c r="BG216" s="18">
        <f t="shared" si="315"/>
        <v>0</v>
      </c>
      <c r="BH216" s="18">
        <f t="shared" si="316"/>
        <v>0</v>
      </c>
      <c r="BI216" s="18">
        <f t="shared" si="317"/>
        <v>0</v>
      </c>
      <c r="BJ216" s="18">
        <f t="shared" si="318"/>
        <v>0</v>
      </c>
      <c r="BK216" s="18">
        <f t="shared" si="319"/>
        <v>0</v>
      </c>
      <c r="BL216" s="18">
        <f t="shared" si="320"/>
        <v>0</v>
      </c>
      <c r="BM216" s="18">
        <f t="shared" si="321"/>
        <v>0</v>
      </c>
      <c r="BN216" s="18">
        <f t="shared" si="322"/>
        <v>0</v>
      </c>
      <c r="BO216" s="18">
        <f t="shared" si="323"/>
        <v>0</v>
      </c>
      <c r="BP216" s="18">
        <f t="shared" si="324"/>
        <v>0</v>
      </c>
      <c r="BQ216" s="18">
        <f t="shared" si="325"/>
        <v>0</v>
      </c>
      <c r="BR216" s="18">
        <f t="shared" si="326"/>
        <v>0</v>
      </c>
      <c r="BS216" s="18">
        <f t="shared" si="327"/>
        <v>0</v>
      </c>
      <c r="BT216" s="18">
        <f t="shared" si="328"/>
        <v>0</v>
      </c>
      <c r="BU216" s="18">
        <f t="shared" si="329"/>
        <v>0</v>
      </c>
      <c r="BV216" s="18">
        <f t="shared" si="330"/>
        <v>0</v>
      </c>
      <c r="BW216" s="18">
        <f t="shared" si="331"/>
        <v>0</v>
      </c>
      <c r="BX216" s="18">
        <f t="shared" si="332"/>
        <v>0</v>
      </c>
      <c r="BY216" s="18">
        <f t="shared" si="333"/>
        <v>0</v>
      </c>
      <c r="BZ216" s="18">
        <f t="shared" si="334"/>
        <v>0</v>
      </c>
      <c r="CA216" s="18">
        <f t="shared" si="335"/>
        <v>0</v>
      </c>
      <c r="CB216" s="18">
        <f t="shared" si="336"/>
        <v>0</v>
      </c>
      <c r="CC216" s="18">
        <f t="shared" si="337"/>
        <v>0</v>
      </c>
      <c r="CD216" s="18">
        <f t="shared" si="338"/>
        <v>0</v>
      </c>
      <c r="CE216" s="18">
        <f t="shared" si="339"/>
        <v>0</v>
      </c>
      <c r="CF216" s="18">
        <f t="shared" si="340"/>
        <v>0</v>
      </c>
      <c r="CG216" s="18">
        <f t="shared" si="341"/>
        <v>0</v>
      </c>
      <c r="CH216" s="18">
        <f t="shared" si="342"/>
        <v>0</v>
      </c>
      <c r="CI216" s="18">
        <f t="shared" si="343"/>
        <v>0</v>
      </c>
      <c r="CJ216" s="18">
        <f t="shared" si="344"/>
        <v>0</v>
      </c>
    </row>
    <row r="217" spans="1:88" x14ac:dyDescent="0.3">
      <c r="A217" s="1">
        <v>44144</v>
      </c>
      <c r="B217">
        <v>42597.43</v>
      </c>
      <c r="C217">
        <f>Table1[[#This Row],[Close]]-0.001*Table1[[#This Row],[Close]]</f>
        <v>42554.832569999999</v>
      </c>
      <c r="D217">
        <f>Table1[[#This Row],[Close]]+0.001*Table1[[#This Row],[Close]]</f>
        <v>42640.027430000002</v>
      </c>
      <c r="E217" t="str">
        <f>IF(Table1[[#This Row],[Close]]&gt;D216,"UP",IF(Table1[[#This Row],[Close]]&lt;C216,"Down","Constant"))</f>
        <v>UP</v>
      </c>
      <c r="F217" s="3">
        <f>IF(Table1[[#This Row],[Column1]]="Up",1,IF(Table1[[#This Row],[Column1]]="Down",-1,0))</f>
        <v>1</v>
      </c>
      <c r="G217">
        <f t="shared" si="263"/>
        <v>0</v>
      </c>
      <c r="H217" s="18">
        <f t="shared" si="264"/>
        <v>0</v>
      </c>
      <c r="I217" s="18">
        <f t="shared" si="265"/>
        <v>0</v>
      </c>
      <c r="J217" s="18">
        <f t="shared" si="266"/>
        <v>1</v>
      </c>
      <c r="K217" s="18">
        <f t="shared" si="267"/>
        <v>0</v>
      </c>
      <c r="L217" s="18">
        <f t="shared" si="268"/>
        <v>0</v>
      </c>
      <c r="M217" s="18">
        <f t="shared" si="269"/>
        <v>0</v>
      </c>
      <c r="N217" s="18">
        <f t="shared" si="270"/>
        <v>0</v>
      </c>
      <c r="O217" s="18">
        <f t="shared" si="271"/>
        <v>0</v>
      </c>
      <c r="P217" s="18">
        <f t="shared" si="272"/>
        <v>0</v>
      </c>
      <c r="Q217" s="18">
        <f t="shared" si="273"/>
        <v>0</v>
      </c>
      <c r="R217" s="18">
        <f t="shared" si="274"/>
        <v>0</v>
      </c>
      <c r="S217" s="18">
        <f t="shared" si="275"/>
        <v>0</v>
      </c>
      <c r="T217" s="18">
        <f t="shared" si="276"/>
        <v>0</v>
      </c>
      <c r="U217" s="18">
        <f t="shared" si="277"/>
        <v>0</v>
      </c>
      <c r="V217" s="18">
        <f t="shared" si="278"/>
        <v>0</v>
      </c>
      <c r="W217" s="18">
        <f t="shared" si="279"/>
        <v>0</v>
      </c>
      <c r="X217" s="18">
        <f t="shared" si="280"/>
        <v>0</v>
      </c>
      <c r="Y217" s="18">
        <f t="shared" si="281"/>
        <v>0</v>
      </c>
      <c r="Z217" s="18">
        <f t="shared" si="282"/>
        <v>0</v>
      </c>
      <c r="AA217" s="18">
        <f t="shared" si="283"/>
        <v>0</v>
      </c>
      <c r="AB217" s="18">
        <f t="shared" si="284"/>
        <v>0</v>
      </c>
      <c r="AC217" s="18">
        <f t="shared" si="285"/>
        <v>0</v>
      </c>
      <c r="AD217" s="18">
        <f t="shared" si="286"/>
        <v>0</v>
      </c>
      <c r="AE217" s="18">
        <f t="shared" si="287"/>
        <v>0</v>
      </c>
      <c r="AF217" s="18">
        <f t="shared" si="288"/>
        <v>0</v>
      </c>
      <c r="AG217" s="18">
        <f t="shared" si="289"/>
        <v>0</v>
      </c>
      <c r="AH217" s="18">
        <f t="shared" si="290"/>
        <v>0</v>
      </c>
      <c r="AI217" s="18">
        <f t="shared" si="291"/>
        <v>0</v>
      </c>
      <c r="AJ217" s="18">
        <f t="shared" si="292"/>
        <v>0</v>
      </c>
      <c r="AK217" s="18">
        <f t="shared" si="293"/>
        <v>0</v>
      </c>
      <c r="AL217" s="18">
        <f t="shared" si="294"/>
        <v>0</v>
      </c>
      <c r="AM217" s="18">
        <f t="shared" si="295"/>
        <v>0</v>
      </c>
      <c r="AN217" s="18">
        <f t="shared" si="296"/>
        <v>0</v>
      </c>
      <c r="AO217" s="18">
        <f t="shared" si="297"/>
        <v>0</v>
      </c>
      <c r="AP217" s="18">
        <f t="shared" si="298"/>
        <v>0</v>
      </c>
      <c r="AQ217" s="18">
        <f t="shared" si="299"/>
        <v>0</v>
      </c>
      <c r="AR217" s="18">
        <f t="shared" si="300"/>
        <v>0</v>
      </c>
      <c r="AS217" s="18">
        <f t="shared" si="301"/>
        <v>0</v>
      </c>
      <c r="AT217" s="18">
        <f t="shared" si="302"/>
        <v>0</v>
      </c>
      <c r="AU217" s="18">
        <f t="shared" si="303"/>
        <v>0</v>
      </c>
      <c r="AV217" s="18">
        <f t="shared" si="304"/>
        <v>0</v>
      </c>
      <c r="AW217" s="18">
        <f t="shared" si="305"/>
        <v>0</v>
      </c>
      <c r="AX217" s="18">
        <f t="shared" si="306"/>
        <v>0</v>
      </c>
      <c r="AY217" s="18">
        <f t="shared" si="307"/>
        <v>0</v>
      </c>
      <c r="AZ217" s="18">
        <f t="shared" si="308"/>
        <v>0</v>
      </c>
      <c r="BA217" s="18">
        <f t="shared" si="309"/>
        <v>0</v>
      </c>
      <c r="BB217" s="18">
        <f t="shared" si="310"/>
        <v>0</v>
      </c>
      <c r="BC217" s="18">
        <f t="shared" si="311"/>
        <v>0</v>
      </c>
      <c r="BD217" s="18">
        <f t="shared" si="312"/>
        <v>0</v>
      </c>
      <c r="BE217" s="18">
        <f t="shared" si="313"/>
        <v>0</v>
      </c>
      <c r="BF217" s="18">
        <f t="shared" si="314"/>
        <v>0</v>
      </c>
      <c r="BG217" s="18">
        <f t="shared" si="315"/>
        <v>0</v>
      </c>
      <c r="BH217" s="18">
        <f t="shared" si="316"/>
        <v>0</v>
      </c>
      <c r="BI217" s="18">
        <f t="shared" si="317"/>
        <v>0</v>
      </c>
      <c r="BJ217" s="18">
        <f t="shared" si="318"/>
        <v>0</v>
      </c>
      <c r="BK217" s="18">
        <f t="shared" si="319"/>
        <v>0</v>
      </c>
      <c r="BL217" s="18">
        <f t="shared" si="320"/>
        <v>0</v>
      </c>
      <c r="BM217" s="18">
        <f t="shared" si="321"/>
        <v>0</v>
      </c>
      <c r="BN217" s="18">
        <f t="shared" si="322"/>
        <v>0</v>
      </c>
      <c r="BO217" s="18">
        <f t="shared" si="323"/>
        <v>0</v>
      </c>
      <c r="BP217" s="18">
        <f t="shared" si="324"/>
        <v>0</v>
      </c>
      <c r="BQ217" s="18">
        <f t="shared" si="325"/>
        <v>0</v>
      </c>
      <c r="BR217" s="18">
        <f t="shared" si="326"/>
        <v>0</v>
      </c>
      <c r="BS217" s="18">
        <f t="shared" si="327"/>
        <v>0</v>
      </c>
      <c r="BT217" s="18">
        <f t="shared" si="328"/>
        <v>0</v>
      </c>
      <c r="BU217" s="18">
        <f t="shared" si="329"/>
        <v>0</v>
      </c>
      <c r="BV217" s="18">
        <f t="shared" si="330"/>
        <v>0</v>
      </c>
      <c r="BW217" s="18">
        <f t="shared" si="331"/>
        <v>0</v>
      </c>
      <c r="BX217" s="18">
        <f t="shared" si="332"/>
        <v>0</v>
      </c>
      <c r="BY217" s="18">
        <f t="shared" si="333"/>
        <v>0</v>
      </c>
      <c r="BZ217" s="18">
        <f t="shared" si="334"/>
        <v>0</v>
      </c>
      <c r="CA217" s="18">
        <f t="shared" si="335"/>
        <v>0</v>
      </c>
      <c r="CB217" s="18">
        <f t="shared" si="336"/>
        <v>0</v>
      </c>
      <c r="CC217" s="18">
        <f t="shared" si="337"/>
        <v>0</v>
      </c>
      <c r="CD217" s="18">
        <f t="shared" si="338"/>
        <v>0</v>
      </c>
      <c r="CE217" s="18">
        <f t="shared" si="339"/>
        <v>0</v>
      </c>
      <c r="CF217" s="18">
        <f t="shared" si="340"/>
        <v>0</v>
      </c>
      <c r="CG217" s="18">
        <f t="shared" si="341"/>
        <v>0</v>
      </c>
      <c r="CH217" s="18">
        <f t="shared" si="342"/>
        <v>0</v>
      </c>
      <c r="CI217" s="18">
        <f t="shared" si="343"/>
        <v>0</v>
      </c>
      <c r="CJ217" s="18">
        <f t="shared" si="344"/>
        <v>0</v>
      </c>
    </row>
    <row r="218" spans="1:88" x14ac:dyDescent="0.3">
      <c r="A218" s="1">
        <v>44145</v>
      </c>
      <c r="B218">
        <v>43277.65</v>
      </c>
      <c r="C218">
        <f>Table1[[#This Row],[Close]]-0.001*Table1[[#This Row],[Close]]</f>
        <v>43234.372349999998</v>
      </c>
      <c r="D218">
        <f>Table1[[#This Row],[Close]]+0.001*Table1[[#This Row],[Close]]</f>
        <v>43320.927650000005</v>
      </c>
      <c r="E218" t="str">
        <f>IF(Table1[[#This Row],[Close]]&gt;D217,"UP",IF(Table1[[#This Row],[Close]]&lt;C217,"Down","Constant"))</f>
        <v>UP</v>
      </c>
      <c r="F218" s="3">
        <f>IF(Table1[[#This Row],[Column1]]="Up",1,IF(Table1[[#This Row],[Column1]]="Down",-1,0))</f>
        <v>1</v>
      </c>
      <c r="G218">
        <f t="shared" si="263"/>
        <v>0</v>
      </c>
      <c r="H218" s="18">
        <f t="shared" si="264"/>
        <v>0</v>
      </c>
      <c r="I218" s="18">
        <f t="shared" si="265"/>
        <v>0</v>
      </c>
      <c r="J218" s="18">
        <f t="shared" si="266"/>
        <v>1</v>
      </c>
      <c r="K218" s="18">
        <f t="shared" si="267"/>
        <v>0</v>
      </c>
      <c r="L218" s="18">
        <f t="shared" si="268"/>
        <v>0</v>
      </c>
      <c r="M218" s="18">
        <f t="shared" si="269"/>
        <v>0</v>
      </c>
      <c r="N218" s="18">
        <f t="shared" si="270"/>
        <v>0</v>
      </c>
      <c r="O218" s="18">
        <f t="shared" si="271"/>
        <v>0</v>
      </c>
      <c r="P218" s="18">
        <f t="shared" si="272"/>
        <v>0</v>
      </c>
      <c r="Q218" s="18">
        <f t="shared" si="273"/>
        <v>0</v>
      </c>
      <c r="R218" s="18">
        <f t="shared" si="274"/>
        <v>0</v>
      </c>
      <c r="S218" s="18">
        <f t="shared" si="275"/>
        <v>0</v>
      </c>
      <c r="T218" s="18">
        <f t="shared" si="276"/>
        <v>0</v>
      </c>
      <c r="U218" s="18">
        <f t="shared" si="277"/>
        <v>0</v>
      </c>
      <c r="V218" s="18">
        <f t="shared" si="278"/>
        <v>0</v>
      </c>
      <c r="W218" s="18">
        <f t="shared" si="279"/>
        <v>0</v>
      </c>
      <c r="X218" s="18">
        <f t="shared" si="280"/>
        <v>0</v>
      </c>
      <c r="Y218" s="18">
        <f t="shared" si="281"/>
        <v>0</v>
      </c>
      <c r="Z218" s="18">
        <f t="shared" si="282"/>
        <v>0</v>
      </c>
      <c r="AA218" s="18">
        <f t="shared" si="283"/>
        <v>0</v>
      </c>
      <c r="AB218" s="18">
        <f t="shared" si="284"/>
        <v>0</v>
      </c>
      <c r="AC218" s="18">
        <f t="shared" si="285"/>
        <v>0</v>
      </c>
      <c r="AD218" s="18">
        <f t="shared" si="286"/>
        <v>0</v>
      </c>
      <c r="AE218" s="18">
        <f t="shared" si="287"/>
        <v>0</v>
      </c>
      <c r="AF218" s="18">
        <f t="shared" si="288"/>
        <v>0</v>
      </c>
      <c r="AG218" s="18">
        <f t="shared" si="289"/>
        <v>0</v>
      </c>
      <c r="AH218" s="18">
        <f t="shared" si="290"/>
        <v>0</v>
      </c>
      <c r="AI218" s="18">
        <f t="shared" si="291"/>
        <v>0</v>
      </c>
      <c r="AJ218" s="18">
        <f t="shared" si="292"/>
        <v>0</v>
      </c>
      <c r="AK218" s="18">
        <f t="shared" si="293"/>
        <v>0</v>
      </c>
      <c r="AL218" s="18">
        <f t="shared" si="294"/>
        <v>0</v>
      </c>
      <c r="AM218" s="18">
        <f t="shared" si="295"/>
        <v>0</v>
      </c>
      <c r="AN218" s="18">
        <f t="shared" si="296"/>
        <v>0</v>
      </c>
      <c r="AO218" s="18">
        <f t="shared" si="297"/>
        <v>0</v>
      </c>
      <c r="AP218" s="18">
        <f t="shared" si="298"/>
        <v>0</v>
      </c>
      <c r="AQ218" s="18">
        <f t="shared" si="299"/>
        <v>0</v>
      </c>
      <c r="AR218" s="18">
        <f t="shared" si="300"/>
        <v>0</v>
      </c>
      <c r="AS218" s="18">
        <f t="shared" si="301"/>
        <v>0</v>
      </c>
      <c r="AT218" s="18">
        <f t="shared" si="302"/>
        <v>0</v>
      </c>
      <c r="AU218" s="18">
        <f t="shared" si="303"/>
        <v>0</v>
      </c>
      <c r="AV218" s="18">
        <f t="shared" si="304"/>
        <v>0</v>
      </c>
      <c r="AW218" s="18">
        <f t="shared" si="305"/>
        <v>0</v>
      </c>
      <c r="AX218" s="18">
        <f t="shared" si="306"/>
        <v>0</v>
      </c>
      <c r="AY218" s="18">
        <f t="shared" si="307"/>
        <v>0</v>
      </c>
      <c r="AZ218" s="18">
        <f t="shared" si="308"/>
        <v>0</v>
      </c>
      <c r="BA218" s="18">
        <f t="shared" si="309"/>
        <v>0</v>
      </c>
      <c r="BB218" s="18">
        <f t="shared" si="310"/>
        <v>0</v>
      </c>
      <c r="BC218" s="18">
        <f t="shared" si="311"/>
        <v>0</v>
      </c>
      <c r="BD218" s="18">
        <f t="shared" si="312"/>
        <v>0</v>
      </c>
      <c r="BE218" s="18">
        <f t="shared" si="313"/>
        <v>0</v>
      </c>
      <c r="BF218" s="18">
        <f t="shared" si="314"/>
        <v>0</v>
      </c>
      <c r="BG218" s="18">
        <f t="shared" si="315"/>
        <v>0</v>
      </c>
      <c r="BH218" s="18">
        <f t="shared" si="316"/>
        <v>0</v>
      </c>
      <c r="BI218" s="18">
        <f t="shared" si="317"/>
        <v>0</v>
      </c>
      <c r="BJ218" s="18">
        <f t="shared" si="318"/>
        <v>0</v>
      </c>
      <c r="BK218" s="18">
        <f t="shared" si="319"/>
        <v>0</v>
      </c>
      <c r="BL218" s="18">
        <f t="shared" si="320"/>
        <v>0</v>
      </c>
      <c r="BM218" s="18">
        <f t="shared" si="321"/>
        <v>0</v>
      </c>
      <c r="BN218" s="18">
        <f t="shared" si="322"/>
        <v>0</v>
      </c>
      <c r="BO218" s="18">
        <f t="shared" si="323"/>
        <v>0</v>
      </c>
      <c r="BP218" s="18">
        <f t="shared" si="324"/>
        <v>0</v>
      </c>
      <c r="BQ218" s="18">
        <f t="shared" si="325"/>
        <v>0</v>
      </c>
      <c r="BR218" s="18">
        <f t="shared" si="326"/>
        <v>0</v>
      </c>
      <c r="BS218" s="18">
        <f t="shared" si="327"/>
        <v>0</v>
      </c>
      <c r="BT218" s="18">
        <f t="shared" si="328"/>
        <v>0</v>
      </c>
      <c r="BU218" s="18">
        <f t="shared" si="329"/>
        <v>0</v>
      </c>
      <c r="BV218" s="18">
        <f t="shared" si="330"/>
        <v>0</v>
      </c>
      <c r="BW218" s="18">
        <f t="shared" si="331"/>
        <v>0</v>
      </c>
      <c r="BX218" s="18">
        <f t="shared" si="332"/>
        <v>0</v>
      </c>
      <c r="BY218" s="18">
        <f t="shared" si="333"/>
        <v>0</v>
      </c>
      <c r="BZ218" s="18">
        <f t="shared" si="334"/>
        <v>0</v>
      </c>
      <c r="CA218" s="18">
        <f t="shared" si="335"/>
        <v>0</v>
      </c>
      <c r="CB218" s="18">
        <f t="shared" si="336"/>
        <v>0</v>
      </c>
      <c r="CC218" s="18">
        <f t="shared" si="337"/>
        <v>0</v>
      </c>
      <c r="CD218" s="18">
        <f t="shared" si="338"/>
        <v>0</v>
      </c>
      <c r="CE218" s="18">
        <f t="shared" si="339"/>
        <v>0</v>
      </c>
      <c r="CF218" s="18">
        <f t="shared" si="340"/>
        <v>0</v>
      </c>
      <c r="CG218" s="18">
        <f t="shared" si="341"/>
        <v>0</v>
      </c>
      <c r="CH218" s="18">
        <f t="shared" si="342"/>
        <v>0</v>
      </c>
      <c r="CI218" s="18">
        <f t="shared" si="343"/>
        <v>0</v>
      </c>
      <c r="CJ218" s="18">
        <f t="shared" si="344"/>
        <v>0</v>
      </c>
    </row>
    <row r="219" spans="1:88" x14ac:dyDescent="0.3">
      <c r="A219" s="1">
        <v>44146</v>
      </c>
      <c r="B219">
        <v>43593.67</v>
      </c>
      <c r="C219">
        <f>Table1[[#This Row],[Close]]-0.001*Table1[[#This Row],[Close]]</f>
        <v>43550.076329999996</v>
      </c>
      <c r="D219">
        <f>Table1[[#This Row],[Close]]+0.001*Table1[[#This Row],[Close]]</f>
        <v>43637.26367</v>
      </c>
      <c r="E219" t="str">
        <f>IF(Table1[[#This Row],[Close]]&gt;D218,"UP",IF(Table1[[#This Row],[Close]]&lt;C218,"Down","Constant"))</f>
        <v>UP</v>
      </c>
      <c r="F219" s="3">
        <f>IF(Table1[[#This Row],[Column1]]="Up",1,IF(Table1[[#This Row],[Column1]]="Down",-1,0))</f>
        <v>1</v>
      </c>
      <c r="G219">
        <f t="shared" si="263"/>
        <v>0</v>
      </c>
      <c r="H219" s="18">
        <f t="shared" si="264"/>
        <v>0</v>
      </c>
      <c r="I219" s="18">
        <f t="shared" si="265"/>
        <v>0</v>
      </c>
      <c r="J219" s="18">
        <f t="shared" si="266"/>
        <v>1</v>
      </c>
      <c r="K219" s="18">
        <f t="shared" si="267"/>
        <v>0</v>
      </c>
      <c r="L219" s="18">
        <f t="shared" si="268"/>
        <v>0</v>
      </c>
      <c r="M219" s="18">
        <f t="shared" si="269"/>
        <v>0</v>
      </c>
      <c r="N219" s="18">
        <f t="shared" si="270"/>
        <v>0</v>
      </c>
      <c r="O219" s="18">
        <f t="shared" si="271"/>
        <v>0</v>
      </c>
      <c r="P219" s="18">
        <f t="shared" si="272"/>
        <v>0</v>
      </c>
      <c r="Q219" s="18">
        <f t="shared" si="273"/>
        <v>0</v>
      </c>
      <c r="R219" s="18">
        <f t="shared" si="274"/>
        <v>0</v>
      </c>
      <c r="S219" s="18">
        <f t="shared" si="275"/>
        <v>0</v>
      </c>
      <c r="T219" s="18">
        <f t="shared" si="276"/>
        <v>0</v>
      </c>
      <c r="U219" s="18">
        <f t="shared" si="277"/>
        <v>0</v>
      </c>
      <c r="V219" s="18">
        <f t="shared" si="278"/>
        <v>0</v>
      </c>
      <c r="W219" s="18">
        <f t="shared" si="279"/>
        <v>0</v>
      </c>
      <c r="X219" s="18">
        <f t="shared" si="280"/>
        <v>0</v>
      </c>
      <c r="Y219" s="18">
        <f t="shared" si="281"/>
        <v>0</v>
      </c>
      <c r="Z219" s="18">
        <f t="shared" si="282"/>
        <v>0</v>
      </c>
      <c r="AA219" s="18">
        <f t="shared" si="283"/>
        <v>0</v>
      </c>
      <c r="AB219" s="18">
        <f t="shared" si="284"/>
        <v>0</v>
      </c>
      <c r="AC219" s="18">
        <f t="shared" si="285"/>
        <v>0</v>
      </c>
      <c r="AD219" s="18">
        <f t="shared" si="286"/>
        <v>0</v>
      </c>
      <c r="AE219" s="18">
        <f t="shared" si="287"/>
        <v>0</v>
      </c>
      <c r="AF219" s="18">
        <f t="shared" si="288"/>
        <v>0</v>
      </c>
      <c r="AG219" s="18">
        <f t="shared" si="289"/>
        <v>0</v>
      </c>
      <c r="AH219" s="18">
        <f t="shared" si="290"/>
        <v>0</v>
      </c>
      <c r="AI219" s="18">
        <f t="shared" si="291"/>
        <v>0</v>
      </c>
      <c r="AJ219" s="18">
        <f t="shared" si="292"/>
        <v>0</v>
      </c>
      <c r="AK219" s="18">
        <f t="shared" si="293"/>
        <v>0</v>
      </c>
      <c r="AL219" s="18">
        <f t="shared" si="294"/>
        <v>0</v>
      </c>
      <c r="AM219" s="18">
        <f t="shared" si="295"/>
        <v>0</v>
      </c>
      <c r="AN219" s="18">
        <f t="shared" si="296"/>
        <v>0</v>
      </c>
      <c r="AO219" s="18">
        <f t="shared" si="297"/>
        <v>0</v>
      </c>
      <c r="AP219" s="18">
        <f t="shared" si="298"/>
        <v>0</v>
      </c>
      <c r="AQ219" s="18">
        <f t="shared" si="299"/>
        <v>0</v>
      </c>
      <c r="AR219" s="18">
        <f t="shared" si="300"/>
        <v>0</v>
      </c>
      <c r="AS219" s="18">
        <f t="shared" si="301"/>
        <v>0</v>
      </c>
      <c r="AT219" s="18">
        <f t="shared" si="302"/>
        <v>0</v>
      </c>
      <c r="AU219" s="18">
        <f t="shared" si="303"/>
        <v>0</v>
      </c>
      <c r="AV219" s="18">
        <f t="shared" si="304"/>
        <v>0</v>
      </c>
      <c r="AW219" s="18">
        <f t="shared" si="305"/>
        <v>0</v>
      </c>
      <c r="AX219" s="18">
        <f t="shared" si="306"/>
        <v>0</v>
      </c>
      <c r="AY219" s="18">
        <f t="shared" si="307"/>
        <v>0</v>
      </c>
      <c r="AZ219" s="18">
        <f t="shared" si="308"/>
        <v>0</v>
      </c>
      <c r="BA219" s="18">
        <f t="shared" si="309"/>
        <v>0</v>
      </c>
      <c r="BB219" s="18">
        <f t="shared" si="310"/>
        <v>0</v>
      </c>
      <c r="BC219" s="18">
        <f t="shared" si="311"/>
        <v>0</v>
      </c>
      <c r="BD219" s="18">
        <f t="shared" si="312"/>
        <v>0</v>
      </c>
      <c r="BE219" s="18">
        <f t="shared" si="313"/>
        <v>0</v>
      </c>
      <c r="BF219" s="18">
        <f t="shared" si="314"/>
        <v>0</v>
      </c>
      <c r="BG219" s="18">
        <f t="shared" si="315"/>
        <v>0</v>
      </c>
      <c r="BH219" s="18">
        <f t="shared" si="316"/>
        <v>0</v>
      </c>
      <c r="BI219" s="18">
        <f t="shared" si="317"/>
        <v>0</v>
      </c>
      <c r="BJ219" s="18">
        <f t="shared" si="318"/>
        <v>0</v>
      </c>
      <c r="BK219" s="18">
        <f t="shared" si="319"/>
        <v>0</v>
      </c>
      <c r="BL219" s="18">
        <f t="shared" si="320"/>
        <v>0</v>
      </c>
      <c r="BM219" s="18">
        <f t="shared" si="321"/>
        <v>0</v>
      </c>
      <c r="BN219" s="18">
        <f t="shared" si="322"/>
        <v>0</v>
      </c>
      <c r="BO219" s="18">
        <f t="shared" si="323"/>
        <v>0</v>
      </c>
      <c r="BP219" s="18">
        <f t="shared" si="324"/>
        <v>0</v>
      </c>
      <c r="BQ219" s="18">
        <f t="shared" si="325"/>
        <v>0</v>
      </c>
      <c r="BR219" s="18">
        <f t="shared" si="326"/>
        <v>0</v>
      </c>
      <c r="BS219" s="18">
        <f t="shared" si="327"/>
        <v>0</v>
      </c>
      <c r="BT219" s="18">
        <f t="shared" si="328"/>
        <v>0</v>
      </c>
      <c r="BU219" s="18">
        <f t="shared" si="329"/>
        <v>0</v>
      </c>
      <c r="BV219" s="18">
        <f t="shared" si="330"/>
        <v>0</v>
      </c>
      <c r="BW219" s="18">
        <f t="shared" si="331"/>
        <v>0</v>
      </c>
      <c r="BX219" s="18">
        <f t="shared" si="332"/>
        <v>0</v>
      </c>
      <c r="BY219" s="18">
        <f t="shared" si="333"/>
        <v>0</v>
      </c>
      <c r="BZ219" s="18">
        <f t="shared" si="334"/>
        <v>0</v>
      </c>
      <c r="CA219" s="18">
        <f t="shared" si="335"/>
        <v>0</v>
      </c>
      <c r="CB219" s="18">
        <f t="shared" si="336"/>
        <v>0</v>
      </c>
      <c r="CC219" s="18">
        <f t="shared" si="337"/>
        <v>0</v>
      </c>
      <c r="CD219" s="18">
        <f t="shared" si="338"/>
        <v>0</v>
      </c>
      <c r="CE219" s="18">
        <f t="shared" si="339"/>
        <v>0</v>
      </c>
      <c r="CF219" s="18">
        <f t="shared" si="340"/>
        <v>0</v>
      </c>
      <c r="CG219" s="18">
        <f t="shared" si="341"/>
        <v>0</v>
      </c>
      <c r="CH219" s="18">
        <f t="shared" si="342"/>
        <v>0</v>
      </c>
      <c r="CI219" s="18">
        <f t="shared" si="343"/>
        <v>0</v>
      </c>
      <c r="CJ219" s="18">
        <f t="shared" si="344"/>
        <v>0</v>
      </c>
    </row>
    <row r="220" spans="1:88" x14ac:dyDescent="0.3">
      <c r="A220" s="1">
        <v>44147</v>
      </c>
      <c r="B220">
        <v>43357.19</v>
      </c>
      <c r="C220">
        <f>Table1[[#This Row],[Close]]-0.001*Table1[[#This Row],[Close]]</f>
        <v>43313.83281</v>
      </c>
      <c r="D220">
        <f>Table1[[#This Row],[Close]]+0.001*Table1[[#This Row],[Close]]</f>
        <v>43400.547190000005</v>
      </c>
      <c r="E220" t="str">
        <f>IF(Table1[[#This Row],[Close]]&gt;D219,"UP",IF(Table1[[#This Row],[Close]]&lt;C219,"Down","Constant"))</f>
        <v>Down</v>
      </c>
      <c r="F220" s="3">
        <f>IF(Table1[[#This Row],[Column1]]="Up",1,IF(Table1[[#This Row],[Column1]]="Down",-1,0))</f>
        <v>-1</v>
      </c>
      <c r="G220">
        <f t="shared" si="263"/>
        <v>0</v>
      </c>
      <c r="H220" s="18">
        <f t="shared" si="264"/>
        <v>1</v>
      </c>
      <c r="I220" s="18">
        <f t="shared" si="265"/>
        <v>0</v>
      </c>
      <c r="J220" s="18">
        <f t="shared" si="266"/>
        <v>0</v>
      </c>
      <c r="K220" s="18">
        <f t="shared" si="267"/>
        <v>0</v>
      </c>
      <c r="L220" s="18">
        <f t="shared" si="268"/>
        <v>0</v>
      </c>
      <c r="M220" s="18">
        <f t="shared" si="269"/>
        <v>0</v>
      </c>
      <c r="N220" s="18">
        <f t="shared" si="270"/>
        <v>0</v>
      </c>
      <c r="O220" s="18">
        <f t="shared" si="271"/>
        <v>0</v>
      </c>
      <c r="P220" s="18">
        <f t="shared" si="272"/>
        <v>0</v>
      </c>
      <c r="Q220" s="18">
        <f t="shared" si="273"/>
        <v>0</v>
      </c>
      <c r="R220" s="18">
        <f t="shared" si="274"/>
        <v>0</v>
      </c>
      <c r="S220" s="18">
        <f t="shared" si="275"/>
        <v>0</v>
      </c>
      <c r="T220" s="18">
        <f t="shared" si="276"/>
        <v>0</v>
      </c>
      <c r="U220" s="18">
        <f t="shared" si="277"/>
        <v>0</v>
      </c>
      <c r="V220" s="18">
        <f t="shared" si="278"/>
        <v>0</v>
      </c>
      <c r="W220" s="18">
        <f t="shared" si="279"/>
        <v>0</v>
      </c>
      <c r="X220" s="18">
        <f t="shared" si="280"/>
        <v>0</v>
      </c>
      <c r="Y220" s="18">
        <f t="shared" si="281"/>
        <v>0</v>
      </c>
      <c r="Z220" s="18">
        <f t="shared" si="282"/>
        <v>0</v>
      </c>
      <c r="AA220" s="18">
        <f t="shared" si="283"/>
        <v>0</v>
      </c>
      <c r="AB220" s="18">
        <f t="shared" si="284"/>
        <v>0</v>
      </c>
      <c r="AC220" s="18">
        <f t="shared" si="285"/>
        <v>0</v>
      </c>
      <c r="AD220" s="18">
        <f t="shared" si="286"/>
        <v>0</v>
      </c>
      <c r="AE220" s="18">
        <f t="shared" si="287"/>
        <v>0</v>
      </c>
      <c r="AF220" s="18">
        <f t="shared" si="288"/>
        <v>0</v>
      </c>
      <c r="AG220" s="18">
        <f t="shared" si="289"/>
        <v>0</v>
      </c>
      <c r="AH220" s="18">
        <f t="shared" si="290"/>
        <v>0</v>
      </c>
      <c r="AI220" s="18">
        <f t="shared" si="291"/>
        <v>0</v>
      </c>
      <c r="AJ220" s="18">
        <f t="shared" si="292"/>
        <v>0</v>
      </c>
      <c r="AK220" s="18">
        <f t="shared" si="293"/>
        <v>0</v>
      </c>
      <c r="AL220" s="18">
        <f t="shared" si="294"/>
        <v>0</v>
      </c>
      <c r="AM220" s="18">
        <f t="shared" si="295"/>
        <v>0</v>
      </c>
      <c r="AN220" s="18">
        <f t="shared" si="296"/>
        <v>0</v>
      </c>
      <c r="AO220" s="18">
        <f t="shared" si="297"/>
        <v>0</v>
      </c>
      <c r="AP220" s="18">
        <f t="shared" si="298"/>
        <v>0</v>
      </c>
      <c r="AQ220" s="18">
        <f t="shared" si="299"/>
        <v>0</v>
      </c>
      <c r="AR220" s="18">
        <f t="shared" si="300"/>
        <v>0</v>
      </c>
      <c r="AS220" s="18">
        <f t="shared" si="301"/>
        <v>0</v>
      </c>
      <c r="AT220" s="18">
        <f t="shared" si="302"/>
        <v>0</v>
      </c>
      <c r="AU220" s="18">
        <f t="shared" si="303"/>
        <v>0</v>
      </c>
      <c r="AV220" s="18">
        <f t="shared" si="304"/>
        <v>0</v>
      </c>
      <c r="AW220" s="18">
        <f t="shared" si="305"/>
        <v>0</v>
      </c>
      <c r="AX220" s="18">
        <f t="shared" si="306"/>
        <v>0</v>
      </c>
      <c r="AY220" s="18">
        <f t="shared" si="307"/>
        <v>0</v>
      </c>
      <c r="AZ220" s="18">
        <f t="shared" si="308"/>
        <v>0</v>
      </c>
      <c r="BA220" s="18">
        <f t="shared" si="309"/>
        <v>0</v>
      </c>
      <c r="BB220" s="18">
        <f t="shared" si="310"/>
        <v>0</v>
      </c>
      <c r="BC220" s="18">
        <f t="shared" si="311"/>
        <v>0</v>
      </c>
      <c r="BD220" s="18">
        <f t="shared" si="312"/>
        <v>0</v>
      </c>
      <c r="BE220" s="18">
        <f t="shared" si="313"/>
        <v>0</v>
      </c>
      <c r="BF220" s="18">
        <f t="shared" si="314"/>
        <v>0</v>
      </c>
      <c r="BG220" s="18">
        <f t="shared" si="315"/>
        <v>0</v>
      </c>
      <c r="BH220" s="18">
        <f t="shared" si="316"/>
        <v>0</v>
      </c>
      <c r="BI220" s="18">
        <f t="shared" si="317"/>
        <v>0</v>
      </c>
      <c r="BJ220" s="18">
        <f t="shared" si="318"/>
        <v>0</v>
      </c>
      <c r="BK220" s="18">
        <f t="shared" si="319"/>
        <v>0</v>
      </c>
      <c r="BL220" s="18">
        <f t="shared" si="320"/>
        <v>0</v>
      </c>
      <c r="BM220" s="18">
        <f t="shared" si="321"/>
        <v>0</v>
      </c>
      <c r="BN220" s="18">
        <f t="shared" si="322"/>
        <v>0</v>
      </c>
      <c r="BO220" s="18">
        <f t="shared" si="323"/>
        <v>0</v>
      </c>
      <c r="BP220" s="18">
        <f t="shared" si="324"/>
        <v>0</v>
      </c>
      <c r="BQ220" s="18">
        <f t="shared" si="325"/>
        <v>0</v>
      </c>
      <c r="BR220" s="18">
        <f t="shared" si="326"/>
        <v>0</v>
      </c>
      <c r="BS220" s="18">
        <f t="shared" si="327"/>
        <v>0</v>
      </c>
      <c r="BT220" s="18">
        <f t="shared" si="328"/>
        <v>0</v>
      </c>
      <c r="BU220" s="18">
        <f t="shared" si="329"/>
        <v>0</v>
      </c>
      <c r="BV220" s="18">
        <f t="shared" si="330"/>
        <v>0</v>
      </c>
      <c r="BW220" s="18">
        <f t="shared" si="331"/>
        <v>0</v>
      </c>
      <c r="BX220" s="18">
        <f t="shared" si="332"/>
        <v>0</v>
      </c>
      <c r="BY220" s="18">
        <f t="shared" si="333"/>
        <v>0</v>
      </c>
      <c r="BZ220" s="18">
        <f t="shared" si="334"/>
        <v>0</v>
      </c>
      <c r="CA220" s="18">
        <f t="shared" si="335"/>
        <v>0</v>
      </c>
      <c r="CB220" s="18">
        <f t="shared" si="336"/>
        <v>0</v>
      </c>
      <c r="CC220" s="18">
        <f t="shared" si="337"/>
        <v>0</v>
      </c>
      <c r="CD220" s="18">
        <f t="shared" si="338"/>
        <v>0</v>
      </c>
      <c r="CE220" s="18">
        <f t="shared" si="339"/>
        <v>0</v>
      </c>
      <c r="CF220" s="18">
        <f t="shared" si="340"/>
        <v>0</v>
      </c>
      <c r="CG220" s="18">
        <f t="shared" si="341"/>
        <v>0</v>
      </c>
      <c r="CH220" s="18">
        <f t="shared" si="342"/>
        <v>0</v>
      </c>
      <c r="CI220" s="18">
        <f t="shared" si="343"/>
        <v>0</v>
      </c>
      <c r="CJ220" s="18">
        <f t="shared" si="344"/>
        <v>0</v>
      </c>
    </row>
    <row r="221" spans="1:88" x14ac:dyDescent="0.3">
      <c r="A221" s="1">
        <v>44148</v>
      </c>
      <c r="B221">
        <v>43443</v>
      </c>
      <c r="C221">
        <f>Table1[[#This Row],[Close]]-0.001*Table1[[#This Row],[Close]]</f>
        <v>43399.557000000001</v>
      </c>
      <c r="D221">
        <f>Table1[[#This Row],[Close]]+0.001*Table1[[#This Row],[Close]]</f>
        <v>43486.442999999999</v>
      </c>
      <c r="E221" t="str">
        <f>IF(Table1[[#This Row],[Close]]&gt;D220,"UP",IF(Table1[[#This Row],[Close]]&lt;C220,"Down","Constant"))</f>
        <v>UP</v>
      </c>
      <c r="F221" s="3">
        <f>IF(Table1[[#This Row],[Column1]]="Up",1,IF(Table1[[#This Row],[Column1]]="Down",-1,0))</f>
        <v>1</v>
      </c>
      <c r="G221">
        <f t="shared" si="263"/>
        <v>0</v>
      </c>
      <c r="H221" s="18">
        <f t="shared" si="264"/>
        <v>0</v>
      </c>
      <c r="I221" s="18">
        <f t="shared" si="265"/>
        <v>0</v>
      </c>
      <c r="J221" s="18">
        <f t="shared" si="266"/>
        <v>0</v>
      </c>
      <c r="K221" s="18">
        <f t="shared" si="267"/>
        <v>0</v>
      </c>
      <c r="L221" s="18">
        <f t="shared" si="268"/>
        <v>0</v>
      </c>
      <c r="M221" s="18">
        <f t="shared" si="269"/>
        <v>0</v>
      </c>
      <c r="N221" s="18">
        <f t="shared" si="270"/>
        <v>0</v>
      </c>
      <c r="O221" s="18">
        <f t="shared" si="271"/>
        <v>0</v>
      </c>
      <c r="P221" s="18">
        <f t="shared" si="272"/>
        <v>0</v>
      </c>
      <c r="Q221" s="18">
        <f t="shared" si="273"/>
        <v>0</v>
      </c>
      <c r="R221" s="18">
        <f t="shared" si="274"/>
        <v>0</v>
      </c>
      <c r="S221" s="18">
        <f t="shared" si="275"/>
        <v>1</v>
      </c>
      <c r="T221" s="18">
        <f t="shared" si="276"/>
        <v>0</v>
      </c>
      <c r="U221" s="18">
        <f t="shared" si="277"/>
        <v>0</v>
      </c>
      <c r="V221" s="18">
        <f t="shared" si="278"/>
        <v>0</v>
      </c>
      <c r="W221" s="18">
        <f t="shared" si="279"/>
        <v>0</v>
      </c>
      <c r="X221" s="18">
        <f t="shared" si="280"/>
        <v>0</v>
      </c>
      <c r="Y221" s="18">
        <f t="shared" si="281"/>
        <v>0</v>
      </c>
      <c r="Z221" s="18">
        <f t="shared" si="282"/>
        <v>0</v>
      </c>
      <c r="AA221" s="18">
        <f t="shared" si="283"/>
        <v>0</v>
      </c>
      <c r="AB221" s="18">
        <f t="shared" si="284"/>
        <v>0</v>
      </c>
      <c r="AC221" s="18">
        <f t="shared" si="285"/>
        <v>0</v>
      </c>
      <c r="AD221" s="18">
        <f t="shared" si="286"/>
        <v>0</v>
      </c>
      <c r="AE221" s="18">
        <f t="shared" si="287"/>
        <v>0</v>
      </c>
      <c r="AF221" s="18">
        <f t="shared" si="288"/>
        <v>0</v>
      </c>
      <c r="AG221" s="18">
        <f t="shared" si="289"/>
        <v>0</v>
      </c>
      <c r="AH221" s="18">
        <f t="shared" si="290"/>
        <v>0</v>
      </c>
      <c r="AI221" s="18">
        <f t="shared" si="291"/>
        <v>0</v>
      </c>
      <c r="AJ221" s="18">
        <f t="shared" si="292"/>
        <v>0</v>
      </c>
      <c r="AK221" s="18">
        <f t="shared" si="293"/>
        <v>0</v>
      </c>
      <c r="AL221" s="18">
        <f t="shared" si="294"/>
        <v>0</v>
      </c>
      <c r="AM221" s="18">
        <f t="shared" si="295"/>
        <v>0</v>
      </c>
      <c r="AN221" s="18">
        <f t="shared" si="296"/>
        <v>0</v>
      </c>
      <c r="AO221" s="18">
        <f t="shared" si="297"/>
        <v>0</v>
      </c>
      <c r="AP221" s="18">
        <f t="shared" si="298"/>
        <v>0</v>
      </c>
      <c r="AQ221" s="18">
        <f t="shared" si="299"/>
        <v>0</v>
      </c>
      <c r="AR221" s="18">
        <f t="shared" si="300"/>
        <v>0</v>
      </c>
      <c r="AS221" s="18">
        <f t="shared" si="301"/>
        <v>0</v>
      </c>
      <c r="AT221" s="18">
        <f t="shared" si="302"/>
        <v>0</v>
      </c>
      <c r="AU221" s="18">
        <f t="shared" si="303"/>
        <v>0</v>
      </c>
      <c r="AV221" s="18">
        <f t="shared" si="304"/>
        <v>0</v>
      </c>
      <c r="AW221" s="18">
        <f t="shared" si="305"/>
        <v>0</v>
      </c>
      <c r="AX221" s="18">
        <f t="shared" si="306"/>
        <v>0</v>
      </c>
      <c r="AY221" s="18">
        <f t="shared" si="307"/>
        <v>0</v>
      </c>
      <c r="AZ221" s="18">
        <f t="shared" si="308"/>
        <v>0</v>
      </c>
      <c r="BA221" s="18">
        <f t="shared" si="309"/>
        <v>0</v>
      </c>
      <c r="BB221" s="18">
        <f t="shared" si="310"/>
        <v>0</v>
      </c>
      <c r="BC221" s="18">
        <f t="shared" si="311"/>
        <v>0</v>
      </c>
      <c r="BD221" s="18">
        <f t="shared" si="312"/>
        <v>0</v>
      </c>
      <c r="BE221" s="18">
        <f t="shared" si="313"/>
        <v>0</v>
      </c>
      <c r="BF221" s="18">
        <f t="shared" si="314"/>
        <v>0</v>
      </c>
      <c r="BG221" s="18">
        <f t="shared" si="315"/>
        <v>0</v>
      </c>
      <c r="BH221" s="18">
        <f t="shared" si="316"/>
        <v>0</v>
      </c>
      <c r="BI221" s="18">
        <f t="shared" si="317"/>
        <v>0</v>
      </c>
      <c r="BJ221" s="18">
        <f t="shared" si="318"/>
        <v>0</v>
      </c>
      <c r="BK221" s="18">
        <f t="shared" si="319"/>
        <v>0</v>
      </c>
      <c r="BL221" s="18">
        <f t="shared" si="320"/>
        <v>0</v>
      </c>
      <c r="BM221" s="18">
        <f t="shared" si="321"/>
        <v>0</v>
      </c>
      <c r="BN221" s="18">
        <f t="shared" si="322"/>
        <v>0</v>
      </c>
      <c r="BO221" s="18">
        <f t="shared" si="323"/>
        <v>0</v>
      </c>
      <c r="BP221" s="18">
        <f t="shared" si="324"/>
        <v>0</v>
      </c>
      <c r="BQ221" s="18">
        <f t="shared" si="325"/>
        <v>0</v>
      </c>
      <c r="BR221" s="18">
        <f t="shared" si="326"/>
        <v>0</v>
      </c>
      <c r="BS221" s="18">
        <f t="shared" si="327"/>
        <v>0</v>
      </c>
      <c r="BT221" s="18">
        <f t="shared" si="328"/>
        <v>0</v>
      </c>
      <c r="BU221" s="18">
        <f t="shared" si="329"/>
        <v>0</v>
      </c>
      <c r="BV221" s="18">
        <f t="shared" si="330"/>
        <v>0</v>
      </c>
      <c r="BW221" s="18">
        <f t="shared" si="331"/>
        <v>0</v>
      </c>
      <c r="BX221" s="18">
        <f t="shared" si="332"/>
        <v>0</v>
      </c>
      <c r="BY221" s="18">
        <f t="shared" si="333"/>
        <v>0</v>
      </c>
      <c r="BZ221" s="18">
        <f t="shared" si="334"/>
        <v>0</v>
      </c>
      <c r="CA221" s="18">
        <f t="shared" si="335"/>
        <v>0</v>
      </c>
      <c r="CB221" s="18">
        <f t="shared" si="336"/>
        <v>0</v>
      </c>
      <c r="CC221" s="18">
        <f t="shared" si="337"/>
        <v>0</v>
      </c>
      <c r="CD221" s="18">
        <f t="shared" si="338"/>
        <v>0</v>
      </c>
      <c r="CE221" s="18">
        <f t="shared" si="339"/>
        <v>0</v>
      </c>
      <c r="CF221" s="18">
        <f t="shared" si="340"/>
        <v>0</v>
      </c>
      <c r="CG221" s="18">
        <f t="shared" si="341"/>
        <v>0</v>
      </c>
      <c r="CH221" s="18">
        <f t="shared" si="342"/>
        <v>0</v>
      </c>
      <c r="CI221" s="18">
        <f t="shared" si="343"/>
        <v>0</v>
      </c>
      <c r="CJ221" s="18">
        <f t="shared" si="344"/>
        <v>0</v>
      </c>
    </row>
    <row r="222" spans="1:88" x14ac:dyDescent="0.3">
      <c r="A222" s="1">
        <v>44149</v>
      </c>
      <c r="B222">
        <v>43637.98</v>
      </c>
      <c r="C222">
        <f>Table1[[#This Row],[Close]]-0.001*Table1[[#This Row],[Close]]</f>
        <v>43594.342020000004</v>
      </c>
      <c r="D222">
        <f>Table1[[#This Row],[Close]]+0.001*Table1[[#This Row],[Close]]</f>
        <v>43681.617980000003</v>
      </c>
      <c r="E222" t="str">
        <f>IF(Table1[[#This Row],[Close]]&gt;D221,"UP",IF(Table1[[#This Row],[Close]]&lt;C221,"Down","Constant"))</f>
        <v>UP</v>
      </c>
      <c r="F222" s="3">
        <f>IF(Table1[[#This Row],[Column1]]="Up",1,IF(Table1[[#This Row],[Column1]]="Down",-1,0))</f>
        <v>1</v>
      </c>
      <c r="G222">
        <f t="shared" si="263"/>
        <v>0</v>
      </c>
      <c r="H222" s="18">
        <f t="shared" si="264"/>
        <v>0</v>
      </c>
      <c r="I222" s="18">
        <f t="shared" si="265"/>
        <v>0</v>
      </c>
      <c r="J222" s="18">
        <f t="shared" si="266"/>
        <v>0</v>
      </c>
      <c r="K222" s="18">
        <f t="shared" si="267"/>
        <v>0</v>
      </c>
      <c r="L222" s="18">
        <f t="shared" si="268"/>
        <v>0</v>
      </c>
      <c r="M222" s="18">
        <f t="shared" si="269"/>
        <v>0</v>
      </c>
      <c r="N222" s="18">
        <f t="shared" si="270"/>
        <v>0</v>
      </c>
      <c r="O222" s="18">
        <f t="shared" si="271"/>
        <v>0</v>
      </c>
      <c r="P222" s="18">
        <f t="shared" si="272"/>
        <v>1</v>
      </c>
      <c r="Q222" s="18">
        <f t="shared" si="273"/>
        <v>0</v>
      </c>
      <c r="R222" s="18">
        <f t="shared" si="274"/>
        <v>0</v>
      </c>
      <c r="S222" s="18">
        <f t="shared" si="275"/>
        <v>0</v>
      </c>
      <c r="T222" s="18">
        <f t="shared" si="276"/>
        <v>0</v>
      </c>
      <c r="U222" s="18">
        <f t="shared" si="277"/>
        <v>0</v>
      </c>
      <c r="V222" s="18">
        <f t="shared" si="278"/>
        <v>0</v>
      </c>
      <c r="W222" s="18">
        <f t="shared" si="279"/>
        <v>0</v>
      </c>
      <c r="X222" s="18">
        <f t="shared" si="280"/>
        <v>0</v>
      </c>
      <c r="Y222" s="18">
        <f t="shared" si="281"/>
        <v>0</v>
      </c>
      <c r="Z222" s="18">
        <f t="shared" si="282"/>
        <v>0</v>
      </c>
      <c r="AA222" s="18">
        <f t="shared" si="283"/>
        <v>0</v>
      </c>
      <c r="AB222" s="18">
        <f t="shared" si="284"/>
        <v>0</v>
      </c>
      <c r="AC222" s="18">
        <f t="shared" si="285"/>
        <v>0</v>
      </c>
      <c r="AD222" s="18">
        <f t="shared" si="286"/>
        <v>0</v>
      </c>
      <c r="AE222" s="18">
        <f t="shared" si="287"/>
        <v>0</v>
      </c>
      <c r="AF222" s="18">
        <f t="shared" si="288"/>
        <v>0</v>
      </c>
      <c r="AG222" s="18">
        <f t="shared" si="289"/>
        <v>0</v>
      </c>
      <c r="AH222" s="18">
        <f t="shared" si="290"/>
        <v>0</v>
      </c>
      <c r="AI222" s="18">
        <f t="shared" si="291"/>
        <v>0</v>
      </c>
      <c r="AJ222" s="18">
        <f t="shared" si="292"/>
        <v>0</v>
      </c>
      <c r="AK222" s="18">
        <f t="shared" si="293"/>
        <v>0</v>
      </c>
      <c r="AL222" s="18">
        <f t="shared" si="294"/>
        <v>0</v>
      </c>
      <c r="AM222" s="18">
        <f t="shared" si="295"/>
        <v>0</v>
      </c>
      <c r="AN222" s="18">
        <f t="shared" si="296"/>
        <v>0</v>
      </c>
      <c r="AO222" s="18">
        <f t="shared" si="297"/>
        <v>0</v>
      </c>
      <c r="AP222" s="18">
        <f t="shared" si="298"/>
        <v>0</v>
      </c>
      <c r="AQ222" s="18">
        <f t="shared" si="299"/>
        <v>0</v>
      </c>
      <c r="AR222" s="18">
        <f t="shared" si="300"/>
        <v>0</v>
      </c>
      <c r="AS222" s="18">
        <f t="shared" si="301"/>
        <v>0</v>
      </c>
      <c r="AT222" s="18">
        <f t="shared" si="302"/>
        <v>0</v>
      </c>
      <c r="AU222" s="18">
        <f t="shared" si="303"/>
        <v>0</v>
      </c>
      <c r="AV222" s="18">
        <f t="shared" si="304"/>
        <v>0</v>
      </c>
      <c r="AW222" s="18">
        <f t="shared" si="305"/>
        <v>0</v>
      </c>
      <c r="AX222" s="18">
        <f t="shared" si="306"/>
        <v>0</v>
      </c>
      <c r="AY222" s="18">
        <f t="shared" si="307"/>
        <v>0</v>
      </c>
      <c r="AZ222" s="18">
        <f t="shared" si="308"/>
        <v>0</v>
      </c>
      <c r="BA222" s="18">
        <f t="shared" si="309"/>
        <v>0</v>
      </c>
      <c r="BB222" s="18">
        <f t="shared" si="310"/>
        <v>0</v>
      </c>
      <c r="BC222" s="18">
        <f t="shared" si="311"/>
        <v>0</v>
      </c>
      <c r="BD222" s="18">
        <f t="shared" si="312"/>
        <v>0</v>
      </c>
      <c r="BE222" s="18">
        <f t="shared" si="313"/>
        <v>0</v>
      </c>
      <c r="BF222" s="18">
        <f t="shared" si="314"/>
        <v>0</v>
      </c>
      <c r="BG222" s="18">
        <f t="shared" si="315"/>
        <v>0</v>
      </c>
      <c r="BH222" s="18">
        <f t="shared" si="316"/>
        <v>0</v>
      </c>
      <c r="BI222" s="18">
        <f t="shared" si="317"/>
        <v>0</v>
      </c>
      <c r="BJ222" s="18">
        <f t="shared" si="318"/>
        <v>0</v>
      </c>
      <c r="BK222" s="18">
        <f t="shared" si="319"/>
        <v>0</v>
      </c>
      <c r="BL222" s="18">
        <f t="shared" si="320"/>
        <v>0</v>
      </c>
      <c r="BM222" s="18">
        <f t="shared" si="321"/>
        <v>0</v>
      </c>
      <c r="BN222" s="18">
        <f t="shared" si="322"/>
        <v>0</v>
      </c>
      <c r="BO222" s="18">
        <f t="shared" si="323"/>
        <v>0</v>
      </c>
      <c r="BP222" s="18">
        <f t="shared" si="324"/>
        <v>0</v>
      </c>
      <c r="BQ222" s="18">
        <f t="shared" si="325"/>
        <v>0</v>
      </c>
      <c r="BR222" s="18">
        <f t="shared" si="326"/>
        <v>0</v>
      </c>
      <c r="BS222" s="18">
        <f t="shared" si="327"/>
        <v>0</v>
      </c>
      <c r="BT222" s="18">
        <f t="shared" si="328"/>
        <v>0</v>
      </c>
      <c r="BU222" s="18">
        <f t="shared" si="329"/>
        <v>0</v>
      </c>
      <c r="BV222" s="18">
        <f t="shared" si="330"/>
        <v>0</v>
      </c>
      <c r="BW222" s="18">
        <f t="shared" si="331"/>
        <v>0</v>
      </c>
      <c r="BX222" s="18">
        <f t="shared" si="332"/>
        <v>0</v>
      </c>
      <c r="BY222" s="18">
        <f t="shared" si="333"/>
        <v>0</v>
      </c>
      <c r="BZ222" s="18">
        <f t="shared" si="334"/>
        <v>0</v>
      </c>
      <c r="CA222" s="18">
        <f t="shared" si="335"/>
        <v>0</v>
      </c>
      <c r="CB222" s="18">
        <f t="shared" si="336"/>
        <v>0</v>
      </c>
      <c r="CC222" s="18">
        <f t="shared" si="337"/>
        <v>0</v>
      </c>
      <c r="CD222" s="18">
        <f t="shared" si="338"/>
        <v>0</v>
      </c>
      <c r="CE222" s="18">
        <f t="shared" si="339"/>
        <v>0</v>
      </c>
      <c r="CF222" s="18">
        <f t="shared" si="340"/>
        <v>0</v>
      </c>
      <c r="CG222" s="18">
        <f t="shared" si="341"/>
        <v>0</v>
      </c>
      <c r="CH222" s="18">
        <f t="shared" si="342"/>
        <v>0</v>
      </c>
      <c r="CI222" s="18">
        <f t="shared" si="343"/>
        <v>0</v>
      </c>
      <c r="CJ222" s="18">
        <f t="shared" si="344"/>
        <v>0</v>
      </c>
    </row>
    <row r="223" spans="1:88" x14ac:dyDescent="0.3">
      <c r="A223" s="1">
        <v>44152</v>
      </c>
      <c r="B223">
        <v>43952.71</v>
      </c>
      <c r="C223">
        <f>Table1[[#This Row],[Close]]-0.001*Table1[[#This Row],[Close]]</f>
        <v>43908.757290000001</v>
      </c>
      <c r="D223">
        <f>Table1[[#This Row],[Close]]+0.001*Table1[[#This Row],[Close]]</f>
        <v>43996.662709999997</v>
      </c>
      <c r="E223" t="str">
        <f>IF(Table1[[#This Row],[Close]]&gt;D222,"UP",IF(Table1[[#This Row],[Close]]&lt;C222,"Down","Constant"))</f>
        <v>UP</v>
      </c>
      <c r="F223" s="3">
        <f>IF(Table1[[#This Row],[Column1]]="Up",1,IF(Table1[[#This Row],[Column1]]="Down",-1,0))</f>
        <v>1</v>
      </c>
      <c r="G223">
        <f t="shared" si="263"/>
        <v>0</v>
      </c>
      <c r="H223" s="18">
        <f t="shared" si="264"/>
        <v>0</v>
      </c>
      <c r="I223" s="18">
        <f t="shared" si="265"/>
        <v>0</v>
      </c>
      <c r="J223" s="18">
        <f t="shared" si="266"/>
        <v>0</v>
      </c>
      <c r="K223" s="18">
        <f t="shared" si="267"/>
        <v>0</v>
      </c>
      <c r="L223" s="18">
        <f t="shared" si="268"/>
        <v>0</v>
      </c>
      <c r="M223" s="18">
        <f t="shared" si="269"/>
        <v>1</v>
      </c>
      <c r="N223" s="18">
        <f t="shared" si="270"/>
        <v>0</v>
      </c>
      <c r="O223" s="18">
        <f t="shared" si="271"/>
        <v>0</v>
      </c>
      <c r="P223" s="18">
        <f t="shared" si="272"/>
        <v>0</v>
      </c>
      <c r="Q223" s="18">
        <f t="shared" si="273"/>
        <v>0</v>
      </c>
      <c r="R223" s="18">
        <f t="shared" si="274"/>
        <v>0</v>
      </c>
      <c r="S223" s="18">
        <f t="shared" si="275"/>
        <v>0</v>
      </c>
      <c r="T223" s="18">
        <f t="shared" si="276"/>
        <v>0</v>
      </c>
      <c r="U223" s="18">
        <f t="shared" si="277"/>
        <v>0</v>
      </c>
      <c r="V223" s="18">
        <f t="shared" si="278"/>
        <v>0</v>
      </c>
      <c r="W223" s="18">
        <f t="shared" si="279"/>
        <v>0</v>
      </c>
      <c r="X223" s="18">
        <f t="shared" si="280"/>
        <v>0</v>
      </c>
      <c r="Y223" s="18">
        <f t="shared" si="281"/>
        <v>0</v>
      </c>
      <c r="Z223" s="18">
        <f t="shared" si="282"/>
        <v>0</v>
      </c>
      <c r="AA223" s="18">
        <f t="shared" si="283"/>
        <v>0</v>
      </c>
      <c r="AB223" s="18">
        <f t="shared" si="284"/>
        <v>0</v>
      </c>
      <c r="AC223" s="18">
        <f t="shared" si="285"/>
        <v>0</v>
      </c>
      <c r="AD223" s="18">
        <f t="shared" si="286"/>
        <v>0</v>
      </c>
      <c r="AE223" s="18">
        <f t="shared" si="287"/>
        <v>0</v>
      </c>
      <c r="AF223" s="18">
        <f t="shared" si="288"/>
        <v>0</v>
      </c>
      <c r="AG223" s="18">
        <f t="shared" si="289"/>
        <v>0</v>
      </c>
      <c r="AH223" s="18">
        <f t="shared" si="290"/>
        <v>0</v>
      </c>
      <c r="AI223" s="18">
        <f t="shared" si="291"/>
        <v>0</v>
      </c>
      <c r="AJ223" s="18">
        <f t="shared" si="292"/>
        <v>0</v>
      </c>
      <c r="AK223" s="18">
        <f t="shared" si="293"/>
        <v>0</v>
      </c>
      <c r="AL223" s="18">
        <f t="shared" si="294"/>
        <v>0</v>
      </c>
      <c r="AM223" s="18">
        <f t="shared" si="295"/>
        <v>0</v>
      </c>
      <c r="AN223" s="18">
        <f t="shared" si="296"/>
        <v>0</v>
      </c>
      <c r="AO223" s="18">
        <f t="shared" si="297"/>
        <v>0</v>
      </c>
      <c r="AP223" s="18">
        <f t="shared" si="298"/>
        <v>0</v>
      </c>
      <c r="AQ223" s="18">
        <f t="shared" si="299"/>
        <v>0</v>
      </c>
      <c r="AR223" s="18">
        <f t="shared" si="300"/>
        <v>0</v>
      </c>
      <c r="AS223" s="18">
        <f t="shared" si="301"/>
        <v>0</v>
      </c>
      <c r="AT223" s="18">
        <f t="shared" si="302"/>
        <v>0</v>
      </c>
      <c r="AU223" s="18">
        <f t="shared" si="303"/>
        <v>0</v>
      </c>
      <c r="AV223" s="18">
        <f t="shared" si="304"/>
        <v>0</v>
      </c>
      <c r="AW223" s="18">
        <f t="shared" si="305"/>
        <v>0</v>
      </c>
      <c r="AX223" s="18">
        <f t="shared" si="306"/>
        <v>0</v>
      </c>
      <c r="AY223" s="18">
        <f t="shared" si="307"/>
        <v>0</v>
      </c>
      <c r="AZ223" s="18">
        <f t="shared" si="308"/>
        <v>0</v>
      </c>
      <c r="BA223" s="18">
        <f t="shared" si="309"/>
        <v>0</v>
      </c>
      <c r="BB223" s="18">
        <f t="shared" si="310"/>
        <v>0</v>
      </c>
      <c r="BC223" s="18">
        <f t="shared" si="311"/>
        <v>0</v>
      </c>
      <c r="BD223" s="18">
        <f t="shared" si="312"/>
        <v>0</v>
      </c>
      <c r="BE223" s="18">
        <f t="shared" si="313"/>
        <v>0</v>
      </c>
      <c r="BF223" s="18">
        <f t="shared" si="314"/>
        <v>0</v>
      </c>
      <c r="BG223" s="18">
        <f t="shared" si="315"/>
        <v>0</v>
      </c>
      <c r="BH223" s="18">
        <f t="shared" si="316"/>
        <v>0</v>
      </c>
      <c r="BI223" s="18">
        <f t="shared" si="317"/>
        <v>0</v>
      </c>
      <c r="BJ223" s="18">
        <f t="shared" si="318"/>
        <v>0</v>
      </c>
      <c r="BK223" s="18">
        <f t="shared" si="319"/>
        <v>0</v>
      </c>
      <c r="BL223" s="18">
        <f t="shared" si="320"/>
        <v>0</v>
      </c>
      <c r="BM223" s="18">
        <f t="shared" si="321"/>
        <v>0</v>
      </c>
      <c r="BN223" s="18">
        <f t="shared" si="322"/>
        <v>0</v>
      </c>
      <c r="BO223" s="18">
        <f t="shared" si="323"/>
        <v>0</v>
      </c>
      <c r="BP223" s="18">
        <f t="shared" si="324"/>
        <v>0</v>
      </c>
      <c r="BQ223" s="18">
        <f t="shared" si="325"/>
        <v>0</v>
      </c>
      <c r="BR223" s="18">
        <f t="shared" si="326"/>
        <v>0</v>
      </c>
      <c r="BS223" s="18">
        <f t="shared" si="327"/>
        <v>0</v>
      </c>
      <c r="BT223" s="18">
        <f t="shared" si="328"/>
        <v>0</v>
      </c>
      <c r="BU223" s="18">
        <f t="shared" si="329"/>
        <v>0</v>
      </c>
      <c r="BV223" s="18">
        <f t="shared" si="330"/>
        <v>0</v>
      </c>
      <c r="BW223" s="18">
        <f t="shared" si="331"/>
        <v>0</v>
      </c>
      <c r="BX223" s="18">
        <f t="shared" si="332"/>
        <v>0</v>
      </c>
      <c r="BY223" s="18">
        <f t="shared" si="333"/>
        <v>0</v>
      </c>
      <c r="BZ223" s="18">
        <f t="shared" si="334"/>
        <v>0</v>
      </c>
      <c r="CA223" s="18">
        <f t="shared" si="335"/>
        <v>0</v>
      </c>
      <c r="CB223" s="18">
        <f t="shared" si="336"/>
        <v>0</v>
      </c>
      <c r="CC223" s="18">
        <f t="shared" si="337"/>
        <v>0</v>
      </c>
      <c r="CD223" s="18">
        <f t="shared" si="338"/>
        <v>0</v>
      </c>
      <c r="CE223" s="18">
        <f t="shared" si="339"/>
        <v>0</v>
      </c>
      <c r="CF223" s="18">
        <f t="shared" si="340"/>
        <v>0</v>
      </c>
      <c r="CG223" s="18">
        <f t="shared" si="341"/>
        <v>0</v>
      </c>
      <c r="CH223" s="18">
        <f t="shared" si="342"/>
        <v>0</v>
      </c>
      <c r="CI223" s="18">
        <f t="shared" si="343"/>
        <v>0</v>
      </c>
      <c r="CJ223" s="18">
        <f t="shared" si="344"/>
        <v>0</v>
      </c>
    </row>
    <row r="224" spans="1:88" x14ac:dyDescent="0.3">
      <c r="A224" s="1">
        <v>44153</v>
      </c>
      <c r="B224">
        <v>44180.05</v>
      </c>
      <c r="C224">
        <f>Table1[[#This Row],[Close]]-0.001*Table1[[#This Row],[Close]]</f>
        <v>44135.86995</v>
      </c>
      <c r="D224">
        <f>Table1[[#This Row],[Close]]+0.001*Table1[[#This Row],[Close]]</f>
        <v>44224.230050000006</v>
      </c>
      <c r="E224" t="str">
        <f>IF(Table1[[#This Row],[Close]]&gt;D223,"UP",IF(Table1[[#This Row],[Close]]&lt;C223,"Down","Constant"))</f>
        <v>UP</v>
      </c>
      <c r="F224" s="3">
        <f>IF(Table1[[#This Row],[Column1]]="Up",1,IF(Table1[[#This Row],[Column1]]="Down",-1,0))</f>
        <v>1</v>
      </c>
      <c r="G224">
        <f t="shared" si="263"/>
        <v>0</v>
      </c>
      <c r="H224" s="18">
        <f t="shared" si="264"/>
        <v>0</v>
      </c>
      <c r="I224" s="18">
        <f t="shared" si="265"/>
        <v>0</v>
      </c>
      <c r="J224" s="18">
        <f t="shared" si="266"/>
        <v>1</v>
      </c>
      <c r="K224" s="18">
        <f t="shared" si="267"/>
        <v>0</v>
      </c>
      <c r="L224" s="18">
        <f t="shared" si="268"/>
        <v>0</v>
      </c>
      <c r="M224" s="18">
        <f t="shared" si="269"/>
        <v>0</v>
      </c>
      <c r="N224" s="18">
        <f t="shared" si="270"/>
        <v>0</v>
      </c>
      <c r="O224" s="18">
        <f t="shared" si="271"/>
        <v>0</v>
      </c>
      <c r="P224" s="18">
        <f t="shared" si="272"/>
        <v>0</v>
      </c>
      <c r="Q224" s="18">
        <f t="shared" si="273"/>
        <v>0</v>
      </c>
      <c r="R224" s="18">
        <f t="shared" si="274"/>
        <v>0</v>
      </c>
      <c r="S224" s="18">
        <f t="shared" si="275"/>
        <v>0</v>
      </c>
      <c r="T224" s="18">
        <f t="shared" si="276"/>
        <v>0</v>
      </c>
      <c r="U224" s="18">
        <f t="shared" si="277"/>
        <v>0</v>
      </c>
      <c r="V224" s="18">
        <f t="shared" si="278"/>
        <v>0</v>
      </c>
      <c r="W224" s="18">
        <f t="shared" si="279"/>
        <v>0</v>
      </c>
      <c r="X224" s="18">
        <f t="shared" si="280"/>
        <v>0</v>
      </c>
      <c r="Y224" s="18">
        <f t="shared" si="281"/>
        <v>0</v>
      </c>
      <c r="Z224" s="18">
        <f t="shared" si="282"/>
        <v>0</v>
      </c>
      <c r="AA224" s="18">
        <f t="shared" si="283"/>
        <v>0</v>
      </c>
      <c r="AB224" s="18">
        <f t="shared" si="284"/>
        <v>0</v>
      </c>
      <c r="AC224" s="18">
        <f t="shared" si="285"/>
        <v>0</v>
      </c>
      <c r="AD224" s="18">
        <f t="shared" si="286"/>
        <v>0</v>
      </c>
      <c r="AE224" s="18">
        <f t="shared" si="287"/>
        <v>0</v>
      </c>
      <c r="AF224" s="18">
        <f t="shared" si="288"/>
        <v>0</v>
      </c>
      <c r="AG224" s="18">
        <f t="shared" si="289"/>
        <v>0</v>
      </c>
      <c r="AH224" s="18">
        <f t="shared" si="290"/>
        <v>0</v>
      </c>
      <c r="AI224" s="18">
        <f t="shared" si="291"/>
        <v>0</v>
      </c>
      <c r="AJ224" s="18">
        <f t="shared" si="292"/>
        <v>0</v>
      </c>
      <c r="AK224" s="18">
        <f t="shared" si="293"/>
        <v>0</v>
      </c>
      <c r="AL224" s="18">
        <f t="shared" si="294"/>
        <v>0</v>
      </c>
      <c r="AM224" s="18">
        <f t="shared" si="295"/>
        <v>0</v>
      </c>
      <c r="AN224" s="18">
        <f t="shared" si="296"/>
        <v>0</v>
      </c>
      <c r="AO224" s="18">
        <f t="shared" si="297"/>
        <v>0</v>
      </c>
      <c r="AP224" s="18">
        <f t="shared" si="298"/>
        <v>0</v>
      </c>
      <c r="AQ224" s="18">
        <f t="shared" si="299"/>
        <v>0</v>
      </c>
      <c r="AR224" s="18">
        <f t="shared" si="300"/>
        <v>0</v>
      </c>
      <c r="AS224" s="18">
        <f t="shared" si="301"/>
        <v>0</v>
      </c>
      <c r="AT224" s="18">
        <f t="shared" si="302"/>
        <v>0</v>
      </c>
      <c r="AU224" s="18">
        <f t="shared" si="303"/>
        <v>0</v>
      </c>
      <c r="AV224" s="18">
        <f t="shared" si="304"/>
        <v>0</v>
      </c>
      <c r="AW224" s="18">
        <f t="shared" si="305"/>
        <v>0</v>
      </c>
      <c r="AX224" s="18">
        <f t="shared" si="306"/>
        <v>0</v>
      </c>
      <c r="AY224" s="18">
        <f t="shared" si="307"/>
        <v>0</v>
      </c>
      <c r="AZ224" s="18">
        <f t="shared" si="308"/>
        <v>0</v>
      </c>
      <c r="BA224" s="18">
        <f t="shared" si="309"/>
        <v>0</v>
      </c>
      <c r="BB224" s="18">
        <f t="shared" si="310"/>
        <v>0</v>
      </c>
      <c r="BC224" s="18">
        <f t="shared" si="311"/>
        <v>0</v>
      </c>
      <c r="BD224" s="18">
        <f t="shared" si="312"/>
        <v>0</v>
      </c>
      <c r="BE224" s="18">
        <f t="shared" si="313"/>
        <v>0</v>
      </c>
      <c r="BF224" s="18">
        <f t="shared" si="314"/>
        <v>0</v>
      </c>
      <c r="BG224" s="18">
        <f t="shared" si="315"/>
        <v>0</v>
      </c>
      <c r="BH224" s="18">
        <f t="shared" si="316"/>
        <v>0</v>
      </c>
      <c r="BI224" s="18">
        <f t="shared" si="317"/>
        <v>0</v>
      </c>
      <c r="BJ224" s="18">
        <f t="shared" si="318"/>
        <v>0</v>
      </c>
      <c r="BK224" s="18">
        <f t="shared" si="319"/>
        <v>0</v>
      </c>
      <c r="BL224" s="18">
        <f t="shared" si="320"/>
        <v>0</v>
      </c>
      <c r="BM224" s="18">
        <f t="shared" si="321"/>
        <v>0</v>
      </c>
      <c r="BN224" s="18">
        <f t="shared" si="322"/>
        <v>0</v>
      </c>
      <c r="BO224" s="18">
        <f t="shared" si="323"/>
        <v>0</v>
      </c>
      <c r="BP224" s="18">
        <f t="shared" si="324"/>
        <v>0</v>
      </c>
      <c r="BQ224" s="18">
        <f t="shared" si="325"/>
        <v>0</v>
      </c>
      <c r="BR224" s="18">
        <f t="shared" si="326"/>
        <v>0</v>
      </c>
      <c r="BS224" s="18">
        <f t="shared" si="327"/>
        <v>0</v>
      </c>
      <c r="BT224" s="18">
        <f t="shared" si="328"/>
        <v>0</v>
      </c>
      <c r="BU224" s="18">
        <f t="shared" si="329"/>
        <v>0</v>
      </c>
      <c r="BV224" s="18">
        <f t="shared" si="330"/>
        <v>0</v>
      </c>
      <c r="BW224" s="18">
        <f t="shared" si="331"/>
        <v>0</v>
      </c>
      <c r="BX224" s="18">
        <f t="shared" si="332"/>
        <v>0</v>
      </c>
      <c r="BY224" s="18">
        <f t="shared" si="333"/>
        <v>0</v>
      </c>
      <c r="BZ224" s="18">
        <f t="shared" si="334"/>
        <v>0</v>
      </c>
      <c r="CA224" s="18">
        <f t="shared" si="335"/>
        <v>0</v>
      </c>
      <c r="CB224" s="18">
        <f t="shared" si="336"/>
        <v>0</v>
      </c>
      <c r="CC224" s="18">
        <f t="shared" si="337"/>
        <v>0</v>
      </c>
      <c r="CD224" s="18">
        <f t="shared" si="338"/>
        <v>0</v>
      </c>
      <c r="CE224" s="18">
        <f t="shared" si="339"/>
        <v>0</v>
      </c>
      <c r="CF224" s="18">
        <f t="shared" si="340"/>
        <v>0</v>
      </c>
      <c r="CG224" s="18">
        <f t="shared" si="341"/>
        <v>0</v>
      </c>
      <c r="CH224" s="18">
        <f t="shared" si="342"/>
        <v>0</v>
      </c>
      <c r="CI224" s="18">
        <f t="shared" si="343"/>
        <v>0</v>
      </c>
      <c r="CJ224" s="18">
        <f t="shared" si="344"/>
        <v>0</v>
      </c>
    </row>
    <row r="225" spans="1:88" x14ac:dyDescent="0.3">
      <c r="A225" s="1">
        <v>44154</v>
      </c>
      <c r="B225">
        <v>43599.96</v>
      </c>
      <c r="C225">
        <f>Table1[[#This Row],[Close]]-0.001*Table1[[#This Row],[Close]]</f>
        <v>43556.36004</v>
      </c>
      <c r="D225">
        <f>Table1[[#This Row],[Close]]+0.001*Table1[[#This Row],[Close]]</f>
        <v>43643.559959999999</v>
      </c>
      <c r="E225" t="str">
        <f>IF(Table1[[#This Row],[Close]]&gt;D224,"UP",IF(Table1[[#This Row],[Close]]&lt;C224,"Down","Constant"))</f>
        <v>Down</v>
      </c>
      <c r="F225" s="3">
        <f>IF(Table1[[#This Row],[Column1]]="Up",1,IF(Table1[[#This Row],[Column1]]="Down",-1,0))</f>
        <v>-1</v>
      </c>
      <c r="G225">
        <f t="shared" si="263"/>
        <v>0</v>
      </c>
      <c r="H225" s="18">
        <f t="shared" si="264"/>
        <v>1</v>
      </c>
      <c r="I225" s="18">
        <f t="shared" si="265"/>
        <v>0</v>
      </c>
      <c r="J225" s="18">
        <f t="shared" si="266"/>
        <v>0</v>
      </c>
      <c r="K225" s="18">
        <f t="shared" si="267"/>
        <v>0</v>
      </c>
      <c r="L225" s="18">
        <f t="shared" si="268"/>
        <v>0</v>
      </c>
      <c r="M225" s="18">
        <f t="shared" si="269"/>
        <v>0</v>
      </c>
      <c r="N225" s="18">
        <f t="shared" si="270"/>
        <v>0</v>
      </c>
      <c r="O225" s="18">
        <f t="shared" si="271"/>
        <v>0</v>
      </c>
      <c r="P225" s="18">
        <f t="shared" si="272"/>
        <v>0</v>
      </c>
      <c r="Q225" s="18">
        <f t="shared" si="273"/>
        <v>0</v>
      </c>
      <c r="R225" s="18">
        <f t="shared" si="274"/>
        <v>0</v>
      </c>
      <c r="S225" s="18">
        <f t="shared" si="275"/>
        <v>0</v>
      </c>
      <c r="T225" s="18">
        <f t="shared" si="276"/>
        <v>0</v>
      </c>
      <c r="U225" s="18">
        <f t="shared" si="277"/>
        <v>0</v>
      </c>
      <c r="V225" s="18">
        <f t="shared" si="278"/>
        <v>0</v>
      </c>
      <c r="W225" s="18">
        <f t="shared" si="279"/>
        <v>0</v>
      </c>
      <c r="X225" s="18">
        <f t="shared" si="280"/>
        <v>0</v>
      </c>
      <c r="Y225" s="18">
        <f t="shared" si="281"/>
        <v>0</v>
      </c>
      <c r="Z225" s="18">
        <f t="shared" si="282"/>
        <v>0</v>
      </c>
      <c r="AA225" s="18">
        <f t="shared" si="283"/>
        <v>0</v>
      </c>
      <c r="AB225" s="18">
        <f t="shared" si="284"/>
        <v>0</v>
      </c>
      <c r="AC225" s="18">
        <f t="shared" si="285"/>
        <v>0</v>
      </c>
      <c r="AD225" s="18">
        <f t="shared" si="286"/>
        <v>0</v>
      </c>
      <c r="AE225" s="18">
        <f t="shared" si="287"/>
        <v>0</v>
      </c>
      <c r="AF225" s="18">
        <f t="shared" si="288"/>
        <v>0</v>
      </c>
      <c r="AG225" s="18">
        <f t="shared" si="289"/>
        <v>0</v>
      </c>
      <c r="AH225" s="18">
        <f t="shared" si="290"/>
        <v>0</v>
      </c>
      <c r="AI225" s="18">
        <f t="shared" si="291"/>
        <v>0</v>
      </c>
      <c r="AJ225" s="18">
        <f t="shared" si="292"/>
        <v>0</v>
      </c>
      <c r="AK225" s="18">
        <f t="shared" si="293"/>
        <v>0</v>
      </c>
      <c r="AL225" s="18">
        <f t="shared" si="294"/>
        <v>0</v>
      </c>
      <c r="AM225" s="18">
        <f t="shared" si="295"/>
        <v>0</v>
      </c>
      <c r="AN225" s="18">
        <f t="shared" si="296"/>
        <v>0</v>
      </c>
      <c r="AO225" s="18">
        <f t="shared" si="297"/>
        <v>0</v>
      </c>
      <c r="AP225" s="18">
        <f t="shared" si="298"/>
        <v>0</v>
      </c>
      <c r="AQ225" s="18">
        <f t="shared" si="299"/>
        <v>0</v>
      </c>
      <c r="AR225" s="18">
        <f t="shared" si="300"/>
        <v>0</v>
      </c>
      <c r="AS225" s="18">
        <f t="shared" si="301"/>
        <v>0</v>
      </c>
      <c r="AT225" s="18">
        <f t="shared" si="302"/>
        <v>0</v>
      </c>
      <c r="AU225" s="18">
        <f t="shared" si="303"/>
        <v>0</v>
      </c>
      <c r="AV225" s="18">
        <f t="shared" si="304"/>
        <v>0</v>
      </c>
      <c r="AW225" s="18">
        <f t="shared" si="305"/>
        <v>0</v>
      </c>
      <c r="AX225" s="18">
        <f t="shared" si="306"/>
        <v>0</v>
      </c>
      <c r="AY225" s="18">
        <f t="shared" si="307"/>
        <v>0</v>
      </c>
      <c r="AZ225" s="18">
        <f t="shared" si="308"/>
        <v>0</v>
      </c>
      <c r="BA225" s="18">
        <f t="shared" si="309"/>
        <v>0</v>
      </c>
      <c r="BB225" s="18">
        <f t="shared" si="310"/>
        <v>0</v>
      </c>
      <c r="BC225" s="18">
        <f t="shared" si="311"/>
        <v>0</v>
      </c>
      <c r="BD225" s="18">
        <f t="shared" si="312"/>
        <v>0</v>
      </c>
      <c r="BE225" s="18">
        <f t="shared" si="313"/>
        <v>0</v>
      </c>
      <c r="BF225" s="18">
        <f t="shared" si="314"/>
        <v>0</v>
      </c>
      <c r="BG225" s="18">
        <f t="shared" si="315"/>
        <v>0</v>
      </c>
      <c r="BH225" s="18">
        <f t="shared" si="316"/>
        <v>0</v>
      </c>
      <c r="BI225" s="18">
        <f t="shared" si="317"/>
        <v>0</v>
      </c>
      <c r="BJ225" s="18">
        <f t="shared" si="318"/>
        <v>0</v>
      </c>
      <c r="BK225" s="18">
        <f t="shared" si="319"/>
        <v>0</v>
      </c>
      <c r="BL225" s="18">
        <f t="shared" si="320"/>
        <v>0</v>
      </c>
      <c r="BM225" s="18">
        <f t="shared" si="321"/>
        <v>0</v>
      </c>
      <c r="BN225" s="18">
        <f t="shared" si="322"/>
        <v>0</v>
      </c>
      <c r="BO225" s="18">
        <f t="shared" si="323"/>
        <v>0</v>
      </c>
      <c r="BP225" s="18">
        <f t="shared" si="324"/>
        <v>0</v>
      </c>
      <c r="BQ225" s="18">
        <f t="shared" si="325"/>
        <v>0</v>
      </c>
      <c r="BR225" s="18">
        <f t="shared" si="326"/>
        <v>0</v>
      </c>
      <c r="BS225" s="18">
        <f t="shared" si="327"/>
        <v>0</v>
      </c>
      <c r="BT225" s="18">
        <f t="shared" si="328"/>
        <v>0</v>
      </c>
      <c r="BU225" s="18">
        <f t="shared" si="329"/>
        <v>0</v>
      </c>
      <c r="BV225" s="18">
        <f t="shared" si="330"/>
        <v>0</v>
      </c>
      <c r="BW225" s="18">
        <f t="shared" si="331"/>
        <v>0</v>
      </c>
      <c r="BX225" s="18">
        <f t="shared" si="332"/>
        <v>0</v>
      </c>
      <c r="BY225" s="18">
        <f t="shared" si="333"/>
        <v>0</v>
      </c>
      <c r="BZ225" s="18">
        <f t="shared" si="334"/>
        <v>0</v>
      </c>
      <c r="CA225" s="18">
        <f t="shared" si="335"/>
        <v>0</v>
      </c>
      <c r="CB225" s="18">
        <f t="shared" si="336"/>
        <v>0</v>
      </c>
      <c r="CC225" s="18">
        <f t="shared" si="337"/>
        <v>0</v>
      </c>
      <c r="CD225" s="18">
        <f t="shared" si="338"/>
        <v>0</v>
      </c>
      <c r="CE225" s="18">
        <f t="shared" si="339"/>
        <v>0</v>
      </c>
      <c r="CF225" s="18">
        <f t="shared" si="340"/>
        <v>0</v>
      </c>
      <c r="CG225" s="18">
        <f t="shared" si="341"/>
        <v>0</v>
      </c>
      <c r="CH225" s="18">
        <f t="shared" si="342"/>
        <v>0</v>
      </c>
      <c r="CI225" s="18">
        <f t="shared" si="343"/>
        <v>0</v>
      </c>
      <c r="CJ225" s="18">
        <f t="shared" si="344"/>
        <v>0</v>
      </c>
    </row>
    <row r="226" spans="1:88" x14ac:dyDescent="0.3">
      <c r="A226" s="1">
        <v>44155</v>
      </c>
      <c r="B226">
        <v>43882.25</v>
      </c>
      <c r="C226">
        <f>Table1[[#This Row],[Close]]-0.001*Table1[[#This Row],[Close]]</f>
        <v>43838.367749999998</v>
      </c>
      <c r="D226">
        <f>Table1[[#This Row],[Close]]+0.001*Table1[[#This Row],[Close]]</f>
        <v>43926.132250000002</v>
      </c>
      <c r="E226" t="str">
        <f>IF(Table1[[#This Row],[Close]]&gt;D225,"UP",IF(Table1[[#This Row],[Close]]&lt;C225,"Down","Constant"))</f>
        <v>UP</v>
      </c>
      <c r="F226" s="3">
        <f>IF(Table1[[#This Row],[Column1]]="Up",1,IF(Table1[[#This Row],[Column1]]="Down",-1,0))</f>
        <v>1</v>
      </c>
      <c r="G226">
        <f t="shared" si="263"/>
        <v>0</v>
      </c>
      <c r="H226" s="18">
        <f t="shared" si="264"/>
        <v>0</v>
      </c>
      <c r="I226" s="18">
        <f t="shared" si="265"/>
        <v>0</v>
      </c>
      <c r="J226" s="18">
        <f t="shared" si="266"/>
        <v>0</v>
      </c>
      <c r="K226" s="18">
        <f t="shared" si="267"/>
        <v>0</v>
      </c>
      <c r="L226" s="18">
        <f t="shared" si="268"/>
        <v>0</v>
      </c>
      <c r="M226" s="18">
        <f t="shared" si="269"/>
        <v>0</v>
      </c>
      <c r="N226" s="18">
        <f t="shared" si="270"/>
        <v>0</v>
      </c>
      <c r="O226" s="18">
        <f t="shared" si="271"/>
        <v>0</v>
      </c>
      <c r="P226" s="18">
        <f t="shared" si="272"/>
        <v>0</v>
      </c>
      <c r="Q226" s="18">
        <f t="shared" si="273"/>
        <v>0</v>
      </c>
      <c r="R226" s="18">
        <f t="shared" si="274"/>
        <v>0</v>
      </c>
      <c r="S226" s="18">
        <f t="shared" si="275"/>
        <v>1</v>
      </c>
      <c r="T226" s="18">
        <f t="shared" si="276"/>
        <v>0</v>
      </c>
      <c r="U226" s="18">
        <f t="shared" si="277"/>
        <v>0</v>
      </c>
      <c r="V226" s="18">
        <f t="shared" si="278"/>
        <v>0</v>
      </c>
      <c r="W226" s="18">
        <f t="shared" si="279"/>
        <v>0</v>
      </c>
      <c r="X226" s="18">
        <f t="shared" si="280"/>
        <v>0</v>
      </c>
      <c r="Y226" s="18">
        <f t="shared" si="281"/>
        <v>0</v>
      </c>
      <c r="Z226" s="18">
        <f t="shared" si="282"/>
        <v>0</v>
      </c>
      <c r="AA226" s="18">
        <f t="shared" si="283"/>
        <v>0</v>
      </c>
      <c r="AB226" s="18">
        <f t="shared" si="284"/>
        <v>0</v>
      </c>
      <c r="AC226" s="18">
        <f t="shared" si="285"/>
        <v>0</v>
      </c>
      <c r="AD226" s="18">
        <f t="shared" si="286"/>
        <v>0</v>
      </c>
      <c r="AE226" s="18">
        <f t="shared" si="287"/>
        <v>0</v>
      </c>
      <c r="AF226" s="18">
        <f t="shared" si="288"/>
        <v>0</v>
      </c>
      <c r="AG226" s="18">
        <f t="shared" si="289"/>
        <v>0</v>
      </c>
      <c r="AH226" s="18">
        <f t="shared" si="290"/>
        <v>0</v>
      </c>
      <c r="AI226" s="18">
        <f t="shared" si="291"/>
        <v>0</v>
      </c>
      <c r="AJ226" s="18">
        <f t="shared" si="292"/>
        <v>0</v>
      </c>
      <c r="AK226" s="18">
        <f t="shared" si="293"/>
        <v>0</v>
      </c>
      <c r="AL226" s="18">
        <f t="shared" si="294"/>
        <v>0</v>
      </c>
      <c r="AM226" s="18">
        <f t="shared" si="295"/>
        <v>0</v>
      </c>
      <c r="AN226" s="18">
        <f t="shared" si="296"/>
        <v>0</v>
      </c>
      <c r="AO226" s="18">
        <f t="shared" si="297"/>
        <v>0</v>
      </c>
      <c r="AP226" s="18">
        <f t="shared" si="298"/>
        <v>0</v>
      </c>
      <c r="AQ226" s="18">
        <f t="shared" si="299"/>
        <v>0</v>
      </c>
      <c r="AR226" s="18">
        <f t="shared" si="300"/>
        <v>0</v>
      </c>
      <c r="AS226" s="18">
        <f t="shared" si="301"/>
        <v>0</v>
      </c>
      <c r="AT226" s="18">
        <f t="shared" si="302"/>
        <v>0</v>
      </c>
      <c r="AU226" s="18">
        <f t="shared" si="303"/>
        <v>0</v>
      </c>
      <c r="AV226" s="18">
        <f t="shared" si="304"/>
        <v>0</v>
      </c>
      <c r="AW226" s="18">
        <f t="shared" si="305"/>
        <v>0</v>
      </c>
      <c r="AX226" s="18">
        <f t="shared" si="306"/>
        <v>0</v>
      </c>
      <c r="AY226" s="18">
        <f t="shared" si="307"/>
        <v>0</v>
      </c>
      <c r="AZ226" s="18">
        <f t="shared" si="308"/>
        <v>0</v>
      </c>
      <c r="BA226" s="18">
        <f t="shared" si="309"/>
        <v>0</v>
      </c>
      <c r="BB226" s="18">
        <f t="shared" si="310"/>
        <v>0</v>
      </c>
      <c r="BC226" s="18">
        <f t="shared" si="311"/>
        <v>0</v>
      </c>
      <c r="BD226" s="18">
        <f t="shared" si="312"/>
        <v>0</v>
      </c>
      <c r="BE226" s="18">
        <f t="shared" si="313"/>
        <v>0</v>
      </c>
      <c r="BF226" s="18">
        <f t="shared" si="314"/>
        <v>0</v>
      </c>
      <c r="BG226" s="18">
        <f t="shared" si="315"/>
        <v>0</v>
      </c>
      <c r="BH226" s="18">
        <f t="shared" si="316"/>
        <v>0</v>
      </c>
      <c r="BI226" s="18">
        <f t="shared" si="317"/>
        <v>0</v>
      </c>
      <c r="BJ226" s="18">
        <f t="shared" si="318"/>
        <v>0</v>
      </c>
      <c r="BK226" s="18">
        <f t="shared" si="319"/>
        <v>0</v>
      </c>
      <c r="BL226" s="18">
        <f t="shared" si="320"/>
        <v>0</v>
      </c>
      <c r="BM226" s="18">
        <f t="shared" si="321"/>
        <v>0</v>
      </c>
      <c r="BN226" s="18">
        <f t="shared" si="322"/>
        <v>0</v>
      </c>
      <c r="BO226" s="18">
        <f t="shared" si="323"/>
        <v>0</v>
      </c>
      <c r="BP226" s="18">
        <f t="shared" si="324"/>
        <v>0</v>
      </c>
      <c r="BQ226" s="18">
        <f t="shared" si="325"/>
        <v>0</v>
      </c>
      <c r="BR226" s="18">
        <f t="shared" si="326"/>
        <v>0</v>
      </c>
      <c r="BS226" s="18">
        <f t="shared" si="327"/>
        <v>0</v>
      </c>
      <c r="BT226" s="18">
        <f t="shared" si="328"/>
        <v>0</v>
      </c>
      <c r="BU226" s="18">
        <f t="shared" si="329"/>
        <v>0</v>
      </c>
      <c r="BV226" s="18">
        <f t="shared" si="330"/>
        <v>0</v>
      </c>
      <c r="BW226" s="18">
        <f t="shared" si="331"/>
        <v>0</v>
      </c>
      <c r="BX226" s="18">
        <f t="shared" si="332"/>
        <v>0</v>
      </c>
      <c r="BY226" s="18">
        <f t="shared" si="333"/>
        <v>0</v>
      </c>
      <c r="BZ226" s="18">
        <f t="shared" si="334"/>
        <v>0</v>
      </c>
      <c r="CA226" s="18">
        <f t="shared" si="335"/>
        <v>0</v>
      </c>
      <c r="CB226" s="18">
        <f t="shared" si="336"/>
        <v>0</v>
      </c>
      <c r="CC226" s="18">
        <f t="shared" si="337"/>
        <v>0</v>
      </c>
      <c r="CD226" s="18">
        <f t="shared" si="338"/>
        <v>0</v>
      </c>
      <c r="CE226" s="18">
        <f t="shared" si="339"/>
        <v>0</v>
      </c>
      <c r="CF226" s="18">
        <f t="shared" si="340"/>
        <v>0</v>
      </c>
      <c r="CG226" s="18">
        <f t="shared" si="341"/>
        <v>0</v>
      </c>
      <c r="CH226" s="18">
        <f t="shared" si="342"/>
        <v>0</v>
      </c>
      <c r="CI226" s="18">
        <f t="shared" si="343"/>
        <v>0</v>
      </c>
      <c r="CJ226" s="18">
        <f t="shared" si="344"/>
        <v>0</v>
      </c>
    </row>
    <row r="227" spans="1:88" x14ac:dyDescent="0.3">
      <c r="A227" s="1">
        <v>44158</v>
      </c>
      <c r="B227">
        <v>44077.15</v>
      </c>
      <c r="C227">
        <f>Table1[[#This Row],[Close]]-0.001*Table1[[#This Row],[Close]]</f>
        <v>44033.072850000004</v>
      </c>
      <c r="D227">
        <f>Table1[[#This Row],[Close]]+0.001*Table1[[#This Row],[Close]]</f>
        <v>44121.227149999999</v>
      </c>
      <c r="E227" t="str">
        <f>IF(Table1[[#This Row],[Close]]&gt;D226,"UP",IF(Table1[[#This Row],[Close]]&lt;C226,"Down","Constant"))</f>
        <v>UP</v>
      </c>
      <c r="F227" s="3">
        <f>IF(Table1[[#This Row],[Column1]]="Up",1,IF(Table1[[#This Row],[Column1]]="Down",-1,0))</f>
        <v>1</v>
      </c>
      <c r="G227">
        <f t="shared" si="263"/>
        <v>0</v>
      </c>
      <c r="H227" s="18">
        <f t="shared" si="264"/>
        <v>0</v>
      </c>
      <c r="I227" s="18">
        <f t="shared" si="265"/>
        <v>0</v>
      </c>
      <c r="J227" s="18">
        <f t="shared" si="266"/>
        <v>0</v>
      </c>
      <c r="K227" s="18">
        <f t="shared" si="267"/>
        <v>0</v>
      </c>
      <c r="L227" s="18">
        <f t="shared" si="268"/>
        <v>0</v>
      </c>
      <c r="M227" s="18">
        <f t="shared" si="269"/>
        <v>0</v>
      </c>
      <c r="N227" s="18">
        <f t="shared" si="270"/>
        <v>0</v>
      </c>
      <c r="O227" s="18">
        <f t="shared" si="271"/>
        <v>0</v>
      </c>
      <c r="P227" s="18">
        <f t="shared" si="272"/>
        <v>1</v>
      </c>
      <c r="Q227" s="18">
        <f t="shared" si="273"/>
        <v>0</v>
      </c>
      <c r="R227" s="18">
        <f t="shared" si="274"/>
        <v>0</v>
      </c>
      <c r="S227" s="18">
        <f t="shared" si="275"/>
        <v>0</v>
      </c>
      <c r="T227" s="18">
        <f t="shared" si="276"/>
        <v>0</v>
      </c>
      <c r="U227" s="18">
        <f t="shared" si="277"/>
        <v>0</v>
      </c>
      <c r="V227" s="18">
        <f t="shared" si="278"/>
        <v>0</v>
      </c>
      <c r="W227" s="18">
        <f t="shared" si="279"/>
        <v>0</v>
      </c>
      <c r="X227" s="18">
        <f t="shared" si="280"/>
        <v>0</v>
      </c>
      <c r="Y227" s="18">
        <f t="shared" si="281"/>
        <v>0</v>
      </c>
      <c r="Z227" s="18">
        <f t="shared" si="282"/>
        <v>0</v>
      </c>
      <c r="AA227" s="18">
        <f t="shared" si="283"/>
        <v>0</v>
      </c>
      <c r="AB227" s="18">
        <f t="shared" si="284"/>
        <v>0</v>
      </c>
      <c r="AC227" s="18">
        <f t="shared" si="285"/>
        <v>0</v>
      </c>
      <c r="AD227" s="18">
        <f t="shared" si="286"/>
        <v>0</v>
      </c>
      <c r="AE227" s="18">
        <f t="shared" si="287"/>
        <v>0</v>
      </c>
      <c r="AF227" s="18">
        <f t="shared" si="288"/>
        <v>0</v>
      </c>
      <c r="AG227" s="18">
        <f t="shared" si="289"/>
        <v>0</v>
      </c>
      <c r="AH227" s="18">
        <f t="shared" si="290"/>
        <v>0</v>
      </c>
      <c r="AI227" s="18">
        <f t="shared" si="291"/>
        <v>0</v>
      </c>
      <c r="AJ227" s="18">
        <f t="shared" si="292"/>
        <v>0</v>
      </c>
      <c r="AK227" s="18">
        <f t="shared" si="293"/>
        <v>0</v>
      </c>
      <c r="AL227" s="18">
        <f t="shared" si="294"/>
        <v>0</v>
      </c>
      <c r="AM227" s="18">
        <f t="shared" si="295"/>
        <v>0</v>
      </c>
      <c r="AN227" s="18">
        <f t="shared" si="296"/>
        <v>0</v>
      </c>
      <c r="AO227" s="18">
        <f t="shared" si="297"/>
        <v>0</v>
      </c>
      <c r="AP227" s="18">
        <f t="shared" si="298"/>
        <v>0</v>
      </c>
      <c r="AQ227" s="18">
        <f t="shared" si="299"/>
        <v>0</v>
      </c>
      <c r="AR227" s="18">
        <f t="shared" si="300"/>
        <v>0</v>
      </c>
      <c r="AS227" s="18">
        <f t="shared" si="301"/>
        <v>0</v>
      </c>
      <c r="AT227" s="18">
        <f t="shared" si="302"/>
        <v>0</v>
      </c>
      <c r="AU227" s="18">
        <f t="shared" si="303"/>
        <v>0</v>
      </c>
      <c r="AV227" s="18">
        <f t="shared" si="304"/>
        <v>0</v>
      </c>
      <c r="AW227" s="18">
        <f t="shared" si="305"/>
        <v>0</v>
      </c>
      <c r="AX227" s="18">
        <f t="shared" si="306"/>
        <v>0</v>
      </c>
      <c r="AY227" s="18">
        <f t="shared" si="307"/>
        <v>0</v>
      </c>
      <c r="AZ227" s="18">
        <f t="shared" si="308"/>
        <v>0</v>
      </c>
      <c r="BA227" s="18">
        <f t="shared" si="309"/>
        <v>0</v>
      </c>
      <c r="BB227" s="18">
        <f t="shared" si="310"/>
        <v>0</v>
      </c>
      <c r="BC227" s="18">
        <f t="shared" si="311"/>
        <v>0</v>
      </c>
      <c r="BD227" s="18">
        <f t="shared" si="312"/>
        <v>0</v>
      </c>
      <c r="BE227" s="18">
        <f t="shared" si="313"/>
        <v>0</v>
      </c>
      <c r="BF227" s="18">
        <f t="shared" si="314"/>
        <v>0</v>
      </c>
      <c r="BG227" s="18">
        <f t="shared" si="315"/>
        <v>0</v>
      </c>
      <c r="BH227" s="18">
        <f t="shared" si="316"/>
        <v>0</v>
      </c>
      <c r="BI227" s="18">
        <f t="shared" si="317"/>
        <v>0</v>
      </c>
      <c r="BJ227" s="18">
        <f t="shared" si="318"/>
        <v>0</v>
      </c>
      <c r="BK227" s="18">
        <f t="shared" si="319"/>
        <v>0</v>
      </c>
      <c r="BL227" s="18">
        <f t="shared" si="320"/>
        <v>0</v>
      </c>
      <c r="BM227" s="18">
        <f t="shared" si="321"/>
        <v>0</v>
      </c>
      <c r="BN227" s="18">
        <f t="shared" si="322"/>
        <v>0</v>
      </c>
      <c r="BO227" s="18">
        <f t="shared" si="323"/>
        <v>0</v>
      </c>
      <c r="BP227" s="18">
        <f t="shared" si="324"/>
        <v>0</v>
      </c>
      <c r="BQ227" s="18">
        <f t="shared" si="325"/>
        <v>0</v>
      </c>
      <c r="BR227" s="18">
        <f t="shared" si="326"/>
        <v>0</v>
      </c>
      <c r="BS227" s="18">
        <f t="shared" si="327"/>
        <v>0</v>
      </c>
      <c r="BT227" s="18">
        <f t="shared" si="328"/>
        <v>0</v>
      </c>
      <c r="BU227" s="18">
        <f t="shared" si="329"/>
        <v>0</v>
      </c>
      <c r="BV227" s="18">
        <f t="shared" si="330"/>
        <v>0</v>
      </c>
      <c r="BW227" s="18">
        <f t="shared" si="331"/>
        <v>0</v>
      </c>
      <c r="BX227" s="18">
        <f t="shared" si="332"/>
        <v>0</v>
      </c>
      <c r="BY227" s="18">
        <f t="shared" si="333"/>
        <v>0</v>
      </c>
      <c r="BZ227" s="18">
        <f t="shared" si="334"/>
        <v>0</v>
      </c>
      <c r="CA227" s="18">
        <f t="shared" si="335"/>
        <v>0</v>
      </c>
      <c r="CB227" s="18">
        <f t="shared" si="336"/>
        <v>0</v>
      </c>
      <c r="CC227" s="18">
        <f t="shared" si="337"/>
        <v>0</v>
      </c>
      <c r="CD227" s="18">
        <f t="shared" si="338"/>
        <v>0</v>
      </c>
      <c r="CE227" s="18">
        <f t="shared" si="339"/>
        <v>0</v>
      </c>
      <c r="CF227" s="18">
        <f t="shared" si="340"/>
        <v>0</v>
      </c>
      <c r="CG227" s="18">
        <f t="shared" si="341"/>
        <v>0</v>
      </c>
      <c r="CH227" s="18">
        <f t="shared" si="342"/>
        <v>0</v>
      </c>
      <c r="CI227" s="18">
        <f t="shared" si="343"/>
        <v>0</v>
      </c>
      <c r="CJ227" s="18">
        <f t="shared" si="344"/>
        <v>0</v>
      </c>
    </row>
    <row r="228" spans="1:88" x14ac:dyDescent="0.3">
      <c r="A228" s="1">
        <v>44159</v>
      </c>
      <c r="B228">
        <v>44523.02</v>
      </c>
      <c r="C228">
        <f>Table1[[#This Row],[Close]]-0.001*Table1[[#This Row],[Close]]</f>
        <v>44478.496979999996</v>
      </c>
      <c r="D228">
        <f>Table1[[#This Row],[Close]]+0.001*Table1[[#This Row],[Close]]</f>
        <v>44567.543019999997</v>
      </c>
      <c r="E228" t="str">
        <f>IF(Table1[[#This Row],[Close]]&gt;D227,"UP",IF(Table1[[#This Row],[Close]]&lt;C227,"Down","Constant"))</f>
        <v>UP</v>
      </c>
      <c r="F228" s="3">
        <f>IF(Table1[[#This Row],[Column1]]="Up",1,IF(Table1[[#This Row],[Column1]]="Down",-1,0))</f>
        <v>1</v>
      </c>
      <c r="G228">
        <f t="shared" si="263"/>
        <v>0</v>
      </c>
      <c r="H228" s="18">
        <f t="shared" si="264"/>
        <v>0</v>
      </c>
      <c r="I228" s="18">
        <f t="shared" si="265"/>
        <v>0</v>
      </c>
      <c r="J228" s="18">
        <f t="shared" si="266"/>
        <v>0</v>
      </c>
      <c r="K228" s="18">
        <f t="shared" si="267"/>
        <v>0</v>
      </c>
      <c r="L228" s="18">
        <f t="shared" si="268"/>
        <v>0</v>
      </c>
      <c r="M228" s="18">
        <f t="shared" si="269"/>
        <v>1</v>
      </c>
      <c r="N228" s="18">
        <f t="shared" si="270"/>
        <v>0</v>
      </c>
      <c r="O228" s="18">
        <f t="shared" si="271"/>
        <v>0</v>
      </c>
      <c r="P228" s="18">
        <f t="shared" si="272"/>
        <v>0</v>
      </c>
      <c r="Q228" s="18">
        <f t="shared" si="273"/>
        <v>0</v>
      </c>
      <c r="R228" s="18">
        <f t="shared" si="274"/>
        <v>0</v>
      </c>
      <c r="S228" s="18">
        <f t="shared" si="275"/>
        <v>0</v>
      </c>
      <c r="T228" s="18">
        <f t="shared" si="276"/>
        <v>0</v>
      </c>
      <c r="U228" s="18">
        <f t="shared" si="277"/>
        <v>0</v>
      </c>
      <c r="V228" s="18">
        <f t="shared" si="278"/>
        <v>0</v>
      </c>
      <c r="W228" s="18">
        <f t="shared" si="279"/>
        <v>0</v>
      </c>
      <c r="X228" s="18">
        <f t="shared" si="280"/>
        <v>0</v>
      </c>
      <c r="Y228" s="18">
        <f t="shared" si="281"/>
        <v>0</v>
      </c>
      <c r="Z228" s="18">
        <f t="shared" si="282"/>
        <v>0</v>
      </c>
      <c r="AA228" s="18">
        <f t="shared" si="283"/>
        <v>0</v>
      </c>
      <c r="AB228" s="18">
        <f t="shared" si="284"/>
        <v>0</v>
      </c>
      <c r="AC228" s="18">
        <f t="shared" si="285"/>
        <v>0</v>
      </c>
      <c r="AD228" s="18">
        <f t="shared" si="286"/>
        <v>0</v>
      </c>
      <c r="AE228" s="18">
        <f t="shared" si="287"/>
        <v>0</v>
      </c>
      <c r="AF228" s="18">
        <f t="shared" si="288"/>
        <v>0</v>
      </c>
      <c r="AG228" s="18">
        <f t="shared" si="289"/>
        <v>0</v>
      </c>
      <c r="AH228" s="18">
        <f t="shared" si="290"/>
        <v>0</v>
      </c>
      <c r="AI228" s="18">
        <f t="shared" si="291"/>
        <v>0</v>
      </c>
      <c r="AJ228" s="18">
        <f t="shared" si="292"/>
        <v>0</v>
      </c>
      <c r="AK228" s="18">
        <f t="shared" si="293"/>
        <v>0</v>
      </c>
      <c r="AL228" s="18">
        <f t="shared" si="294"/>
        <v>0</v>
      </c>
      <c r="AM228" s="18">
        <f t="shared" si="295"/>
        <v>0</v>
      </c>
      <c r="AN228" s="18">
        <f t="shared" si="296"/>
        <v>0</v>
      </c>
      <c r="AO228" s="18">
        <f t="shared" si="297"/>
        <v>0</v>
      </c>
      <c r="AP228" s="18">
        <f t="shared" si="298"/>
        <v>0</v>
      </c>
      <c r="AQ228" s="18">
        <f t="shared" si="299"/>
        <v>0</v>
      </c>
      <c r="AR228" s="18">
        <f t="shared" si="300"/>
        <v>0</v>
      </c>
      <c r="AS228" s="18">
        <f t="shared" si="301"/>
        <v>0</v>
      </c>
      <c r="AT228" s="18">
        <f t="shared" si="302"/>
        <v>0</v>
      </c>
      <c r="AU228" s="18">
        <f t="shared" si="303"/>
        <v>0</v>
      </c>
      <c r="AV228" s="18">
        <f t="shared" si="304"/>
        <v>0</v>
      </c>
      <c r="AW228" s="18">
        <f t="shared" si="305"/>
        <v>0</v>
      </c>
      <c r="AX228" s="18">
        <f t="shared" si="306"/>
        <v>0</v>
      </c>
      <c r="AY228" s="18">
        <f t="shared" si="307"/>
        <v>0</v>
      </c>
      <c r="AZ228" s="18">
        <f t="shared" si="308"/>
        <v>0</v>
      </c>
      <c r="BA228" s="18">
        <f t="shared" si="309"/>
        <v>0</v>
      </c>
      <c r="BB228" s="18">
        <f t="shared" si="310"/>
        <v>0</v>
      </c>
      <c r="BC228" s="18">
        <f t="shared" si="311"/>
        <v>0</v>
      </c>
      <c r="BD228" s="18">
        <f t="shared" si="312"/>
        <v>0</v>
      </c>
      <c r="BE228" s="18">
        <f t="shared" si="313"/>
        <v>0</v>
      </c>
      <c r="BF228" s="18">
        <f t="shared" si="314"/>
        <v>0</v>
      </c>
      <c r="BG228" s="18">
        <f t="shared" si="315"/>
        <v>0</v>
      </c>
      <c r="BH228" s="18">
        <f t="shared" si="316"/>
        <v>0</v>
      </c>
      <c r="BI228" s="18">
        <f t="shared" si="317"/>
        <v>0</v>
      </c>
      <c r="BJ228" s="18">
        <f t="shared" si="318"/>
        <v>0</v>
      </c>
      <c r="BK228" s="18">
        <f t="shared" si="319"/>
        <v>0</v>
      </c>
      <c r="BL228" s="18">
        <f t="shared" si="320"/>
        <v>0</v>
      </c>
      <c r="BM228" s="18">
        <f t="shared" si="321"/>
        <v>0</v>
      </c>
      <c r="BN228" s="18">
        <f t="shared" si="322"/>
        <v>0</v>
      </c>
      <c r="BO228" s="18">
        <f t="shared" si="323"/>
        <v>0</v>
      </c>
      <c r="BP228" s="18">
        <f t="shared" si="324"/>
        <v>0</v>
      </c>
      <c r="BQ228" s="18">
        <f t="shared" si="325"/>
        <v>0</v>
      </c>
      <c r="BR228" s="18">
        <f t="shared" si="326"/>
        <v>0</v>
      </c>
      <c r="BS228" s="18">
        <f t="shared" si="327"/>
        <v>0</v>
      </c>
      <c r="BT228" s="18">
        <f t="shared" si="328"/>
        <v>0</v>
      </c>
      <c r="BU228" s="18">
        <f t="shared" si="329"/>
        <v>0</v>
      </c>
      <c r="BV228" s="18">
        <f t="shared" si="330"/>
        <v>0</v>
      </c>
      <c r="BW228" s="18">
        <f t="shared" si="331"/>
        <v>0</v>
      </c>
      <c r="BX228" s="18">
        <f t="shared" si="332"/>
        <v>0</v>
      </c>
      <c r="BY228" s="18">
        <f t="shared" si="333"/>
        <v>0</v>
      </c>
      <c r="BZ228" s="18">
        <f t="shared" si="334"/>
        <v>0</v>
      </c>
      <c r="CA228" s="18">
        <f t="shared" si="335"/>
        <v>0</v>
      </c>
      <c r="CB228" s="18">
        <f t="shared" si="336"/>
        <v>0</v>
      </c>
      <c r="CC228" s="18">
        <f t="shared" si="337"/>
        <v>0</v>
      </c>
      <c r="CD228" s="18">
        <f t="shared" si="338"/>
        <v>0</v>
      </c>
      <c r="CE228" s="18">
        <f t="shared" si="339"/>
        <v>0</v>
      </c>
      <c r="CF228" s="18">
        <f t="shared" si="340"/>
        <v>0</v>
      </c>
      <c r="CG228" s="18">
        <f t="shared" si="341"/>
        <v>0</v>
      </c>
      <c r="CH228" s="18">
        <f t="shared" si="342"/>
        <v>0</v>
      </c>
      <c r="CI228" s="18">
        <f t="shared" si="343"/>
        <v>0</v>
      </c>
      <c r="CJ228" s="18">
        <f t="shared" si="344"/>
        <v>0</v>
      </c>
    </row>
    <row r="229" spans="1:88" x14ac:dyDescent="0.3">
      <c r="A229" s="1">
        <v>44160</v>
      </c>
      <c r="B229">
        <v>43828.1</v>
      </c>
      <c r="C229">
        <f>Table1[[#This Row],[Close]]-0.001*Table1[[#This Row],[Close]]</f>
        <v>43784.2719</v>
      </c>
      <c r="D229">
        <f>Table1[[#This Row],[Close]]+0.001*Table1[[#This Row],[Close]]</f>
        <v>43871.928099999997</v>
      </c>
      <c r="E229" t="str">
        <f>IF(Table1[[#This Row],[Close]]&gt;D228,"UP",IF(Table1[[#This Row],[Close]]&lt;C228,"Down","Constant"))</f>
        <v>Down</v>
      </c>
      <c r="F229" s="3">
        <f>IF(Table1[[#This Row],[Column1]]="Up",1,IF(Table1[[#This Row],[Column1]]="Down",-1,0))</f>
        <v>-1</v>
      </c>
      <c r="G229">
        <f t="shared" si="263"/>
        <v>0</v>
      </c>
      <c r="H229" s="18">
        <f t="shared" si="264"/>
        <v>1</v>
      </c>
      <c r="I229" s="18">
        <f t="shared" si="265"/>
        <v>0</v>
      </c>
      <c r="J229" s="18">
        <f t="shared" si="266"/>
        <v>0</v>
      </c>
      <c r="K229" s="18">
        <f t="shared" si="267"/>
        <v>0</v>
      </c>
      <c r="L229" s="18">
        <f t="shared" si="268"/>
        <v>0</v>
      </c>
      <c r="M229" s="18">
        <f t="shared" si="269"/>
        <v>0</v>
      </c>
      <c r="N229" s="18">
        <f t="shared" si="270"/>
        <v>0</v>
      </c>
      <c r="O229" s="18">
        <f t="shared" si="271"/>
        <v>0</v>
      </c>
      <c r="P229" s="18">
        <f t="shared" si="272"/>
        <v>0</v>
      </c>
      <c r="Q229" s="18">
        <f t="shared" si="273"/>
        <v>0</v>
      </c>
      <c r="R229" s="18">
        <f t="shared" si="274"/>
        <v>0</v>
      </c>
      <c r="S229" s="18">
        <f t="shared" si="275"/>
        <v>0</v>
      </c>
      <c r="T229" s="18">
        <f t="shared" si="276"/>
        <v>0</v>
      </c>
      <c r="U229" s="18">
        <f t="shared" si="277"/>
        <v>0</v>
      </c>
      <c r="V229" s="18">
        <f t="shared" si="278"/>
        <v>0</v>
      </c>
      <c r="W229" s="18">
        <f t="shared" si="279"/>
        <v>0</v>
      </c>
      <c r="X229" s="18">
        <f t="shared" si="280"/>
        <v>0</v>
      </c>
      <c r="Y229" s="18">
        <f t="shared" si="281"/>
        <v>0</v>
      </c>
      <c r="Z229" s="18">
        <f t="shared" si="282"/>
        <v>0</v>
      </c>
      <c r="AA229" s="18">
        <f t="shared" si="283"/>
        <v>0</v>
      </c>
      <c r="AB229" s="18">
        <f t="shared" si="284"/>
        <v>0</v>
      </c>
      <c r="AC229" s="18">
        <f t="shared" si="285"/>
        <v>0</v>
      </c>
      <c r="AD229" s="18">
        <f t="shared" si="286"/>
        <v>0</v>
      </c>
      <c r="AE229" s="18">
        <f t="shared" si="287"/>
        <v>0</v>
      </c>
      <c r="AF229" s="18">
        <f t="shared" si="288"/>
        <v>0</v>
      </c>
      <c r="AG229" s="18">
        <f t="shared" si="289"/>
        <v>0</v>
      </c>
      <c r="AH229" s="18">
        <f t="shared" si="290"/>
        <v>0</v>
      </c>
      <c r="AI229" s="18">
        <f t="shared" si="291"/>
        <v>0</v>
      </c>
      <c r="AJ229" s="18">
        <f t="shared" si="292"/>
        <v>0</v>
      </c>
      <c r="AK229" s="18">
        <f t="shared" si="293"/>
        <v>0</v>
      </c>
      <c r="AL229" s="18">
        <f t="shared" si="294"/>
        <v>0</v>
      </c>
      <c r="AM229" s="18">
        <f t="shared" si="295"/>
        <v>0</v>
      </c>
      <c r="AN229" s="18">
        <f t="shared" si="296"/>
        <v>0</v>
      </c>
      <c r="AO229" s="18">
        <f t="shared" si="297"/>
        <v>0</v>
      </c>
      <c r="AP229" s="18">
        <f t="shared" si="298"/>
        <v>0</v>
      </c>
      <c r="AQ229" s="18">
        <f t="shared" si="299"/>
        <v>0</v>
      </c>
      <c r="AR229" s="18">
        <f t="shared" si="300"/>
        <v>0</v>
      </c>
      <c r="AS229" s="18">
        <f t="shared" si="301"/>
        <v>0</v>
      </c>
      <c r="AT229" s="18">
        <f t="shared" si="302"/>
        <v>0</v>
      </c>
      <c r="AU229" s="18">
        <f t="shared" si="303"/>
        <v>0</v>
      </c>
      <c r="AV229" s="18">
        <f t="shared" si="304"/>
        <v>0</v>
      </c>
      <c r="AW229" s="18">
        <f t="shared" si="305"/>
        <v>0</v>
      </c>
      <c r="AX229" s="18">
        <f t="shared" si="306"/>
        <v>0</v>
      </c>
      <c r="AY229" s="18">
        <f t="shared" si="307"/>
        <v>0</v>
      </c>
      <c r="AZ229" s="18">
        <f t="shared" si="308"/>
        <v>0</v>
      </c>
      <c r="BA229" s="18">
        <f t="shared" si="309"/>
        <v>0</v>
      </c>
      <c r="BB229" s="18">
        <f t="shared" si="310"/>
        <v>0</v>
      </c>
      <c r="BC229" s="18">
        <f t="shared" si="311"/>
        <v>0</v>
      </c>
      <c r="BD229" s="18">
        <f t="shared" si="312"/>
        <v>0</v>
      </c>
      <c r="BE229" s="18">
        <f t="shared" si="313"/>
        <v>0</v>
      </c>
      <c r="BF229" s="18">
        <f t="shared" si="314"/>
        <v>0</v>
      </c>
      <c r="BG229" s="18">
        <f t="shared" si="315"/>
        <v>0</v>
      </c>
      <c r="BH229" s="18">
        <f t="shared" si="316"/>
        <v>0</v>
      </c>
      <c r="BI229" s="18">
        <f t="shared" si="317"/>
        <v>0</v>
      </c>
      <c r="BJ229" s="18">
        <f t="shared" si="318"/>
        <v>0</v>
      </c>
      <c r="BK229" s="18">
        <f t="shared" si="319"/>
        <v>0</v>
      </c>
      <c r="BL229" s="18">
        <f t="shared" si="320"/>
        <v>0</v>
      </c>
      <c r="BM229" s="18">
        <f t="shared" si="321"/>
        <v>0</v>
      </c>
      <c r="BN229" s="18">
        <f t="shared" si="322"/>
        <v>0</v>
      </c>
      <c r="BO229" s="18">
        <f t="shared" si="323"/>
        <v>0</v>
      </c>
      <c r="BP229" s="18">
        <f t="shared" si="324"/>
        <v>0</v>
      </c>
      <c r="BQ229" s="18">
        <f t="shared" si="325"/>
        <v>0</v>
      </c>
      <c r="BR229" s="18">
        <f t="shared" si="326"/>
        <v>0</v>
      </c>
      <c r="BS229" s="18">
        <f t="shared" si="327"/>
        <v>0</v>
      </c>
      <c r="BT229" s="18">
        <f t="shared" si="328"/>
        <v>0</v>
      </c>
      <c r="BU229" s="18">
        <f t="shared" si="329"/>
        <v>0</v>
      </c>
      <c r="BV229" s="18">
        <f t="shared" si="330"/>
        <v>0</v>
      </c>
      <c r="BW229" s="18">
        <f t="shared" si="331"/>
        <v>0</v>
      </c>
      <c r="BX229" s="18">
        <f t="shared" si="332"/>
        <v>0</v>
      </c>
      <c r="BY229" s="18">
        <f t="shared" si="333"/>
        <v>0</v>
      </c>
      <c r="BZ229" s="18">
        <f t="shared" si="334"/>
        <v>0</v>
      </c>
      <c r="CA229" s="18">
        <f t="shared" si="335"/>
        <v>0</v>
      </c>
      <c r="CB229" s="18">
        <f t="shared" si="336"/>
        <v>0</v>
      </c>
      <c r="CC229" s="18">
        <f t="shared" si="337"/>
        <v>0</v>
      </c>
      <c r="CD229" s="18">
        <f t="shared" si="338"/>
        <v>0</v>
      </c>
      <c r="CE229" s="18">
        <f t="shared" si="339"/>
        <v>0</v>
      </c>
      <c r="CF229" s="18">
        <f t="shared" si="340"/>
        <v>0</v>
      </c>
      <c r="CG229" s="18">
        <f t="shared" si="341"/>
        <v>0</v>
      </c>
      <c r="CH229" s="18">
        <f t="shared" si="342"/>
        <v>0</v>
      </c>
      <c r="CI229" s="18">
        <f t="shared" si="343"/>
        <v>0</v>
      </c>
      <c r="CJ229" s="18">
        <f t="shared" si="344"/>
        <v>0</v>
      </c>
    </row>
    <row r="230" spans="1:88" x14ac:dyDescent="0.3">
      <c r="A230" s="1">
        <v>44161</v>
      </c>
      <c r="B230">
        <v>44259.74</v>
      </c>
      <c r="C230">
        <f>Table1[[#This Row],[Close]]-0.001*Table1[[#This Row],[Close]]</f>
        <v>44215.480259999997</v>
      </c>
      <c r="D230">
        <f>Table1[[#This Row],[Close]]+0.001*Table1[[#This Row],[Close]]</f>
        <v>44303.999739999999</v>
      </c>
      <c r="E230" t="str">
        <f>IF(Table1[[#This Row],[Close]]&gt;D229,"UP",IF(Table1[[#This Row],[Close]]&lt;C229,"Down","Constant"))</f>
        <v>UP</v>
      </c>
      <c r="F230" s="3">
        <f>IF(Table1[[#This Row],[Column1]]="Up",1,IF(Table1[[#This Row],[Column1]]="Down",-1,0))</f>
        <v>1</v>
      </c>
      <c r="G230">
        <f t="shared" si="263"/>
        <v>0</v>
      </c>
      <c r="H230" s="18">
        <f t="shared" si="264"/>
        <v>0</v>
      </c>
      <c r="I230" s="18">
        <f t="shared" si="265"/>
        <v>0</v>
      </c>
      <c r="J230" s="18">
        <f t="shared" si="266"/>
        <v>0</v>
      </c>
      <c r="K230" s="18">
        <f t="shared" si="267"/>
        <v>0</v>
      </c>
      <c r="L230" s="18">
        <f t="shared" si="268"/>
        <v>0</v>
      </c>
      <c r="M230" s="18">
        <f t="shared" si="269"/>
        <v>0</v>
      </c>
      <c r="N230" s="18">
        <f t="shared" si="270"/>
        <v>0</v>
      </c>
      <c r="O230" s="18">
        <f t="shared" si="271"/>
        <v>0</v>
      </c>
      <c r="P230" s="18">
        <f t="shared" si="272"/>
        <v>0</v>
      </c>
      <c r="Q230" s="18">
        <f t="shared" si="273"/>
        <v>0</v>
      </c>
      <c r="R230" s="18">
        <f t="shared" si="274"/>
        <v>0</v>
      </c>
      <c r="S230" s="18">
        <f t="shared" si="275"/>
        <v>1</v>
      </c>
      <c r="T230" s="18">
        <f t="shared" si="276"/>
        <v>0</v>
      </c>
      <c r="U230" s="18">
        <f t="shared" si="277"/>
        <v>0</v>
      </c>
      <c r="V230" s="18">
        <f t="shared" si="278"/>
        <v>0</v>
      </c>
      <c r="W230" s="18">
        <f t="shared" si="279"/>
        <v>0</v>
      </c>
      <c r="X230" s="18">
        <f t="shared" si="280"/>
        <v>0</v>
      </c>
      <c r="Y230" s="18">
        <f t="shared" si="281"/>
        <v>0</v>
      </c>
      <c r="Z230" s="18">
        <f t="shared" si="282"/>
        <v>0</v>
      </c>
      <c r="AA230" s="18">
        <f t="shared" si="283"/>
        <v>0</v>
      </c>
      <c r="AB230" s="18">
        <f t="shared" si="284"/>
        <v>0</v>
      </c>
      <c r="AC230" s="18">
        <f t="shared" si="285"/>
        <v>0</v>
      </c>
      <c r="AD230" s="18">
        <f t="shared" si="286"/>
        <v>0</v>
      </c>
      <c r="AE230" s="18">
        <f t="shared" si="287"/>
        <v>0</v>
      </c>
      <c r="AF230" s="18">
        <f t="shared" si="288"/>
        <v>0</v>
      </c>
      <c r="AG230" s="18">
        <f t="shared" si="289"/>
        <v>0</v>
      </c>
      <c r="AH230" s="18">
        <f t="shared" si="290"/>
        <v>0</v>
      </c>
      <c r="AI230" s="18">
        <f t="shared" si="291"/>
        <v>0</v>
      </c>
      <c r="AJ230" s="18">
        <f t="shared" si="292"/>
        <v>0</v>
      </c>
      <c r="AK230" s="18">
        <f t="shared" si="293"/>
        <v>0</v>
      </c>
      <c r="AL230" s="18">
        <f t="shared" si="294"/>
        <v>0</v>
      </c>
      <c r="AM230" s="18">
        <f t="shared" si="295"/>
        <v>0</v>
      </c>
      <c r="AN230" s="18">
        <f t="shared" si="296"/>
        <v>0</v>
      </c>
      <c r="AO230" s="18">
        <f t="shared" si="297"/>
        <v>0</v>
      </c>
      <c r="AP230" s="18">
        <f t="shared" si="298"/>
        <v>0</v>
      </c>
      <c r="AQ230" s="18">
        <f t="shared" si="299"/>
        <v>0</v>
      </c>
      <c r="AR230" s="18">
        <f t="shared" si="300"/>
        <v>0</v>
      </c>
      <c r="AS230" s="18">
        <f t="shared" si="301"/>
        <v>0</v>
      </c>
      <c r="AT230" s="18">
        <f t="shared" si="302"/>
        <v>0</v>
      </c>
      <c r="AU230" s="18">
        <f t="shared" si="303"/>
        <v>0</v>
      </c>
      <c r="AV230" s="18">
        <f t="shared" si="304"/>
        <v>0</v>
      </c>
      <c r="AW230" s="18">
        <f t="shared" si="305"/>
        <v>0</v>
      </c>
      <c r="AX230" s="18">
        <f t="shared" si="306"/>
        <v>0</v>
      </c>
      <c r="AY230" s="18">
        <f t="shared" si="307"/>
        <v>0</v>
      </c>
      <c r="AZ230" s="18">
        <f t="shared" si="308"/>
        <v>0</v>
      </c>
      <c r="BA230" s="18">
        <f t="shared" si="309"/>
        <v>0</v>
      </c>
      <c r="BB230" s="18">
        <f t="shared" si="310"/>
        <v>0</v>
      </c>
      <c r="BC230" s="18">
        <f t="shared" si="311"/>
        <v>0</v>
      </c>
      <c r="BD230" s="18">
        <f t="shared" si="312"/>
        <v>0</v>
      </c>
      <c r="BE230" s="18">
        <f t="shared" si="313"/>
        <v>0</v>
      </c>
      <c r="BF230" s="18">
        <f t="shared" si="314"/>
        <v>0</v>
      </c>
      <c r="BG230" s="18">
        <f t="shared" si="315"/>
        <v>0</v>
      </c>
      <c r="BH230" s="18">
        <f t="shared" si="316"/>
        <v>0</v>
      </c>
      <c r="BI230" s="18">
        <f t="shared" si="317"/>
        <v>0</v>
      </c>
      <c r="BJ230" s="18">
        <f t="shared" si="318"/>
        <v>0</v>
      </c>
      <c r="BK230" s="18">
        <f t="shared" si="319"/>
        <v>0</v>
      </c>
      <c r="BL230" s="18">
        <f t="shared" si="320"/>
        <v>0</v>
      </c>
      <c r="BM230" s="18">
        <f t="shared" si="321"/>
        <v>0</v>
      </c>
      <c r="BN230" s="18">
        <f t="shared" si="322"/>
        <v>0</v>
      </c>
      <c r="BO230" s="18">
        <f t="shared" si="323"/>
        <v>0</v>
      </c>
      <c r="BP230" s="18">
        <f t="shared" si="324"/>
        <v>0</v>
      </c>
      <c r="BQ230" s="18">
        <f t="shared" si="325"/>
        <v>0</v>
      </c>
      <c r="BR230" s="18">
        <f t="shared" si="326"/>
        <v>0</v>
      </c>
      <c r="BS230" s="18">
        <f t="shared" si="327"/>
        <v>0</v>
      </c>
      <c r="BT230" s="18">
        <f t="shared" si="328"/>
        <v>0</v>
      </c>
      <c r="BU230" s="18">
        <f t="shared" si="329"/>
        <v>0</v>
      </c>
      <c r="BV230" s="18">
        <f t="shared" si="330"/>
        <v>0</v>
      </c>
      <c r="BW230" s="18">
        <f t="shared" si="331"/>
        <v>0</v>
      </c>
      <c r="BX230" s="18">
        <f t="shared" si="332"/>
        <v>0</v>
      </c>
      <c r="BY230" s="18">
        <f t="shared" si="333"/>
        <v>0</v>
      </c>
      <c r="BZ230" s="18">
        <f t="shared" si="334"/>
        <v>0</v>
      </c>
      <c r="CA230" s="18">
        <f t="shared" si="335"/>
        <v>0</v>
      </c>
      <c r="CB230" s="18">
        <f t="shared" si="336"/>
        <v>0</v>
      </c>
      <c r="CC230" s="18">
        <f t="shared" si="337"/>
        <v>0</v>
      </c>
      <c r="CD230" s="18">
        <f t="shared" si="338"/>
        <v>0</v>
      </c>
      <c r="CE230" s="18">
        <f t="shared" si="339"/>
        <v>0</v>
      </c>
      <c r="CF230" s="18">
        <f t="shared" si="340"/>
        <v>0</v>
      </c>
      <c r="CG230" s="18">
        <f t="shared" si="341"/>
        <v>0</v>
      </c>
      <c r="CH230" s="18">
        <f t="shared" si="342"/>
        <v>0</v>
      </c>
      <c r="CI230" s="18">
        <f t="shared" si="343"/>
        <v>0</v>
      </c>
      <c r="CJ230" s="18">
        <f t="shared" si="344"/>
        <v>0</v>
      </c>
    </row>
    <row r="231" spans="1:88" x14ac:dyDescent="0.3">
      <c r="A231" s="1">
        <v>44162</v>
      </c>
      <c r="B231">
        <v>44149.72</v>
      </c>
      <c r="C231">
        <f>Table1[[#This Row],[Close]]-0.001*Table1[[#This Row],[Close]]</f>
        <v>44105.57028</v>
      </c>
      <c r="D231">
        <f>Table1[[#This Row],[Close]]+0.001*Table1[[#This Row],[Close]]</f>
        <v>44193.869720000002</v>
      </c>
      <c r="E231" t="str">
        <f>IF(Table1[[#This Row],[Close]]&gt;D230,"UP",IF(Table1[[#This Row],[Close]]&lt;C230,"Down","Constant"))</f>
        <v>Down</v>
      </c>
      <c r="F231" s="3">
        <f>IF(Table1[[#This Row],[Column1]]="Up",1,IF(Table1[[#This Row],[Column1]]="Down",-1,0))</f>
        <v>-1</v>
      </c>
      <c r="G231">
        <f t="shared" si="263"/>
        <v>0</v>
      </c>
      <c r="H231" s="18">
        <f t="shared" si="264"/>
        <v>0</v>
      </c>
      <c r="I231" s="18">
        <f t="shared" si="265"/>
        <v>0</v>
      </c>
      <c r="J231" s="18">
        <f t="shared" si="266"/>
        <v>0</v>
      </c>
      <c r="K231" s="18">
        <f t="shared" si="267"/>
        <v>0</v>
      </c>
      <c r="L231" s="18">
        <f t="shared" si="268"/>
        <v>0</v>
      </c>
      <c r="M231" s="18">
        <f t="shared" si="269"/>
        <v>0</v>
      </c>
      <c r="N231" s="18">
        <f t="shared" si="270"/>
        <v>1</v>
      </c>
      <c r="O231" s="18">
        <f t="shared" si="271"/>
        <v>0</v>
      </c>
      <c r="P231" s="18">
        <f t="shared" si="272"/>
        <v>0</v>
      </c>
      <c r="Q231" s="18">
        <f t="shared" si="273"/>
        <v>0</v>
      </c>
      <c r="R231" s="18">
        <f t="shared" si="274"/>
        <v>0</v>
      </c>
      <c r="S231" s="18">
        <f t="shared" si="275"/>
        <v>0</v>
      </c>
      <c r="T231" s="18">
        <f t="shared" si="276"/>
        <v>0</v>
      </c>
      <c r="U231" s="18">
        <f t="shared" si="277"/>
        <v>0</v>
      </c>
      <c r="V231" s="18">
        <f t="shared" si="278"/>
        <v>0</v>
      </c>
      <c r="W231" s="18">
        <f t="shared" si="279"/>
        <v>0</v>
      </c>
      <c r="X231" s="18">
        <f t="shared" si="280"/>
        <v>0</v>
      </c>
      <c r="Y231" s="18">
        <f t="shared" si="281"/>
        <v>0</v>
      </c>
      <c r="Z231" s="18">
        <f t="shared" si="282"/>
        <v>0</v>
      </c>
      <c r="AA231" s="18">
        <f t="shared" si="283"/>
        <v>0</v>
      </c>
      <c r="AB231" s="18">
        <f t="shared" si="284"/>
        <v>0</v>
      </c>
      <c r="AC231" s="18">
        <f t="shared" si="285"/>
        <v>0</v>
      </c>
      <c r="AD231" s="18">
        <f t="shared" si="286"/>
        <v>0</v>
      </c>
      <c r="AE231" s="18">
        <f t="shared" si="287"/>
        <v>0</v>
      </c>
      <c r="AF231" s="18">
        <f t="shared" si="288"/>
        <v>0</v>
      </c>
      <c r="AG231" s="18">
        <f t="shared" si="289"/>
        <v>0</v>
      </c>
      <c r="AH231" s="18">
        <f t="shared" si="290"/>
        <v>0</v>
      </c>
      <c r="AI231" s="18">
        <f t="shared" si="291"/>
        <v>0</v>
      </c>
      <c r="AJ231" s="18">
        <f t="shared" si="292"/>
        <v>0</v>
      </c>
      <c r="AK231" s="18">
        <f t="shared" si="293"/>
        <v>0</v>
      </c>
      <c r="AL231" s="18">
        <f t="shared" si="294"/>
        <v>0</v>
      </c>
      <c r="AM231" s="18">
        <f t="shared" si="295"/>
        <v>0</v>
      </c>
      <c r="AN231" s="18">
        <f t="shared" si="296"/>
        <v>0</v>
      </c>
      <c r="AO231" s="18">
        <f t="shared" si="297"/>
        <v>0</v>
      </c>
      <c r="AP231" s="18">
        <f t="shared" si="298"/>
        <v>0</v>
      </c>
      <c r="AQ231" s="18">
        <f t="shared" si="299"/>
        <v>0</v>
      </c>
      <c r="AR231" s="18">
        <f t="shared" si="300"/>
        <v>0</v>
      </c>
      <c r="AS231" s="18">
        <f t="shared" si="301"/>
        <v>0</v>
      </c>
      <c r="AT231" s="18">
        <f t="shared" si="302"/>
        <v>0</v>
      </c>
      <c r="AU231" s="18">
        <f t="shared" si="303"/>
        <v>0</v>
      </c>
      <c r="AV231" s="18">
        <f t="shared" si="304"/>
        <v>0</v>
      </c>
      <c r="AW231" s="18">
        <f t="shared" si="305"/>
        <v>0</v>
      </c>
      <c r="AX231" s="18">
        <f t="shared" si="306"/>
        <v>0</v>
      </c>
      <c r="AY231" s="18">
        <f t="shared" si="307"/>
        <v>0</v>
      </c>
      <c r="AZ231" s="18">
        <f t="shared" si="308"/>
        <v>0</v>
      </c>
      <c r="BA231" s="18">
        <f t="shared" si="309"/>
        <v>0</v>
      </c>
      <c r="BB231" s="18">
        <f t="shared" si="310"/>
        <v>0</v>
      </c>
      <c r="BC231" s="18">
        <f t="shared" si="311"/>
        <v>0</v>
      </c>
      <c r="BD231" s="18">
        <f t="shared" si="312"/>
        <v>0</v>
      </c>
      <c r="BE231" s="18">
        <f t="shared" si="313"/>
        <v>0</v>
      </c>
      <c r="BF231" s="18">
        <f t="shared" si="314"/>
        <v>0</v>
      </c>
      <c r="BG231" s="18">
        <f t="shared" si="315"/>
        <v>0</v>
      </c>
      <c r="BH231" s="18">
        <f t="shared" si="316"/>
        <v>0</v>
      </c>
      <c r="BI231" s="18">
        <f t="shared" si="317"/>
        <v>0</v>
      </c>
      <c r="BJ231" s="18">
        <f t="shared" si="318"/>
        <v>0</v>
      </c>
      <c r="BK231" s="18">
        <f t="shared" si="319"/>
        <v>0</v>
      </c>
      <c r="BL231" s="18">
        <f t="shared" si="320"/>
        <v>0</v>
      </c>
      <c r="BM231" s="18">
        <f t="shared" si="321"/>
        <v>0</v>
      </c>
      <c r="BN231" s="18">
        <f t="shared" si="322"/>
        <v>0</v>
      </c>
      <c r="BO231" s="18">
        <f t="shared" si="323"/>
        <v>0</v>
      </c>
      <c r="BP231" s="18">
        <f t="shared" si="324"/>
        <v>0</v>
      </c>
      <c r="BQ231" s="18">
        <f t="shared" si="325"/>
        <v>0</v>
      </c>
      <c r="BR231" s="18">
        <f t="shared" si="326"/>
        <v>0</v>
      </c>
      <c r="BS231" s="18">
        <f t="shared" si="327"/>
        <v>0</v>
      </c>
      <c r="BT231" s="18">
        <f t="shared" si="328"/>
        <v>0</v>
      </c>
      <c r="BU231" s="18">
        <f t="shared" si="329"/>
        <v>0</v>
      </c>
      <c r="BV231" s="18">
        <f t="shared" si="330"/>
        <v>0</v>
      </c>
      <c r="BW231" s="18">
        <f t="shared" si="331"/>
        <v>0</v>
      </c>
      <c r="BX231" s="18">
        <f t="shared" si="332"/>
        <v>0</v>
      </c>
      <c r="BY231" s="18">
        <f t="shared" si="333"/>
        <v>0</v>
      </c>
      <c r="BZ231" s="18">
        <f t="shared" si="334"/>
        <v>0</v>
      </c>
      <c r="CA231" s="18">
        <f t="shared" si="335"/>
        <v>0</v>
      </c>
      <c r="CB231" s="18">
        <f t="shared" si="336"/>
        <v>0</v>
      </c>
      <c r="CC231" s="18">
        <f t="shared" si="337"/>
        <v>0</v>
      </c>
      <c r="CD231" s="18">
        <f t="shared" si="338"/>
        <v>0</v>
      </c>
      <c r="CE231" s="18">
        <f t="shared" si="339"/>
        <v>0</v>
      </c>
      <c r="CF231" s="18">
        <f t="shared" si="340"/>
        <v>0</v>
      </c>
      <c r="CG231" s="18">
        <f t="shared" si="341"/>
        <v>0</v>
      </c>
      <c r="CH231" s="18">
        <f t="shared" si="342"/>
        <v>0</v>
      </c>
      <c r="CI231" s="18">
        <f t="shared" si="343"/>
        <v>0</v>
      </c>
      <c r="CJ231" s="18">
        <f t="shared" si="344"/>
        <v>0</v>
      </c>
    </row>
    <row r="232" spans="1:88" x14ac:dyDescent="0.3">
      <c r="A232" s="1">
        <v>44166</v>
      </c>
      <c r="B232">
        <v>44655.44</v>
      </c>
      <c r="C232">
        <f>Table1[[#This Row],[Close]]-0.001*Table1[[#This Row],[Close]]</f>
        <v>44610.78456</v>
      </c>
      <c r="D232">
        <f>Table1[[#This Row],[Close]]+0.001*Table1[[#This Row],[Close]]</f>
        <v>44700.095440000005</v>
      </c>
      <c r="E232" t="str">
        <f>IF(Table1[[#This Row],[Close]]&gt;D231,"UP",IF(Table1[[#This Row],[Close]]&lt;C231,"Down","Constant"))</f>
        <v>UP</v>
      </c>
      <c r="F232" s="3">
        <f>IF(Table1[[#This Row],[Column1]]="Up",1,IF(Table1[[#This Row],[Column1]]="Down",-1,0))</f>
        <v>1</v>
      </c>
      <c r="G232">
        <f t="shared" si="263"/>
        <v>0</v>
      </c>
      <c r="H232" s="18">
        <f t="shared" si="264"/>
        <v>0</v>
      </c>
      <c r="I232" s="18">
        <f t="shared" si="265"/>
        <v>0</v>
      </c>
      <c r="J232" s="18">
        <f t="shared" si="266"/>
        <v>0</v>
      </c>
      <c r="K232" s="18">
        <f t="shared" si="267"/>
        <v>0</v>
      </c>
      <c r="L232" s="18">
        <f t="shared" si="268"/>
        <v>0</v>
      </c>
      <c r="M232" s="18">
        <f t="shared" si="269"/>
        <v>0</v>
      </c>
      <c r="N232" s="18">
        <f t="shared" si="270"/>
        <v>0</v>
      </c>
      <c r="O232" s="18">
        <f t="shared" si="271"/>
        <v>0</v>
      </c>
      <c r="P232" s="18">
        <f t="shared" si="272"/>
        <v>0</v>
      </c>
      <c r="Q232" s="18">
        <f t="shared" si="273"/>
        <v>0</v>
      </c>
      <c r="R232" s="18">
        <f t="shared" si="274"/>
        <v>0</v>
      </c>
      <c r="S232" s="18">
        <f t="shared" si="275"/>
        <v>0</v>
      </c>
      <c r="T232" s="18">
        <f t="shared" si="276"/>
        <v>0</v>
      </c>
      <c r="U232" s="18">
        <f t="shared" si="277"/>
        <v>0</v>
      </c>
      <c r="V232" s="18">
        <f t="shared" si="278"/>
        <v>0</v>
      </c>
      <c r="W232" s="18">
        <f t="shared" si="279"/>
        <v>0</v>
      </c>
      <c r="X232" s="18">
        <f t="shared" si="280"/>
        <v>0</v>
      </c>
      <c r="Y232" s="18">
        <f t="shared" si="281"/>
        <v>0</v>
      </c>
      <c r="Z232" s="18">
        <f t="shared" si="282"/>
        <v>0</v>
      </c>
      <c r="AA232" s="18">
        <f t="shared" si="283"/>
        <v>0</v>
      </c>
      <c r="AB232" s="18">
        <f t="shared" si="284"/>
        <v>0</v>
      </c>
      <c r="AC232" s="18">
        <f t="shared" si="285"/>
        <v>0</v>
      </c>
      <c r="AD232" s="18">
        <f t="shared" si="286"/>
        <v>0</v>
      </c>
      <c r="AE232" s="18">
        <f t="shared" si="287"/>
        <v>1</v>
      </c>
      <c r="AF232" s="18">
        <f t="shared" si="288"/>
        <v>0</v>
      </c>
      <c r="AG232" s="18">
        <f t="shared" si="289"/>
        <v>0</v>
      </c>
      <c r="AH232" s="18">
        <f t="shared" si="290"/>
        <v>0</v>
      </c>
      <c r="AI232" s="18">
        <f t="shared" si="291"/>
        <v>0</v>
      </c>
      <c r="AJ232" s="18">
        <f t="shared" si="292"/>
        <v>0</v>
      </c>
      <c r="AK232" s="18">
        <f t="shared" si="293"/>
        <v>0</v>
      </c>
      <c r="AL232" s="18">
        <f t="shared" si="294"/>
        <v>0</v>
      </c>
      <c r="AM232" s="18">
        <f t="shared" si="295"/>
        <v>0</v>
      </c>
      <c r="AN232" s="18">
        <f t="shared" si="296"/>
        <v>0</v>
      </c>
      <c r="AO232" s="18">
        <f t="shared" si="297"/>
        <v>0</v>
      </c>
      <c r="AP232" s="18">
        <f t="shared" si="298"/>
        <v>0</v>
      </c>
      <c r="AQ232" s="18">
        <f t="shared" si="299"/>
        <v>0</v>
      </c>
      <c r="AR232" s="18">
        <f t="shared" si="300"/>
        <v>0</v>
      </c>
      <c r="AS232" s="18">
        <f t="shared" si="301"/>
        <v>0</v>
      </c>
      <c r="AT232" s="18">
        <f t="shared" si="302"/>
        <v>0</v>
      </c>
      <c r="AU232" s="18">
        <f t="shared" si="303"/>
        <v>0</v>
      </c>
      <c r="AV232" s="18">
        <f t="shared" si="304"/>
        <v>0</v>
      </c>
      <c r="AW232" s="18">
        <f t="shared" si="305"/>
        <v>0</v>
      </c>
      <c r="AX232" s="18">
        <f t="shared" si="306"/>
        <v>0</v>
      </c>
      <c r="AY232" s="18">
        <f t="shared" si="307"/>
        <v>0</v>
      </c>
      <c r="AZ232" s="18">
        <f t="shared" si="308"/>
        <v>0</v>
      </c>
      <c r="BA232" s="18">
        <f t="shared" si="309"/>
        <v>0</v>
      </c>
      <c r="BB232" s="18">
        <f t="shared" si="310"/>
        <v>0</v>
      </c>
      <c r="BC232" s="18">
        <f t="shared" si="311"/>
        <v>0</v>
      </c>
      <c r="BD232" s="18">
        <f t="shared" si="312"/>
        <v>0</v>
      </c>
      <c r="BE232" s="18">
        <f t="shared" si="313"/>
        <v>0</v>
      </c>
      <c r="BF232" s="18">
        <f t="shared" si="314"/>
        <v>0</v>
      </c>
      <c r="BG232" s="18">
        <f t="shared" si="315"/>
        <v>0</v>
      </c>
      <c r="BH232" s="18">
        <f t="shared" si="316"/>
        <v>0</v>
      </c>
      <c r="BI232" s="18">
        <f t="shared" si="317"/>
        <v>0</v>
      </c>
      <c r="BJ232" s="18">
        <f t="shared" si="318"/>
        <v>0</v>
      </c>
      <c r="BK232" s="18">
        <f t="shared" si="319"/>
        <v>0</v>
      </c>
      <c r="BL232" s="18">
        <f t="shared" si="320"/>
        <v>0</v>
      </c>
      <c r="BM232" s="18">
        <f t="shared" si="321"/>
        <v>0</v>
      </c>
      <c r="BN232" s="18">
        <f t="shared" si="322"/>
        <v>0</v>
      </c>
      <c r="BO232" s="18">
        <f t="shared" si="323"/>
        <v>0</v>
      </c>
      <c r="BP232" s="18">
        <f t="shared" si="324"/>
        <v>0</v>
      </c>
      <c r="BQ232" s="18">
        <f t="shared" si="325"/>
        <v>0</v>
      </c>
      <c r="BR232" s="18">
        <f t="shared" si="326"/>
        <v>0</v>
      </c>
      <c r="BS232" s="18">
        <f t="shared" si="327"/>
        <v>0</v>
      </c>
      <c r="BT232" s="18">
        <f t="shared" si="328"/>
        <v>0</v>
      </c>
      <c r="BU232" s="18">
        <f t="shared" si="329"/>
        <v>0</v>
      </c>
      <c r="BV232" s="18">
        <f t="shared" si="330"/>
        <v>0</v>
      </c>
      <c r="BW232" s="18">
        <f t="shared" si="331"/>
        <v>0</v>
      </c>
      <c r="BX232" s="18">
        <f t="shared" si="332"/>
        <v>0</v>
      </c>
      <c r="BY232" s="18">
        <f t="shared" si="333"/>
        <v>0</v>
      </c>
      <c r="BZ232" s="18">
        <f t="shared" si="334"/>
        <v>0</v>
      </c>
      <c r="CA232" s="18">
        <f t="shared" si="335"/>
        <v>0</v>
      </c>
      <c r="CB232" s="18">
        <f t="shared" si="336"/>
        <v>0</v>
      </c>
      <c r="CC232" s="18">
        <f t="shared" si="337"/>
        <v>0</v>
      </c>
      <c r="CD232" s="18">
        <f t="shared" si="338"/>
        <v>0</v>
      </c>
      <c r="CE232" s="18">
        <f t="shared" si="339"/>
        <v>0</v>
      </c>
      <c r="CF232" s="18">
        <f t="shared" si="340"/>
        <v>0</v>
      </c>
      <c r="CG232" s="18">
        <f t="shared" si="341"/>
        <v>0</v>
      </c>
      <c r="CH232" s="18">
        <f t="shared" si="342"/>
        <v>0</v>
      </c>
      <c r="CI232" s="18">
        <f t="shared" si="343"/>
        <v>0</v>
      </c>
      <c r="CJ232" s="18">
        <f t="shared" si="344"/>
        <v>0</v>
      </c>
    </row>
    <row r="233" spans="1:88" x14ac:dyDescent="0.3">
      <c r="A233" s="1">
        <v>44167</v>
      </c>
      <c r="B233">
        <v>44618.04</v>
      </c>
      <c r="C233">
        <f>Table1[[#This Row],[Close]]-0.001*Table1[[#This Row],[Close]]</f>
        <v>44573.42196</v>
      </c>
      <c r="D233">
        <f>Table1[[#This Row],[Close]]+0.001*Table1[[#This Row],[Close]]</f>
        <v>44662.658040000002</v>
      </c>
      <c r="E233" t="str">
        <f>IF(Table1[[#This Row],[Close]]&gt;D232,"UP",IF(Table1[[#This Row],[Close]]&lt;C232,"Down","Constant"))</f>
        <v>Constant</v>
      </c>
      <c r="F233" s="3">
        <f>IF(Table1[[#This Row],[Column1]]="Up",1,IF(Table1[[#This Row],[Column1]]="Down",-1,0))</f>
        <v>0</v>
      </c>
      <c r="G233">
        <f t="shared" si="263"/>
        <v>0</v>
      </c>
      <c r="H233" s="18">
        <f t="shared" si="264"/>
        <v>0</v>
      </c>
      <c r="I233" s="18">
        <f t="shared" si="265"/>
        <v>0</v>
      </c>
      <c r="J233" s="18">
        <f t="shared" si="266"/>
        <v>0</v>
      </c>
      <c r="K233" s="18">
        <f t="shared" si="267"/>
        <v>0</v>
      </c>
      <c r="L233" s="18">
        <f t="shared" si="268"/>
        <v>0</v>
      </c>
      <c r="M233" s="18">
        <f t="shared" si="269"/>
        <v>0</v>
      </c>
      <c r="N233" s="18">
        <f t="shared" si="270"/>
        <v>0</v>
      </c>
      <c r="O233" s="18">
        <f t="shared" si="271"/>
        <v>1</v>
      </c>
      <c r="P233" s="18">
        <f t="shared" si="272"/>
        <v>0</v>
      </c>
      <c r="Q233" s="18">
        <f t="shared" si="273"/>
        <v>0</v>
      </c>
      <c r="R233" s="18">
        <f t="shared" si="274"/>
        <v>0</v>
      </c>
      <c r="S233" s="18">
        <f t="shared" si="275"/>
        <v>0</v>
      </c>
      <c r="T233" s="18">
        <f t="shared" si="276"/>
        <v>0</v>
      </c>
      <c r="U233" s="18">
        <f t="shared" si="277"/>
        <v>0</v>
      </c>
      <c r="V233" s="18">
        <f t="shared" si="278"/>
        <v>0</v>
      </c>
      <c r="W233" s="18">
        <f t="shared" si="279"/>
        <v>0</v>
      </c>
      <c r="X233" s="18">
        <f t="shared" si="280"/>
        <v>0</v>
      </c>
      <c r="Y233" s="18">
        <f t="shared" si="281"/>
        <v>0</v>
      </c>
      <c r="Z233" s="18">
        <f t="shared" si="282"/>
        <v>0</v>
      </c>
      <c r="AA233" s="18">
        <f t="shared" si="283"/>
        <v>0</v>
      </c>
      <c r="AB233" s="18">
        <f t="shared" si="284"/>
        <v>0</v>
      </c>
      <c r="AC233" s="18">
        <f t="shared" si="285"/>
        <v>0</v>
      </c>
      <c r="AD233" s="18">
        <f t="shared" si="286"/>
        <v>0</v>
      </c>
      <c r="AE233" s="18">
        <f t="shared" si="287"/>
        <v>0</v>
      </c>
      <c r="AF233" s="18">
        <f t="shared" si="288"/>
        <v>0</v>
      </c>
      <c r="AG233" s="18">
        <f t="shared" si="289"/>
        <v>0</v>
      </c>
      <c r="AH233" s="18">
        <f t="shared" si="290"/>
        <v>0</v>
      </c>
      <c r="AI233" s="18">
        <f t="shared" si="291"/>
        <v>0</v>
      </c>
      <c r="AJ233" s="18">
        <f t="shared" si="292"/>
        <v>0</v>
      </c>
      <c r="AK233" s="18">
        <f t="shared" si="293"/>
        <v>0</v>
      </c>
      <c r="AL233" s="18">
        <f t="shared" si="294"/>
        <v>0</v>
      </c>
      <c r="AM233" s="18">
        <f t="shared" si="295"/>
        <v>0</v>
      </c>
      <c r="AN233" s="18">
        <f t="shared" si="296"/>
        <v>0</v>
      </c>
      <c r="AO233" s="18">
        <f t="shared" si="297"/>
        <v>0</v>
      </c>
      <c r="AP233" s="18">
        <f t="shared" si="298"/>
        <v>0</v>
      </c>
      <c r="AQ233" s="18">
        <f t="shared" si="299"/>
        <v>0</v>
      </c>
      <c r="AR233" s="18">
        <f t="shared" si="300"/>
        <v>0</v>
      </c>
      <c r="AS233" s="18">
        <f t="shared" si="301"/>
        <v>0</v>
      </c>
      <c r="AT233" s="18">
        <f t="shared" si="302"/>
        <v>0</v>
      </c>
      <c r="AU233" s="18">
        <f t="shared" si="303"/>
        <v>0</v>
      </c>
      <c r="AV233" s="18">
        <f t="shared" si="304"/>
        <v>0</v>
      </c>
      <c r="AW233" s="18">
        <f t="shared" si="305"/>
        <v>0</v>
      </c>
      <c r="AX233" s="18">
        <f t="shared" si="306"/>
        <v>0</v>
      </c>
      <c r="AY233" s="18">
        <f t="shared" si="307"/>
        <v>0</v>
      </c>
      <c r="AZ233" s="18">
        <f t="shared" si="308"/>
        <v>0</v>
      </c>
      <c r="BA233" s="18">
        <f t="shared" si="309"/>
        <v>0</v>
      </c>
      <c r="BB233" s="18">
        <f t="shared" si="310"/>
        <v>0</v>
      </c>
      <c r="BC233" s="18">
        <f t="shared" si="311"/>
        <v>0</v>
      </c>
      <c r="BD233" s="18">
        <f t="shared" si="312"/>
        <v>0</v>
      </c>
      <c r="BE233" s="18">
        <f t="shared" si="313"/>
        <v>0</v>
      </c>
      <c r="BF233" s="18">
        <f t="shared" si="314"/>
        <v>0</v>
      </c>
      <c r="BG233" s="18">
        <f t="shared" si="315"/>
        <v>0</v>
      </c>
      <c r="BH233" s="18">
        <f t="shared" si="316"/>
        <v>0</v>
      </c>
      <c r="BI233" s="18">
        <f t="shared" si="317"/>
        <v>0</v>
      </c>
      <c r="BJ233" s="18">
        <f t="shared" si="318"/>
        <v>0</v>
      </c>
      <c r="BK233" s="18">
        <f t="shared" si="319"/>
        <v>0</v>
      </c>
      <c r="BL233" s="18">
        <f t="shared" si="320"/>
        <v>0</v>
      </c>
      <c r="BM233" s="18">
        <f t="shared" si="321"/>
        <v>0</v>
      </c>
      <c r="BN233" s="18">
        <f t="shared" si="322"/>
        <v>0</v>
      </c>
      <c r="BO233" s="18">
        <f t="shared" si="323"/>
        <v>0</v>
      </c>
      <c r="BP233" s="18">
        <f t="shared" si="324"/>
        <v>0</v>
      </c>
      <c r="BQ233" s="18">
        <f t="shared" si="325"/>
        <v>0</v>
      </c>
      <c r="BR233" s="18">
        <f t="shared" si="326"/>
        <v>0</v>
      </c>
      <c r="BS233" s="18">
        <f t="shared" si="327"/>
        <v>0</v>
      </c>
      <c r="BT233" s="18">
        <f t="shared" si="328"/>
        <v>0</v>
      </c>
      <c r="BU233" s="18">
        <f t="shared" si="329"/>
        <v>0</v>
      </c>
      <c r="BV233" s="18">
        <f t="shared" si="330"/>
        <v>0</v>
      </c>
      <c r="BW233" s="18">
        <f t="shared" si="331"/>
        <v>0</v>
      </c>
      <c r="BX233" s="18">
        <f t="shared" si="332"/>
        <v>0</v>
      </c>
      <c r="BY233" s="18">
        <f t="shared" si="333"/>
        <v>0</v>
      </c>
      <c r="BZ233" s="18">
        <f t="shared" si="334"/>
        <v>0</v>
      </c>
      <c r="CA233" s="18">
        <f t="shared" si="335"/>
        <v>0</v>
      </c>
      <c r="CB233" s="18">
        <f t="shared" si="336"/>
        <v>0</v>
      </c>
      <c r="CC233" s="18">
        <f t="shared" si="337"/>
        <v>0</v>
      </c>
      <c r="CD233" s="18">
        <f t="shared" si="338"/>
        <v>0</v>
      </c>
      <c r="CE233" s="18">
        <f t="shared" si="339"/>
        <v>0</v>
      </c>
      <c r="CF233" s="18">
        <f t="shared" si="340"/>
        <v>0</v>
      </c>
      <c r="CG233" s="18">
        <f t="shared" si="341"/>
        <v>0</v>
      </c>
      <c r="CH233" s="18">
        <f t="shared" si="342"/>
        <v>0</v>
      </c>
      <c r="CI233" s="18">
        <f t="shared" si="343"/>
        <v>0</v>
      </c>
      <c r="CJ233" s="18">
        <f t="shared" si="344"/>
        <v>0</v>
      </c>
    </row>
    <row r="234" spans="1:88" x14ac:dyDescent="0.3">
      <c r="A234" s="1">
        <v>44168</v>
      </c>
      <c r="B234">
        <v>44632.65</v>
      </c>
      <c r="C234">
        <f>Table1[[#This Row],[Close]]-0.001*Table1[[#This Row],[Close]]</f>
        <v>44588.017350000002</v>
      </c>
      <c r="D234">
        <f>Table1[[#This Row],[Close]]+0.001*Table1[[#This Row],[Close]]</f>
        <v>44677.282650000001</v>
      </c>
      <c r="E234" t="str">
        <f>IF(Table1[[#This Row],[Close]]&gt;D233,"UP",IF(Table1[[#This Row],[Close]]&lt;C233,"Down","Constant"))</f>
        <v>Constant</v>
      </c>
      <c r="F234" s="3">
        <f>IF(Table1[[#This Row],[Column1]]="Up",1,IF(Table1[[#This Row],[Column1]]="Down",-1,0))</f>
        <v>0</v>
      </c>
      <c r="G234">
        <f t="shared" si="263"/>
        <v>0</v>
      </c>
      <c r="H234" s="18">
        <f t="shared" si="264"/>
        <v>0</v>
      </c>
      <c r="I234" s="18">
        <f t="shared" si="265"/>
        <v>0</v>
      </c>
      <c r="J234" s="18">
        <f t="shared" si="266"/>
        <v>0</v>
      </c>
      <c r="K234" s="18">
        <f t="shared" si="267"/>
        <v>0</v>
      </c>
      <c r="L234" s="18">
        <f t="shared" si="268"/>
        <v>0</v>
      </c>
      <c r="M234" s="18">
        <f t="shared" si="269"/>
        <v>0</v>
      </c>
      <c r="N234" s="18">
        <f t="shared" si="270"/>
        <v>0</v>
      </c>
      <c r="O234" s="18">
        <f t="shared" si="271"/>
        <v>0</v>
      </c>
      <c r="P234" s="18">
        <f t="shared" si="272"/>
        <v>0</v>
      </c>
      <c r="Q234" s="18">
        <f t="shared" si="273"/>
        <v>0</v>
      </c>
      <c r="R234" s="18">
        <f t="shared" si="274"/>
        <v>0</v>
      </c>
      <c r="S234" s="18">
        <f t="shared" si="275"/>
        <v>0</v>
      </c>
      <c r="T234" s="18">
        <f t="shared" si="276"/>
        <v>0</v>
      </c>
      <c r="U234" s="18">
        <f t="shared" si="277"/>
        <v>0</v>
      </c>
      <c r="V234" s="18">
        <f t="shared" si="278"/>
        <v>0</v>
      </c>
      <c r="W234" s="18">
        <f t="shared" si="279"/>
        <v>0</v>
      </c>
      <c r="X234" s="18">
        <f t="shared" si="280"/>
        <v>0</v>
      </c>
      <c r="Y234" s="18">
        <f t="shared" si="281"/>
        <v>0</v>
      </c>
      <c r="Z234" s="18">
        <f t="shared" si="282"/>
        <v>0</v>
      </c>
      <c r="AA234" s="18">
        <f t="shared" si="283"/>
        <v>0</v>
      </c>
      <c r="AB234" s="18">
        <f t="shared" si="284"/>
        <v>0</v>
      </c>
      <c r="AC234" s="18">
        <f t="shared" si="285"/>
        <v>0</v>
      </c>
      <c r="AD234" s="18">
        <f t="shared" si="286"/>
        <v>0</v>
      </c>
      <c r="AE234" s="18">
        <f t="shared" si="287"/>
        <v>0</v>
      </c>
      <c r="AF234" s="18">
        <f t="shared" si="288"/>
        <v>0</v>
      </c>
      <c r="AG234" s="18">
        <f t="shared" si="289"/>
        <v>0</v>
      </c>
      <c r="AH234" s="18">
        <f t="shared" si="290"/>
        <v>0</v>
      </c>
      <c r="AI234" s="18">
        <f t="shared" si="291"/>
        <v>0</v>
      </c>
      <c r="AJ234" s="18">
        <f t="shared" si="292"/>
        <v>0</v>
      </c>
      <c r="AK234" s="18">
        <f t="shared" si="293"/>
        <v>0</v>
      </c>
      <c r="AL234" s="18">
        <f t="shared" si="294"/>
        <v>0</v>
      </c>
      <c r="AM234" s="18">
        <f t="shared" si="295"/>
        <v>0</v>
      </c>
      <c r="AN234" s="18">
        <f t="shared" si="296"/>
        <v>0</v>
      </c>
      <c r="AO234" s="18">
        <f t="shared" si="297"/>
        <v>0</v>
      </c>
      <c r="AP234" s="18">
        <f t="shared" si="298"/>
        <v>0</v>
      </c>
      <c r="AQ234" s="18">
        <f t="shared" si="299"/>
        <v>0</v>
      </c>
      <c r="AR234" s="18">
        <f t="shared" si="300"/>
        <v>0</v>
      </c>
      <c r="AS234" s="18">
        <f t="shared" si="301"/>
        <v>0</v>
      </c>
      <c r="AT234" s="18">
        <f t="shared" si="302"/>
        <v>0</v>
      </c>
      <c r="AU234" s="18">
        <f t="shared" si="303"/>
        <v>0</v>
      </c>
      <c r="AV234" s="18">
        <f t="shared" si="304"/>
        <v>0</v>
      </c>
      <c r="AW234" s="18">
        <f t="shared" si="305"/>
        <v>0</v>
      </c>
      <c r="AX234" s="18">
        <f t="shared" si="306"/>
        <v>0</v>
      </c>
      <c r="AY234" s="18">
        <f t="shared" si="307"/>
        <v>0</v>
      </c>
      <c r="AZ234" s="18">
        <f t="shared" si="308"/>
        <v>0</v>
      </c>
      <c r="BA234" s="18">
        <f t="shared" si="309"/>
        <v>0</v>
      </c>
      <c r="BB234" s="18">
        <f t="shared" si="310"/>
        <v>0</v>
      </c>
      <c r="BC234" s="18">
        <f t="shared" si="311"/>
        <v>0</v>
      </c>
      <c r="BD234" s="18">
        <f t="shared" si="312"/>
        <v>0</v>
      </c>
      <c r="BE234" s="18">
        <f t="shared" si="313"/>
        <v>0</v>
      </c>
      <c r="BF234" s="18">
        <f t="shared" si="314"/>
        <v>0</v>
      </c>
      <c r="BG234" s="18">
        <f t="shared" si="315"/>
        <v>0</v>
      </c>
      <c r="BH234" s="18">
        <f t="shared" si="316"/>
        <v>1</v>
      </c>
      <c r="BI234" s="18">
        <f t="shared" si="317"/>
        <v>0</v>
      </c>
      <c r="BJ234" s="18">
        <f t="shared" si="318"/>
        <v>0</v>
      </c>
      <c r="BK234" s="18">
        <f t="shared" si="319"/>
        <v>0</v>
      </c>
      <c r="BL234" s="18">
        <f t="shared" si="320"/>
        <v>0</v>
      </c>
      <c r="BM234" s="18">
        <f t="shared" si="321"/>
        <v>0</v>
      </c>
      <c r="BN234" s="18">
        <f t="shared" si="322"/>
        <v>0</v>
      </c>
      <c r="BO234" s="18">
        <f t="shared" si="323"/>
        <v>0</v>
      </c>
      <c r="BP234" s="18">
        <f t="shared" si="324"/>
        <v>0</v>
      </c>
      <c r="BQ234" s="18">
        <f t="shared" si="325"/>
        <v>0</v>
      </c>
      <c r="BR234" s="18">
        <f t="shared" si="326"/>
        <v>0</v>
      </c>
      <c r="BS234" s="18">
        <f t="shared" si="327"/>
        <v>0</v>
      </c>
      <c r="BT234" s="18">
        <f t="shared" si="328"/>
        <v>0</v>
      </c>
      <c r="BU234" s="18">
        <f t="shared" si="329"/>
        <v>0</v>
      </c>
      <c r="BV234" s="18">
        <f t="shared" si="330"/>
        <v>0</v>
      </c>
      <c r="BW234" s="18">
        <f t="shared" si="331"/>
        <v>0</v>
      </c>
      <c r="BX234" s="18">
        <f t="shared" si="332"/>
        <v>0</v>
      </c>
      <c r="BY234" s="18">
        <f t="shared" si="333"/>
        <v>0</v>
      </c>
      <c r="BZ234" s="18">
        <f t="shared" si="334"/>
        <v>0</v>
      </c>
      <c r="CA234" s="18">
        <f t="shared" si="335"/>
        <v>0</v>
      </c>
      <c r="CB234" s="18">
        <f t="shared" si="336"/>
        <v>0</v>
      </c>
      <c r="CC234" s="18">
        <f t="shared" si="337"/>
        <v>0</v>
      </c>
      <c r="CD234" s="18">
        <f t="shared" si="338"/>
        <v>0</v>
      </c>
      <c r="CE234" s="18">
        <f t="shared" si="339"/>
        <v>0</v>
      </c>
      <c r="CF234" s="18">
        <f t="shared" si="340"/>
        <v>0</v>
      </c>
      <c r="CG234" s="18">
        <f t="shared" si="341"/>
        <v>0</v>
      </c>
      <c r="CH234" s="18">
        <f t="shared" si="342"/>
        <v>0</v>
      </c>
      <c r="CI234" s="18">
        <f t="shared" si="343"/>
        <v>0</v>
      </c>
      <c r="CJ234" s="18">
        <f t="shared" si="344"/>
        <v>0</v>
      </c>
    </row>
    <row r="235" spans="1:88" x14ac:dyDescent="0.3">
      <c r="A235" s="1">
        <v>44169</v>
      </c>
      <c r="B235">
        <v>45079.55</v>
      </c>
      <c r="C235">
        <f>Table1[[#This Row],[Close]]-0.001*Table1[[#This Row],[Close]]</f>
        <v>45034.470450000001</v>
      </c>
      <c r="D235">
        <f>Table1[[#This Row],[Close]]+0.001*Table1[[#This Row],[Close]]</f>
        <v>45124.629550000005</v>
      </c>
      <c r="E235" t="str">
        <f>IF(Table1[[#This Row],[Close]]&gt;D234,"UP",IF(Table1[[#This Row],[Close]]&lt;C234,"Down","Constant"))</f>
        <v>UP</v>
      </c>
      <c r="F235" s="3">
        <f>IF(Table1[[#This Row],[Column1]]="Up",1,IF(Table1[[#This Row],[Column1]]="Down",-1,0))</f>
        <v>1</v>
      </c>
      <c r="G235">
        <f t="shared" si="263"/>
        <v>0</v>
      </c>
      <c r="H235" s="18">
        <f t="shared" si="264"/>
        <v>0</v>
      </c>
      <c r="I235" s="18">
        <f t="shared" si="265"/>
        <v>0</v>
      </c>
      <c r="J235" s="18">
        <f t="shared" si="266"/>
        <v>0</v>
      </c>
      <c r="K235" s="18">
        <f t="shared" si="267"/>
        <v>0</v>
      </c>
      <c r="L235" s="18">
        <f t="shared" si="268"/>
        <v>0</v>
      </c>
      <c r="M235" s="18">
        <f t="shared" si="269"/>
        <v>0</v>
      </c>
      <c r="N235" s="18">
        <f t="shared" si="270"/>
        <v>0</v>
      </c>
      <c r="O235" s="18">
        <f t="shared" si="271"/>
        <v>0</v>
      </c>
      <c r="P235" s="18">
        <f t="shared" si="272"/>
        <v>0</v>
      </c>
      <c r="Q235" s="18">
        <f t="shared" si="273"/>
        <v>0</v>
      </c>
      <c r="R235" s="18">
        <f t="shared" si="274"/>
        <v>0</v>
      </c>
      <c r="S235" s="18">
        <f t="shared" si="275"/>
        <v>0</v>
      </c>
      <c r="T235" s="18">
        <f t="shared" si="276"/>
        <v>0</v>
      </c>
      <c r="U235" s="18">
        <f t="shared" si="277"/>
        <v>0</v>
      </c>
      <c r="V235" s="18">
        <f t="shared" si="278"/>
        <v>0</v>
      </c>
      <c r="W235" s="18">
        <f t="shared" si="279"/>
        <v>0</v>
      </c>
      <c r="X235" s="18">
        <f t="shared" si="280"/>
        <v>0</v>
      </c>
      <c r="Y235" s="18">
        <f t="shared" si="281"/>
        <v>0</v>
      </c>
      <c r="Z235" s="18">
        <f t="shared" si="282"/>
        <v>0</v>
      </c>
      <c r="AA235" s="18">
        <f t="shared" si="283"/>
        <v>0</v>
      </c>
      <c r="AB235" s="18">
        <f t="shared" si="284"/>
        <v>0</v>
      </c>
      <c r="AC235" s="18">
        <f t="shared" si="285"/>
        <v>0</v>
      </c>
      <c r="AD235" s="18">
        <f t="shared" si="286"/>
        <v>0</v>
      </c>
      <c r="AE235" s="18">
        <f t="shared" si="287"/>
        <v>0</v>
      </c>
      <c r="AF235" s="18">
        <f t="shared" si="288"/>
        <v>0</v>
      </c>
      <c r="AG235" s="18">
        <f t="shared" si="289"/>
        <v>0</v>
      </c>
      <c r="AH235" s="18">
        <f t="shared" si="290"/>
        <v>0</v>
      </c>
      <c r="AI235" s="18">
        <f t="shared" si="291"/>
        <v>0</v>
      </c>
      <c r="AJ235" s="18">
        <f t="shared" si="292"/>
        <v>0</v>
      </c>
      <c r="AK235" s="18">
        <f t="shared" si="293"/>
        <v>0</v>
      </c>
      <c r="AL235" s="18">
        <f t="shared" si="294"/>
        <v>0</v>
      </c>
      <c r="AM235" s="18">
        <f t="shared" si="295"/>
        <v>0</v>
      </c>
      <c r="AN235" s="18">
        <f t="shared" si="296"/>
        <v>0</v>
      </c>
      <c r="AO235" s="18">
        <f t="shared" si="297"/>
        <v>0</v>
      </c>
      <c r="AP235" s="18">
        <f t="shared" si="298"/>
        <v>0</v>
      </c>
      <c r="AQ235" s="18">
        <f t="shared" si="299"/>
        <v>1</v>
      </c>
      <c r="AR235" s="18">
        <f t="shared" si="300"/>
        <v>0</v>
      </c>
      <c r="AS235" s="18">
        <f t="shared" si="301"/>
        <v>0</v>
      </c>
      <c r="AT235" s="18">
        <f t="shared" si="302"/>
        <v>0</v>
      </c>
      <c r="AU235" s="18">
        <f t="shared" si="303"/>
        <v>0</v>
      </c>
      <c r="AV235" s="18">
        <f t="shared" si="304"/>
        <v>0</v>
      </c>
      <c r="AW235" s="18">
        <f t="shared" si="305"/>
        <v>0</v>
      </c>
      <c r="AX235" s="18">
        <f t="shared" si="306"/>
        <v>0</v>
      </c>
      <c r="AY235" s="18">
        <f t="shared" si="307"/>
        <v>0</v>
      </c>
      <c r="AZ235" s="18">
        <f t="shared" si="308"/>
        <v>0</v>
      </c>
      <c r="BA235" s="18">
        <f t="shared" si="309"/>
        <v>0</v>
      </c>
      <c r="BB235" s="18">
        <f t="shared" si="310"/>
        <v>0</v>
      </c>
      <c r="BC235" s="18">
        <f t="shared" si="311"/>
        <v>0</v>
      </c>
      <c r="BD235" s="18">
        <f t="shared" si="312"/>
        <v>0</v>
      </c>
      <c r="BE235" s="18">
        <f t="shared" si="313"/>
        <v>0</v>
      </c>
      <c r="BF235" s="18">
        <f t="shared" si="314"/>
        <v>0</v>
      </c>
      <c r="BG235" s="18">
        <f t="shared" si="315"/>
        <v>0</v>
      </c>
      <c r="BH235" s="18">
        <f t="shared" si="316"/>
        <v>0</v>
      </c>
      <c r="BI235" s="18">
        <f t="shared" si="317"/>
        <v>0</v>
      </c>
      <c r="BJ235" s="18">
        <f t="shared" si="318"/>
        <v>0</v>
      </c>
      <c r="BK235" s="18">
        <f t="shared" si="319"/>
        <v>0</v>
      </c>
      <c r="BL235" s="18">
        <f t="shared" si="320"/>
        <v>0</v>
      </c>
      <c r="BM235" s="18">
        <f t="shared" si="321"/>
        <v>0</v>
      </c>
      <c r="BN235" s="18">
        <f t="shared" si="322"/>
        <v>0</v>
      </c>
      <c r="BO235" s="18">
        <f t="shared" si="323"/>
        <v>0</v>
      </c>
      <c r="BP235" s="18">
        <f t="shared" si="324"/>
        <v>0</v>
      </c>
      <c r="BQ235" s="18">
        <f t="shared" si="325"/>
        <v>0</v>
      </c>
      <c r="BR235" s="18">
        <f t="shared" si="326"/>
        <v>0</v>
      </c>
      <c r="BS235" s="18">
        <f t="shared" si="327"/>
        <v>0</v>
      </c>
      <c r="BT235" s="18">
        <f t="shared" si="328"/>
        <v>0</v>
      </c>
      <c r="BU235" s="18">
        <f t="shared" si="329"/>
        <v>0</v>
      </c>
      <c r="BV235" s="18">
        <f t="shared" si="330"/>
        <v>0</v>
      </c>
      <c r="BW235" s="18">
        <f t="shared" si="331"/>
        <v>0</v>
      </c>
      <c r="BX235" s="18">
        <f t="shared" si="332"/>
        <v>0</v>
      </c>
      <c r="BY235" s="18">
        <f t="shared" si="333"/>
        <v>0</v>
      </c>
      <c r="BZ235" s="18">
        <f t="shared" si="334"/>
        <v>0</v>
      </c>
      <c r="CA235" s="18">
        <f t="shared" si="335"/>
        <v>0</v>
      </c>
      <c r="CB235" s="18">
        <f t="shared" si="336"/>
        <v>0</v>
      </c>
      <c r="CC235" s="18">
        <f t="shared" si="337"/>
        <v>0</v>
      </c>
      <c r="CD235" s="18">
        <f t="shared" si="338"/>
        <v>0</v>
      </c>
      <c r="CE235" s="18">
        <f t="shared" si="339"/>
        <v>0</v>
      </c>
      <c r="CF235" s="18">
        <f t="shared" si="340"/>
        <v>0</v>
      </c>
      <c r="CG235" s="18">
        <f t="shared" si="341"/>
        <v>0</v>
      </c>
      <c r="CH235" s="18">
        <f t="shared" si="342"/>
        <v>0</v>
      </c>
      <c r="CI235" s="18">
        <f t="shared" si="343"/>
        <v>0</v>
      </c>
      <c r="CJ235" s="18">
        <f t="shared" si="344"/>
        <v>0</v>
      </c>
    </row>
    <row r="236" spans="1:88" x14ac:dyDescent="0.3">
      <c r="A236" s="1">
        <v>44172</v>
      </c>
      <c r="B236">
        <v>45426.97</v>
      </c>
      <c r="C236">
        <f>Table1[[#This Row],[Close]]-0.001*Table1[[#This Row],[Close]]</f>
        <v>45381.543030000001</v>
      </c>
      <c r="D236">
        <f>Table1[[#This Row],[Close]]+0.001*Table1[[#This Row],[Close]]</f>
        <v>45472.396970000002</v>
      </c>
      <c r="E236" t="str">
        <f>IF(Table1[[#This Row],[Close]]&gt;D235,"UP",IF(Table1[[#This Row],[Close]]&lt;C235,"Down","Constant"))</f>
        <v>UP</v>
      </c>
      <c r="F236" s="3">
        <f>IF(Table1[[#This Row],[Column1]]="Up",1,IF(Table1[[#This Row],[Column1]]="Down",-1,0))</f>
        <v>1</v>
      </c>
      <c r="G236">
        <f t="shared" si="263"/>
        <v>0</v>
      </c>
      <c r="H236" s="18">
        <f t="shared" si="264"/>
        <v>0</v>
      </c>
      <c r="I236" s="18">
        <f t="shared" si="265"/>
        <v>0</v>
      </c>
      <c r="J236" s="18">
        <f t="shared" si="266"/>
        <v>0</v>
      </c>
      <c r="K236" s="18">
        <f t="shared" si="267"/>
        <v>0</v>
      </c>
      <c r="L236" s="18">
        <f t="shared" si="268"/>
        <v>0</v>
      </c>
      <c r="M236" s="18">
        <f t="shared" si="269"/>
        <v>0</v>
      </c>
      <c r="N236" s="18">
        <f t="shared" si="270"/>
        <v>0</v>
      </c>
      <c r="O236" s="18">
        <f t="shared" si="271"/>
        <v>0</v>
      </c>
      <c r="P236" s="18">
        <f t="shared" si="272"/>
        <v>0</v>
      </c>
      <c r="Q236" s="18">
        <f t="shared" si="273"/>
        <v>0</v>
      </c>
      <c r="R236" s="18">
        <f t="shared" si="274"/>
        <v>0</v>
      </c>
      <c r="S236" s="18">
        <f t="shared" si="275"/>
        <v>0</v>
      </c>
      <c r="T236" s="18">
        <f t="shared" si="276"/>
        <v>0</v>
      </c>
      <c r="U236" s="18">
        <f t="shared" si="277"/>
        <v>0</v>
      </c>
      <c r="V236" s="18">
        <f t="shared" si="278"/>
        <v>0</v>
      </c>
      <c r="W236" s="18">
        <f t="shared" si="279"/>
        <v>0</v>
      </c>
      <c r="X236" s="18">
        <f t="shared" si="280"/>
        <v>0</v>
      </c>
      <c r="Y236" s="18">
        <f t="shared" si="281"/>
        <v>0</v>
      </c>
      <c r="Z236" s="18">
        <f t="shared" si="282"/>
        <v>0</v>
      </c>
      <c r="AA236" s="18">
        <f t="shared" si="283"/>
        <v>0</v>
      </c>
      <c r="AB236" s="18">
        <f t="shared" si="284"/>
        <v>0</v>
      </c>
      <c r="AC236" s="18">
        <f t="shared" si="285"/>
        <v>0</v>
      </c>
      <c r="AD236" s="18">
        <f t="shared" si="286"/>
        <v>0</v>
      </c>
      <c r="AE236" s="18">
        <f t="shared" si="287"/>
        <v>0</v>
      </c>
      <c r="AF236" s="18">
        <f t="shared" si="288"/>
        <v>0</v>
      </c>
      <c r="AG236" s="18">
        <f t="shared" si="289"/>
        <v>0</v>
      </c>
      <c r="AH236" s="18">
        <f t="shared" si="290"/>
        <v>0</v>
      </c>
      <c r="AI236" s="18">
        <f t="shared" si="291"/>
        <v>0</v>
      </c>
      <c r="AJ236" s="18">
        <f t="shared" si="292"/>
        <v>0</v>
      </c>
      <c r="AK236" s="18">
        <f t="shared" si="293"/>
        <v>0</v>
      </c>
      <c r="AL236" s="18">
        <f t="shared" si="294"/>
        <v>0</v>
      </c>
      <c r="AM236" s="18">
        <f t="shared" si="295"/>
        <v>0</v>
      </c>
      <c r="AN236" s="18">
        <f t="shared" si="296"/>
        <v>0</v>
      </c>
      <c r="AO236" s="18">
        <f t="shared" si="297"/>
        <v>0</v>
      </c>
      <c r="AP236" s="18">
        <f t="shared" si="298"/>
        <v>0</v>
      </c>
      <c r="AQ236" s="18">
        <f t="shared" si="299"/>
        <v>0</v>
      </c>
      <c r="AR236" s="18">
        <f t="shared" si="300"/>
        <v>0</v>
      </c>
      <c r="AS236" s="18">
        <f t="shared" si="301"/>
        <v>0</v>
      </c>
      <c r="AT236" s="18">
        <f t="shared" si="302"/>
        <v>0</v>
      </c>
      <c r="AU236" s="18">
        <f t="shared" si="303"/>
        <v>0</v>
      </c>
      <c r="AV236" s="18">
        <f t="shared" si="304"/>
        <v>0</v>
      </c>
      <c r="AW236" s="18">
        <f t="shared" si="305"/>
        <v>1</v>
      </c>
      <c r="AX236" s="18">
        <f t="shared" si="306"/>
        <v>0</v>
      </c>
      <c r="AY236" s="18">
        <f t="shared" si="307"/>
        <v>0</v>
      </c>
      <c r="AZ236" s="18">
        <f t="shared" si="308"/>
        <v>0</v>
      </c>
      <c r="BA236" s="18">
        <f t="shared" si="309"/>
        <v>0</v>
      </c>
      <c r="BB236" s="18">
        <f t="shared" si="310"/>
        <v>0</v>
      </c>
      <c r="BC236" s="18">
        <f t="shared" si="311"/>
        <v>0</v>
      </c>
      <c r="BD236" s="18">
        <f t="shared" si="312"/>
        <v>0</v>
      </c>
      <c r="BE236" s="18">
        <f t="shared" si="313"/>
        <v>0</v>
      </c>
      <c r="BF236" s="18">
        <f t="shared" si="314"/>
        <v>0</v>
      </c>
      <c r="BG236" s="18">
        <f t="shared" si="315"/>
        <v>0</v>
      </c>
      <c r="BH236" s="18">
        <f t="shared" si="316"/>
        <v>0</v>
      </c>
      <c r="BI236" s="18">
        <f t="shared" si="317"/>
        <v>0</v>
      </c>
      <c r="BJ236" s="18">
        <f t="shared" si="318"/>
        <v>0</v>
      </c>
      <c r="BK236" s="18">
        <f t="shared" si="319"/>
        <v>0</v>
      </c>
      <c r="BL236" s="18">
        <f t="shared" si="320"/>
        <v>0</v>
      </c>
      <c r="BM236" s="18">
        <f t="shared" si="321"/>
        <v>0</v>
      </c>
      <c r="BN236" s="18">
        <f t="shared" si="322"/>
        <v>0</v>
      </c>
      <c r="BO236" s="18">
        <f t="shared" si="323"/>
        <v>0</v>
      </c>
      <c r="BP236" s="18">
        <f t="shared" si="324"/>
        <v>0</v>
      </c>
      <c r="BQ236" s="18">
        <f t="shared" si="325"/>
        <v>0</v>
      </c>
      <c r="BR236" s="18">
        <f t="shared" si="326"/>
        <v>0</v>
      </c>
      <c r="BS236" s="18">
        <f t="shared" si="327"/>
        <v>0</v>
      </c>
      <c r="BT236" s="18">
        <f t="shared" si="328"/>
        <v>0</v>
      </c>
      <c r="BU236" s="18">
        <f t="shared" si="329"/>
        <v>0</v>
      </c>
      <c r="BV236" s="18">
        <f t="shared" si="330"/>
        <v>0</v>
      </c>
      <c r="BW236" s="18">
        <f t="shared" si="331"/>
        <v>0</v>
      </c>
      <c r="BX236" s="18">
        <f t="shared" si="332"/>
        <v>0</v>
      </c>
      <c r="BY236" s="18">
        <f t="shared" si="333"/>
        <v>0</v>
      </c>
      <c r="BZ236" s="18">
        <f t="shared" si="334"/>
        <v>0</v>
      </c>
      <c r="CA236" s="18">
        <f t="shared" si="335"/>
        <v>0</v>
      </c>
      <c r="CB236" s="18">
        <f t="shared" si="336"/>
        <v>0</v>
      </c>
      <c r="CC236" s="18">
        <f t="shared" si="337"/>
        <v>0</v>
      </c>
      <c r="CD236" s="18">
        <f t="shared" si="338"/>
        <v>0</v>
      </c>
      <c r="CE236" s="18">
        <f t="shared" si="339"/>
        <v>0</v>
      </c>
      <c r="CF236" s="18">
        <f t="shared" si="340"/>
        <v>0</v>
      </c>
      <c r="CG236" s="18">
        <f t="shared" si="341"/>
        <v>0</v>
      </c>
      <c r="CH236" s="18">
        <f t="shared" si="342"/>
        <v>0</v>
      </c>
      <c r="CI236" s="18">
        <f t="shared" si="343"/>
        <v>0</v>
      </c>
      <c r="CJ236" s="18">
        <f t="shared" si="344"/>
        <v>0</v>
      </c>
    </row>
    <row r="237" spans="1:88" x14ac:dyDescent="0.3">
      <c r="A237" s="1">
        <v>44173</v>
      </c>
      <c r="B237">
        <v>45608.51</v>
      </c>
      <c r="C237">
        <f>Table1[[#This Row],[Close]]-0.001*Table1[[#This Row],[Close]]</f>
        <v>45562.901490000004</v>
      </c>
      <c r="D237">
        <f>Table1[[#This Row],[Close]]+0.001*Table1[[#This Row],[Close]]</f>
        <v>45654.11851</v>
      </c>
      <c r="E237" t="str">
        <f>IF(Table1[[#This Row],[Close]]&gt;D236,"UP",IF(Table1[[#This Row],[Close]]&lt;C236,"Down","Constant"))</f>
        <v>UP</v>
      </c>
      <c r="F237" s="3">
        <f>IF(Table1[[#This Row],[Column1]]="Up",1,IF(Table1[[#This Row],[Column1]]="Down",-1,0))</f>
        <v>1</v>
      </c>
      <c r="G237">
        <f t="shared" si="263"/>
        <v>0</v>
      </c>
      <c r="H237" s="18">
        <f t="shared" si="264"/>
        <v>0</v>
      </c>
      <c r="I237" s="18">
        <f t="shared" si="265"/>
        <v>0</v>
      </c>
      <c r="J237" s="18">
        <f t="shared" si="266"/>
        <v>0</v>
      </c>
      <c r="K237" s="18">
        <f t="shared" si="267"/>
        <v>0</v>
      </c>
      <c r="L237" s="18">
        <f t="shared" si="268"/>
        <v>0</v>
      </c>
      <c r="M237" s="18">
        <f t="shared" si="269"/>
        <v>0</v>
      </c>
      <c r="N237" s="18">
        <f t="shared" si="270"/>
        <v>0</v>
      </c>
      <c r="O237" s="18">
        <f t="shared" si="271"/>
        <v>0</v>
      </c>
      <c r="P237" s="18">
        <f t="shared" si="272"/>
        <v>0</v>
      </c>
      <c r="Q237" s="18">
        <f t="shared" si="273"/>
        <v>0</v>
      </c>
      <c r="R237" s="18">
        <f t="shared" si="274"/>
        <v>0</v>
      </c>
      <c r="S237" s="18">
        <f t="shared" si="275"/>
        <v>0</v>
      </c>
      <c r="T237" s="18">
        <f t="shared" si="276"/>
        <v>0</v>
      </c>
      <c r="U237" s="18">
        <f t="shared" si="277"/>
        <v>0</v>
      </c>
      <c r="V237" s="18">
        <f t="shared" si="278"/>
        <v>0</v>
      </c>
      <c r="W237" s="18">
        <f t="shared" si="279"/>
        <v>0</v>
      </c>
      <c r="X237" s="18">
        <f t="shared" si="280"/>
        <v>0</v>
      </c>
      <c r="Y237" s="18">
        <f t="shared" si="281"/>
        <v>0</v>
      </c>
      <c r="Z237" s="18">
        <f t="shared" si="282"/>
        <v>0</v>
      </c>
      <c r="AA237" s="18">
        <f t="shared" si="283"/>
        <v>0</v>
      </c>
      <c r="AB237" s="18">
        <f t="shared" si="284"/>
        <v>0</v>
      </c>
      <c r="AC237" s="18">
        <f t="shared" si="285"/>
        <v>0</v>
      </c>
      <c r="AD237" s="18">
        <f t="shared" si="286"/>
        <v>0</v>
      </c>
      <c r="AE237" s="18">
        <f t="shared" si="287"/>
        <v>0</v>
      </c>
      <c r="AF237" s="18">
        <f t="shared" si="288"/>
        <v>0</v>
      </c>
      <c r="AG237" s="18">
        <f t="shared" si="289"/>
        <v>0</v>
      </c>
      <c r="AH237" s="18">
        <f t="shared" si="290"/>
        <v>1</v>
      </c>
      <c r="AI237" s="18">
        <f t="shared" si="291"/>
        <v>0</v>
      </c>
      <c r="AJ237" s="18">
        <f t="shared" si="292"/>
        <v>0</v>
      </c>
      <c r="AK237" s="18">
        <f t="shared" si="293"/>
        <v>0</v>
      </c>
      <c r="AL237" s="18">
        <f t="shared" si="294"/>
        <v>0</v>
      </c>
      <c r="AM237" s="18">
        <f t="shared" si="295"/>
        <v>0</v>
      </c>
      <c r="AN237" s="18">
        <f t="shared" si="296"/>
        <v>0</v>
      </c>
      <c r="AO237" s="18">
        <f t="shared" si="297"/>
        <v>0</v>
      </c>
      <c r="AP237" s="18">
        <f t="shared" si="298"/>
        <v>0</v>
      </c>
      <c r="AQ237" s="18">
        <f t="shared" si="299"/>
        <v>0</v>
      </c>
      <c r="AR237" s="18">
        <f t="shared" si="300"/>
        <v>0</v>
      </c>
      <c r="AS237" s="18">
        <f t="shared" si="301"/>
        <v>0</v>
      </c>
      <c r="AT237" s="18">
        <f t="shared" si="302"/>
        <v>0</v>
      </c>
      <c r="AU237" s="18">
        <f t="shared" si="303"/>
        <v>0</v>
      </c>
      <c r="AV237" s="18">
        <f t="shared" si="304"/>
        <v>0</v>
      </c>
      <c r="AW237" s="18">
        <f t="shared" si="305"/>
        <v>0</v>
      </c>
      <c r="AX237" s="18">
        <f t="shared" si="306"/>
        <v>0</v>
      </c>
      <c r="AY237" s="18">
        <f t="shared" si="307"/>
        <v>0</v>
      </c>
      <c r="AZ237" s="18">
        <f t="shared" si="308"/>
        <v>0</v>
      </c>
      <c r="BA237" s="18">
        <f t="shared" si="309"/>
        <v>0</v>
      </c>
      <c r="BB237" s="18">
        <f t="shared" si="310"/>
        <v>0</v>
      </c>
      <c r="BC237" s="18">
        <f t="shared" si="311"/>
        <v>0</v>
      </c>
      <c r="BD237" s="18">
        <f t="shared" si="312"/>
        <v>0</v>
      </c>
      <c r="BE237" s="18">
        <f t="shared" si="313"/>
        <v>0</v>
      </c>
      <c r="BF237" s="18">
        <f t="shared" si="314"/>
        <v>0</v>
      </c>
      <c r="BG237" s="18">
        <f t="shared" si="315"/>
        <v>0</v>
      </c>
      <c r="BH237" s="18">
        <f t="shared" si="316"/>
        <v>0</v>
      </c>
      <c r="BI237" s="18">
        <f t="shared" si="317"/>
        <v>0</v>
      </c>
      <c r="BJ237" s="18">
        <f t="shared" si="318"/>
        <v>0</v>
      </c>
      <c r="BK237" s="18">
        <f t="shared" si="319"/>
        <v>0</v>
      </c>
      <c r="BL237" s="18">
        <f t="shared" si="320"/>
        <v>0</v>
      </c>
      <c r="BM237" s="18">
        <f t="shared" si="321"/>
        <v>0</v>
      </c>
      <c r="BN237" s="18">
        <f t="shared" si="322"/>
        <v>0</v>
      </c>
      <c r="BO237" s="18">
        <f t="shared" si="323"/>
        <v>0</v>
      </c>
      <c r="BP237" s="18">
        <f t="shared" si="324"/>
        <v>0</v>
      </c>
      <c r="BQ237" s="18">
        <f t="shared" si="325"/>
        <v>0</v>
      </c>
      <c r="BR237" s="18">
        <f t="shared" si="326"/>
        <v>0</v>
      </c>
      <c r="BS237" s="18">
        <f t="shared" si="327"/>
        <v>0</v>
      </c>
      <c r="BT237" s="18">
        <f t="shared" si="328"/>
        <v>0</v>
      </c>
      <c r="BU237" s="18">
        <f t="shared" si="329"/>
        <v>0</v>
      </c>
      <c r="BV237" s="18">
        <f t="shared" si="330"/>
        <v>0</v>
      </c>
      <c r="BW237" s="18">
        <f t="shared" si="331"/>
        <v>0</v>
      </c>
      <c r="BX237" s="18">
        <f t="shared" si="332"/>
        <v>0</v>
      </c>
      <c r="BY237" s="18">
        <f t="shared" si="333"/>
        <v>0</v>
      </c>
      <c r="BZ237" s="18">
        <f t="shared" si="334"/>
        <v>0</v>
      </c>
      <c r="CA237" s="18">
        <f t="shared" si="335"/>
        <v>0</v>
      </c>
      <c r="CB237" s="18">
        <f t="shared" si="336"/>
        <v>0</v>
      </c>
      <c r="CC237" s="18">
        <f t="shared" si="337"/>
        <v>0</v>
      </c>
      <c r="CD237" s="18">
        <f t="shared" si="338"/>
        <v>0</v>
      </c>
      <c r="CE237" s="18">
        <f t="shared" si="339"/>
        <v>0</v>
      </c>
      <c r="CF237" s="18">
        <f t="shared" si="340"/>
        <v>0</v>
      </c>
      <c r="CG237" s="18">
        <f t="shared" si="341"/>
        <v>0</v>
      </c>
      <c r="CH237" s="18">
        <f t="shared" si="342"/>
        <v>0</v>
      </c>
      <c r="CI237" s="18">
        <f t="shared" si="343"/>
        <v>0</v>
      </c>
      <c r="CJ237" s="18">
        <f t="shared" si="344"/>
        <v>0</v>
      </c>
    </row>
    <row r="238" spans="1:88" x14ac:dyDescent="0.3">
      <c r="A238" s="1">
        <v>44174</v>
      </c>
      <c r="B238">
        <v>46103.5</v>
      </c>
      <c r="C238">
        <f>Table1[[#This Row],[Close]]-0.001*Table1[[#This Row],[Close]]</f>
        <v>46057.396500000003</v>
      </c>
      <c r="D238">
        <f>Table1[[#This Row],[Close]]+0.001*Table1[[#This Row],[Close]]</f>
        <v>46149.603499999997</v>
      </c>
      <c r="E238" t="str">
        <f>IF(Table1[[#This Row],[Close]]&gt;D237,"UP",IF(Table1[[#This Row],[Close]]&lt;C237,"Down","Constant"))</f>
        <v>UP</v>
      </c>
      <c r="F238" s="3">
        <f>IF(Table1[[#This Row],[Column1]]="Up",1,IF(Table1[[#This Row],[Column1]]="Down",-1,0))</f>
        <v>1</v>
      </c>
      <c r="G238">
        <f t="shared" si="263"/>
        <v>0</v>
      </c>
      <c r="H238" s="18">
        <f t="shared" si="264"/>
        <v>0</v>
      </c>
      <c r="I238" s="18">
        <f t="shared" si="265"/>
        <v>0</v>
      </c>
      <c r="J238" s="18">
        <f t="shared" si="266"/>
        <v>1</v>
      </c>
      <c r="K238" s="18">
        <f t="shared" si="267"/>
        <v>0</v>
      </c>
      <c r="L238" s="18">
        <f t="shared" si="268"/>
        <v>0</v>
      </c>
      <c r="M238" s="18">
        <f t="shared" si="269"/>
        <v>0</v>
      </c>
      <c r="N238" s="18">
        <f t="shared" si="270"/>
        <v>0</v>
      </c>
      <c r="O238" s="18">
        <f t="shared" si="271"/>
        <v>0</v>
      </c>
      <c r="P238" s="18">
        <f t="shared" si="272"/>
        <v>0</v>
      </c>
      <c r="Q238" s="18">
        <f t="shared" si="273"/>
        <v>0</v>
      </c>
      <c r="R238" s="18">
        <f t="shared" si="274"/>
        <v>0</v>
      </c>
      <c r="S238" s="18">
        <f t="shared" si="275"/>
        <v>0</v>
      </c>
      <c r="T238" s="18">
        <f t="shared" si="276"/>
        <v>0</v>
      </c>
      <c r="U238" s="18">
        <f t="shared" si="277"/>
        <v>0</v>
      </c>
      <c r="V238" s="18">
        <f t="shared" si="278"/>
        <v>0</v>
      </c>
      <c r="W238" s="18">
        <f t="shared" si="279"/>
        <v>0</v>
      </c>
      <c r="X238" s="18">
        <f t="shared" si="280"/>
        <v>0</v>
      </c>
      <c r="Y238" s="18">
        <f t="shared" si="281"/>
        <v>0</v>
      </c>
      <c r="Z238" s="18">
        <f t="shared" si="282"/>
        <v>0</v>
      </c>
      <c r="AA238" s="18">
        <f t="shared" si="283"/>
        <v>0</v>
      </c>
      <c r="AB238" s="18">
        <f t="shared" si="284"/>
        <v>0</v>
      </c>
      <c r="AC238" s="18">
        <f t="shared" si="285"/>
        <v>0</v>
      </c>
      <c r="AD238" s="18">
        <f t="shared" si="286"/>
        <v>0</v>
      </c>
      <c r="AE238" s="18">
        <f t="shared" si="287"/>
        <v>0</v>
      </c>
      <c r="AF238" s="18">
        <f t="shared" si="288"/>
        <v>0</v>
      </c>
      <c r="AG238" s="18">
        <f t="shared" si="289"/>
        <v>0</v>
      </c>
      <c r="AH238" s="18">
        <f t="shared" si="290"/>
        <v>0</v>
      </c>
      <c r="AI238" s="18">
        <f t="shared" si="291"/>
        <v>0</v>
      </c>
      <c r="AJ238" s="18">
        <f t="shared" si="292"/>
        <v>0</v>
      </c>
      <c r="AK238" s="18">
        <f t="shared" si="293"/>
        <v>0</v>
      </c>
      <c r="AL238" s="18">
        <f t="shared" si="294"/>
        <v>0</v>
      </c>
      <c r="AM238" s="18">
        <f t="shared" si="295"/>
        <v>0</v>
      </c>
      <c r="AN238" s="18">
        <f t="shared" si="296"/>
        <v>0</v>
      </c>
      <c r="AO238" s="18">
        <f t="shared" si="297"/>
        <v>0</v>
      </c>
      <c r="AP238" s="18">
        <f t="shared" si="298"/>
        <v>0</v>
      </c>
      <c r="AQ238" s="18">
        <f t="shared" si="299"/>
        <v>0</v>
      </c>
      <c r="AR238" s="18">
        <f t="shared" si="300"/>
        <v>0</v>
      </c>
      <c r="AS238" s="18">
        <f t="shared" si="301"/>
        <v>0</v>
      </c>
      <c r="AT238" s="18">
        <f t="shared" si="302"/>
        <v>0</v>
      </c>
      <c r="AU238" s="18">
        <f t="shared" si="303"/>
        <v>0</v>
      </c>
      <c r="AV238" s="18">
        <f t="shared" si="304"/>
        <v>0</v>
      </c>
      <c r="AW238" s="18">
        <f t="shared" si="305"/>
        <v>0</v>
      </c>
      <c r="AX238" s="18">
        <f t="shared" si="306"/>
        <v>0</v>
      </c>
      <c r="AY238" s="18">
        <f t="shared" si="307"/>
        <v>0</v>
      </c>
      <c r="AZ238" s="18">
        <f t="shared" si="308"/>
        <v>0</v>
      </c>
      <c r="BA238" s="18">
        <f t="shared" si="309"/>
        <v>0</v>
      </c>
      <c r="BB238" s="18">
        <f t="shared" si="310"/>
        <v>0</v>
      </c>
      <c r="BC238" s="18">
        <f t="shared" si="311"/>
        <v>0</v>
      </c>
      <c r="BD238" s="18">
        <f t="shared" si="312"/>
        <v>0</v>
      </c>
      <c r="BE238" s="18">
        <f t="shared" si="313"/>
        <v>0</v>
      </c>
      <c r="BF238" s="18">
        <f t="shared" si="314"/>
        <v>0</v>
      </c>
      <c r="BG238" s="18">
        <f t="shared" si="315"/>
        <v>0</v>
      </c>
      <c r="BH238" s="18">
        <f t="shared" si="316"/>
        <v>0</v>
      </c>
      <c r="BI238" s="18">
        <f t="shared" si="317"/>
        <v>0</v>
      </c>
      <c r="BJ238" s="18">
        <f t="shared" si="318"/>
        <v>0</v>
      </c>
      <c r="BK238" s="18">
        <f t="shared" si="319"/>
        <v>0</v>
      </c>
      <c r="BL238" s="18">
        <f t="shared" si="320"/>
        <v>0</v>
      </c>
      <c r="BM238" s="18">
        <f t="shared" si="321"/>
        <v>0</v>
      </c>
      <c r="BN238" s="18">
        <f t="shared" si="322"/>
        <v>0</v>
      </c>
      <c r="BO238" s="18">
        <f t="shared" si="323"/>
        <v>0</v>
      </c>
      <c r="BP238" s="18">
        <f t="shared" si="324"/>
        <v>0</v>
      </c>
      <c r="BQ238" s="18">
        <f t="shared" si="325"/>
        <v>0</v>
      </c>
      <c r="BR238" s="18">
        <f t="shared" si="326"/>
        <v>0</v>
      </c>
      <c r="BS238" s="18">
        <f t="shared" si="327"/>
        <v>0</v>
      </c>
      <c r="BT238" s="18">
        <f t="shared" si="328"/>
        <v>0</v>
      </c>
      <c r="BU238" s="18">
        <f t="shared" si="329"/>
        <v>0</v>
      </c>
      <c r="BV238" s="18">
        <f t="shared" si="330"/>
        <v>0</v>
      </c>
      <c r="BW238" s="18">
        <f t="shared" si="331"/>
        <v>0</v>
      </c>
      <c r="BX238" s="18">
        <f t="shared" si="332"/>
        <v>0</v>
      </c>
      <c r="BY238" s="18">
        <f t="shared" si="333"/>
        <v>0</v>
      </c>
      <c r="BZ238" s="18">
        <f t="shared" si="334"/>
        <v>0</v>
      </c>
      <c r="CA238" s="18">
        <f t="shared" si="335"/>
        <v>0</v>
      </c>
      <c r="CB238" s="18">
        <f t="shared" si="336"/>
        <v>0</v>
      </c>
      <c r="CC238" s="18">
        <f t="shared" si="337"/>
        <v>0</v>
      </c>
      <c r="CD238" s="18">
        <f t="shared" si="338"/>
        <v>0</v>
      </c>
      <c r="CE238" s="18">
        <f t="shared" si="339"/>
        <v>0</v>
      </c>
      <c r="CF238" s="18">
        <f t="shared" si="340"/>
        <v>0</v>
      </c>
      <c r="CG238" s="18">
        <f t="shared" si="341"/>
        <v>0</v>
      </c>
      <c r="CH238" s="18">
        <f t="shared" si="342"/>
        <v>0</v>
      </c>
      <c r="CI238" s="18">
        <f t="shared" si="343"/>
        <v>0</v>
      </c>
      <c r="CJ238" s="18">
        <f t="shared" si="344"/>
        <v>0</v>
      </c>
    </row>
    <row r="239" spans="1:88" x14ac:dyDescent="0.3">
      <c r="A239" s="1">
        <v>44175</v>
      </c>
      <c r="B239">
        <v>45959.88</v>
      </c>
      <c r="C239">
        <f>Table1[[#This Row],[Close]]-0.001*Table1[[#This Row],[Close]]</f>
        <v>45913.920119999995</v>
      </c>
      <c r="D239">
        <f>Table1[[#This Row],[Close]]+0.001*Table1[[#This Row],[Close]]</f>
        <v>46005.83988</v>
      </c>
      <c r="E239" t="str">
        <f>IF(Table1[[#This Row],[Close]]&gt;D238,"UP",IF(Table1[[#This Row],[Close]]&lt;C238,"Down","Constant"))</f>
        <v>Down</v>
      </c>
      <c r="F239" s="3">
        <f>IF(Table1[[#This Row],[Column1]]="Up",1,IF(Table1[[#This Row],[Column1]]="Down",-1,0))</f>
        <v>-1</v>
      </c>
      <c r="G239">
        <f t="shared" si="263"/>
        <v>0</v>
      </c>
      <c r="H239" s="18">
        <f t="shared" si="264"/>
        <v>1</v>
      </c>
      <c r="I239" s="18">
        <f t="shared" si="265"/>
        <v>0</v>
      </c>
      <c r="J239" s="18">
        <f t="shared" si="266"/>
        <v>0</v>
      </c>
      <c r="K239" s="18">
        <f t="shared" si="267"/>
        <v>0</v>
      </c>
      <c r="L239" s="18">
        <f t="shared" si="268"/>
        <v>0</v>
      </c>
      <c r="M239" s="18">
        <f t="shared" si="269"/>
        <v>0</v>
      </c>
      <c r="N239" s="18">
        <f t="shared" si="270"/>
        <v>0</v>
      </c>
      <c r="O239" s="18">
        <f t="shared" si="271"/>
        <v>0</v>
      </c>
      <c r="P239" s="18">
        <f t="shared" si="272"/>
        <v>0</v>
      </c>
      <c r="Q239" s="18">
        <f t="shared" si="273"/>
        <v>0</v>
      </c>
      <c r="R239" s="18">
        <f t="shared" si="274"/>
        <v>0</v>
      </c>
      <c r="S239" s="18">
        <f t="shared" si="275"/>
        <v>0</v>
      </c>
      <c r="T239" s="18">
        <f t="shared" si="276"/>
        <v>0</v>
      </c>
      <c r="U239" s="18">
        <f t="shared" si="277"/>
        <v>0</v>
      </c>
      <c r="V239" s="18">
        <f t="shared" si="278"/>
        <v>0</v>
      </c>
      <c r="W239" s="18">
        <f t="shared" si="279"/>
        <v>0</v>
      </c>
      <c r="X239" s="18">
        <f t="shared" si="280"/>
        <v>0</v>
      </c>
      <c r="Y239" s="18">
        <f t="shared" si="281"/>
        <v>0</v>
      </c>
      <c r="Z239" s="18">
        <f t="shared" si="282"/>
        <v>0</v>
      </c>
      <c r="AA239" s="18">
        <f t="shared" si="283"/>
        <v>0</v>
      </c>
      <c r="AB239" s="18">
        <f t="shared" si="284"/>
        <v>0</v>
      </c>
      <c r="AC239" s="18">
        <f t="shared" si="285"/>
        <v>0</v>
      </c>
      <c r="AD239" s="18">
        <f t="shared" si="286"/>
        <v>0</v>
      </c>
      <c r="AE239" s="18">
        <f t="shared" si="287"/>
        <v>0</v>
      </c>
      <c r="AF239" s="18">
        <f t="shared" si="288"/>
        <v>0</v>
      </c>
      <c r="AG239" s="18">
        <f t="shared" si="289"/>
        <v>0</v>
      </c>
      <c r="AH239" s="18">
        <f t="shared" si="290"/>
        <v>0</v>
      </c>
      <c r="AI239" s="18">
        <f t="shared" si="291"/>
        <v>0</v>
      </c>
      <c r="AJ239" s="18">
        <f t="shared" si="292"/>
        <v>0</v>
      </c>
      <c r="AK239" s="18">
        <f t="shared" si="293"/>
        <v>0</v>
      </c>
      <c r="AL239" s="18">
        <f t="shared" si="294"/>
        <v>0</v>
      </c>
      <c r="AM239" s="18">
        <f t="shared" si="295"/>
        <v>0</v>
      </c>
      <c r="AN239" s="18">
        <f t="shared" si="296"/>
        <v>0</v>
      </c>
      <c r="AO239" s="18">
        <f t="shared" si="297"/>
        <v>0</v>
      </c>
      <c r="AP239" s="18">
        <f t="shared" si="298"/>
        <v>0</v>
      </c>
      <c r="AQ239" s="18">
        <f t="shared" si="299"/>
        <v>0</v>
      </c>
      <c r="AR239" s="18">
        <f t="shared" si="300"/>
        <v>0</v>
      </c>
      <c r="AS239" s="18">
        <f t="shared" si="301"/>
        <v>0</v>
      </c>
      <c r="AT239" s="18">
        <f t="shared" si="302"/>
        <v>0</v>
      </c>
      <c r="AU239" s="18">
        <f t="shared" si="303"/>
        <v>0</v>
      </c>
      <c r="AV239" s="18">
        <f t="shared" si="304"/>
        <v>0</v>
      </c>
      <c r="AW239" s="18">
        <f t="shared" si="305"/>
        <v>0</v>
      </c>
      <c r="AX239" s="18">
        <f t="shared" si="306"/>
        <v>0</v>
      </c>
      <c r="AY239" s="18">
        <f t="shared" si="307"/>
        <v>0</v>
      </c>
      <c r="AZ239" s="18">
        <f t="shared" si="308"/>
        <v>0</v>
      </c>
      <c r="BA239" s="18">
        <f t="shared" si="309"/>
        <v>0</v>
      </c>
      <c r="BB239" s="18">
        <f t="shared" si="310"/>
        <v>0</v>
      </c>
      <c r="BC239" s="18">
        <f t="shared" si="311"/>
        <v>0</v>
      </c>
      <c r="BD239" s="18">
        <f t="shared" si="312"/>
        <v>0</v>
      </c>
      <c r="BE239" s="18">
        <f t="shared" si="313"/>
        <v>0</v>
      </c>
      <c r="BF239" s="18">
        <f t="shared" si="314"/>
        <v>0</v>
      </c>
      <c r="BG239" s="18">
        <f t="shared" si="315"/>
        <v>0</v>
      </c>
      <c r="BH239" s="18">
        <f t="shared" si="316"/>
        <v>0</v>
      </c>
      <c r="BI239" s="18">
        <f t="shared" si="317"/>
        <v>0</v>
      </c>
      <c r="BJ239" s="18">
        <f t="shared" si="318"/>
        <v>0</v>
      </c>
      <c r="BK239" s="18">
        <f t="shared" si="319"/>
        <v>0</v>
      </c>
      <c r="BL239" s="18">
        <f t="shared" si="320"/>
        <v>0</v>
      </c>
      <c r="BM239" s="18">
        <f t="shared" si="321"/>
        <v>0</v>
      </c>
      <c r="BN239" s="18">
        <f t="shared" si="322"/>
        <v>0</v>
      </c>
      <c r="BO239" s="18">
        <f t="shared" si="323"/>
        <v>0</v>
      </c>
      <c r="BP239" s="18">
        <f t="shared" si="324"/>
        <v>0</v>
      </c>
      <c r="BQ239" s="18">
        <f t="shared" si="325"/>
        <v>0</v>
      </c>
      <c r="BR239" s="18">
        <f t="shared" si="326"/>
        <v>0</v>
      </c>
      <c r="BS239" s="18">
        <f t="shared" si="327"/>
        <v>0</v>
      </c>
      <c r="BT239" s="18">
        <f t="shared" si="328"/>
        <v>0</v>
      </c>
      <c r="BU239" s="18">
        <f t="shared" si="329"/>
        <v>0</v>
      </c>
      <c r="BV239" s="18">
        <f t="shared" si="330"/>
        <v>0</v>
      </c>
      <c r="BW239" s="18">
        <f t="shared" si="331"/>
        <v>0</v>
      </c>
      <c r="BX239" s="18">
        <f t="shared" si="332"/>
        <v>0</v>
      </c>
      <c r="BY239" s="18">
        <f t="shared" si="333"/>
        <v>0</v>
      </c>
      <c r="BZ239" s="18">
        <f t="shared" si="334"/>
        <v>0</v>
      </c>
      <c r="CA239" s="18">
        <f t="shared" si="335"/>
        <v>0</v>
      </c>
      <c r="CB239" s="18">
        <f t="shared" si="336"/>
        <v>0</v>
      </c>
      <c r="CC239" s="18">
        <f t="shared" si="337"/>
        <v>0</v>
      </c>
      <c r="CD239" s="18">
        <f t="shared" si="338"/>
        <v>0</v>
      </c>
      <c r="CE239" s="18">
        <f t="shared" si="339"/>
        <v>0</v>
      </c>
      <c r="CF239" s="18">
        <f t="shared" si="340"/>
        <v>0</v>
      </c>
      <c r="CG239" s="18">
        <f t="shared" si="341"/>
        <v>0</v>
      </c>
      <c r="CH239" s="18">
        <f t="shared" si="342"/>
        <v>0</v>
      </c>
      <c r="CI239" s="18">
        <f t="shared" si="343"/>
        <v>0</v>
      </c>
      <c r="CJ239" s="18">
        <f t="shared" si="344"/>
        <v>0</v>
      </c>
    </row>
    <row r="240" spans="1:88" x14ac:dyDescent="0.3">
      <c r="A240" s="1">
        <v>44176</v>
      </c>
      <c r="B240">
        <v>46099.01</v>
      </c>
      <c r="C240">
        <f>Table1[[#This Row],[Close]]-0.001*Table1[[#This Row],[Close]]</f>
        <v>46052.910990000004</v>
      </c>
      <c r="D240">
        <f>Table1[[#This Row],[Close]]+0.001*Table1[[#This Row],[Close]]</f>
        <v>46145.10901</v>
      </c>
      <c r="E240" t="str">
        <f>IF(Table1[[#This Row],[Close]]&gt;D239,"UP",IF(Table1[[#This Row],[Close]]&lt;C239,"Down","Constant"))</f>
        <v>UP</v>
      </c>
      <c r="F240" s="3">
        <f>IF(Table1[[#This Row],[Column1]]="Up",1,IF(Table1[[#This Row],[Column1]]="Down",-1,0))</f>
        <v>1</v>
      </c>
      <c r="G240">
        <f t="shared" si="263"/>
        <v>0</v>
      </c>
      <c r="H240" s="18">
        <f t="shared" si="264"/>
        <v>0</v>
      </c>
      <c r="I240" s="18">
        <f t="shared" si="265"/>
        <v>0</v>
      </c>
      <c r="J240" s="18">
        <f t="shared" si="266"/>
        <v>0</v>
      </c>
      <c r="K240" s="18">
        <f t="shared" si="267"/>
        <v>0</v>
      </c>
      <c r="L240" s="18">
        <f t="shared" si="268"/>
        <v>0</v>
      </c>
      <c r="M240" s="18">
        <f t="shared" si="269"/>
        <v>0</v>
      </c>
      <c r="N240" s="18">
        <f t="shared" si="270"/>
        <v>0</v>
      </c>
      <c r="O240" s="18">
        <f t="shared" si="271"/>
        <v>0</v>
      </c>
      <c r="P240" s="18">
        <f t="shared" si="272"/>
        <v>0</v>
      </c>
      <c r="Q240" s="18">
        <f t="shared" si="273"/>
        <v>0</v>
      </c>
      <c r="R240" s="18">
        <f t="shared" si="274"/>
        <v>0</v>
      </c>
      <c r="S240" s="18">
        <f t="shared" si="275"/>
        <v>1</v>
      </c>
      <c r="T240" s="18">
        <f t="shared" si="276"/>
        <v>0</v>
      </c>
      <c r="U240" s="18">
        <f t="shared" si="277"/>
        <v>0</v>
      </c>
      <c r="V240" s="18">
        <f t="shared" si="278"/>
        <v>0</v>
      </c>
      <c r="W240" s="18">
        <f t="shared" si="279"/>
        <v>0</v>
      </c>
      <c r="X240" s="18">
        <f t="shared" si="280"/>
        <v>0</v>
      </c>
      <c r="Y240" s="18">
        <f t="shared" si="281"/>
        <v>0</v>
      </c>
      <c r="Z240" s="18">
        <f t="shared" si="282"/>
        <v>0</v>
      </c>
      <c r="AA240" s="18">
        <f t="shared" si="283"/>
        <v>0</v>
      </c>
      <c r="AB240" s="18">
        <f t="shared" si="284"/>
        <v>0</v>
      </c>
      <c r="AC240" s="18">
        <f t="shared" si="285"/>
        <v>0</v>
      </c>
      <c r="AD240" s="18">
        <f t="shared" si="286"/>
        <v>0</v>
      </c>
      <c r="AE240" s="18">
        <f t="shared" si="287"/>
        <v>0</v>
      </c>
      <c r="AF240" s="18">
        <f t="shared" si="288"/>
        <v>0</v>
      </c>
      <c r="AG240" s="18">
        <f t="shared" si="289"/>
        <v>0</v>
      </c>
      <c r="AH240" s="18">
        <f t="shared" si="290"/>
        <v>0</v>
      </c>
      <c r="AI240" s="18">
        <f t="shared" si="291"/>
        <v>0</v>
      </c>
      <c r="AJ240" s="18">
        <f t="shared" si="292"/>
        <v>0</v>
      </c>
      <c r="AK240" s="18">
        <f t="shared" si="293"/>
        <v>0</v>
      </c>
      <c r="AL240" s="18">
        <f t="shared" si="294"/>
        <v>0</v>
      </c>
      <c r="AM240" s="18">
        <f t="shared" si="295"/>
        <v>0</v>
      </c>
      <c r="AN240" s="18">
        <f t="shared" si="296"/>
        <v>0</v>
      </c>
      <c r="AO240" s="18">
        <f t="shared" si="297"/>
        <v>0</v>
      </c>
      <c r="AP240" s="18">
        <f t="shared" si="298"/>
        <v>0</v>
      </c>
      <c r="AQ240" s="18">
        <f t="shared" si="299"/>
        <v>0</v>
      </c>
      <c r="AR240" s="18">
        <f t="shared" si="300"/>
        <v>0</v>
      </c>
      <c r="AS240" s="18">
        <f t="shared" si="301"/>
        <v>0</v>
      </c>
      <c r="AT240" s="18">
        <f t="shared" si="302"/>
        <v>0</v>
      </c>
      <c r="AU240" s="18">
        <f t="shared" si="303"/>
        <v>0</v>
      </c>
      <c r="AV240" s="18">
        <f t="shared" si="304"/>
        <v>0</v>
      </c>
      <c r="AW240" s="18">
        <f t="shared" si="305"/>
        <v>0</v>
      </c>
      <c r="AX240" s="18">
        <f t="shared" si="306"/>
        <v>0</v>
      </c>
      <c r="AY240" s="18">
        <f t="shared" si="307"/>
        <v>0</v>
      </c>
      <c r="AZ240" s="18">
        <f t="shared" si="308"/>
        <v>0</v>
      </c>
      <c r="BA240" s="18">
        <f t="shared" si="309"/>
        <v>0</v>
      </c>
      <c r="BB240" s="18">
        <f t="shared" si="310"/>
        <v>0</v>
      </c>
      <c r="BC240" s="18">
        <f t="shared" si="311"/>
        <v>0</v>
      </c>
      <c r="BD240" s="18">
        <f t="shared" si="312"/>
        <v>0</v>
      </c>
      <c r="BE240" s="18">
        <f t="shared" si="313"/>
        <v>0</v>
      </c>
      <c r="BF240" s="18">
        <f t="shared" si="314"/>
        <v>0</v>
      </c>
      <c r="BG240" s="18">
        <f t="shared" si="315"/>
        <v>0</v>
      </c>
      <c r="BH240" s="18">
        <f t="shared" si="316"/>
        <v>0</v>
      </c>
      <c r="BI240" s="18">
        <f t="shared" si="317"/>
        <v>0</v>
      </c>
      <c r="BJ240" s="18">
        <f t="shared" si="318"/>
        <v>0</v>
      </c>
      <c r="BK240" s="18">
        <f t="shared" si="319"/>
        <v>0</v>
      </c>
      <c r="BL240" s="18">
        <f t="shared" si="320"/>
        <v>0</v>
      </c>
      <c r="BM240" s="18">
        <f t="shared" si="321"/>
        <v>0</v>
      </c>
      <c r="BN240" s="18">
        <f t="shared" si="322"/>
        <v>0</v>
      </c>
      <c r="BO240" s="18">
        <f t="shared" si="323"/>
        <v>0</v>
      </c>
      <c r="BP240" s="18">
        <f t="shared" si="324"/>
        <v>0</v>
      </c>
      <c r="BQ240" s="18">
        <f t="shared" si="325"/>
        <v>0</v>
      </c>
      <c r="BR240" s="18">
        <f t="shared" si="326"/>
        <v>0</v>
      </c>
      <c r="BS240" s="18">
        <f t="shared" si="327"/>
        <v>0</v>
      </c>
      <c r="BT240" s="18">
        <f t="shared" si="328"/>
        <v>0</v>
      </c>
      <c r="BU240" s="18">
        <f t="shared" si="329"/>
        <v>0</v>
      </c>
      <c r="BV240" s="18">
        <f t="shared" si="330"/>
        <v>0</v>
      </c>
      <c r="BW240" s="18">
        <f t="shared" si="331"/>
        <v>0</v>
      </c>
      <c r="BX240" s="18">
        <f t="shared" si="332"/>
        <v>0</v>
      </c>
      <c r="BY240" s="18">
        <f t="shared" si="333"/>
        <v>0</v>
      </c>
      <c r="BZ240" s="18">
        <f t="shared" si="334"/>
        <v>0</v>
      </c>
      <c r="CA240" s="18">
        <f t="shared" si="335"/>
        <v>0</v>
      </c>
      <c r="CB240" s="18">
        <f t="shared" si="336"/>
        <v>0</v>
      </c>
      <c r="CC240" s="18">
        <f t="shared" si="337"/>
        <v>0</v>
      </c>
      <c r="CD240" s="18">
        <f t="shared" si="338"/>
        <v>0</v>
      </c>
      <c r="CE240" s="18">
        <f t="shared" si="339"/>
        <v>0</v>
      </c>
      <c r="CF240" s="18">
        <f t="shared" si="340"/>
        <v>0</v>
      </c>
      <c r="CG240" s="18">
        <f t="shared" si="341"/>
        <v>0</v>
      </c>
      <c r="CH240" s="18">
        <f t="shared" si="342"/>
        <v>0</v>
      </c>
      <c r="CI240" s="18">
        <f t="shared" si="343"/>
        <v>0</v>
      </c>
      <c r="CJ240" s="18">
        <f t="shared" si="344"/>
        <v>0</v>
      </c>
    </row>
    <row r="241" spans="1:88" x14ac:dyDescent="0.3">
      <c r="A241" s="1">
        <v>44179</v>
      </c>
      <c r="B241">
        <v>46253.46</v>
      </c>
      <c r="C241">
        <f>Table1[[#This Row],[Close]]-0.001*Table1[[#This Row],[Close]]</f>
        <v>46207.206539999999</v>
      </c>
      <c r="D241">
        <f>Table1[[#This Row],[Close]]+0.001*Table1[[#This Row],[Close]]</f>
        <v>46299.713459999999</v>
      </c>
      <c r="E241" t="str">
        <f>IF(Table1[[#This Row],[Close]]&gt;D240,"UP",IF(Table1[[#This Row],[Close]]&lt;C240,"Down","Constant"))</f>
        <v>UP</v>
      </c>
      <c r="F241" s="3">
        <f>IF(Table1[[#This Row],[Column1]]="Up",1,IF(Table1[[#This Row],[Column1]]="Down",-1,0))</f>
        <v>1</v>
      </c>
      <c r="G241">
        <f t="shared" si="263"/>
        <v>0</v>
      </c>
      <c r="H241" s="18">
        <f t="shared" si="264"/>
        <v>0</v>
      </c>
      <c r="I241" s="18">
        <f t="shared" si="265"/>
        <v>0</v>
      </c>
      <c r="J241" s="18">
        <f t="shared" si="266"/>
        <v>0</v>
      </c>
      <c r="K241" s="18">
        <f t="shared" si="267"/>
        <v>0</v>
      </c>
      <c r="L241" s="18">
        <f t="shared" si="268"/>
        <v>0</v>
      </c>
      <c r="M241" s="18">
        <f t="shared" si="269"/>
        <v>0</v>
      </c>
      <c r="N241" s="18">
        <f t="shared" si="270"/>
        <v>0</v>
      </c>
      <c r="O241" s="18">
        <f t="shared" si="271"/>
        <v>0</v>
      </c>
      <c r="P241" s="18">
        <f t="shared" si="272"/>
        <v>1</v>
      </c>
      <c r="Q241" s="18">
        <f t="shared" si="273"/>
        <v>0</v>
      </c>
      <c r="R241" s="18">
        <f t="shared" si="274"/>
        <v>0</v>
      </c>
      <c r="S241" s="18">
        <f t="shared" si="275"/>
        <v>0</v>
      </c>
      <c r="T241" s="18">
        <f t="shared" si="276"/>
        <v>0</v>
      </c>
      <c r="U241" s="18">
        <f t="shared" si="277"/>
        <v>0</v>
      </c>
      <c r="V241" s="18">
        <f t="shared" si="278"/>
        <v>0</v>
      </c>
      <c r="W241" s="18">
        <f t="shared" si="279"/>
        <v>0</v>
      </c>
      <c r="X241" s="18">
        <f t="shared" si="280"/>
        <v>0</v>
      </c>
      <c r="Y241" s="18">
        <f t="shared" si="281"/>
        <v>0</v>
      </c>
      <c r="Z241" s="18">
        <f t="shared" si="282"/>
        <v>0</v>
      </c>
      <c r="AA241" s="18">
        <f t="shared" si="283"/>
        <v>0</v>
      </c>
      <c r="AB241" s="18">
        <f t="shared" si="284"/>
        <v>0</v>
      </c>
      <c r="AC241" s="18">
        <f t="shared" si="285"/>
        <v>0</v>
      </c>
      <c r="AD241" s="18">
        <f t="shared" si="286"/>
        <v>0</v>
      </c>
      <c r="AE241" s="18">
        <f t="shared" si="287"/>
        <v>0</v>
      </c>
      <c r="AF241" s="18">
        <f t="shared" si="288"/>
        <v>0</v>
      </c>
      <c r="AG241" s="18">
        <f t="shared" si="289"/>
        <v>0</v>
      </c>
      <c r="AH241" s="18">
        <f t="shared" si="290"/>
        <v>0</v>
      </c>
      <c r="AI241" s="18">
        <f t="shared" si="291"/>
        <v>0</v>
      </c>
      <c r="AJ241" s="18">
        <f t="shared" si="292"/>
        <v>0</v>
      </c>
      <c r="AK241" s="18">
        <f t="shared" si="293"/>
        <v>0</v>
      </c>
      <c r="AL241" s="18">
        <f t="shared" si="294"/>
        <v>0</v>
      </c>
      <c r="AM241" s="18">
        <f t="shared" si="295"/>
        <v>0</v>
      </c>
      <c r="AN241" s="18">
        <f t="shared" si="296"/>
        <v>0</v>
      </c>
      <c r="AO241" s="18">
        <f t="shared" si="297"/>
        <v>0</v>
      </c>
      <c r="AP241" s="18">
        <f t="shared" si="298"/>
        <v>0</v>
      </c>
      <c r="AQ241" s="18">
        <f t="shared" si="299"/>
        <v>0</v>
      </c>
      <c r="AR241" s="18">
        <f t="shared" si="300"/>
        <v>0</v>
      </c>
      <c r="AS241" s="18">
        <f t="shared" si="301"/>
        <v>0</v>
      </c>
      <c r="AT241" s="18">
        <f t="shared" si="302"/>
        <v>0</v>
      </c>
      <c r="AU241" s="18">
        <f t="shared" si="303"/>
        <v>0</v>
      </c>
      <c r="AV241" s="18">
        <f t="shared" si="304"/>
        <v>0</v>
      </c>
      <c r="AW241" s="18">
        <f t="shared" si="305"/>
        <v>0</v>
      </c>
      <c r="AX241" s="18">
        <f t="shared" si="306"/>
        <v>0</v>
      </c>
      <c r="AY241" s="18">
        <f t="shared" si="307"/>
        <v>0</v>
      </c>
      <c r="AZ241" s="18">
        <f t="shared" si="308"/>
        <v>0</v>
      </c>
      <c r="BA241" s="18">
        <f t="shared" si="309"/>
        <v>0</v>
      </c>
      <c r="BB241" s="18">
        <f t="shared" si="310"/>
        <v>0</v>
      </c>
      <c r="BC241" s="18">
        <f t="shared" si="311"/>
        <v>0</v>
      </c>
      <c r="BD241" s="18">
        <f t="shared" si="312"/>
        <v>0</v>
      </c>
      <c r="BE241" s="18">
        <f t="shared" si="313"/>
        <v>0</v>
      </c>
      <c r="BF241" s="18">
        <f t="shared" si="314"/>
        <v>0</v>
      </c>
      <c r="BG241" s="18">
        <f t="shared" si="315"/>
        <v>0</v>
      </c>
      <c r="BH241" s="18">
        <f t="shared" si="316"/>
        <v>0</v>
      </c>
      <c r="BI241" s="18">
        <f t="shared" si="317"/>
        <v>0</v>
      </c>
      <c r="BJ241" s="18">
        <f t="shared" si="318"/>
        <v>0</v>
      </c>
      <c r="BK241" s="18">
        <f t="shared" si="319"/>
        <v>0</v>
      </c>
      <c r="BL241" s="18">
        <f t="shared" si="320"/>
        <v>0</v>
      </c>
      <c r="BM241" s="18">
        <f t="shared" si="321"/>
        <v>0</v>
      </c>
      <c r="BN241" s="18">
        <f t="shared" si="322"/>
        <v>0</v>
      </c>
      <c r="BO241" s="18">
        <f t="shared" si="323"/>
        <v>0</v>
      </c>
      <c r="BP241" s="18">
        <f t="shared" si="324"/>
        <v>0</v>
      </c>
      <c r="BQ241" s="18">
        <f t="shared" si="325"/>
        <v>0</v>
      </c>
      <c r="BR241" s="18">
        <f t="shared" si="326"/>
        <v>0</v>
      </c>
      <c r="BS241" s="18">
        <f t="shared" si="327"/>
        <v>0</v>
      </c>
      <c r="BT241" s="18">
        <f t="shared" si="328"/>
        <v>0</v>
      </c>
      <c r="BU241" s="18">
        <f t="shared" si="329"/>
        <v>0</v>
      </c>
      <c r="BV241" s="18">
        <f t="shared" si="330"/>
        <v>0</v>
      </c>
      <c r="BW241" s="18">
        <f t="shared" si="331"/>
        <v>0</v>
      </c>
      <c r="BX241" s="18">
        <f t="shared" si="332"/>
        <v>0</v>
      </c>
      <c r="BY241" s="18">
        <f t="shared" si="333"/>
        <v>0</v>
      </c>
      <c r="BZ241" s="18">
        <f t="shared" si="334"/>
        <v>0</v>
      </c>
      <c r="CA241" s="18">
        <f t="shared" si="335"/>
        <v>0</v>
      </c>
      <c r="CB241" s="18">
        <f t="shared" si="336"/>
        <v>0</v>
      </c>
      <c r="CC241" s="18">
        <f t="shared" si="337"/>
        <v>0</v>
      </c>
      <c r="CD241" s="18">
        <f t="shared" si="338"/>
        <v>0</v>
      </c>
      <c r="CE241" s="18">
        <f t="shared" si="339"/>
        <v>0</v>
      </c>
      <c r="CF241" s="18">
        <f t="shared" si="340"/>
        <v>0</v>
      </c>
      <c r="CG241" s="18">
        <f t="shared" si="341"/>
        <v>0</v>
      </c>
      <c r="CH241" s="18">
        <f t="shared" si="342"/>
        <v>0</v>
      </c>
      <c r="CI241" s="18">
        <f t="shared" si="343"/>
        <v>0</v>
      </c>
      <c r="CJ241" s="18">
        <f t="shared" si="344"/>
        <v>0</v>
      </c>
    </row>
    <row r="242" spans="1:88" x14ac:dyDescent="0.3">
      <c r="A242" s="1">
        <v>44180</v>
      </c>
      <c r="B242">
        <v>46263.17</v>
      </c>
      <c r="C242">
        <f>Table1[[#This Row],[Close]]-0.001*Table1[[#This Row],[Close]]</f>
        <v>46216.90683</v>
      </c>
      <c r="D242">
        <f>Table1[[#This Row],[Close]]+0.001*Table1[[#This Row],[Close]]</f>
        <v>46309.433169999997</v>
      </c>
      <c r="E242" t="str">
        <f>IF(Table1[[#This Row],[Close]]&gt;D241,"UP",IF(Table1[[#This Row],[Close]]&lt;C241,"Down","Constant"))</f>
        <v>Constant</v>
      </c>
      <c r="F242" s="3">
        <f>IF(Table1[[#This Row],[Column1]]="Up",1,IF(Table1[[#This Row],[Column1]]="Down",-1,0))</f>
        <v>0</v>
      </c>
      <c r="G242">
        <f t="shared" si="263"/>
        <v>0</v>
      </c>
      <c r="H242" s="18">
        <f t="shared" si="264"/>
        <v>0</v>
      </c>
      <c r="I242" s="18">
        <f t="shared" si="265"/>
        <v>0</v>
      </c>
      <c r="J242" s="18">
        <f t="shared" si="266"/>
        <v>0</v>
      </c>
      <c r="K242" s="18">
        <f t="shared" si="267"/>
        <v>0</v>
      </c>
      <c r="L242" s="18">
        <f t="shared" si="268"/>
        <v>1</v>
      </c>
      <c r="M242" s="18">
        <f t="shared" si="269"/>
        <v>0</v>
      </c>
      <c r="N242" s="18">
        <f t="shared" si="270"/>
        <v>0</v>
      </c>
      <c r="O242" s="18">
        <f t="shared" si="271"/>
        <v>0</v>
      </c>
      <c r="P242" s="18">
        <f t="shared" si="272"/>
        <v>0</v>
      </c>
      <c r="Q242" s="18">
        <f t="shared" si="273"/>
        <v>0</v>
      </c>
      <c r="R242" s="18">
        <f t="shared" si="274"/>
        <v>0</v>
      </c>
      <c r="S242" s="18">
        <f t="shared" si="275"/>
        <v>0</v>
      </c>
      <c r="T242" s="18">
        <f t="shared" si="276"/>
        <v>0</v>
      </c>
      <c r="U242" s="18">
        <f t="shared" si="277"/>
        <v>0</v>
      </c>
      <c r="V242" s="18">
        <f t="shared" si="278"/>
        <v>0</v>
      </c>
      <c r="W242" s="18">
        <f t="shared" si="279"/>
        <v>0</v>
      </c>
      <c r="X242" s="18">
        <f t="shared" si="280"/>
        <v>0</v>
      </c>
      <c r="Y242" s="18">
        <f t="shared" si="281"/>
        <v>0</v>
      </c>
      <c r="Z242" s="18">
        <f t="shared" si="282"/>
        <v>0</v>
      </c>
      <c r="AA242" s="18">
        <f t="shared" si="283"/>
        <v>0</v>
      </c>
      <c r="AB242" s="18">
        <f t="shared" si="284"/>
        <v>0</v>
      </c>
      <c r="AC242" s="18">
        <f t="shared" si="285"/>
        <v>0</v>
      </c>
      <c r="AD242" s="18">
        <f t="shared" si="286"/>
        <v>0</v>
      </c>
      <c r="AE242" s="18">
        <f t="shared" si="287"/>
        <v>0</v>
      </c>
      <c r="AF242" s="18">
        <f t="shared" si="288"/>
        <v>0</v>
      </c>
      <c r="AG242" s="18">
        <f t="shared" si="289"/>
        <v>0</v>
      </c>
      <c r="AH242" s="18">
        <f t="shared" si="290"/>
        <v>0</v>
      </c>
      <c r="AI242" s="18">
        <f t="shared" si="291"/>
        <v>0</v>
      </c>
      <c r="AJ242" s="18">
        <f t="shared" si="292"/>
        <v>0</v>
      </c>
      <c r="AK242" s="18">
        <f t="shared" si="293"/>
        <v>0</v>
      </c>
      <c r="AL242" s="18">
        <f t="shared" si="294"/>
        <v>0</v>
      </c>
      <c r="AM242" s="18">
        <f t="shared" si="295"/>
        <v>0</v>
      </c>
      <c r="AN242" s="18">
        <f t="shared" si="296"/>
        <v>0</v>
      </c>
      <c r="AO242" s="18">
        <f t="shared" si="297"/>
        <v>0</v>
      </c>
      <c r="AP242" s="18">
        <f t="shared" si="298"/>
        <v>0</v>
      </c>
      <c r="AQ242" s="18">
        <f t="shared" si="299"/>
        <v>0</v>
      </c>
      <c r="AR242" s="18">
        <f t="shared" si="300"/>
        <v>0</v>
      </c>
      <c r="AS242" s="18">
        <f t="shared" si="301"/>
        <v>0</v>
      </c>
      <c r="AT242" s="18">
        <f t="shared" si="302"/>
        <v>0</v>
      </c>
      <c r="AU242" s="18">
        <f t="shared" si="303"/>
        <v>0</v>
      </c>
      <c r="AV242" s="18">
        <f t="shared" si="304"/>
        <v>0</v>
      </c>
      <c r="AW242" s="18">
        <f t="shared" si="305"/>
        <v>0</v>
      </c>
      <c r="AX242" s="18">
        <f t="shared" si="306"/>
        <v>0</v>
      </c>
      <c r="AY242" s="18">
        <f t="shared" si="307"/>
        <v>0</v>
      </c>
      <c r="AZ242" s="18">
        <f t="shared" si="308"/>
        <v>0</v>
      </c>
      <c r="BA242" s="18">
        <f t="shared" si="309"/>
        <v>0</v>
      </c>
      <c r="BB242" s="18">
        <f t="shared" si="310"/>
        <v>0</v>
      </c>
      <c r="BC242" s="18">
        <f t="shared" si="311"/>
        <v>0</v>
      </c>
      <c r="BD242" s="18">
        <f t="shared" si="312"/>
        <v>0</v>
      </c>
      <c r="BE242" s="18">
        <f t="shared" si="313"/>
        <v>0</v>
      </c>
      <c r="BF242" s="18">
        <f t="shared" si="314"/>
        <v>0</v>
      </c>
      <c r="BG242" s="18">
        <f t="shared" si="315"/>
        <v>0</v>
      </c>
      <c r="BH242" s="18">
        <f t="shared" si="316"/>
        <v>0</v>
      </c>
      <c r="BI242" s="18">
        <f t="shared" si="317"/>
        <v>0</v>
      </c>
      <c r="BJ242" s="18">
        <f t="shared" si="318"/>
        <v>0</v>
      </c>
      <c r="BK242" s="18">
        <f t="shared" si="319"/>
        <v>0</v>
      </c>
      <c r="BL242" s="18">
        <f t="shared" si="320"/>
        <v>0</v>
      </c>
      <c r="BM242" s="18">
        <f t="shared" si="321"/>
        <v>0</v>
      </c>
      <c r="BN242" s="18">
        <f t="shared" si="322"/>
        <v>0</v>
      </c>
      <c r="BO242" s="18">
        <f t="shared" si="323"/>
        <v>0</v>
      </c>
      <c r="BP242" s="18">
        <f t="shared" si="324"/>
        <v>0</v>
      </c>
      <c r="BQ242" s="18">
        <f t="shared" si="325"/>
        <v>0</v>
      </c>
      <c r="BR242" s="18">
        <f t="shared" si="326"/>
        <v>0</v>
      </c>
      <c r="BS242" s="18">
        <f t="shared" si="327"/>
        <v>0</v>
      </c>
      <c r="BT242" s="18">
        <f t="shared" si="328"/>
        <v>0</v>
      </c>
      <c r="BU242" s="18">
        <f t="shared" si="329"/>
        <v>0</v>
      </c>
      <c r="BV242" s="18">
        <f t="shared" si="330"/>
        <v>0</v>
      </c>
      <c r="BW242" s="18">
        <f t="shared" si="331"/>
        <v>0</v>
      </c>
      <c r="BX242" s="18">
        <f t="shared" si="332"/>
        <v>0</v>
      </c>
      <c r="BY242" s="18">
        <f t="shared" si="333"/>
        <v>0</v>
      </c>
      <c r="BZ242" s="18">
        <f t="shared" si="334"/>
        <v>0</v>
      </c>
      <c r="CA242" s="18">
        <f t="shared" si="335"/>
        <v>0</v>
      </c>
      <c r="CB242" s="18">
        <f t="shared" si="336"/>
        <v>0</v>
      </c>
      <c r="CC242" s="18">
        <f t="shared" si="337"/>
        <v>0</v>
      </c>
      <c r="CD242" s="18">
        <f t="shared" si="338"/>
        <v>0</v>
      </c>
      <c r="CE242" s="18">
        <f t="shared" si="339"/>
        <v>0</v>
      </c>
      <c r="CF242" s="18">
        <f t="shared" si="340"/>
        <v>0</v>
      </c>
      <c r="CG242" s="18">
        <f t="shared" si="341"/>
        <v>0</v>
      </c>
      <c r="CH242" s="18">
        <f t="shared" si="342"/>
        <v>0</v>
      </c>
      <c r="CI242" s="18">
        <f t="shared" si="343"/>
        <v>0</v>
      </c>
      <c r="CJ242" s="18">
        <f t="shared" si="344"/>
        <v>0</v>
      </c>
    </row>
    <row r="243" spans="1:88" x14ac:dyDescent="0.3">
      <c r="A243" s="1">
        <v>44181</v>
      </c>
      <c r="B243">
        <v>46666.46</v>
      </c>
      <c r="C243">
        <f>Table1[[#This Row],[Close]]-0.001*Table1[[#This Row],[Close]]</f>
        <v>46619.793539999999</v>
      </c>
      <c r="D243">
        <f>Table1[[#This Row],[Close]]+0.001*Table1[[#This Row],[Close]]</f>
        <v>46713.126459999999</v>
      </c>
      <c r="E243" t="str">
        <f>IF(Table1[[#This Row],[Close]]&gt;D242,"UP",IF(Table1[[#This Row],[Close]]&lt;C242,"Down","Constant"))</f>
        <v>UP</v>
      </c>
      <c r="F243" s="3">
        <f>IF(Table1[[#This Row],[Column1]]="Up",1,IF(Table1[[#This Row],[Column1]]="Down",-1,0))</f>
        <v>1</v>
      </c>
      <c r="G243">
        <f t="shared" si="263"/>
        <v>0</v>
      </c>
      <c r="H243" s="18">
        <f t="shared" si="264"/>
        <v>0</v>
      </c>
      <c r="I243" s="18">
        <f t="shared" si="265"/>
        <v>0</v>
      </c>
      <c r="J243" s="18">
        <f t="shared" si="266"/>
        <v>0</v>
      </c>
      <c r="K243" s="18">
        <f t="shared" si="267"/>
        <v>0</v>
      </c>
      <c r="L243" s="18">
        <f t="shared" si="268"/>
        <v>0</v>
      </c>
      <c r="M243" s="18">
        <f t="shared" si="269"/>
        <v>0</v>
      </c>
      <c r="N243" s="18">
        <f t="shared" si="270"/>
        <v>0</v>
      </c>
      <c r="O243" s="18">
        <f t="shared" si="271"/>
        <v>0</v>
      </c>
      <c r="P243" s="18">
        <f t="shared" si="272"/>
        <v>0</v>
      </c>
      <c r="Q243" s="18">
        <f t="shared" si="273"/>
        <v>0</v>
      </c>
      <c r="R243" s="18">
        <f t="shared" si="274"/>
        <v>0</v>
      </c>
      <c r="S243" s="18">
        <f t="shared" si="275"/>
        <v>0</v>
      </c>
      <c r="T243" s="18">
        <f t="shared" si="276"/>
        <v>0</v>
      </c>
      <c r="U243" s="18">
        <f t="shared" si="277"/>
        <v>0</v>
      </c>
      <c r="V243" s="18">
        <f t="shared" si="278"/>
        <v>0</v>
      </c>
      <c r="W243" s="18">
        <f t="shared" si="279"/>
        <v>0</v>
      </c>
      <c r="X243" s="18">
        <f t="shared" si="280"/>
        <v>0</v>
      </c>
      <c r="Y243" s="18">
        <f t="shared" si="281"/>
        <v>0</v>
      </c>
      <c r="Z243" s="18">
        <f t="shared" si="282"/>
        <v>0</v>
      </c>
      <c r="AA243" s="18">
        <f t="shared" si="283"/>
        <v>0</v>
      </c>
      <c r="AB243" s="18">
        <f t="shared" si="284"/>
        <v>0</v>
      </c>
      <c r="AC243" s="18">
        <f t="shared" si="285"/>
        <v>0</v>
      </c>
      <c r="AD243" s="18">
        <f t="shared" si="286"/>
        <v>0</v>
      </c>
      <c r="AE243" s="18">
        <f t="shared" si="287"/>
        <v>0</v>
      </c>
      <c r="AF243" s="18">
        <f t="shared" si="288"/>
        <v>0</v>
      </c>
      <c r="AG243" s="18">
        <f t="shared" si="289"/>
        <v>0</v>
      </c>
      <c r="AH243" s="18">
        <f t="shared" si="290"/>
        <v>0</v>
      </c>
      <c r="AI243" s="18">
        <f t="shared" si="291"/>
        <v>0</v>
      </c>
      <c r="AJ243" s="18">
        <f t="shared" si="292"/>
        <v>0</v>
      </c>
      <c r="AK243" s="18">
        <f t="shared" si="293"/>
        <v>0</v>
      </c>
      <c r="AL243" s="18">
        <f t="shared" si="294"/>
        <v>0</v>
      </c>
      <c r="AM243" s="18">
        <f t="shared" si="295"/>
        <v>0</v>
      </c>
      <c r="AN243" s="18">
        <f t="shared" si="296"/>
        <v>1</v>
      </c>
      <c r="AO243" s="18">
        <f t="shared" si="297"/>
        <v>0</v>
      </c>
      <c r="AP243" s="18">
        <f t="shared" si="298"/>
        <v>0</v>
      </c>
      <c r="AQ243" s="18">
        <f t="shared" si="299"/>
        <v>0</v>
      </c>
      <c r="AR243" s="18">
        <f t="shared" si="300"/>
        <v>0</v>
      </c>
      <c r="AS243" s="18">
        <f t="shared" si="301"/>
        <v>0</v>
      </c>
      <c r="AT243" s="18">
        <f t="shared" si="302"/>
        <v>0</v>
      </c>
      <c r="AU243" s="18">
        <f t="shared" si="303"/>
        <v>0</v>
      </c>
      <c r="AV243" s="18">
        <f t="shared" si="304"/>
        <v>0</v>
      </c>
      <c r="AW243" s="18">
        <f t="shared" si="305"/>
        <v>0</v>
      </c>
      <c r="AX243" s="18">
        <f t="shared" si="306"/>
        <v>0</v>
      </c>
      <c r="AY243" s="18">
        <f t="shared" si="307"/>
        <v>0</v>
      </c>
      <c r="AZ243" s="18">
        <f t="shared" si="308"/>
        <v>0</v>
      </c>
      <c r="BA243" s="18">
        <f t="shared" si="309"/>
        <v>0</v>
      </c>
      <c r="BB243" s="18">
        <f t="shared" si="310"/>
        <v>0</v>
      </c>
      <c r="BC243" s="18">
        <f t="shared" si="311"/>
        <v>0</v>
      </c>
      <c r="BD243" s="18">
        <f t="shared" si="312"/>
        <v>0</v>
      </c>
      <c r="BE243" s="18">
        <f t="shared" si="313"/>
        <v>0</v>
      </c>
      <c r="BF243" s="18">
        <f t="shared" si="314"/>
        <v>0</v>
      </c>
      <c r="BG243" s="18">
        <f t="shared" si="315"/>
        <v>0</v>
      </c>
      <c r="BH243" s="18">
        <f t="shared" si="316"/>
        <v>0</v>
      </c>
      <c r="BI243" s="18">
        <f t="shared" si="317"/>
        <v>0</v>
      </c>
      <c r="BJ243" s="18">
        <f t="shared" si="318"/>
        <v>0</v>
      </c>
      <c r="BK243" s="18">
        <f t="shared" si="319"/>
        <v>0</v>
      </c>
      <c r="BL243" s="18">
        <f t="shared" si="320"/>
        <v>0</v>
      </c>
      <c r="BM243" s="18">
        <f t="shared" si="321"/>
        <v>0</v>
      </c>
      <c r="BN243" s="18">
        <f t="shared" si="322"/>
        <v>0</v>
      </c>
      <c r="BO243" s="18">
        <f t="shared" si="323"/>
        <v>0</v>
      </c>
      <c r="BP243" s="18">
        <f t="shared" si="324"/>
        <v>0</v>
      </c>
      <c r="BQ243" s="18">
        <f t="shared" si="325"/>
        <v>0</v>
      </c>
      <c r="BR243" s="18">
        <f t="shared" si="326"/>
        <v>0</v>
      </c>
      <c r="BS243" s="18">
        <f t="shared" si="327"/>
        <v>0</v>
      </c>
      <c r="BT243" s="18">
        <f t="shared" si="328"/>
        <v>0</v>
      </c>
      <c r="BU243" s="18">
        <f t="shared" si="329"/>
        <v>0</v>
      </c>
      <c r="BV243" s="18">
        <f t="shared" si="330"/>
        <v>0</v>
      </c>
      <c r="BW243" s="18">
        <f t="shared" si="331"/>
        <v>0</v>
      </c>
      <c r="BX243" s="18">
        <f t="shared" si="332"/>
        <v>0</v>
      </c>
      <c r="BY243" s="18">
        <f t="shared" si="333"/>
        <v>0</v>
      </c>
      <c r="BZ243" s="18">
        <f t="shared" si="334"/>
        <v>0</v>
      </c>
      <c r="CA243" s="18">
        <f t="shared" si="335"/>
        <v>0</v>
      </c>
      <c r="CB243" s="18">
        <f t="shared" si="336"/>
        <v>0</v>
      </c>
      <c r="CC243" s="18">
        <f t="shared" si="337"/>
        <v>0</v>
      </c>
      <c r="CD243" s="18">
        <f t="shared" si="338"/>
        <v>0</v>
      </c>
      <c r="CE243" s="18">
        <f t="shared" si="339"/>
        <v>0</v>
      </c>
      <c r="CF243" s="18">
        <f t="shared" si="340"/>
        <v>0</v>
      </c>
      <c r="CG243" s="18">
        <f t="shared" si="341"/>
        <v>0</v>
      </c>
      <c r="CH243" s="18">
        <f t="shared" si="342"/>
        <v>0</v>
      </c>
      <c r="CI243" s="18">
        <f t="shared" si="343"/>
        <v>0</v>
      </c>
      <c r="CJ243" s="18">
        <f t="shared" si="344"/>
        <v>0</v>
      </c>
    </row>
    <row r="244" spans="1:88" x14ac:dyDescent="0.3">
      <c r="A244" s="1">
        <v>44182</v>
      </c>
      <c r="B244">
        <v>46890.34</v>
      </c>
      <c r="C244">
        <f>Table1[[#This Row],[Close]]-0.001*Table1[[#This Row],[Close]]</f>
        <v>46843.449659999998</v>
      </c>
      <c r="D244">
        <f>Table1[[#This Row],[Close]]+0.001*Table1[[#This Row],[Close]]</f>
        <v>46937.230339999995</v>
      </c>
      <c r="E244" t="str">
        <f>IF(Table1[[#This Row],[Close]]&gt;D243,"UP",IF(Table1[[#This Row],[Close]]&lt;C243,"Down","Constant"))</f>
        <v>UP</v>
      </c>
      <c r="F244" s="3">
        <f>IF(Table1[[#This Row],[Column1]]="Up",1,IF(Table1[[#This Row],[Column1]]="Down",-1,0))</f>
        <v>1</v>
      </c>
      <c r="G244">
        <f t="shared" si="263"/>
        <v>0</v>
      </c>
      <c r="H244" s="18">
        <f t="shared" si="264"/>
        <v>0</v>
      </c>
      <c r="I244" s="18">
        <f t="shared" si="265"/>
        <v>0</v>
      </c>
      <c r="J244" s="18">
        <f t="shared" si="266"/>
        <v>0</v>
      </c>
      <c r="K244" s="18">
        <f t="shared" si="267"/>
        <v>0</v>
      </c>
      <c r="L244" s="18">
        <f t="shared" si="268"/>
        <v>0</v>
      </c>
      <c r="M244" s="18">
        <f t="shared" si="269"/>
        <v>0</v>
      </c>
      <c r="N244" s="18">
        <f t="shared" si="270"/>
        <v>0</v>
      </c>
      <c r="O244" s="18">
        <f t="shared" si="271"/>
        <v>0</v>
      </c>
      <c r="P244" s="18">
        <f t="shared" si="272"/>
        <v>0</v>
      </c>
      <c r="Q244" s="18">
        <f t="shared" si="273"/>
        <v>0</v>
      </c>
      <c r="R244" s="18">
        <f t="shared" si="274"/>
        <v>0</v>
      </c>
      <c r="S244" s="18">
        <f t="shared" si="275"/>
        <v>0</v>
      </c>
      <c r="T244" s="18">
        <f t="shared" si="276"/>
        <v>0</v>
      </c>
      <c r="U244" s="18">
        <f t="shared" si="277"/>
        <v>0</v>
      </c>
      <c r="V244" s="18">
        <f t="shared" si="278"/>
        <v>0</v>
      </c>
      <c r="W244" s="18">
        <f t="shared" si="279"/>
        <v>0</v>
      </c>
      <c r="X244" s="18">
        <f t="shared" si="280"/>
        <v>0</v>
      </c>
      <c r="Y244" s="18">
        <f t="shared" si="281"/>
        <v>0</v>
      </c>
      <c r="Z244" s="18">
        <f t="shared" si="282"/>
        <v>0</v>
      </c>
      <c r="AA244" s="18">
        <f t="shared" si="283"/>
        <v>0</v>
      </c>
      <c r="AB244" s="18">
        <f t="shared" si="284"/>
        <v>0</v>
      </c>
      <c r="AC244" s="18">
        <f t="shared" si="285"/>
        <v>0</v>
      </c>
      <c r="AD244" s="18">
        <f t="shared" si="286"/>
        <v>0</v>
      </c>
      <c r="AE244" s="18">
        <f t="shared" si="287"/>
        <v>0</v>
      </c>
      <c r="AF244" s="18">
        <f t="shared" si="288"/>
        <v>0</v>
      </c>
      <c r="AG244" s="18">
        <f t="shared" si="289"/>
        <v>0</v>
      </c>
      <c r="AH244" s="18">
        <f t="shared" si="290"/>
        <v>0</v>
      </c>
      <c r="AI244" s="18">
        <f t="shared" si="291"/>
        <v>0</v>
      </c>
      <c r="AJ244" s="18">
        <f t="shared" si="292"/>
        <v>0</v>
      </c>
      <c r="AK244" s="18">
        <f t="shared" si="293"/>
        <v>1</v>
      </c>
      <c r="AL244" s="18">
        <f t="shared" si="294"/>
        <v>0</v>
      </c>
      <c r="AM244" s="18">
        <f t="shared" si="295"/>
        <v>0</v>
      </c>
      <c r="AN244" s="18">
        <f t="shared" si="296"/>
        <v>0</v>
      </c>
      <c r="AO244" s="18">
        <f t="shared" si="297"/>
        <v>0</v>
      </c>
      <c r="AP244" s="18">
        <f t="shared" si="298"/>
        <v>0</v>
      </c>
      <c r="AQ244" s="18">
        <f t="shared" si="299"/>
        <v>0</v>
      </c>
      <c r="AR244" s="18">
        <f t="shared" si="300"/>
        <v>0</v>
      </c>
      <c r="AS244" s="18">
        <f t="shared" si="301"/>
        <v>0</v>
      </c>
      <c r="AT244" s="18">
        <f t="shared" si="302"/>
        <v>0</v>
      </c>
      <c r="AU244" s="18">
        <f t="shared" si="303"/>
        <v>0</v>
      </c>
      <c r="AV244" s="18">
        <f t="shared" si="304"/>
        <v>0</v>
      </c>
      <c r="AW244" s="18">
        <f t="shared" si="305"/>
        <v>0</v>
      </c>
      <c r="AX244" s="18">
        <f t="shared" si="306"/>
        <v>0</v>
      </c>
      <c r="AY244" s="18">
        <f t="shared" si="307"/>
        <v>0</v>
      </c>
      <c r="AZ244" s="18">
        <f t="shared" si="308"/>
        <v>0</v>
      </c>
      <c r="BA244" s="18">
        <f t="shared" si="309"/>
        <v>0</v>
      </c>
      <c r="BB244" s="18">
        <f t="shared" si="310"/>
        <v>0</v>
      </c>
      <c r="BC244" s="18">
        <f t="shared" si="311"/>
        <v>0</v>
      </c>
      <c r="BD244" s="18">
        <f t="shared" si="312"/>
        <v>0</v>
      </c>
      <c r="BE244" s="18">
        <f t="shared" si="313"/>
        <v>0</v>
      </c>
      <c r="BF244" s="18">
        <f t="shared" si="314"/>
        <v>0</v>
      </c>
      <c r="BG244" s="18">
        <f t="shared" si="315"/>
        <v>0</v>
      </c>
      <c r="BH244" s="18">
        <f t="shared" si="316"/>
        <v>0</v>
      </c>
      <c r="BI244" s="18">
        <f t="shared" si="317"/>
        <v>0</v>
      </c>
      <c r="BJ244" s="18">
        <f t="shared" si="318"/>
        <v>0</v>
      </c>
      <c r="BK244" s="18">
        <f t="shared" si="319"/>
        <v>0</v>
      </c>
      <c r="BL244" s="18">
        <f t="shared" si="320"/>
        <v>0</v>
      </c>
      <c r="BM244" s="18">
        <f t="shared" si="321"/>
        <v>0</v>
      </c>
      <c r="BN244" s="18">
        <f t="shared" si="322"/>
        <v>0</v>
      </c>
      <c r="BO244" s="18">
        <f t="shared" si="323"/>
        <v>0</v>
      </c>
      <c r="BP244" s="18">
        <f t="shared" si="324"/>
        <v>0</v>
      </c>
      <c r="BQ244" s="18">
        <f t="shared" si="325"/>
        <v>0</v>
      </c>
      <c r="BR244" s="18">
        <f t="shared" si="326"/>
        <v>0</v>
      </c>
      <c r="BS244" s="18">
        <f t="shared" si="327"/>
        <v>0</v>
      </c>
      <c r="BT244" s="18">
        <f t="shared" si="328"/>
        <v>0</v>
      </c>
      <c r="BU244" s="18">
        <f t="shared" si="329"/>
        <v>0</v>
      </c>
      <c r="BV244" s="18">
        <f t="shared" si="330"/>
        <v>0</v>
      </c>
      <c r="BW244" s="18">
        <f t="shared" si="331"/>
        <v>0</v>
      </c>
      <c r="BX244" s="18">
        <f t="shared" si="332"/>
        <v>0</v>
      </c>
      <c r="BY244" s="18">
        <f t="shared" si="333"/>
        <v>0</v>
      </c>
      <c r="BZ244" s="18">
        <f t="shared" si="334"/>
        <v>0</v>
      </c>
      <c r="CA244" s="18">
        <f t="shared" si="335"/>
        <v>0</v>
      </c>
      <c r="CB244" s="18">
        <f t="shared" si="336"/>
        <v>0</v>
      </c>
      <c r="CC244" s="18">
        <f t="shared" si="337"/>
        <v>0</v>
      </c>
      <c r="CD244" s="18">
        <f t="shared" si="338"/>
        <v>0</v>
      </c>
      <c r="CE244" s="18">
        <f t="shared" si="339"/>
        <v>0</v>
      </c>
      <c r="CF244" s="18">
        <f t="shared" si="340"/>
        <v>0</v>
      </c>
      <c r="CG244" s="18">
        <f t="shared" si="341"/>
        <v>0</v>
      </c>
      <c r="CH244" s="18">
        <f t="shared" si="342"/>
        <v>0</v>
      </c>
      <c r="CI244" s="18">
        <f t="shared" si="343"/>
        <v>0</v>
      </c>
      <c r="CJ244" s="18">
        <f t="shared" si="344"/>
        <v>0</v>
      </c>
    </row>
    <row r="245" spans="1:88" x14ac:dyDescent="0.3">
      <c r="A245" s="1">
        <v>44183</v>
      </c>
      <c r="B245">
        <v>46960.69</v>
      </c>
      <c r="C245">
        <f>Table1[[#This Row],[Close]]-0.001*Table1[[#This Row],[Close]]</f>
        <v>46913.729310000002</v>
      </c>
      <c r="D245">
        <f>Table1[[#This Row],[Close]]+0.001*Table1[[#This Row],[Close]]</f>
        <v>47007.650690000002</v>
      </c>
      <c r="E245" t="str">
        <f>IF(Table1[[#This Row],[Close]]&gt;D244,"UP",IF(Table1[[#This Row],[Close]]&lt;C244,"Down","Constant"))</f>
        <v>UP</v>
      </c>
      <c r="F245" s="3">
        <f>IF(Table1[[#This Row],[Column1]]="Up",1,IF(Table1[[#This Row],[Column1]]="Down",-1,0))</f>
        <v>1</v>
      </c>
      <c r="G245">
        <f t="shared" si="263"/>
        <v>0</v>
      </c>
      <c r="H245" s="18">
        <f t="shared" si="264"/>
        <v>0</v>
      </c>
      <c r="I245" s="18">
        <f t="shared" si="265"/>
        <v>0</v>
      </c>
      <c r="J245" s="18">
        <f t="shared" si="266"/>
        <v>0</v>
      </c>
      <c r="K245" s="18">
        <f t="shared" si="267"/>
        <v>0</v>
      </c>
      <c r="L245" s="18">
        <f t="shared" si="268"/>
        <v>0</v>
      </c>
      <c r="M245" s="18">
        <f t="shared" si="269"/>
        <v>0</v>
      </c>
      <c r="N245" s="18">
        <f t="shared" si="270"/>
        <v>0</v>
      </c>
      <c r="O245" s="18">
        <f t="shared" si="271"/>
        <v>0</v>
      </c>
      <c r="P245" s="18">
        <f t="shared" si="272"/>
        <v>0</v>
      </c>
      <c r="Q245" s="18">
        <f t="shared" si="273"/>
        <v>0</v>
      </c>
      <c r="R245" s="18">
        <f t="shared" si="274"/>
        <v>0</v>
      </c>
      <c r="S245" s="18">
        <f t="shared" si="275"/>
        <v>0</v>
      </c>
      <c r="T245" s="18">
        <f t="shared" si="276"/>
        <v>0</v>
      </c>
      <c r="U245" s="18">
        <f t="shared" si="277"/>
        <v>0</v>
      </c>
      <c r="V245" s="18">
        <f t="shared" si="278"/>
        <v>0</v>
      </c>
      <c r="W245" s="18">
        <f t="shared" si="279"/>
        <v>0</v>
      </c>
      <c r="X245" s="18">
        <f t="shared" si="280"/>
        <v>0</v>
      </c>
      <c r="Y245" s="18">
        <f t="shared" si="281"/>
        <v>0</v>
      </c>
      <c r="Z245" s="18">
        <f t="shared" si="282"/>
        <v>0</v>
      </c>
      <c r="AA245" s="18">
        <f t="shared" si="283"/>
        <v>0</v>
      </c>
      <c r="AB245" s="18">
        <f t="shared" si="284"/>
        <v>0</v>
      </c>
      <c r="AC245" s="18">
        <f t="shared" si="285"/>
        <v>0</v>
      </c>
      <c r="AD245" s="18">
        <f t="shared" si="286"/>
        <v>0</v>
      </c>
      <c r="AE245" s="18">
        <f t="shared" si="287"/>
        <v>0</v>
      </c>
      <c r="AF245" s="18">
        <f t="shared" si="288"/>
        <v>0</v>
      </c>
      <c r="AG245" s="18">
        <f t="shared" si="289"/>
        <v>0</v>
      </c>
      <c r="AH245" s="18">
        <f t="shared" si="290"/>
        <v>1</v>
      </c>
      <c r="AI245" s="18">
        <f t="shared" si="291"/>
        <v>0</v>
      </c>
      <c r="AJ245" s="18">
        <f t="shared" si="292"/>
        <v>0</v>
      </c>
      <c r="AK245" s="18">
        <f t="shared" si="293"/>
        <v>0</v>
      </c>
      <c r="AL245" s="18">
        <f t="shared" si="294"/>
        <v>0</v>
      </c>
      <c r="AM245" s="18">
        <f t="shared" si="295"/>
        <v>0</v>
      </c>
      <c r="AN245" s="18">
        <f t="shared" si="296"/>
        <v>0</v>
      </c>
      <c r="AO245" s="18">
        <f t="shared" si="297"/>
        <v>0</v>
      </c>
      <c r="AP245" s="18">
        <f t="shared" si="298"/>
        <v>0</v>
      </c>
      <c r="AQ245" s="18">
        <f t="shared" si="299"/>
        <v>0</v>
      </c>
      <c r="AR245" s="18">
        <f t="shared" si="300"/>
        <v>0</v>
      </c>
      <c r="AS245" s="18">
        <f t="shared" si="301"/>
        <v>0</v>
      </c>
      <c r="AT245" s="18">
        <f t="shared" si="302"/>
        <v>0</v>
      </c>
      <c r="AU245" s="18">
        <f t="shared" si="303"/>
        <v>0</v>
      </c>
      <c r="AV245" s="18">
        <f t="shared" si="304"/>
        <v>0</v>
      </c>
      <c r="AW245" s="18">
        <f t="shared" si="305"/>
        <v>0</v>
      </c>
      <c r="AX245" s="18">
        <f t="shared" si="306"/>
        <v>0</v>
      </c>
      <c r="AY245" s="18">
        <f t="shared" si="307"/>
        <v>0</v>
      </c>
      <c r="AZ245" s="18">
        <f t="shared" si="308"/>
        <v>0</v>
      </c>
      <c r="BA245" s="18">
        <f t="shared" si="309"/>
        <v>0</v>
      </c>
      <c r="BB245" s="18">
        <f t="shared" si="310"/>
        <v>0</v>
      </c>
      <c r="BC245" s="18">
        <f t="shared" si="311"/>
        <v>0</v>
      </c>
      <c r="BD245" s="18">
        <f t="shared" si="312"/>
        <v>0</v>
      </c>
      <c r="BE245" s="18">
        <f t="shared" si="313"/>
        <v>0</v>
      </c>
      <c r="BF245" s="18">
        <f t="shared" si="314"/>
        <v>0</v>
      </c>
      <c r="BG245" s="18">
        <f t="shared" si="315"/>
        <v>0</v>
      </c>
      <c r="BH245" s="18">
        <f t="shared" si="316"/>
        <v>0</v>
      </c>
      <c r="BI245" s="18">
        <f t="shared" si="317"/>
        <v>0</v>
      </c>
      <c r="BJ245" s="18">
        <f t="shared" si="318"/>
        <v>0</v>
      </c>
      <c r="BK245" s="18">
        <f t="shared" si="319"/>
        <v>0</v>
      </c>
      <c r="BL245" s="18">
        <f t="shared" si="320"/>
        <v>0</v>
      </c>
      <c r="BM245" s="18">
        <f t="shared" si="321"/>
        <v>0</v>
      </c>
      <c r="BN245" s="18">
        <f t="shared" si="322"/>
        <v>0</v>
      </c>
      <c r="BO245" s="18">
        <f t="shared" si="323"/>
        <v>0</v>
      </c>
      <c r="BP245" s="18">
        <f t="shared" si="324"/>
        <v>0</v>
      </c>
      <c r="BQ245" s="18">
        <f t="shared" si="325"/>
        <v>0</v>
      </c>
      <c r="BR245" s="18">
        <f t="shared" si="326"/>
        <v>0</v>
      </c>
      <c r="BS245" s="18">
        <f t="shared" si="327"/>
        <v>0</v>
      </c>
      <c r="BT245" s="18">
        <f t="shared" si="328"/>
        <v>0</v>
      </c>
      <c r="BU245" s="18">
        <f t="shared" si="329"/>
        <v>0</v>
      </c>
      <c r="BV245" s="18">
        <f t="shared" si="330"/>
        <v>0</v>
      </c>
      <c r="BW245" s="18">
        <f t="shared" si="331"/>
        <v>0</v>
      </c>
      <c r="BX245" s="18">
        <f t="shared" si="332"/>
        <v>0</v>
      </c>
      <c r="BY245" s="18">
        <f t="shared" si="333"/>
        <v>0</v>
      </c>
      <c r="BZ245" s="18">
        <f t="shared" si="334"/>
        <v>0</v>
      </c>
      <c r="CA245" s="18">
        <f t="shared" si="335"/>
        <v>0</v>
      </c>
      <c r="CB245" s="18">
        <f t="shared" si="336"/>
        <v>0</v>
      </c>
      <c r="CC245" s="18">
        <f t="shared" si="337"/>
        <v>0</v>
      </c>
      <c r="CD245" s="18">
        <f t="shared" si="338"/>
        <v>0</v>
      </c>
      <c r="CE245" s="18">
        <f t="shared" si="339"/>
        <v>0</v>
      </c>
      <c r="CF245" s="18">
        <f t="shared" si="340"/>
        <v>0</v>
      </c>
      <c r="CG245" s="18">
        <f t="shared" si="341"/>
        <v>0</v>
      </c>
      <c r="CH245" s="18">
        <f t="shared" si="342"/>
        <v>0</v>
      </c>
      <c r="CI245" s="18">
        <f t="shared" si="343"/>
        <v>0</v>
      </c>
      <c r="CJ245" s="18">
        <f t="shared" si="344"/>
        <v>0</v>
      </c>
    </row>
    <row r="246" spans="1:88" x14ac:dyDescent="0.3">
      <c r="A246" s="1">
        <v>44186</v>
      </c>
      <c r="B246">
        <v>45553.96</v>
      </c>
      <c r="C246">
        <f>Table1[[#This Row],[Close]]-0.001*Table1[[#This Row],[Close]]</f>
        <v>45508.406040000002</v>
      </c>
      <c r="D246">
        <f>Table1[[#This Row],[Close]]+0.001*Table1[[#This Row],[Close]]</f>
        <v>45599.513959999997</v>
      </c>
      <c r="E246" t="str">
        <f>IF(Table1[[#This Row],[Close]]&gt;D245,"UP",IF(Table1[[#This Row],[Close]]&lt;C245,"Down","Constant"))</f>
        <v>Down</v>
      </c>
      <c r="F246" s="3">
        <f>IF(Table1[[#This Row],[Column1]]="Up",1,IF(Table1[[#This Row],[Column1]]="Down",-1,0))</f>
        <v>-1</v>
      </c>
      <c r="G246">
        <f t="shared" si="263"/>
        <v>0</v>
      </c>
      <c r="H246" s="18">
        <f t="shared" si="264"/>
        <v>1</v>
      </c>
      <c r="I246" s="18">
        <f t="shared" si="265"/>
        <v>0</v>
      </c>
      <c r="J246" s="18">
        <f t="shared" si="266"/>
        <v>0</v>
      </c>
      <c r="K246" s="18">
        <f t="shared" si="267"/>
        <v>0</v>
      </c>
      <c r="L246" s="18">
        <f t="shared" si="268"/>
        <v>0</v>
      </c>
      <c r="M246" s="18">
        <f t="shared" si="269"/>
        <v>0</v>
      </c>
      <c r="N246" s="18">
        <f t="shared" si="270"/>
        <v>0</v>
      </c>
      <c r="O246" s="18">
        <f t="shared" si="271"/>
        <v>0</v>
      </c>
      <c r="P246" s="18">
        <f t="shared" si="272"/>
        <v>0</v>
      </c>
      <c r="Q246" s="18">
        <f t="shared" si="273"/>
        <v>0</v>
      </c>
      <c r="R246" s="18">
        <f t="shared" si="274"/>
        <v>0</v>
      </c>
      <c r="S246" s="18">
        <f t="shared" si="275"/>
        <v>0</v>
      </c>
      <c r="T246" s="18">
        <f t="shared" si="276"/>
        <v>0</v>
      </c>
      <c r="U246" s="18">
        <f t="shared" si="277"/>
        <v>0</v>
      </c>
      <c r="V246" s="18">
        <f t="shared" si="278"/>
        <v>0</v>
      </c>
      <c r="W246" s="18">
        <f t="shared" si="279"/>
        <v>0</v>
      </c>
      <c r="X246" s="18">
        <f t="shared" si="280"/>
        <v>0</v>
      </c>
      <c r="Y246" s="18">
        <f t="shared" si="281"/>
        <v>0</v>
      </c>
      <c r="Z246" s="18">
        <f t="shared" si="282"/>
        <v>0</v>
      </c>
      <c r="AA246" s="18">
        <f t="shared" si="283"/>
        <v>0</v>
      </c>
      <c r="AB246" s="18">
        <f t="shared" si="284"/>
        <v>0</v>
      </c>
      <c r="AC246" s="18">
        <f t="shared" si="285"/>
        <v>0</v>
      </c>
      <c r="AD246" s="18">
        <f t="shared" si="286"/>
        <v>0</v>
      </c>
      <c r="AE246" s="18">
        <f t="shared" si="287"/>
        <v>0</v>
      </c>
      <c r="AF246" s="18">
        <f t="shared" si="288"/>
        <v>0</v>
      </c>
      <c r="AG246" s="18">
        <f t="shared" si="289"/>
        <v>0</v>
      </c>
      <c r="AH246" s="18">
        <f t="shared" si="290"/>
        <v>0</v>
      </c>
      <c r="AI246" s="18">
        <f t="shared" si="291"/>
        <v>0</v>
      </c>
      <c r="AJ246" s="18">
        <f t="shared" si="292"/>
        <v>0</v>
      </c>
      <c r="AK246" s="18">
        <f t="shared" si="293"/>
        <v>0</v>
      </c>
      <c r="AL246" s="18">
        <f t="shared" si="294"/>
        <v>0</v>
      </c>
      <c r="AM246" s="18">
        <f t="shared" si="295"/>
        <v>0</v>
      </c>
      <c r="AN246" s="18">
        <f t="shared" si="296"/>
        <v>0</v>
      </c>
      <c r="AO246" s="18">
        <f t="shared" si="297"/>
        <v>0</v>
      </c>
      <c r="AP246" s="18">
        <f t="shared" si="298"/>
        <v>0</v>
      </c>
      <c r="AQ246" s="18">
        <f t="shared" si="299"/>
        <v>0</v>
      </c>
      <c r="AR246" s="18">
        <f t="shared" si="300"/>
        <v>0</v>
      </c>
      <c r="AS246" s="18">
        <f t="shared" si="301"/>
        <v>0</v>
      </c>
      <c r="AT246" s="18">
        <f t="shared" si="302"/>
        <v>0</v>
      </c>
      <c r="AU246" s="18">
        <f t="shared" si="303"/>
        <v>0</v>
      </c>
      <c r="AV246" s="18">
        <f t="shared" si="304"/>
        <v>0</v>
      </c>
      <c r="AW246" s="18">
        <f t="shared" si="305"/>
        <v>0</v>
      </c>
      <c r="AX246" s="18">
        <f t="shared" si="306"/>
        <v>0</v>
      </c>
      <c r="AY246" s="18">
        <f t="shared" si="307"/>
        <v>0</v>
      </c>
      <c r="AZ246" s="18">
        <f t="shared" si="308"/>
        <v>0</v>
      </c>
      <c r="BA246" s="18">
        <f t="shared" si="309"/>
        <v>0</v>
      </c>
      <c r="BB246" s="18">
        <f t="shared" si="310"/>
        <v>0</v>
      </c>
      <c r="BC246" s="18">
        <f t="shared" si="311"/>
        <v>0</v>
      </c>
      <c r="BD246" s="18">
        <f t="shared" si="312"/>
        <v>0</v>
      </c>
      <c r="BE246" s="18">
        <f t="shared" si="313"/>
        <v>0</v>
      </c>
      <c r="BF246" s="18">
        <f t="shared" si="314"/>
        <v>0</v>
      </c>
      <c r="BG246" s="18">
        <f t="shared" si="315"/>
        <v>0</v>
      </c>
      <c r="BH246" s="18">
        <f t="shared" si="316"/>
        <v>0</v>
      </c>
      <c r="BI246" s="18">
        <f t="shared" si="317"/>
        <v>0</v>
      </c>
      <c r="BJ246" s="18">
        <f t="shared" si="318"/>
        <v>0</v>
      </c>
      <c r="BK246" s="18">
        <f t="shared" si="319"/>
        <v>0</v>
      </c>
      <c r="BL246" s="18">
        <f t="shared" si="320"/>
        <v>0</v>
      </c>
      <c r="BM246" s="18">
        <f t="shared" si="321"/>
        <v>0</v>
      </c>
      <c r="BN246" s="18">
        <f t="shared" si="322"/>
        <v>0</v>
      </c>
      <c r="BO246" s="18">
        <f t="shared" si="323"/>
        <v>0</v>
      </c>
      <c r="BP246" s="18">
        <f t="shared" si="324"/>
        <v>0</v>
      </c>
      <c r="BQ246" s="18">
        <f t="shared" si="325"/>
        <v>0</v>
      </c>
      <c r="BR246" s="18">
        <f t="shared" si="326"/>
        <v>0</v>
      </c>
      <c r="BS246" s="18">
        <f t="shared" si="327"/>
        <v>0</v>
      </c>
      <c r="BT246" s="18">
        <f t="shared" si="328"/>
        <v>0</v>
      </c>
      <c r="BU246" s="18">
        <f t="shared" si="329"/>
        <v>0</v>
      </c>
      <c r="BV246" s="18">
        <f t="shared" si="330"/>
        <v>0</v>
      </c>
      <c r="BW246" s="18">
        <f t="shared" si="331"/>
        <v>0</v>
      </c>
      <c r="BX246" s="18">
        <f t="shared" si="332"/>
        <v>0</v>
      </c>
      <c r="BY246" s="18">
        <f t="shared" si="333"/>
        <v>0</v>
      </c>
      <c r="BZ246" s="18">
        <f t="shared" si="334"/>
        <v>0</v>
      </c>
      <c r="CA246" s="18">
        <f t="shared" si="335"/>
        <v>0</v>
      </c>
      <c r="CB246" s="18">
        <f t="shared" si="336"/>
        <v>0</v>
      </c>
      <c r="CC246" s="18">
        <f t="shared" si="337"/>
        <v>0</v>
      </c>
      <c r="CD246" s="18">
        <f t="shared" si="338"/>
        <v>0</v>
      </c>
      <c r="CE246" s="18">
        <f t="shared" si="339"/>
        <v>0</v>
      </c>
      <c r="CF246" s="18">
        <f t="shared" si="340"/>
        <v>0</v>
      </c>
      <c r="CG246" s="18">
        <f t="shared" si="341"/>
        <v>0</v>
      </c>
      <c r="CH246" s="18">
        <f t="shared" si="342"/>
        <v>0</v>
      </c>
      <c r="CI246" s="18">
        <f t="shared" si="343"/>
        <v>0</v>
      </c>
      <c r="CJ246" s="18">
        <f t="shared" si="344"/>
        <v>0</v>
      </c>
    </row>
    <row r="247" spans="1:88" x14ac:dyDescent="0.3">
      <c r="A247" s="1">
        <v>44187</v>
      </c>
      <c r="B247">
        <v>46006.69</v>
      </c>
      <c r="C247">
        <f>Table1[[#This Row],[Close]]-0.001*Table1[[#This Row],[Close]]</f>
        <v>45960.68331</v>
      </c>
      <c r="D247">
        <f>Table1[[#This Row],[Close]]+0.001*Table1[[#This Row],[Close]]</f>
        <v>46052.696690000004</v>
      </c>
      <c r="E247" t="str">
        <f>IF(Table1[[#This Row],[Close]]&gt;D246,"UP",IF(Table1[[#This Row],[Close]]&lt;C246,"Down","Constant"))</f>
        <v>UP</v>
      </c>
      <c r="F247" s="3">
        <f>IF(Table1[[#This Row],[Column1]]="Up",1,IF(Table1[[#This Row],[Column1]]="Down",-1,0))</f>
        <v>1</v>
      </c>
      <c r="G247">
        <f t="shared" si="263"/>
        <v>0</v>
      </c>
      <c r="H247" s="18">
        <f t="shared" si="264"/>
        <v>0</v>
      </c>
      <c r="I247" s="18">
        <f t="shared" si="265"/>
        <v>0</v>
      </c>
      <c r="J247" s="18">
        <f t="shared" si="266"/>
        <v>0</v>
      </c>
      <c r="K247" s="18">
        <f t="shared" si="267"/>
        <v>0</v>
      </c>
      <c r="L247" s="18">
        <f t="shared" si="268"/>
        <v>0</v>
      </c>
      <c r="M247" s="18">
        <f t="shared" si="269"/>
        <v>0</v>
      </c>
      <c r="N247" s="18">
        <f t="shared" si="270"/>
        <v>0</v>
      </c>
      <c r="O247" s="18">
        <f t="shared" si="271"/>
        <v>0</v>
      </c>
      <c r="P247" s="18">
        <f t="shared" si="272"/>
        <v>0</v>
      </c>
      <c r="Q247" s="18">
        <f t="shared" si="273"/>
        <v>0</v>
      </c>
      <c r="R247" s="18">
        <f t="shared" si="274"/>
        <v>0</v>
      </c>
      <c r="S247" s="18">
        <f t="shared" si="275"/>
        <v>1</v>
      </c>
      <c r="T247" s="18">
        <f t="shared" si="276"/>
        <v>0</v>
      </c>
      <c r="U247" s="18">
        <f t="shared" si="277"/>
        <v>0</v>
      </c>
      <c r="V247" s="18">
        <f t="shared" si="278"/>
        <v>0</v>
      </c>
      <c r="W247" s="18">
        <f t="shared" si="279"/>
        <v>0</v>
      </c>
      <c r="X247" s="18">
        <f t="shared" si="280"/>
        <v>0</v>
      </c>
      <c r="Y247" s="18">
        <f t="shared" si="281"/>
        <v>0</v>
      </c>
      <c r="Z247" s="18">
        <f t="shared" si="282"/>
        <v>0</v>
      </c>
      <c r="AA247" s="18">
        <f t="shared" si="283"/>
        <v>0</v>
      </c>
      <c r="AB247" s="18">
        <f t="shared" si="284"/>
        <v>0</v>
      </c>
      <c r="AC247" s="18">
        <f t="shared" si="285"/>
        <v>0</v>
      </c>
      <c r="AD247" s="18">
        <f t="shared" si="286"/>
        <v>0</v>
      </c>
      <c r="AE247" s="18">
        <f t="shared" si="287"/>
        <v>0</v>
      </c>
      <c r="AF247" s="18">
        <f t="shared" si="288"/>
        <v>0</v>
      </c>
      <c r="AG247" s="18">
        <f t="shared" si="289"/>
        <v>0</v>
      </c>
      <c r="AH247" s="18">
        <f t="shared" si="290"/>
        <v>0</v>
      </c>
      <c r="AI247" s="18">
        <f t="shared" si="291"/>
        <v>0</v>
      </c>
      <c r="AJ247" s="18">
        <f t="shared" si="292"/>
        <v>0</v>
      </c>
      <c r="AK247" s="18">
        <f t="shared" si="293"/>
        <v>0</v>
      </c>
      <c r="AL247" s="18">
        <f t="shared" si="294"/>
        <v>0</v>
      </c>
      <c r="AM247" s="18">
        <f t="shared" si="295"/>
        <v>0</v>
      </c>
      <c r="AN247" s="18">
        <f t="shared" si="296"/>
        <v>0</v>
      </c>
      <c r="AO247" s="18">
        <f t="shared" si="297"/>
        <v>0</v>
      </c>
      <c r="AP247" s="18">
        <f t="shared" si="298"/>
        <v>0</v>
      </c>
      <c r="AQ247" s="18">
        <f t="shared" si="299"/>
        <v>0</v>
      </c>
      <c r="AR247" s="18">
        <f t="shared" si="300"/>
        <v>0</v>
      </c>
      <c r="AS247" s="18">
        <f t="shared" si="301"/>
        <v>0</v>
      </c>
      <c r="AT247" s="18">
        <f t="shared" si="302"/>
        <v>0</v>
      </c>
      <c r="AU247" s="18">
        <f t="shared" si="303"/>
        <v>0</v>
      </c>
      <c r="AV247" s="18">
        <f t="shared" si="304"/>
        <v>0</v>
      </c>
      <c r="AW247" s="18">
        <f t="shared" si="305"/>
        <v>0</v>
      </c>
      <c r="AX247" s="18">
        <f t="shared" si="306"/>
        <v>0</v>
      </c>
      <c r="AY247" s="18">
        <f t="shared" si="307"/>
        <v>0</v>
      </c>
      <c r="AZ247" s="18">
        <f t="shared" si="308"/>
        <v>0</v>
      </c>
      <c r="BA247" s="18">
        <f t="shared" si="309"/>
        <v>0</v>
      </c>
      <c r="BB247" s="18">
        <f t="shared" si="310"/>
        <v>0</v>
      </c>
      <c r="BC247" s="18">
        <f t="shared" si="311"/>
        <v>0</v>
      </c>
      <c r="BD247" s="18">
        <f t="shared" si="312"/>
        <v>0</v>
      </c>
      <c r="BE247" s="18">
        <f t="shared" si="313"/>
        <v>0</v>
      </c>
      <c r="BF247" s="18">
        <f t="shared" si="314"/>
        <v>0</v>
      </c>
      <c r="BG247" s="18">
        <f t="shared" si="315"/>
        <v>0</v>
      </c>
      <c r="BH247" s="18">
        <f t="shared" si="316"/>
        <v>0</v>
      </c>
      <c r="BI247" s="18">
        <f t="shared" si="317"/>
        <v>0</v>
      </c>
      <c r="BJ247" s="18">
        <f t="shared" si="318"/>
        <v>0</v>
      </c>
      <c r="BK247" s="18">
        <f t="shared" si="319"/>
        <v>0</v>
      </c>
      <c r="BL247" s="18">
        <f t="shared" si="320"/>
        <v>0</v>
      </c>
      <c r="BM247" s="18">
        <f t="shared" si="321"/>
        <v>0</v>
      </c>
      <c r="BN247" s="18">
        <f t="shared" si="322"/>
        <v>0</v>
      </c>
      <c r="BO247" s="18">
        <f t="shared" si="323"/>
        <v>0</v>
      </c>
      <c r="BP247" s="18">
        <f t="shared" si="324"/>
        <v>0</v>
      </c>
      <c r="BQ247" s="18">
        <f t="shared" si="325"/>
        <v>0</v>
      </c>
      <c r="BR247" s="18">
        <f t="shared" si="326"/>
        <v>0</v>
      </c>
      <c r="BS247" s="18">
        <f t="shared" si="327"/>
        <v>0</v>
      </c>
      <c r="BT247" s="18">
        <f t="shared" si="328"/>
        <v>0</v>
      </c>
      <c r="BU247" s="18">
        <f t="shared" si="329"/>
        <v>0</v>
      </c>
      <c r="BV247" s="18">
        <f t="shared" si="330"/>
        <v>0</v>
      </c>
      <c r="BW247" s="18">
        <f t="shared" si="331"/>
        <v>0</v>
      </c>
      <c r="BX247" s="18">
        <f t="shared" si="332"/>
        <v>0</v>
      </c>
      <c r="BY247" s="18">
        <f t="shared" si="333"/>
        <v>0</v>
      </c>
      <c r="BZ247" s="18">
        <f t="shared" si="334"/>
        <v>0</v>
      </c>
      <c r="CA247" s="18">
        <f t="shared" si="335"/>
        <v>0</v>
      </c>
      <c r="CB247" s="18">
        <f t="shared" si="336"/>
        <v>0</v>
      </c>
      <c r="CC247" s="18">
        <f t="shared" si="337"/>
        <v>0</v>
      </c>
      <c r="CD247" s="18">
        <f t="shared" si="338"/>
        <v>0</v>
      </c>
      <c r="CE247" s="18">
        <f t="shared" si="339"/>
        <v>0</v>
      </c>
      <c r="CF247" s="18">
        <f t="shared" si="340"/>
        <v>0</v>
      </c>
      <c r="CG247" s="18">
        <f t="shared" si="341"/>
        <v>0</v>
      </c>
      <c r="CH247" s="18">
        <f t="shared" si="342"/>
        <v>0</v>
      </c>
      <c r="CI247" s="18">
        <f t="shared" si="343"/>
        <v>0</v>
      </c>
      <c r="CJ247" s="18">
        <f t="shared" si="344"/>
        <v>0</v>
      </c>
    </row>
    <row r="248" spans="1:88" x14ac:dyDescent="0.3">
      <c r="A248" s="1">
        <v>44188</v>
      </c>
      <c r="B248">
        <v>46444.18</v>
      </c>
      <c r="C248">
        <f>Table1[[#This Row],[Close]]-0.001*Table1[[#This Row],[Close]]</f>
        <v>46397.735820000002</v>
      </c>
      <c r="D248">
        <f>Table1[[#This Row],[Close]]+0.001*Table1[[#This Row],[Close]]</f>
        <v>46490.624179999999</v>
      </c>
      <c r="E248" t="str">
        <f>IF(Table1[[#This Row],[Close]]&gt;D247,"UP",IF(Table1[[#This Row],[Close]]&lt;C247,"Down","Constant"))</f>
        <v>UP</v>
      </c>
      <c r="F248" s="3">
        <f>IF(Table1[[#This Row],[Column1]]="Up",1,IF(Table1[[#This Row],[Column1]]="Down",-1,0))</f>
        <v>1</v>
      </c>
      <c r="G248">
        <f t="shared" si="263"/>
        <v>0</v>
      </c>
      <c r="H248" s="18">
        <f t="shared" si="264"/>
        <v>0</v>
      </c>
      <c r="I248" s="18">
        <f t="shared" si="265"/>
        <v>0</v>
      </c>
      <c r="J248" s="18">
        <f t="shared" si="266"/>
        <v>0</v>
      </c>
      <c r="K248" s="18">
        <f t="shared" si="267"/>
        <v>0</v>
      </c>
      <c r="L248" s="18">
        <f t="shared" si="268"/>
        <v>0</v>
      </c>
      <c r="M248" s="18">
        <f t="shared" si="269"/>
        <v>0</v>
      </c>
      <c r="N248" s="18">
        <f t="shared" si="270"/>
        <v>0</v>
      </c>
      <c r="O248" s="18">
        <f t="shared" si="271"/>
        <v>0</v>
      </c>
      <c r="P248" s="18">
        <f t="shared" si="272"/>
        <v>1</v>
      </c>
      <c r="Q248" s="18">
        <f t="shared" si="273"/>
        <v>0</v>
      </c>
      <c r="R248" s="18">
        <f t="shared" si="274"/>
        <v>0</v>
      </c>
      <c r="S248" s="18">
        <f t="shared" si="275"/>
        <v>0</v>
      </c>
      <c r="T248" s="18">
        <f t="shared" si="276"/>
        <v>0</v>
      </c>
      <c r="U248" s="18">
        <f t="shared" si="277"/>
        <v>0</v>
      </c>
      <c r="V248" s="18">
        <f t="shared" si="278"/>
        <v>0</v>
      </c>
      <c r="W248" s="18">
        <f t="shared" si="279"/>
        <v>0</v>
      </c>
      <c r="X248" s="18">
        <f t="shared" si="280"/>
        <v>0</v>
      </c>
      <c r="Y248" s="18">
        <f t="shared" si="281"/>
        <v>0</v>
      </c>
      <c r="Z248" s="18">
        <f t="shared" si="282"/>
        <v>0</v>
      </c>
      <c r="AA248" s="18">
        <f t="shared" si="283"/>
        <v>0</v>
      </c>
      <c r="AB248" s="18">
        <f t="shared" si="284"/>
        <v>0</v>
      </c>
      <c r="AC248" s="18">
        <f t="shared" si="285"/>
        <v>0</v>
      </c>
      <c r="AD248" s="18">
        <f t="shared" si="286"/>
        <v>0</v>
      </c>
      <c r="AE248" s="18">
        <f t="shared" si="287"/>
        <v>0</v>
      </c>
      <c r="AF248" s="18">
        <f t="shared" si="288"/>
        <v>0</v>
      </c>
      <c r="AG248" s="18">
        <f t="shared" si="289"/>
        <v>0</v>
      </c>
      <c r="AH248" s="18">
        <f t="shared" si="290"/>
        <v>0</v>
      </c>
      <c r="AI248" s="18">
        <f t="shared" si="291"/>
        <v>0</v>
      </c>
      <c r="AJ248" s="18">
        <f t="shared" si="292"/>
        <v>0</v>
      </c>
      <c r="AK248" s="18">
        <f t="shared" si="293"/>
        <v>0</v>
      </c>
      <c r="AL248" s="18">
        <f t="shared" si="294"/>
        <v>0</v>
      </c>
      <c r="AM248" s="18">
        <f t="shared" si="295"/>
        <v>0</v>
      </c>
      <c r="AN248" s="18">
        <f t="shared" si="296"/>
        <v>0</v>
      </c>
      <c r="AO248" s="18">
        <f t="shared" si="297"/>
        <v>0</v>
      </c>
      <c r="AP248" s="18">
        <f t="shared" si="298"/>
        <v>0</v>
      </c>
      <c r="AQ248" s="18">
        <f t="shared" si="299"/>
        <v>0</v>
      </c>
      <c r="AR248" s="18">
        <f t="shared" si="300"/>
        <v>0</v>
      </c>
      <c r="AS248" s="18">
        <f t="shared" si="301"/>
        <v>0</v>
      </c>
      <c r="AT248" s="18">
        <f t="shared" si="302"/>
        <v>0</v>
      </c>
      <c r="AU248" s="18">
        <f t="shared" si="303"/>
        <v>0</v>
      </c>
      <c r="AV248" s="18">
        <f t="shared" si="304"/>
        <v>0</v>
      </c>
      <c r="AW248" s="18">
        <f t="shared" si="305"/>
        <v>0</v>
      </c>
      <c r="AX248" s="18">
        <f t="shared" si="306"/>
        <v>0</v>
      </c>
      <c r="AY248" s="18">
        <f t="shared" si="307"/>
        <v>0</v>
      </c>
      <c r="AZ248" s="18">
        <f t="shared" si="308"/>
        <v>0</v>
      </c>
      <c r="BA248" s="18">
        <f t="shared" si="309"/>
        <v>0</v>
      </c>
      <c r="BB248" s="18">
        <f t="shared" si="310"/>
        <v>0</v>
      </c>
      <c r="BC248" s="18">
        <f t="shared" si="311"/>
        <v>0</v>
      </c>
      <c r="BD248" s="18">
        <f t="shared" si="312"/>
        <v>0</v>
      </c>
      <c r="BE248" s="18">
        <f t="shared" si="313"/>
        <v>0</v>
      </c>
      <c r="BF248" s="18">
        <f t="shared" si="314"/>
        <v>0</v>
      </c>
      <c r="BG248" s="18">
        <f t="shared" si="315"/>
        <v>0</v>
      </c>
      <c r="BH248" s="18">
        <f t="shared" si="316"/>
        <v>0</v>
      </c>
      <c r="BI248" s="18">
        <f t="shared" si="317"/>
        <v>0</v>
      </c>
      <c r="BJ248" s="18">
        <f t="shared" si="318"/>
        <v>0</v>
      </c>
      <c r="BK248" s="18">
        <f t="shared" si="319"/>
        <v>0</v>
      </c>
      <c r="BL248" s="18">
        <f t="shared" si="320"/>
        <v>0</v>
      </c>
      <c r="BM248" s="18">
        <f t="shared" si="321"/>
        <v>0</v>
      </c>
      <c r="BN248" s="18">
        <f t="shared" si="322"/>
        <v>0</v>
      </c>
      <c r="BO248" s="18">
        <f t="shared" si="323"/>
        <v>0</v>
      </c>
      <c r="BP248" s="18">
        <f t="shared" si="324"/>
        <v>0</v>
      </c>
      <c r="BQ248" s="18">
        <f t="shared" si="325"/>
        <v>0</v>
      </c>
      <c r="BR248" s="18">
        <f t="shared" si="326"/>
        <v>0</v>
      </c>
      <c r="BS248" s="18">
        <f t="shared" si="327"/>
        <v>0</v>
      </c>
      <c r="BT248" s="18">
        <f t="shared" si="328"/>
        <v>0</v>
      </c>
      <c r="BU248" s="18">
        <f t="shared" si="329"/>
        <v>0</v>
      </c>
      <c r="BV248" s="18">
        <f t="shared" si="330"/>
        <v>0</v>
      </c>
      <c r="BW248" s="18">
        <f t="shared" si="331"/>
        <v>0</v>
      </c>
      <c r="BX248" s="18">
        <f t="shared" si="332"/>
        <v>0</v>
      </c>
      <c r="BY248" s="18">
        <f t="shared" si="333"/>
        <v>0</v>
      </c>
      <c r="BZ248" s="18">
        <f t="shared" si="334"/>
        <v>0</v>
      </c>
      <c r="CA248" s="18">
        <f t="shared" si="335"/>
        <v>0</v>
      </c>
      <c r="CB248" s="18">
        <f t="shared" si="336"/>
        <v>0</v>
      </c>
      <c r="CC248" s="18">
        <f t="shared" si="337"/>
        <v>0</v>
      </c>
      <c r="CD248" s="18">
        <f t="shared" si="338"/>
        <v>0</v>
      </c>
      <c r="CE248" s="18">
        <f t="shared" si="339"/>
        <v>0</v>
      </c>
      <c r="CF248" s="18">
        <f t="shared" si="340"/>
        <v>0</v>
      </c>
      <c r="CG248" s="18">
        <f t="shared" si="341"/>
        <v>0</v>
      </c>
      <c r="CH248" s="18">
        <f t="shared" si="342"/>
        <v>0</v>
      </c>
      <c r="CI248" s="18">
        <f t="shared" si="343"/>
        <v>0</v>
      </c>
      <c r="CJ248" s="18">
        <f t="shared" si="344"/>
        <v>0</v>
      </c>
    </row>
    <row r="249" spans="1:88" x14ac:dyDescent="0.3">
      <c r="A249" s="1">
        <v>44189</v>
      </c>
      <c r="B249">
        <v>46973.54</v>
      </c>
      <c r="C249">
        <f>Table1[[#This Row],[Close]]-0.001*Table1[[#This Row],[Close]]</f>
        <v>46926.566460000002</v>
      </c>
      <c r="D249">
        <f>Table1[[#This Row],[Close]]+0.001*Table1[[#This Row],[Close]]</f>
        <v>47020.51354</v>
      </c>
      <c r="E249" t="str">
        <f>IF(Table1[[#This Row],[Close]]&gt;D248,"UP",IF(Table1[[#This Row],[Close]]&lt;C248,"Down","Constant"))</f>
        <v>UP</v>
      </c>
      <c r="F249" s="3">
        <f>IF(Table1[[#This Row],[Column1]]="Up",1,IF(Table1[[#This Row],[Column1]]="Down",-1,0))</f>
        <v>1</v>
      </c>
      <c r="G249">
        <f t="shared" si="263"/>
        <v>0</v>
      </c>
      <c r="H249" s="18">
        <f t="shared" si="264"/>
        <v>0</v>
      </c>
      <c r="I249" s="18">
        <f t="shared" si="265"/>
        <v>0</v>
      </c>
      <c r="J249" s="18">
        <f t="shared" si="266"/>
        <v>0</v>
      </c>
      <c r="K249" s="18">
        <f t="shared" si="267"/>
        <v>0</v>
      </c>
      <c r="L249" s="18">
        <f t="shared" si="268"/>
        <v>0</v>
      </c>
      <c r="M249" s="18">
        <f t="shared" si="269"/>
        <v>1</v>
      </c>
      <c r="N249" s="18">
        <f t="shared" si="270"/>
        <v>0</v>
      </c>
      <c r="O249" s="18">
        <f t="shared" si="271"/>
        <v>0</v>
      </c>
      <c r="P249" s="18">
        <f t="shared" si="272"/>
        <v>0</v>
      </c>
      <c r="Q249" s="18">
        <f t="shared" si="273"/>
        <v>0</v>
      </c>
      <c r="R249" s="18">
        <f t="shared" si="274"/>
        <v>0</v>
      </c>
      <c r="S249" s="18">
        <f t="shared" si="275"/>
        <v>0</v>
      </c>
      <c r="T249" s="18">
        <f t="shared" si="276"/>
        <v>0</v>
      </c>
      <c r="U249" s="18">
        <f t="shared" si="277"/>
        <v>0</v>
      </c>
      <c r="V249" s="18">
        <f t="shared" si="278"/>
        <v>0</v>
      </c>
      <c r="W249" s="18">
        <f t="shared" si="279"/>
        <v>0</v>
      </c>
      <c r="X249" s="18">
        <f t="shared" si="280"/>
        <v>0</v>
      </c>
      <c r="Y249" s="18">
        <f t="shared" si="281"/>
        <v>0</v>
      </c>
      <c r="Z249" s="18">
        <f t="shared" si="282"/>
        <v>0</v>
      </c>
      <c r="AA249" s="18">
        <f t="shared" si="283"/>
        <v>0</v>
      </c>
      <c r="AB249" s="18">
        <f t="shared" si="284"/>
        <v>0</v>
      </c>
      <c r="AC249" s="18">
        <f t="shared" si="285"/>
        <v>0</v>
      </c>
      <c r="AD249" s="18">
        <f t="shared" si="286"/>
        <v>0</v>
      </c>
      <c r="AE249" s="18">
        <f t="shared" si="287"/>
        <v>0</v>
      </c>
      <c r="AF249" s="18">
        <f t="shared" si="288"/>
        <v>0</v>
      </c>
      <c r="AG249" s="18">
        <f t="shared" si="289"/>
        <v>0</v>
      </c>
      <c r="AH249" s="18">
        <f t="shared" si="290"/>
        <v>0</v>
      </c>
      <c r="AI249" s="18">
        <f t="shared" si="291"/>
        <v>0</v>
      </c>
      <c r="AJ249" s="18">
        <f t="shared" si="292"/>
        <v>0</v>
      </c>
      <c r="AK249" s="18">
        <f t="shared" si="293"/>
        <v>0</v>
      </c>
      <c r="AL249" s="18">
        <f t="shared" si="294"/>
        <v>0</v>
      </c>
      <c r="AM249" s="18">
        <f t="shared" si="295"/>
        <v>0</v>
      </c>
      <c r="AN249" s="18">
        <f t="shared" si="296"/>
        <v>0</v>
      </c>
      <c r="AO249" s="18">
        <f t="shared" si="297"/>
        <v>0</v>
      </c>
      <c r="AP249" s="18">
        <f t="shared" si="298"/>
        <v>0</v>
      </c>
      <c r="AQ249" s="18">
        <f t="shared" si="299"/>
        <v>0</v>
      </c>
      <c r="AR249" s="18">
        <f t="shared" si="300"/>
        <v>0</v>
      </c>
      <c r="AS249" s="18">
        <f t="shared" si="301"/>
        <v>0</v>
      </c>
      <c r="AT249" s="18">
        <f t="shared" si="302"/>
        <v>0</v>
      </c>
      <c r="AU249" s="18">
        <f t="shared" si="303"/>
        <v>0</v>
      </c>
      <c r="AV249" s="18">
        <f t="shared" si="304"/>
        <v>0</v>
      </c>
      <c r="AW249" s="18">
        <f t="shared" si="305"/>
        <v>0</v>
      </c>
      <c r="AX249" s="18">
        <f t="shared" si="306"/>
        <v>0</v>
      </c>
      <c r="AY249" s="18">
        <f t="shared" si="307"/>
        <v>0</v>
      </c>
      <c r="AZ249" s="18">
        <f t="shared" si="308"/>
        <v>0</v>
      </c>
      <c r="BA249" s="18">
        <f t="shared" si="309"/>
        <v>0</v>
      </c>
      <c r="BB249" s="18">
        <f t="shared" si="310"/>
        <v>0</v>
      </c>
      <c r="BC249" s="18">
        <f t="shared" si="311"/>
        <v>0</v>
      </c>
      <c r="BD249" s="18">
        <f t="shared" si="312"/>
        <v>0</v>
      </c>
      <c r="BE249" s="18">
        <f t="shared" si="313"/>
        <v>0</v>
      </c>
      <c r="BF249" s="18">
        <f t="shared" si="314"/>
        <v>0</v>
      </c>
      <c r="BG249" s="18">
        <f t="shared" si="315"/>
        <v>0</v>
      </c>
      <c r="BH249" s="18">
        <f t="shared" si="316"/>
        <v>0</v>
      </c>
      <c r="BI249" s="18">
        <f t="shared" si="317"/>
        <v>0</v>
      </c>
      <c r="BJ249" s="18">
        <f t="shared" si="318"/>
        <v>0</v>
      </c>
      <c r="BK249" s="18">
        <f t="shared" si="319"/>
        <v>0</v>
      </c>
      <c r="BL249" s="18">
        <f t="shared" si="320"/>
        <v>0</v>
      </c>
      <c r="BM249" s="18">
        <f t="shared" si="321"/>
        <v>0</v>
      </c>
      <c r="BN249" s="18">
        <f t="shared" si="322"/>
        <v>0</v>
      </c>
      <c r="BO249" s="18">
        <f t="shared" si="323"/>
        <v>0</v>
      </c>
      <c r="BP249" s="18">
        <f t="shared" si="324"/>
        <v>0</v>
      </c>
      <c r="BQ249" s="18">
        <f t="shared" si="325"/>
        <v>0</v>
      </c>
      <c r="BR249" s="18">
        <f t="shared" si="326"/>
        <v>0</v>
      </c>
      <c r="BS249" s="18">
        <f t="shared" si="327"/>
        <v>0</v>
      </c>
      <c r="BT249" s="18">
        <f t="shared" si="328"/>
        <v>0</v>
      </c>
      <c r="BU249" s="18">
        <f t="shared" si="329"/>
        <v>0</v>
      </c>
      <c r="BV249" s="18">
        <f t="shared" si="330"/>
        <v>0</v>
      </c>
      <c r="BW249" s="18">
        <f t="shared" si="331"/>
        <v>0</v>
      </c>
      <c r="BX249" s="18">
        <f t="shared" si="332"/>
        <v>0</v>
      </c>
      <c r="BY249" s="18">
        <f t="shared" si="333"/>
        <v>0</v>
      </c>
      <c r="BZ249" s="18">
        <f t="shared" si="334"/>
        <v>0</v>
      </c>
      <c r="CA249" s="18">
        <f t="shared" si="335"/>
        <v>0</v>
      </c>
      <c r="CB249" s="18">
        <f t="shared" si="336"/>
        <v>0</v>
      </c>
      <c r="CC249" s="18">
        <f t="shared" si="337"/>
        <v>0</v>
      </c>
      <c r="CD249" s="18">
        <f t="shared" si="338"/>
        <v>0</v>
      </c>
      <c r="CE249" s="18">
        <f t="shared" si="339"/>
        <v>0</v>
      </c>
      <c r="CF249" s="18">
        <f t="shared" si="340"/>
        <v>0</v>
      </c>
      <c r="CG249" s="18">
        <f t="shared" si="341"/>
        <v>0</v>
      </c>
      <c r="CH249" s="18">
        <f t="shared" si="342"/>
        <v>0</v>
      </c>
      <c r="CI249" s="18">
        <f t="shared" si="343"/>
        <v>0</v>
      </c>
      <c r="CJ249" s="18">
        <f t="shared" si="344"/>
        <v>0</v>
      </c>
    </row>
    <row r="250" spans="1:88" x14ac:dyDescent="0.3">
      <c r="A250" s="1">
        <v>44193</v>
      </c>
      <c r="B250">
        <v>47353.75</v>
      </c>
      <c r="C250">
        <f>Table1[[#This Row],[Close]]-0.001*Table1[[#This Row],[Close]]</f>
        <v>47306.396249999998</v>
      </c>
      <c r="D250">
        <f>Table1[[#This Row],[Close]]+0.001*Table1[[#This Row],[Close]]</f>
        <v>47401.103750000002</v>
      </c>
      <c r="E250" t="str">
        <f>IF(Table1[[#This Row],[Close]]&gt;D249,"UP",IF(Table1[[#This Row],[Close]]&lt;C249,"Down","Constant"))</f>
        <v>UP</v>
      </c>
      <c r="F250" s="3">
        <f>IF(Table1[[#This Row],[Column1]]="Up",1,IF(Table1[[#This Row],[Column1]]="Down",-1,0))</f>
        <v>1</v>
      </c>
      <c r="G250">
        <f t="shared" si="263"/>
        <v>0</v>
      </c>
      <c r="H250" s="18">
        <f t="shared" si="264"/>
        <v>0</v>
      </c>
      <c r="I250" s="18">
        <f t="shared" si="265"/>
        <v>0</v>
      </c>
      <c r="J250" s="18">
        <f t="shared" si="266"/>
        <v>1</v>
      </c>
      <c r="K250" s="18">
        <f t="shared" si="267"/>
        <v>0</v>
      </c>
      <c r="L250" s="18">
        <f t="shared" si="268"/>
        <v>0</v>
      </c>
      <c r="M250" s="18">
        <f t="shared" si="269"/>
        <v>0</v>
      </c>
      <c r="N250" s="18">
        <f t="shared" si="270"/>
        <v>0</v>
      </c>
      <c r="O250" s="18">
        <f t="shared" si="271"/>
        <v>0</v>
      </c>
      <c r="P250" s="18">
        <f t="shared" si="272"/>
        <v>0</v>
      </c>
      <c r="Q250" s="18">
        <f t="shared" si="273"/>
        <v>0</v>
      </c>
      <c r="R250" s="18">
        <f t="shared" si="274"/>
        <v>0</v>
      </c>
      <c r="S250" s="18">
        <f t="shared" si="275"/>
        <v>0</v>
      </c>
      <c r="T250" s="18">
        <f t="shared" si="276"/>
        <v>0</v>
      </c>
      <c r="U250" s="18">
        <f t="shared" si="277"/>
        <v>0</v>
      </c>
      <c r="V250" s="18">
        <f t="shared" si="278"/>
        <v>0</v>
      </c>
      <c r="W250" s="18">
        <f t="shared" si="279"/>
        <v>0</v>
      </c>
      <c r="X250" s="18">
        <f t="shared" si="280"/>
        <v>0</v>
      </c>
      <c r="Y250" s="18">
        <f t="shared" si="281"/>
        <v>0</v>
      </c>
      <c r="Z250" s="18">
        <f t="shared" si="282"/>
        <v>0</v>
      </c>
      <c r="AA250" s="18">
        <f t="shared" si="283"/>
        <v>0</v>
      </c>
      <c r="AB250" s="18">
        <f t="shared" si="284"/>
        <v>0</v>
      </c>
      <c r="AC250" s="18">
        <f t="shared" si="285"/>
        <v>0</v>
      </c>
      <c r="AD250" s="18">
        <f t="shared" si="286"/>
        <v>0</v>
      </c>
      <c r="AE250" s="18">
        <f t="shared" si="287"/>
        <v>0</v>
      </c>
      <c r="AF250" s="18">
        <f t="shared" si="288"/>
        <v>0</v>
      </c>
      <c r="AG250" s="18">
        <f t="shared" si="289"/>
        <v>0</v>
      </c>
      <c r="AH250" s="18">
        <f t="shared" si="290"/>
        <v>0</v>
      </c>
      <c r="AI250" s="18">
        <f t="shared" si="291"/>
        <v>0</v>
      </c>
      <c r="AJ250" s="18">
        <f t="shared" si="292"/>
        <v>0</v>
      </c>
      <c r="AK250" s="18">
        <f t="shared" si="293"/>
        <v>0</v>
      </c>
      <c r="AL250" s="18">
        <f t="shared" si="294"/>
        <v>0</v>
      </c>
      <c r="AM250" s="18">
        <f t="shared" si="295"/>
        <v>0</v>
      </c>
      <c r="AN250" s="18">
        <f t="shared" si="296"/>
        <v>0</v>
      </c>
      <c r="AO250" s="18">
        <f t="shared" si="297"/>
        <v>0</v>
      </c>
      <c r="AP250" s="18">
        <f t="shared" si="298"/>
        <v>0</v>
      </c>
      <c r="AQ250" s="18">
        <f t="shared" si="299"/>
        <v>0</v>
      </c>
      <c r="AR250" s="18">
        <f t="shared" si="300"/>
        <v>0</v>
      </c>
      <c r="AS250" s="18">
        <f t="shared" si="301"/>
        <v>0</v>
      </c>
      <c r="AT250" s="18">
        <f t="shared" si="302"/>
        <v>0</v>
      </c>
      <c r="AU250" s="18">
        <f t="shared" si="303"/>
        <v>0</v>
      </c>
      <c r="AV250" s="18">
        <f t="shared" si="304"/>
        <v>0</v>
      </c>
      <c r="AW250" s="18">
        <f t="shared" si="305"/>
        <v>0</v>
      </c>
      <c r="AX250" s="18">
        <f t="shared" si="306"/>
        <v>0</v>
      </c>
      <c r="AY250" s="18">
        <f t="shared" si="307"/>
        <v>0</v>
      </c>
      <c r="AZ250" s="18">
        <f t="shared" si="308"/>
        <v>0</v>
      </c>
      <c r="BA250" s="18">
        <f t="shared" si="309"/>
        <v>0</v>
      </c>
      <c r="BB250" s="18">
        <f t="shared" si="310"/>
        <v>0</v>
      </c>
      <c r="BC250" s="18">
        <f t="shared" si="311"/>
        <v>0</v>
      </c>
      <c r="BD250" s="18">
        <f t="shared" si="312"/>
        <v>0</v>
      </c>
      <c r="BE250" s="18">
        <f t="shared" si="313"/>
        <v>0</v>
      </c>
      <c r="BF250" s="18">
        <f t="shared" si="314"/>
        <v>0</v>
      </c>
      <c r="BG250" s="18">
        <f t="shared" si="315"/>
        <v>0</v>
      </c>
      <c r="BH250" s="18">
        <f t="shared" si="316"/>
        <v>0</v>
      </c>
      <c r="BI250" s="18">
        <f t="shared" si="317"/>
        <v>0</v>
      </c>
      <c r="BJ250" s="18">
        <f t="shared" si="318"/>
        <v>0</v>
      </c>
      <c r="BK250" s="18">
        <f t="shared" si="319"/>
        <v>0</v>
      </c>
      <c r="BL250" s="18">
        <f t="shared" si="320"/>
        <v>0</v>
      </c>
      <c r="BM250" s="18">
        <f t="shared" si="321"/>
        <v>0</v>
      </c>
      <c r="BN250" s="18">
        <f t="shared" si="322"/>
        <v>0</v>
      </c>
      <c r="BO250" s="18">
        <f t="shared" si="323"/>
        <v>0</v>
      </c>
      <c r="BP250" s="18">
        <f t="shared" si="324"/>
        <v>0</v>
      </c>
      <c r="BQ250" s="18">
        <f t="shared" si="325"/>
        <v>0</v>
      </c>
      <c r="BR250" s="18">
        <f t="shared" si="326"/>
        <v>0</v>
      </c>
      <c r="BS250" s="18">
        <f t="shared" si="327"/>
        <v>0</v>
      </c>
      <c r="BT250" s="18">
        <f t="shared" si="328"/>
        <v>0</v>
      </c>
      <c r="BU250" s="18">
        <f t="shared" si="329"/>
        <v>0</v>
      </c>
      <c r="BV250" s="18">
        <f t="shared" si="330"/>
        <v>0</v>
      </c>
      <c r="BW250" s="18">
        <f t="shared" si="331"/>
        <v>0</v>
      </c>
      <c r="BX250" s="18">
        <f t="shared" si="332"/>
        <v>0</v>
      </c>
      <c r="BY250" s="18">
        <f t="shared" si="333"/>
        <v>0</v>
      </c>
      <c r="BZ250" s="18">
        <f t="shared" si="334"/>
        <v>0</v>
      </c>
      <c r="CA250" s="18">
        <f t="shared" si="335"/>
        <v>0</v>
      </c>
      <c r="CB250" s="18">
        <f t="shared" si="336"/>
        <v>0</v>
      </c>
      <c r="CC250" s="18">
        <f t="shared" si="337"/>
        <v>0</v>
      </c>
      <c r="CD250" s="18">
        <f t="shared" si="338"/>
        <v>0</v>
      </c>
      <c r="CE250" s="18">
        <f t="shared" si="339"/>
        <v>0</v>
      </c>
      <c r="CF250" s="18">
        <f t="shared" si="340"/>
        <v>0</v>
      </c>
      <c r="CG250" s="18">
        <f t="shared" si="341"/>
        <v>0</v>
      </c>
      <c r="CH250" s="18">
        <f t="shared" si="342"/>
        <v>0</v>
      </c>
      <c r="CI250" s="18">
        <f t="shared" si="343"/>
        <v>0</v>
      </c>
      <c r="CJ250" s="18">
        <f t="shared" si="344"/>
        <v>0</v>
      </c>
    </row>
    <row r="251" spans="1:88" x14ac:dyDescent="0.3">
      <c r="A251" s="1">
        <v>44194</v>
      </c>
      <c r="B251">
        <v>47613.08</v>
      </c>
      <c r="C251">
        <f>Table1[[#This Row],[Close]]-0.001*Table1[[#This Row],[Close]]</f>
        <v>47565.466919999999</v>
      </c>
      <c r="D251">
        <f>Table1[[#This Row],[Close]]+0.001*Table1[[#This Row],[Close]]</f>
        <v>47660.693080000005</v>
      </c>
      <c r="E251" t="str">
        <f>IF(Table1[[#This Row],[Close]]&gt;D250,"UP",IF(Table1[[#This Row],[Close]]&lt;C250,"Down","Constant"))</f>
        <v>UP</v>
      </c>
      <c r="F251" s="3">
        <f>IF(Table1[[#This Row],[Column1]]="Up",1,IF(Table1[[#This Row],[Column1]]="Down",-1,0))</f>
        <v>1</v>
      </c>
      <c r="G251">
        <f t="shared" si="263"/>
        <v>0</v>
      </c>
      <c r="H251" s="18">
        <f t="shared" si="264"/>
        <v>0</v>
      </c>
      <c r="I251" s="18">
        <f t="shared" si="265"/>
        <v>0</v>
      </c>
      <c r="J251" s="18">
        <f t="shared" si="266"/>
        <v>1</v>
      </c>
      <c r="K251" s="18">
        <f t="shared" si="267"/>
        <v>0</v>
      </c>
      <c r="L251" s="18">
        <f t="shared" si="268"/>
        <v>0</v>
      </c>
      <c r="M251" s="18">
        <f t="shared" si="269"/>
        <v>0</v>
      </c>
      <c r="N251" s="18">
        <f t="shared" si="270"/>
        <v>0</v>
      </c>
      <c r="O251" s="18">
        <f t="shared" si="271"/>
        <v>0</v>
      </c>
      <c r="P251" s="18">
        <f t="shared" si="272"/>
        <v>0</v>
      </c>
      <c r="Q251" s="18">
        <f t="shared" si="273"/>
        <v>0</v>
      </c>
      <c r="R251" s="18">
        <f t="shared" si="274"/>
        <v>0</v>
      </c>
      <c r="S251" s="18">
        <f t="shared" si="275"/>
        <v>0</v>
      </c>
      <c r="T251" s="18">
        <f t="shared" si="276"/>
        <v>0</v>
      </c>
      <c r="U251" s="18">
        <f t="shared" si="277"/>
        <v>0</v>
      </c>
      <c r="V251" s="18">
        <f t="shared" si="278"/>
        <v>0</v>
      </c>
      <c r="W251" s="18">
        <f t="shared" si="279"/>
        <v>0</v>
      </c>
      <c r="X251" s="18">
        <f t="shared" si="280"/>
        <v>0</v>
      </c>
      <c r="Y251" s="18">
        <f t="shared" si="281"/>
        <v>0</v>
      </c>
      <c r="Z251" s="18">
        <f t="shared" si="282"/>
        <v>0</v>
      </c>
      <c r="AA251" s="18">
        <f t="shared" si="283"/>
        <v>0</v>
      </c>
      <c r="AB251" s="18">
        <f t="shared" si="284"/>
        <v>0</v>
      </c>
      <c r="AC251" s="18">
        <f t="shared" si="285"/>
        <v>0</v>
      </c>
      <c r="AD251" s="18">
        <f t="shared" si="286"/>
        <v>0</v>
      </c>
      <c r="AE251" s="18">
        <f t="shared" si="287"/>
        <v>0</v>
      </c>
      <c r="AF251" s="18">
        <f t="shared" si="288"/>
        <v>0</v>
      </c>
      <c r="AG251" s="18">
        <f t="shared" si="289"/>
        <v>0</v>
      </c>
      <c r="AH251" s="18">
        <f t="shared" si="290"/>
        <v>0</v>
      </c>
      <c r="AI251" s="18">
        <f t="shared" si="291"/>
        <v>0</v>
      </c>
      <c r="AJ251" s="18">
        <f t="shared" si="292"/>
        <v>0</v>
      </c>
      <c r="AK251" s="18">
        <f t="shared" si="293"/>
        <v>0</v>
      </c>
      <c r="AL251" s="18">
        <f t="shared" si="294"/>
        <v>0</v>
      </c>
      <c r="AM251" s="18">
        <f t="shared" si="295"/>
        <v>0</v>
      </c>
      <c r="AN251" s="18">
        <f t="shared" si="296"/>
        <v>0</v>
      </c>
      <c r="AO251" s="18">
        <f t="shared" si="297"/>
        <v>0</v>
      </c>
      <c r="AP251" s="18">
        <f t="shared" si="298"/>
        <v>0</v>
      </c>
      <c r="AQ251" s="18">
        <f t="shared" si="299"/>
        <v>0</v>
      </c>
      <c r="AR251" s="18">
        <f t="shared" si="300"/>
        <v>0</v>
      </c>
      <c r="AS251" s="18">
        <f t="shared" si="301"/>
        <v>0</v>
      </c>
      <c r="AT251" s="18">
        <f t="shared" si="302"/>
        <v>0</v>
      </c>
      <c r="AU251" s="18">
        <f t="shared" si="303"/>
        <v>0</v>
      </c>
      <c r="AV251" s="18">
        <f t="shared" si="304"/>
        <v>0</v>
      </c>
      <c r="AW251" s="18">
        <f t="shared" si="305"/>
        <v>0</v>
      </c>
      <c r="AX251" s="18">
        <f t="shared" si="306"/>
        <v>0</v>
      </c>
      <c r="AY251" s="18">
        <f t="shared" si="307"/>
        <v>0</v>
      </c>
      <c r="AZ251" s="18">
        <f t="shared" si="308"/>
        <v>0</v>
      </c>
      <c r="BA251" s="18">
        <f t="shared" si="309"/>
        <v>0</v>
      </c>
      <c r="BB251" s="18">
        <f t="shared" si="310"/>
        <v>0</v>
      </c>
      <c r="BC251" s="18">
        <f t="shared" si="311"/>
        <v>0</v>
      </c>
      <c r="BD251" s="18">
        <f t="shared" si="312"/>
        <v>0</v>
      </c>
      <c r="BE251" s="18">
        <f t="shared" si="313"/>
        <v>0</v>
      </c>
      <c r="BF251" s="18">
        <f t="shared" si="314"/>
        <v>0</v>
      </c>
      <c r="BG251" s="18">
        <f t="shared" si="315"/>
        <v>0</v>
      </c>
      <c r="BH251" s="18">
        <f t="shared" si="316"/>
        <v>0</v>
      </c>
      <c r="BI251" s="18">
        <f t="shared" si="317"/>
        <v>0</v>
      </c>
      <c r="BJ251" s="18">
        <f t="shared" si="318"/>
        <v>0</v>
      </c>
      <c r="BK251" s="18">
        <f t="shared" si="319"/>
        <v>0</v>
      </c>
      <c r="BL251" s="18">
        <f t="shared" si="320"/>
        <v>0</v>
      </c>
      <c r="BM251" s="18">
        <f t="shared" si="321"/>
        <v>0</v>
      </c>
      <c r="BN251" s="18">
        <f t="shared" si="322"/>
        <v>0</v>
      </c>
      <c r="BO251" s="18">
        <f t="shared" si="323"/>
        <v>0</v>
      </c>
      <c r="BP251" s="18">
        <f t="shared" si="324"/>
        <v>0</v>
      </c>
      <c r="BQ251" s="18">
        <f t="shared" si="325"/>
        <v>0</v>
      </c>
      <c r="BR251" s="18">
        <f t="shared" si="326"/>
        <v>0</v>
      </c>
      <c r="BS251" s="18">
        <f t="shared" si="327"/>
        <v>0</v>
      </c>
      <c r="BT251" s="18">
        <f t="shared" si="328"/>
        <v>0</v>
      </c>
      <c r="BU251" s="18">
        <f t="shared" si="329"/>
        <v>0</v>
      </c>
      <c r="BV251" s="18">
        <f t="shared" si="330"/>
        <v>0</v>
      </c>
      <c r="BW251" s="18">
        <f t="shared" si="331"/>
        <v>0</v>
      </c>
      <c r="BX251" s="18">
        <f t="shared" si="332"/>
        <v>0</v>
      </c>
      <c r="BY251" s="18">
        <f t="shared" si="333"/>
        <v>0</v>
      </c>
      <c r="BZ251" s="18">
        <f t="shared" si="334"/>
        <v>0</v>
      </c>
      <c r="CA251" s="18">
        <f t="shared" si="335"/>
        <v>0</v>
      </c>
      <c r="CB251" s="18">
        <f t="shared" si="336"/>
        <v>0</v>
      </c>
      <c r="CC251" s="18">
        <f t="shared" si="337"/>
        <v>0</v>
      </c>
      <c r="CD251" s="18">
        <f t="shared" si="338"/>
        <v>0</v>
      </c>
      <c r="CE251" s="18">
        <f t="shared" si="339"/>
        <v>0</v>
      </c>
      <c r="CF251" s="18">
        <f t="shared" si="340"/>
        <v>0</v>
      </c>
      <c r="CG251" s="18">
        <f t="shared" si="341"/>
        <v>0</v>
      </c>
      <c r="CH251" s="18">
        <f t="shared" si="342"/>
        <v>0</v>
      </c>
      <c r="CI251" s="18">
        <f t="shared" si="343"/>
        <v>0</v>
      </c>
      <c r="CJ251" s="18">
        <f t="shared" si="344"/>
        <v>0</v>
      </c>
    </row>
    <row r="252" spans="1:88" x14ac:dyDescent="0.3">
      <c r="A252" s="1">
        <v>44195</v>
      </c>
      <c r="B252">
        <v>47746.22</v>
      </c>
      <c r="C252">
        <f>Table1[[#This Row],[Close]]-0.001*Table1[[#This Row],[Close]]</f>
        <v>47698.47378</v>
      </c>
      <c r="D252">
        <f>Table1[[#This Row],[Close]]+0.001*Table1[[#This Row],[Close]]</f>
        <v>47793.966220000002</v>
      </c>
      <c r="E252" t="str">
        <f>IF(Table1[[#This Row],[Close]]&gt;D251,"UP",IF(Table1[[#This Row],[Close]]&lt;C251,"Down","Constant"))</f>
        <v>UP</v>
      </c>
      <c r="F252" s="3">
        <f>IF(Table1[[#This Row],[Column1]]="Up",1,IF(Table1[[#This Row],[Column1]]="Down",-1,0))</f>
        <v>1</v>
      </c>
      <c r="G252">
        <f t="shared" si="263"/>
        <v>0</v>
      </c>
      <c r="H252" s="18">
        <f t="shared" si="264"/>
        <v>0</v>
      </c>
      <c r="I252" s="18">
        <f t="shared" si="265"/>
        <v>0</v>
      </c>
      <c r="J252" s="18">
        <f t="shared" si="266"/>
        <v>1</v>
      </c>
      <c r="K252" s="18">
        <f t="shared" si="267"/>
        <v>0</v>
      </c>
      <c r="L252" s="18">
        <f t="shared" si="268"/>
        <v>0</v>
      </c>
      <c r="M252" s="18">
        <f t="shared" si="269"/>
        <v>0</v>
      </c>
      <c r="N252" s="18">
        <f t="shared" si="270"/>
        <v>0</v>
      </c>
      <c r="O252" s="18">
        <f t="shared" si="271"/>
        <v>0</v>
      </c>
      <c r="P252" s="18">
        <f t="shared" si="272"/>
        <v>0</v>
      </c>
      <c r="Q252" s="18">
        <f t="shared" si="273"/>
        <v>0</v>
      </c>
      <c r="R252" s="18">
        <f t="shared" si="274"/>
        <v>0</v>
      </c>
      <c r="S252" s="18">
        <f t="shared" si="275"/>
        <v>0</v>
      </c>
      <c r="T252" s="18">
        <f t="shared" si="276"/>
        <v>0</v>
      </c>
      <c r="U252" s="18">
        <f t="shared" si="277"/>
        <v>0</v>
      </c>
      <c r="V252" s="18">
        <f t="shared" si="278"/>
        <v>0</v>
      </c>
      <c r="W252" s="18">
        <f t="shared" si="279"/>
        <v>0</v>
      </c>
      <c r="X252" s="18">
        <f t="shared" si="280"/>
        <v>0</v>
      </c>
      <c r="Y252" s="18">
        <f t="shared" si="281"/>
        <v>0</v>
      </c>
      <c r="Z252" s="18">
        <f t="shared" si="282"/>
        <v>0</v>
      </c>
      <c r="AA252" s="18">
        <f t="shared" si="283"/>
        <v>0</v>
      </c>
      <c r="AB252" s="18">
        <f t="shared" si="284"/>
        <v>0</v>
      </c>
      <c r="AC252" s="18">
        <f t="shared" si="285"/>
        <v>0</v>
      </c>
      <c r="AD252" s="18">
        <f t="shared" si="286"/>
        <v>0</v>
      </c>
      <c r="AE252" s="18">
        <f t="shared" si="287"/>
        <v>0</v>
      </c>
      <c r="AF252" s="18">
        <f t="shared" si="288"/>
        <v>0</v>
      </c>
      <c r="AG252" s="18">
        <f t="shared" si="289"/>
        <v>0</v>
      </c>
      <c r="AH252" s="18">
        <f t="shared" si="290"/>
        <v>0</v>
      </c>
      <c r="AI252" s="18">
        <f t="shared" si="291"/>
        <v>0</v>
      </c>
      <c r="AJ252" s="18">
        <f t="shared" si="292"/>
        <v>0</v>
      </c>
      <c r="AK252" s="18">
        <f t="shared" si="293"/>
        <v>0</v>
      </c>
      <c r="AL252" s="18">
        <f t="shared" si="294"/>
        <v>0</v>
      </c>
      <c r="AM252" s="18">
        <f t="shared" si="295"/>
        <v>0</v>
      </c>
      <c r="AN252" s="18">
        <f t="shared" si="296"/>
        <v>0</v>
      </c>
      <c r="AO252" s="18">
        <f t="shared" si="297"/>
        <v>0</v>
      </c>
      <c r="AP252" s="18">
        <f t="shared" si="298"/>
        <v>0</v>
      </c>
      <c r="AQ252" s="18">
        <f t="shared" si="299"/>
        <v>0</v>
      </c>
      <c r="AR252" s="18">
        <f t="shared" si="300"/>
        <v>0</v>
      </c>
      <c r="AS252" s="18">
        <f t="shared" si="301"/>
        <v>0</v>
      </c>
      <c r="AT252" s="18">
        <f t="shared" si="302"/>
        <v>0</v>
      </c>
      <c r="AU252" s="18">
        <f t="shared" si="303"/>
        <v>0</v>
      </c>
      <c r="AV252" s="18">
        <f t="shared" si="304"/>
        <v>0</v>
      </c>
      <c r="AW252" s="18">
        <f t="shared" si="305"/>
        <v>0</v>
      </c>
      <c r="AX252" s="18">
        <f t="shared" si="306"/>
        <v>0</v>
      </c>
      <c r="AY252" s="18">
        <f t="shared" si="307"/>
        <v>0</v>
      </c>
      <c r="AZ252" s="18">
        <f t="shared" si="308"/>
        <v>0</v>
      </c>
      <c r="BA252" s="18">
        <f t="shared" si="309"/>
        <v>0</v>
      </c>
      <c r="BB252" s="18">
        <f t="shared" si="310"/>
        <v>0</v>
      </c>
      <c r="BC252" s="18">
        <f t="shared" si="311"/>
        <v>0</v>
      </c>
      <c r="BD252" s="18">
        <f t="shared" si="312"/>
        <v>0</v>
      </c>
      <c r="BE252" s="18">
        <f t="shared" si="313"/>
        <v>0</v>
      </c>
      <c r="BF252" s="18">
        <f t="shared" si="314"/>
        <v>0</v>
      </c>
      <c r="BG252" s="18">
        <f t="shared" si="315"/>
        <v>0</v>
      </c>
      <c r="BH252" s="18">
        <f t="shared" si="316"/>
        <v>0</v>
      </c>
      <c r="BI252" s="18">
        <f t="shared" si="317"/>
        <v>0</v>
      </c>
      <c r="BJ252" s="18">
        <f t="shared" si="318"/>
        <v>0</v>
      </c>
      <c r="BK252" s="18">
        <f t="shared" si="319"/>
        <v>0</v>
      </c>
      <c r="BL252" s="18">
        <f t="shared" si="320"/>
        <v>0</v>
      </c>
      <c r="BM252" s="18">
        <f t="shared" si="321"/>
        <v>0</v>
      </c>
      <c r="BN252" s="18">
        <f t="shared" si="322"/>
        <v>0</v>
      </c>
      <c r="BO252" s="18">
        <f t="shared" si="323"/>
        <v>0</v>
      </c>
      <c r="BP252" s="18">
        <f t="shared" si="324"/>
        <v>0</v>
      </c>
      <c r="BQ252" s="18">
        <f t="shared" si="325"/>
        <v>0</v>
      </c>
      <c r="BR252" s="18">
        <f t="shared" si="326"/>
        <v>0</v>
      </c>
      <c r="BS252" s="18">
        <f t="shared" si="327"/>
        <v>0</v>
      </c>
      <c r="BT252" s="18">
        <f t="shared" si="328"/>
        <v>0</v>
      </c>
      <c r="BU252" s="18">
        <f t="shared" si="329"/>
        <v>0</v>
      </c>
      <c r="BV252" s="18">
        <f t="shared" si="330"/>
        <v>0</v>
      </c>
      <c r="BW252" s="18">
        <f t="shared" si="331"/>
        <v>0</v>
      </c>
      <c r="BX252" s="18">
        <f t="shared" si="332"/>
        <v>0</v>
      </c>
      <c r="BY252" s="18">
        <f t="shared" si="333"/>
        <v>0</v>
      </c>
      <c r="BZ252" s="18">
        <f t="shared" si="334"/>
        <v>0</v>
      </c>
      <c r="CA252" s="18">
        <f t="shared" si="335"/>
        <v>0</v>
      </c>
      <c r="CB252" s="18">
        <f t="shared" si="336"/>
        <v>0</v>
      </c>
      <c r="CC252" s="18">
        <f t="shared" si="337"/>
        <v>0</v>
      </c>
      <c r="CD252" s="18">
        <f t="shared" si="338"/>
        <v>0</v>
      </c>
      <c r="CE252" s="18">
        <f t="shared" si="339"/>
        <v>0</v>
      </c>
      <c r="CF252" s="18">
        <f t="shared" si="340"/>
        <v>0</v>
      </c>
      <c r="CG252" s="18">
        <f t="shared" si="341"/>
        <v>0</v>
      </c>
      <c r="CH252" s="18">
        <f t="shared" si="342"/>
        <v>0</v>
      </c>
      <c r="CI252" s="18">
        <f t="shared" si="343"/>
        <v>0</v>
      </c>
      <c r="CJ252" s="18">
        <f t="shared" si="344"/>
        <v>0</v>
      </c>
    </row>
    <row r="253" spans="1:88" x14ac:dyDescent="0.3">
      <c r="A253" s="1">
        <v>44196</v>
      </c>
      <c r="B253">
        <v>47751.33</v>
      </c>
      <c r="C253">
        <f>Table1[[#This Row],[Close]]-0.001*Table1[[#This Row],[Close]]</f>
        <v>47703.578670000003</v>
      </c>
      <c r="D253">
        <f>Table1[[#This Row],[Close]]+0.001*Table1[[#This Row],[Close]]</f>
        <v>47799.081330000001</v>
      </c>
      <c r="E253" t="str">
        <f>IF(Table1[[#This Row],[Close]]&gt;D252,"UP",IF(Table1[[#This Row],[Close]]&lt;C252,"Down","Constant"))</f>
        <v>Constant</v>
      </c>
      <c r="F253" s="3">
        <f>IF(Table1[[#This Row],[Column1]]="Up",1,IF(Table1[[#This Row],[Column1]]="Down",-1,0))</f>
        <v>0</v>
      </c>
      <c r="G253">
        <f t="shared" si="263"/>
        <v>0</v>
      </c>
      <c r="H253" s="18">
        <f t="shared" si="264"/>
        <v>0</v>
      </c>
      <c r="I253" s="18">
        <f t="shared" si="265"/>
        <v>1</v>
      </c>
      <c r="J253" s="18">
        <f t="shared" si="266"/>
        <v>0</v>
      </c>
      <c r="K253" s="18">
        <f t="shared" si="267"/>
        <v>0</v>
      </c>
      <c r="L253" s="18">
        <f t="shared" si="268"/>
        <v>0</v>
      </c>
      <c r="M253" s="18">
        <f t="shared" si="269"/>
        <v>0</v>
      </c>
      <c r="N253" s="18">
        <f t="shared" si="270"/>
        <v>0</v>
      </c>
      <c r="O253" s="18">
        <f t="shared" si="271"/>
        <v>0</v>
      </c>
      <c r="P253" s="18">
        <f t="shared" si="272"/>
        <v>0</v>
      </c>
      <c r="Q253" s="18">
        <f t="shared" si="273"/>
        <v>0</v>
      </c>
      <c r="R253" s="18">
        <f t="shared" si="274"/>
        <v>0</v>
      </c>
      <c r="S253" s="18">
        <f t="shared" si="275"/>
        <v>0</v>
      </c>
      <c r="T253" s="18">
        <f t="shared" si="276"/>
        <v>0</v>
      </c>
      <c r="U253" s="18">
        <f t="shared" si="277"/>
        <v>0</v>
      </c>
      <c r="V253" s="18">
        <f t="shared" si="278"/>
        <v>0</v>
      </c>
      <c r="W253" s="18">
        <f t="shared" si="279"/>
        <v>0</v>
      </c>
      <c r="X253" s="18">
        <f t="shared" si="280"/>
        <v>0</v>
      </c>
      <c r="Y253" s="18">
        <f t="shared" si="281"/>
        <v>0</v>
      </c>
      <c r="Z253" s="18">
        <f t="shared" si="282"/>
        <v>0</v>
      </c>
      <c r="AA253" s="18">
        <f t="shared" si="283"/>
        <v>0</v>
      </c>
      <c r="AB253" s="18">
        <f t="shared" si="284"/>
        <v>0</v>
      </c>
      <c r="AC253" s="18">
        <f t="shared" si="285"/>
        <v>0</v>
      </c>
      <c r="AD253" s="18">
        <f t="shared" si="286"/>
        <v>0</v>
      </c>
      <c r="AE253" s="18">
        <f t="shared" si="287"/>
        <v>0</v>
      </c>
      <c r="AF253" s="18">
        <f t="shared" si="288"/>
        <v>0</v>
      </c>
      <c r="AG253" s="18">
        <f t="shared" si="289"/>
        <v>0</v>
      </c>
      <c r="AH253" s="18">
        <f t="shared" si="290"/>
        <v>0</v>
      </c>
      <c r="AI253" s="18">
        <f t="shared" si="291"/>
        <v>0</v>
      </c>
      <c r="AJ253" s="18">
        <f t="shared" si="292"/>
        <v>0</v>
      </c>
      <c r="AK253" s="18">
        <f t="shared" si="293"/>
        <v>0</v>
      </c>
      <c r="AL253" s="18">
        <f t="shared" si="294"/>
        <v>0</v>
      </c>
      <c r="AM253" s="18">
        <f t="shared" si="295"/>
        <v>0</v>
      </c>
      <c r="AN253" s="18">
        <f t="shared" si="296"/>
        <v>0</v>
      </c>
      <c r="AO253" s="18">
        <f t="shared" si="297"/>
        <v>0</v>
      </c>
      <c r="AP253" s="18">
        <f t="shared" si="298"/>
        <v>0</v>
      </c>
      <c r="AQ253" s="18">
        <f t="shared" si="299"/>
        <v>0</v>
      </c>
      <c r="AR253" s="18">
        <f t="shared" si="300"/>
        <v>0</v>
      </c>
      <c r="AS253" s="18">
        <f t="shared" si="301"/>
        <v>0</v>
      </c>
      <c r="AT253" s="18">
        <f t="shared" si="302"/>
        <v>0</v>
      </c>
      <c r="AU253" s="18">
        <f t="shared" si="303"/>
        <v>0</v>
      </c>
      <c r="AV253" s="18">
        <f t="shared" si="304"/>
        <v>0</v>
      </c>
      <c r="AW253" s="18">
        <f t="shared" si="305"/>
        <v>0</v>
      </c>
      <c r="AX253" s="18">
        <f t="shared" si="306"/>
        <v>0</v>
      </c>
      <c r="AY253" s="18">
        <f t="shared" si="307"/>
        <v>0</v>
      </c>
      <c r="AZ253" s="18">
        <f t="shared" si="308"/>
        <v>0</v>
      </c>
      <c r="BA253" s="18">
        <f t="shared" si="309"/>
        <v>0</v>
      </c>
      <c r="BB253" s="18">
        <f t="shared" si="310"/>
        <v>0</v>
      </c>
      <c r="BC253" s="18">
        <f t="shared" si="311"/>
        <v>0</v>
      </c>
      <c r="BD253" s="18">
        <f t="shared" si="312"/>
        <v>0</v>
      </c>
      <c r="BE253" s="18">
        <f t="shared" si="313"/>
        <v>0</v>
      </c>
      <c r="BF253" s="18">
        <f t="shared" si="314"/>
        <v>0</v>
      </c>
      <c r="BG253" s="18">
        <f t="shared" si="315"/>
        <v>0</v>
      </c>
      <c r="BH253" s="18">
        <f t="shared" si="316"/>
        <v>0</v>
      </c>
      <c r="BI253" s="18">
        <f t="shared" si="317"/>
        <v>0</v>
      </c>
      <c r="BJ253" s="18">
        <f t="shared" si="318"/>
        <v>0</v>
      </c>
      <c r="BK253" s="18">
        <f t="shared" si="319"/>
        <v>0</v>
      </c>
      <c r="BL253" s="18">
        <f t="shared" si="320"/>
        <v>0</v>
      </c>
      <c r="BM253" s="18">
        <f t="shared" si="321"/>
        <v>0</v>
      </c>
      <c r="BN253" s="18">
        <f t="shared" si="322"/>
        <v>0</v>
      </c>
      <c r="BO253" s="18">
        <f t="shared" si="323"/>
        <v>0</v>
      </c>
      <c r="BP253" s="18">
        <f t="shared" si="324"/>
        <v>0</v>
      </c>
      <c r="BQ253" s="18">
        <f t="shared" si="325"/>
        <v>0</v>
      </c>
      <c r="BR253" s="18">
        <f t="shared" si="326"/>
        <v>0</v>
      </c>
      <c r="BS253" s="18">
        <f t="shared" si="327"/>
        <v>0</v>
      </c>
      <c r="BT253" s="18">
        <f t="shared" si="328"/>
        <v>0</v>
      </c>
      <c r="BU253" s="18">
        <f t="shared" si="329"/>
        <v>0</v>
      </c>
      <c r="BV253" s="18">
        <f t="shared" si="330"/>
        <v>0</v>
      </c>
      <c r="BW253" s="18">
        <f t="shared" si="331"/>
        <v>0</v>
      </c>
      <c r="BX253" s="18">
        <f t="shared" si="332"/>
        <v>0</v>
      </c>
      <c r="BY253" s="18">
        <f t="shared" si="333"/>
        <v>0</v>
      </c>
      <c r="BZ253" s="18">
        <f t="shared" si="334"/>
        <v>0</v>
      </c>
      <c r="CA253" s="18">
        <f t="shared" si="335"/>
        <v>0</v>
      </c>
      <c r="CB253" s="18">
        <f t="shared" si="336"/>
        <v>0</v>
      </c>
      <c r="CC253" s="18">
        <f t="shared" si="337"/>
        <v>0</v>
      </c>
      <c r="CD253" s="18">
        <f t="shared" si="338"/>
        <v>0</v>
      </c>
      <c r="CE253" s="18">
        <f t="shared" si="339"/>
        <v>0</v>
      </c>
      <c r="CF253" s="18">
        <f t="shared" si="340"/>
        <v>0</v>
      </c>
      <c r="CG253" s="18">
        <f t="shared" si="341"/>
        <v>0</v>
      </c>
      <c r="CH253" s="18">
        <f t="shared" si="342"/>
        <v>0</v>
      </c>
      <c r="CI253" s="18">
        <f t="shared" si="343"/>
        <v>0</v>
      </c>
      <c r="CJ253" s="18">
        <f t="shared" si="344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Q84"/>
  <sheetViews>
    <sheetView workbookViewId="0">
      <selection activeCell="K30" sqref="K30"/>
    </sheetView>
  </sheetViews>
  <sheetFormatPr defaultColWidth="9.109375" defaultRowHeight="14.4" x14ac:dyDescent="0.3"/>
  <cols>
    <col min="1" max="3" width="9.109375" style="18"/>
    <col min="4" max="5" width="14" style="18" bestFit="1" customWidth="1"/>
    <col min="6" max="6" width="9.109375" style="18"/>
    <col min="7" max="7" width="11.44140625" style="18" customWidth="1"/>
    <col min="8" max="24" width="9.109375" style="18"/>
    <col min="25" max="25" width="12.6640625" style="18" bestFit="1" customWidth="1"/>
    <col min="26" max="40" width="9.109375" style="18"/>
    <col min="41" max="41" width="11.6640625" style="18" customWidth="1"/>
    <col min="42" max="16384" width="9.109375" style="18"/>
  </cols>
  <sheetData>
    <row r="1" spans="1:43" x14ac:dyDescent="0.3">
      <c r="C1" s="18">
        <v>-1</v>
      </c>
      <c r="D1" s="18">
        <v>0</v>
      </c>
      <c r="E1" s="18">
        <v>1</v>
      </c>
      <c r="H1" s="18" t="s">
        <v>139</v>
      </c>
      <c r="I1" s="18" t="s">
        <v>140</v>
      </c>
      <c r="J1" s="18" t="s">
        <v>141</v>
      </c>
      <c r="K1" s="18" t="s">
        <v>142</v>
      </c>
      <c r="L1" s="18" t="s">
        <v>143</v>
      </c>
      <c r="Q1" s="18">
        <v>-1</v>
      </c>
      <c r="R1" s="18">
        <v>0</v>
      </c>
      <c r="S1" s="18">
        <v>1</v>
      </c>
      <c r="V1" s="18" t="s">
        <v>139</v>
      </c>
      <c r="W1" s="18" t="s">
        <v>140</v>
      </c>
      <c r="X1" s="18" t="s">
        <v>141</v>
      </c>
      <c r="Y1" s="18" t="s">
        <v>142</v>
      </c>
      <c r="Z1" s="18" t="s">
        <v>143</v>
      </c>
      <c r="AF1" s="18">
        <v>-1</v>
      </c>
      <c r="AG1" s="18">
        <v>0</v>
      </c>
      <c r="AH1" s="18">
        <v>1</v>
      </c>
      <c r="AJ1" s="18" t="s">
        <v>128</v>
      </c>
      <c r="AM1" s="18" t="s">
        <v>139</v>
      </c>
      <c r="AN1" s="18" t="s">
        <v>140</v>
      </c>
      <c r="AO1" s="18" t="s">
        <v>141</v>
      </c>
      <c r="AP1" s="18" t="s">
        <v>142</v>
      </c>
      <c r="AQ1" s="18" t="s">
        <v>143</v>
      </c>
    </row>
    <row r="2" spans="1:43" x14ac:dyDescent="0.3">
      <c r="B2" s="18">
        <v>-1</v>
      </c>
      <c r="C2" s="18">
        <v>39</v>
      </c>
      <c r="D2" s="18">
        <v>3</v>
      </c>
      <c r="E2" s="18">
        <v>54</v>
      </c>
      <c r="F2" s="18">
        <v>96</v>
      </c>
      <c r="H2" s="18">
        <v>39</v>
      </c>
      <c r="I2" s="18">
        <v>96</v>
      </c>
      <c r="J2" s="18">
        <f>H2/I2</f>
        <v>0.40625</v>
      </c>
      <c r="K2" s="18">
        <f>LN(J2)</f>
        <v>-0.9007865453381898</v>
      </c>
      <c r="L2" s="18">
        <f>H2*K2</f>
        <v>-35.1306752681894</v>
      </c>
      <c r="O2" s="18">
        <v>1</v>
      </c>
      <c r="P2" s="18">
        <v>1</v>
      </c>
      <c r="Q2" s="18">
        <v>24</v>
      </c>
      <c r="R2" s="18">
        <v>5</v>
      </c>
      <c r="S2" s="18">
        <v>49</v>
      </c>
      <c r="T2" s="18">
        <v>78</v>
      </c>
      <c r="V2" s="18">
        <v>24</v>
      </c>
      <c r="W2" s="18">
        <v>78</v>
      </c>
      <c r="X2" s="18">
        <f>V2/W2</f>
        <v>0.30769230769230771</v>
      </c>
      <c r="Y2" s="18">
        <f>LN(X2)</f>
        <v>-1.1786549963416462</v>
      </c>
      <c r="Z2" s="18">
        <f>W2*Y2</f>
        <v>-91.935089714648399</v>
      </c>
      <c r="AC2" s="18">
        <v>1</v>
      </c>
      <c r="AD2" s="18">
        <v>1</v>
      </c>
      <c r="AE2" s="18">
        <v>1</v>
      </c>
      <c r="AF2" s="18">
        <v>18</v>
      </c>
      <c r="AG2" s="18">
        <v>2</v>
      </c>
      <c r="AH2" s="18">
        <v>29</v>
      </c>
      <c r="AJ2" s="18">
        <v>49</v>
      </c>
      <c r="AM2" s="18">
        <v>18</v>
      </c>
      <c r="AN2" s="18">
        <v>49</v>
      </c>
      <c r="AO2" s="18">
        <f>AM2/AN2</f>
        <v>0.36734693877551022</v>
      </c>
      <c r="AP2" s="18">
        <f>LN(AO2)</f>
        <v>-1.0014485402144619</v>
      </c>
      <c r="AQ2" s="18">
        <f>AM2*AP2</f>
        <v>-18.026073723860314</v>
      </c>
    </row>
    <row r="3" spans="1:43" x14ac:dyDescent="0.3">
      <c r="B3" s="18">
        <v>0</v>
      </c>
      <c r="C3" s="18">
        <v>6</v>
      </c>
      <c r="D3" s="18">
        <v>1</v>
      </c>
      <c r="E3" s="18">
        <v>8</v>
      </c>
      <c r="F3" s="18">
        <v>15</v>
      </c>
      <c r="H3" s="18">
        <v>6</v>
      </c>
      <c r="I3" s="18">
        <v>15</v>
      </c>
      <c r="J3" s="18">
        <f t="shared" ref="J3:J10" si="0">H3/I3</f>
        <v>0.4</v>
      </c>
      <c r="K3" s="18">
        <f t="shared" ref="K3:K10" si="1">LN(J3)</f>
        <v>-0.916290731874155</v>
      </c>
      <c r="L3" s="18">
        <f t="shared" ref="L3:L10" si="2">H3*K3</f>
        <v>-5.4977443912449298</v>
      </c>
      <c r="O3" s="18">
        <v>-1</v>
      </c>
      <c r="P3" s="18">
        <v>-1</v>
      </c>
      <c r="Q3" s="18">
        <v>18</v>
      </c>
      <c r="R3" s="18">
        <v>0</v>
      </c>
      <c r="S3" s="18">
        <v>21</v>
      </c>
      <c r="T3" s="18">
        <v>39</v>
      </c>
      <c r="V3" s="18">
        <v>18</v>
      </c>
      <c r="W3" s="18">
        <v>39</v>
      </c>
      <c r="X3" s="18">
        <f t="shared" ref="X3:X28" si="3">V3/W3</f>
        <v>0.46153846153846156</v>
      </c>
      <c r="Y3" s="18">
        <f t="shared" ref="Y3:Y28" si="4">LN(X3)</f>
        <v>-0.77318988823348167</v>
      </c>
      <c r="Z3" s="18">
        <f t="shared" ref="Z3:Z28" si="5">W3*Y3</f>
        <v>-30.154405641105786</v>
      </c>
      <c r="AC3" s="18">
        <v>1</v>
      </c>
      <c r="AD3" s="18">
        <v>1</v>
      </c>
      <c r="AE3" s="18">
        <v>-1</v>
      </c>
      <c r="AF3" s="18">
        <v>6</v>
      </c>
      <c r="AG3" s="18">
        <v>2</v>
      </c>
      <c r="AH3" s="18">
        <v>16</v>
      </c>
      <c r="AJ3" s="18">
        <v>24</v>
      </c>
      <c r="AM3" s="18">
        <v>6</v>
      </c>
      <c r="AN3" s="18">
        <v>24</v>
      </c>
      <c r="AO3" s="18">
        <f t="shared" ref="AO3:AO66" si="6">AM3/AN3</f>
        <v>0.25</v>
      </c>
      <c r="AP3" s="18">
        <f t="shared" ref="AP3:AP66" si="7">LN(AO3)</f>
        <v>-1.3862943611198906</v>
      </c>
      <c r="AQ3" s="18">
        <f t="shared" ref="AQ3:AQ66" si="8">AM3*AP3</f>
        <v>-8.317766166719343</v>
      </c>
    </row>
    <row r="4" spans="1:43" x14ac:dyDescent="0.3">
      <c r="B4" s="18">
        <v>1</v>
      </c>
      <c r="C4" s="18">
        <v>50</v>
      </c>
      <c r="D4" s="18">
        <v>12</v>
      </c>
      <c r="E4" s="18">
        <v>78</v>
      </c>
      <c r="F4" s="18">
        <v>140</v>
      </c>
      <c r="H4" s="18">
        <v>50</v>
      </c>
      <c r="I4" s="18">
        <v>140</v>
      </c>
      <c r="J4" s="18">
        <f t="shared" si="0"/>
        <v>0.35714285714285715</v>
      </c>
      <c r="K4" s="18">
        <f t="shared" si="1"/>
        <v>-1.0296194171811581</v>
      </c>
      <c r="L4" s="18">
        <f t="shared" si="2"/>
        <v>-51.480970859057905</v>
      </c>
      <c r="O4" s="18">
        <v>1</v>
      </c>
      <c r="P4" s="18">
        <v>-1</v>
      </c>
      <c r="Q4" s="18">
        <v>19</v>
      </c>
      <c r="R4" s="18">
        <v>3</v>
      </c>
      <c r="S4" s="18">
        <v>28</v>
      </c>
      <c r="T4" s="18">
        <v>50</v>
      </c>
      <c r="V4" s="18">
        <v>19</v>
      </c>
      <c r="W4" s="18">
        <v>50</v>
      </c>
      <c r="X4" s="18">
        <f t="shared" si="3"/>
        <v>0.38</v>
      </c>
      <c r="Y4" s="18">
        <f t="shared" si="4"/>
        <v>-0.96758402626170559</v>
      </c>
      <c r="Z4" s="18">
        <f t="shared" si="5"/>
        <v>-48.379201313085282</v>
      </c>
      <c r="AC4" s="18">
        <v>1</v>
      </c>
      <c r="AD4" s="18">
        <v>-1</v>
      </c>
      <c r="AE4" s="18">
        <v>1</v>
      </c>
      <c r="AF4" s="18">
        <v>12</v>
      </c>
      <c r="AG4" s="18">
        <v>3</v>
      </c>
      <c r="AH4" s="18">
        <v>13</v>
      </c>
      <c r="AJ4" s="18">
        <v>28</v>
      </c>
      <c r="AM4" s="18">
        <v>12</v>
      </c>
      <c r="AN4" s="18">
        <v>28</v>
      </c>
      <c r="AO4" s="18">
        <f t="shared" si="6"/>
        <v>0.42857142857142855</v>
      </c>
      <c r="AP4" s="18">
        <f t="shared" si="7"/>
        <v>-0.84729786038720367</v>
      </c>
      <c r="AQ4" s="18">
        <f t="shared" si="8"/>
        <v>-10.167574324646445</v>
      </c>
    </row>
    <row r="5" spans="1:43" x14ac:dyDescent="0.3">
      <c r="F5" s="18">
        <v>251</v>
      </c>
      <c r="H5" s="18">
        <v>3</v>
      </c>
      <c r="I5" s="18">
        <v>96</v>
      </c>
      <c r="J5" s="18">
        <f t="shared" si="0"/>
        <v>3.125E-2</v>
      </c>
      <c r="K5" s="18">
        <f t="shared" si="1"/>
        <v>-3.4657359027997265</v>
      </c>
      <c r="L5" s="18">
        <f t="shared" si="2"/>
        <v>-10.397207708399179</v>
      </c>
      <c r="O5" s="18">
        <v>-1</v>
      </c>
      <c r="P5" s="18">
        <v>1</v>
      </c>
      <c r="Q5" s="18">
        <v>24</v>
      </c>
      <c r="R5" s="18">
        <v>6</v>
      </c>
      <c r="S5" s="18">
        <v>24</v>
      </c>
      <c r="T5" s="18">
        <v>54</v>
      </c>
      <c r="V5" s="18">
        <v>24</v>
      </c>
      <c r="W5" s="18">
        <v>54</v>
      </c>
      <c r="X5" s="18">
        <f t="shared" si="3"/>
        <v>0.44444444444444442</v>
      </c>
      <c r="Y5" s="18">
        <f t="shared" si="4"/>
        <v>-0.81093021621632877</v>
      </c>
      <c r="Z5" s="18">
        <f t="shared" si="5"/>
        <v>-43.790231675681753</v>
      </c>
      <c r="AC5" s="18">
        <v>-1</v>
      </c>
      <c r="AD5" s="18">
        <v>1</v>
      </c>
      <c r="AE5" s="18">
        <v>1</v>
      </c>
      <c r="AF5" s="18">
        <v>8</v>
      </c>
      <c r="AG5" s="18">
        <v>1</v>
      </c>
      <c r="AH5" s="18">
        <v>15</v>
      </c>
      <c r="AJ5" s="18">
        <v>24</v>
      </c>
      <c r="AM5" s="18">
        <v>8</v>
      </c>
      <c r="AN5" s="18">
        <v>24</v>
      </c>
      <c r="AO5" s="18">
        <f t="shared" si="6"/>
        <v>0.33333333333333331</v>
      </c>
      <c r="AP5" s="18">
        <f t="shared" si="7"/>
        <v>-1.0986122886681098</v>
      </c>
      <c r="AQ5" s="18">
        <f t="shared" si="8"/>
        <v>-8.7888983093448783</v>
      </c>
    </row>
    <row r="6" spans="1:43" x14ac:dyDescent="0.3">
      <c r="H6" s="18">
        <v>1</v>
      </c>
      <c r="I6" s="18">
        <v>15</v>
      </c>
      <c r="J6" s="18">
        <f t="shared" si="0"/>
        <v>6.6666666666666666E-2</v>
      </c>
      <c r="K6" s="18">
        <f t="shared" si="1"/>
        <v>-2.7080502011022101</v>
      </c>
      <c r="L6" s="18">
        <f t="shared" si="2"/>
        <v>-2.7080502011022101</v>
      </c>
      <c r="O6" s="18">
        <v>0</v>
      </c>
      <c r="P6" s="18">
        <v>0</v>
      </c>
      <c r="Q6" s="18">
        <v>0</v>
      </c>
      <c r="R6" s="18">
        <v>0</v>
      </c>
      <c r="S6" s="18">
        <v>1</v>
      </c>
      <c r="T6" s="18">
        <v>1</v>
      </c>
      <c r="V6" s="18">
        <v>0</v>
      </c>
      <c r="W6" s="18">
        <v>1</v>
      </c>
      <c r="X6" s="18">
        <f t="shared" si="3"/>
        <v>0</v>
      </c>
      <c r="Y6" s="18">
        <v>0</v>
      </c>
      <c r="Z6" s="18">
        <f t="shared" si="5"/>
        <v>0</v>
      </c>
      <c r="AC6" s="18">
        <v>1</v>
      </c>
      <c r="AD6" s="18">
        <v>-1</v>
      </c>
      <c r="AE6" s="18">
        <v>-1</v>
      </c>
      <c r="AF6" s="18">
        <v>10</v>
      </c>
      <c r="AG6" s="18">
        <v>2</v>
      </c>
      <c r="AH6" s="18">
        <v>9</v>
      </c>
      <c r="AJ6" s="18">
        <v>21</v>
      </c>
      <c r="AM6" s="18">
        <v>10</v>
      </c>
      <c r="AN6" s="18">
        <v>21</v>
      </c>
      <c r="AO6" s="18">
        <f t="shared" si="6"/>
        <v>0.47619047619047616</v>
      </c>
      <c r="AP6" s="18">
        <f t="shared" si="7"/>
        <v>-0.74193734472937733</v>
      </c>
      <c r="AQ6" s="18">
        <f t="shared" si="8"/>
        <v>-7.4193734472937738</v>
      </c>
    </row>
    <row r="7" spans="1:43" x14ac:dyDescent="0.3">
      <c r="H7" s="18">
        <v>12</v>
      </c>
      <c r="I7" s="18">
        <v>140</v>
      </c>
      <c r="J7" s="18">
        <f t="shared" si="0"/>
        <v>8.5714285714285715E-2</v>
      </c>
      <c r="K7" s="18">
        <f t="shared" si="1"/>
        <v>-2.456735772821304</v>
      </c>
      <c r="L7" s="18">
        <f t="shared" si="2"/>
        <v>-29.480829273855647</v>
      </c>
      <c r="O7" s="18">
        <v>0</v>
      </c>
      <c r="P7" s="18">
        <v>1</v>
      </c>
      <c r="Q7" s="18">
        <v>2</v>
      </c>
      <c r="R7" s="18">
        <v>1</v>
      </c>
      <c r="S7" s="18">
        <v>5</v>
      </c>
      <c r="T7" s="18">
        <v>8</v>
      </c>
      <c r="V7" s="18">
        <v>2</v>
      </c>
      <c r="W7" s="18">
        <v>8</v>
      </c>
      <c r="X7" s="18">
        <f t="shared" si="3"/>
        <v>0.25</v>
      </c>
      <c r="Y7" s="18">
        <f t="shared" si="4"/>
        <v>-1.3862943611198906</v>
      </c>
      <c r="Z7" s="18">
        <f t="shared" si="5"/>
        <v>-11.090354888959125</v>
      </c>
      <c r="AC7" s="18">
        <v>-1</v>
      </c>
      <c r="AD7" s="18">
        <v>-1</v>
      </c>
      <c r="AE7" s="18">
        <v>1</v>
      </c>
      <c r="AF7" s="18">
        <v>7</v>
      </c>
      <c r="AG7" s="18">
        <v>0</v>
      </c>
      <c r="AH7" s="18">
        <v>12</v>
      </c>
      <c r="AJ7" s="18">
        <v>19</v>
      </c>
      <c r="AM7" s="18">
        <v>7</v>
      </c>
      <c r="AN7" s="18">
        <v>19</v>
      </c>
      <c r="AO7" s="18">
        <f t="shared" si="6"/>
        <v>0.36842105263157893</v>
      </c>
      <c r="AP7" s="18">
        <f t="shared" si="7"/>
        <v>-0.99852883011112725</v>
      </c>
      <c r="AQ7" s="18">
        <f t="shared" si="8"/>
        <v>-6.9897018107778912</v>
      </c>
    </row>
    <row r="8" spans="1:43" x14ac:dyDescent="0.3">
      <c r="H8" s="18">
        <v>54</v>
      </c>
      <c r="I8" s="18">
        <v>96</v>
      </c>
      <c r="J8" s="18">
        <f t="shared" si="0"/>
        <v>0.5625</v>
      </c>
      <c r="K8" s="18">
        <f t="shared" si="1"/>
        <v>-0.5753641449035618</v>
      </c>
      <c r="L8" s="18">
        <f t="shared" si="2"/>
        <v>-31.069663824792336</v>
      </c>
      <c r="O8" s="18">
        <v>0</v>
      </c>
      <c r="P8" s="18">
        <v>-1</v>
      </c>
      <c r="Q8" s="18">
        <v>2</v>
      </c>
      <c r="R8" s="18">
        <v>0</v>
      </c>
      <c r="S8" s="18">
        <v>4</v>
      </c>
      <c r="T8" s="18">
        <v>6</v>
      </c>
      <c r="V8" s="18">
        <v>2</v>
      </c>
      <c r="W8" s="18">
        <v>6</v>
      </c>
      <c r="X8" s="18">
        <f t="shared" si="3"/>
        <v>0.33333333333333331</v>
      </c>
      <c r="Y8" s="18">
        <f t="shared" si="4"/>
        <v>-1.0986122886681098</v>
      </c>
      <c r="Z8" s="18">
        <f t="shared" si="5"/>
        <v>-6.5916737320086582</v>
      </c>
      <c r="AC8" s="18">
        <v>-1</v>
      </c>
      <c r="AD8" s="18">
        <v>-1</v>
      </c>
      <c r="AE8" s="18">
        <v>-1</v>
      </c>
      <c r="AF8" s="18">
        <v>10</v>
      </c>
      <c r="AG8" s="18">
        <v>0</v>
      </c>
      <c r="AH8" s="18">
        <v>8</v>
      </c>
      <c r="AJ8" s="18">
        <v>18</v>
      </c>
      <c r="AM8" s="18">
        <v>10</v>
      </c>
      <c r="AN8" s="18">
        <v>18</v>
      </c>
      <c r="AO8" s="18">
        <f t="shared" si="6"/>
        <v>0.55555555555555558</v>
      </c>
      <c r="AP8" s="18">
        <f t="shared" si="7"/>
        <v>-0.58778666490211895</v>
      </c>
      <c r="AQ8" s="18">
        <f t="shared" si="8"/>
        <v>-5.8778666490211897</v>
      </c>
    </row>
    <row r="9" spans="1:43" x14ac:dyDescent="0.3">
      <c r="H9" s="18">
        <v>8</v>
      </c>
      <c r="I9" s="18">
        <v>15</v>
      </c>
      <c r="J9" s="18">
        <f t="shared" si="0"/>
        <v>0.53333333333333333</v>
      </c>
      <c r="K9" s="18">
        <f t="shared" si="1"/>
        <v>-0.62860865942237421</v>
      </c>
      <c r="L9" s="18">
        <f t="shared" si="2"/>
        <v>-5.0288692753789936</v>
      </c>
      <c r="O9" s="18">
        <v>1</v>
      </c>
      <c r="P9" s="18">
        <v>0</v>
      </c>
      <c r="Q9" s="18">
        <v>5</v>
      </c>
      <c r="R9" s="18">
        <v>1</v>
      </c>
      <c r="S9" s="18">
        <v>5</v>
      </c>
      <c r="T9" s="18">
        <v>11</v>
      </c>
      <c r="V9" s="18">
        <v>5</v>
      </c>
      <c r="W9" s="18">
        <v>11</v>
      </c>
      <c r="X9" s="18">
        <f t="shared" si="3"/>
        <v>0.45454545454545453</v>
      </c>
      <c r="Y9" s="18">
        <f t="shared" si="4"/>
        <v>-0.78845736036427017</v>
      </c>
      <c r="Z9" s="18">
        <f t="shared" si="5"/>
        <v>-8.6730309640069727</v>
      </c>
      <c r="AC9" s="18">
        <v>-1</v>
      </c>
      <c r="AD9" s="18">
        <v>1</v>
      </c>
      <c r="AE9" s="18">
        <v>-1</v>
      </c>
      <c r="AF9" s="18">
        <v>10</v>
      </c>
      <c r="AG9" s="18">
        <v>2</v>
      </c>
      <c r="AH9" s="18">
        <v>12</v>
      </c>
      <c r="AJ9" s="18">
        <v>24</v>
      </c>
      <c r="AM9" s="18">
        <v>10</v>
      </c>
      <c r="AN9" s="18">
        <v>24</v>
      </c>
      <c r="AO9" s="18">
        <f t="shared" si="6"/>
        <v>0.41666666666666669</v>
      </c>
      <c r="AP9" s="18">
        <f t="shared" si="7"/>
        <v>-0.87546873735389985</v>
      </c>
      <c r="AQ9" s="18">
        <f t="shared" si="8"/>
        <v>-8.7546873735389994</v>
      </c>
    </row>
    <row r="10" spans="1:43" x14ac:dyDescent="0.3">
      <c r="H10" s="18">
        <v>78</v>
      </c>
      <c r="I10" s="18">
        <v>140</v>
      </c>
      <c r="J10" s="18">
        <f t="shared" si="0"/>
        <v>0.55714285714285716</v>
      </c>
      <c r="K10" s="18">
        <f t="shared" si="1"/>
        <v>-0.5849335959197125</v>
      </c>
      <c r="L10" s="18">
        <f t="shared" si="2"/>
        <v>-45.624820481737572</v>
      </c>
      <c r="O10" s="18">
        <v>-1</v>
      </c>
      <c r="P10" s="18">
        <v>0</v>
      </c>
      <c r="Q10" s="18">
        <v>1</v>
      </c>
      <c r="R10" s="18">
        <v>0</v>
      </c>
      <c r="S10" s="18">
        <v>2</v>
      </c>
      <c r="T10" s="18">
        <v>3</v>
      </c>
      <c r="V10" s="18">
        <v>1</v>
      </c>
      <c r="W10" s="18">
        <v>3</v>
      </c>
      <c r="X10" s="18">
        <f t="shared" si="3"/>
        <v>0.33333333333333331</v>
      </c>
      <c r="Y10" s="18">
        <f t="shared" si="4"/>
        <v>-1.0986122886681098</v>
      </c>
      <c r="Z10" s="18">
        <f t="shared" si="5"/>
        <v>-3.2958368660043291</v>
      </c>
      <c r="AC10" s="18">
        <v>1</v>
      </c>
      <c r="AD10" s="18">
        <v>1</v>
      </c>
      <c r="AE10" s="18">
        <v>0</v>
      </c>
      <c r="AF10" s="18">
        <v>0</v>
      </c>
      <c r="AG10" s="18">
        <v>1</v>
      </c>
      <c r="AH10" s="18">
        <v>4</v>
      </c>
      <c r="AJ10" s="18">
        <v>5</v>
      </c>
      <c r="AM10" s="18">
        <v>0</v>
      </c>
      <c r="AN10" s="18">
        <v>5</v>
      </c>
      <c r="AO10" s="18">
        <f t="shared" si="6"/>
        <v>0</v>
      </c>
      <c r="AP10" s="18">
        <v>0</v>
      </c>
      <c r="AQ10" s="18">
        <f t="shared" si="8"/>
        <v>0</v>
      </c>
    </row>
    <row r="11" spans="1:43" x14ac:dyDescent="0.3">
      <c r="T11" s="18">
        <v>250</v>
      </c>
      <c r="V11" s="18">
        <v>5</v>
      </c>
      <c r="W11" s="18">
        <v>78</v>
      </c>
      <c r="X11" s="18">
        <f t="shared" si="3"/>
        <v>6.4102564102564097E-2</v>
      </c>
      <c r="Y11" s="18">
        <f t="shared" si="4"/>
        <v>-2.7472709142554916</v>
      </c>
      <c r="Z11" s="18">
        <f t="shared" si="5"/>
        <v>-214.28713131192833</v>
      </c>
      <c r="AC11" s="18">
        <v>1</v>
      </c>
      <c r="AD11" s="18">
        <v>0</v>
      </c>
      <c r="AE11" s="18">
        <v>1</v>
      </c>
      <c r="AF11" s="18">
        <v>1</v>
      </c>
      <c r="AG11" s="18">
        <v>1</v>
      </c>
      <c r="AH11" s="18">
        <v>3</v>
      </c>
      <c r="AJ11" s="18">
        <v>5</v>
      </c>
      <c r="AM11" s="18">
        <v>1</v>
      </c>
      <c r="AN11" s="18">
        <v>5</v>
      </c>
      <c r="AO11" s="18">
        <f t="shared" si="6"/>
        <v>0.2</v>
      </c>
      <c r="AP11" s="18">
        <f t="shared" si="7"/>
        <v>-1.6094379124341003</v>
      </c>
      <c r="AQ11" s="18">
        <f t="shared" si="8"/>
        <v>-1.6094379124341003</v>
      </c>
    </row>
    <row r="12" spans="1:43" x14ac:dyDescent="0.3">
      <c r="I12" s="18" t="s">
        <v>129</v>
      </c>
      <c r="L12" s="18">
        <f>SUM(L2:L10)</f>
        <v>-216.41883128375815</v>
      </c>
      <c r="V12" s="18">
        <v>0</v>
      </c>
      <c r="W12" s="18">
        <v>39</v>
      </c>
      <c r="X12" s="18">
        <f t="shared" si="3"/>
        <v>0</v>
      </c>
      <c r="Y12" s="18">
        <v>0</v>
      </c>
      <c r="Z12" s="18">
        <f t="shared" si="5"/>
        <v>0</v>
      </c>
      <c r="AC12" s="18">
        <v>0</v>
      </c>
      <c r="AD12" s="18">
        <v>1</v>
      </c>
      <c r="AE12" s="18">
        <v>1</v>
      </c>
      <c r="AF12" s="18">
        <v>1</v>
      </c>
      <c r="AG12" s="18">
        <v>0</v>
      </c>
      <c r="AH12" s="18">
        <v>3</v>
      </c>
      <c r="AJ12" s="18">
        <v>4</v>
      </c>
      <c r="AM12" s="18">
        <v>1</v>
      </c>
      <c r="AN12" s="18">
        <v>4</v>
      </c>
      <c r="AO12" s="18">
        <f t="shared" si="6"/>
        <v>0.25</v>
      </c>
      <c r="AP12" s="18">
        <f t="shared" si="7"/>
        <v>-1.3862943611198906</v>
      </c>
      <c r="AQ12" s="18">
        <f t="shared" si="8"/>
        <v>-1.3862943611198906</v>
      </c>
    </row>
    <row r="13" spans="1:43" x14ac:dyDescent="0.3">
      <c r="B13" s="17" t="s">
        <v>159</v>
      </c>
      <c r="C13" s="17"/>
      <c r="D13" s="17" t="s">
        <v>157</v>
      </c>
      <c r="E13" s="17" t="s">
        <v>144</v>
      </c>
      <c r="F13" s="17" t="s">
        <v>145</v>
      </c>
      <c r="G13" s="17" t="s">
        <v>146</v>
      </c>
      <c r="V13" s="18">
        <v>3</v>
      </c>
      <c r="W13" s="18">
        <v>50</v>
      </c>
      <c r="X13" s="18">
        <f t="shared" si="3"/>
        <v>0.06</v>
      </c>
      <c r="Y13" s="18">
        <f t="shared" si="4"/>
        <v>-2.8134107167600364</v>
      </c>
      <c r="Z13" s="18">
        <f t="shared" si="5"/>
        <v>-140.67053583800183</v>
      </c>
      <c r="AC13" s="18">
        <v>0</v>
      </c>
      <c r="AD13" s="18">
        <v>0</v>
      </c>
      <c r="AE13" s="18">
        <v>1</v>
      </c>
      <c r="AF13" s="18">
        <v>0</v>
      </c>
      <c r="AG13" s="18">
        <v>0</v>
      </c>
      <c r="AH13" s="18">
        <v>1</v>
      </c>
      <c r="AJ13" s="18">
        <v>1</v>
      </c>
      <c r="AM13" s="18">
        <v>0</v>
      </c>
      <c r="AN13" s="18">
        <v>1</v>
      </c>
      <c r="AO13" s="18">
        <f t="shared" si="6"/>
        <v>0</v>
      </c>
      <c r="AP13" s="18">
        <v>0</v>
      </c>
      <c r="AQ13" s="18">
        <f t="shared" si="8"/>
        <v>0</v>
      </c>
    </row>
    <row r="14" spans="1:43" x14ac:dyDescent="0.3">
      <c r="A14" s="17" t="s">
        <v>147</v>
      </c>
      <c r="B14" s="19">
        <v>-216.41883128375815</v>
      </c>
      <c r="D14" s="17" t="s">
        <v>148</v>
      </c>
      <c r="E14" s="19">
        <f>B14/B15</f>
        <v>0.2378758943942644</v>
      </c>
      <c r="F14" s="19">
        <f>-2*LN(E14)</f>
        <v>2.8720123868780854</v>
      </c>
      <c r="G14" s="19">
        <f>F14-(2*(3^2-3^1)*2)</f>
        <v>-21.127987613121913</v>
      </c>
      <c r="V14" s="18">
        <v>6</v>
      </c>
      <c r="W14" s="18">
        <v>54</v>
      </c>
      <c r="X14" s="18">
        <f t="shared" si="3"/>
        <v>0.1111111111111111</v>
      </c>
      <c r="Y14" s="18">
        <f t="shared" si="4"/>
        <v>-2.1972245773362196</v>
      </c>
      <c r="Z14" s="18">
        <f t="shared" si="5"/>
        <v>-118.65012717615586</v>
      </c>
      <c r="AC14" s="18">
        <v>0</v>
      </c>
      <c r="AD14" s="18">
        <v>1</v>
      </c>
      <c r="AE14" s="18">
        <v>0</v>
      </c>
      <c r="AF14" s="18">
        <v>0</v>
      </c>
      <c r="AG14" s="18">
        <v>0</v>
      </c>
      <c r="AH14" s="18">
        <v>1</v>
      </c>
      <c r="AJ14" s="18">
        <v>1</v>
      </c>
      <c r="AM14" s="18">
        <v>0</v>
      </c>
      <c r="AN14" s="18">
        <v>1</v>
      </c>
      <c r="AO14" s="18">
        <f t="shared" si="6"/>
        <v>0</v>
      </c>
      <c r="AP14" s="18">
        <v>0</v>
      </c>
      <c r="AQ14" s="18">
        <f t="shared" si="8"/>
        <v>0</v>
      </c>
    </row>
    <row r="15" spans="1:43" x14ac:dyDescent="0.3">
      <c r="A15" s="17" t="s">
        <v>149</v>
      </c>
      <c r="B15" s="19">
        <v>-909.79723622208428</v>
      </c>
      <c r="D15" s="17" t="s">
        <v>150</v>
      </c>
      <c r="E15" s="19">
        <f>B14/B16</f>
        <v>1.0883907560931207</v>
      </c>
      <c r="F15" s="19">
        <f>-2*LN(E15)</f>
        <v>-0.16940046955083179</v>
      </c>
      <c r="G15" s="19">
        <f>F15-(2*(3^3-3^1)*2)</f>
        <v>-96.169400469550837</v>
      </c>
      <c r="V15" s="18">
        <v>0</v>
      </c>
      <c r="W15" s="18">
        <v>1</v>
      </c>
      <c r="X15" s="18">
        <f t="shared" si="3"/>
        <v>0</v>
      </c>
      <c r="Y15" s="18">
        <v>0</v>
      </c>
      <c r="Z15" s="18">
        <f t="shared" si="5"/>
        <v>0</v>
      </c>
      <c r="AC15" s="18">
        <v>1</v>
      </c>
      <c r="AD15" s="18">
        <v>0</v>
      </c>
      <c r="AE15" s="18">
        <v>0</v>
      </c>
      <c r="AF15" s="18">
        <v>0</v>
      </c>
      <c r="AG15" s="18">
        <v>0</v>
      </c>
      <c r="AH15" s="18">
        <v>1</v>
      </c>
      <c r="AJ15" s="18">
        <v>1</v>
      </c>
      <c r="AM15" s="18">
        <v>0</v>
      </c>
      <c r="AN15" s="18">
        <v>1</v>
      </c>
      <c r="AO15" s="18">
        <f t="shared" si="6"/>
        <v>0</v>
      </c>
      <c r="AP15" s="18">
        <v>0</v>
      </c>
      <c r="AQ15" s="18">
        <f t="shared" si="8"/>
        <v>0</v>
      </c>
    </row>
    <row r="16" spans="1:43" x14ac:dyDescent="0.3">
      <c r="A16" s="17" t="s">
        <v>152</v>
      </c>
      <c r="B16" s="19">
        <v>-198.84295237917451</v>
      </c>
      <c r="D16" s="17" t="s">
        <v>153</v>
      </c>
      <c r="E16" s="19">
        <f>B15/B16</f>
        <v>4.5754562851550702</v>
      </c>
      <c r="F16" s="19">
        <f>-2*LN(E16)</f>
        <v>-3.0414128564289173</v>
      </c>
      <c r="G16" s="19">
        <f>F16-(2*(3^3-3^2)*2)</f>
        <v>-75.04141285642892</v>
      </c>
      <c r="V16" s="18">
        <v>1</v>
      </c>
      <c r="W16" s="18">
        <v>8</v>
      </c>
      <c r="X16" s="18">
        <f t="shared" si="3"/>
        <v>0.125</v>
      </c>
      <c r="Y16" s="18">
        <f t="shared" si="4"/>
        <v>-2.0794415416798357</v>
      </c>
      <c r="Z16" s="18">
        <f t="shared" si="5"/>
        <v>-16.635532333438686</v>
      </c>
      <c r="AC16" s="18">
        <v>-1</v>
      </c>
      <c r="AD16" s="18">
        <v>-1</v>
      </c>
      <c r="AE16" s="18">
        <v>0</v>
      </c>
      <c r="AF16" s="18">
        <v>1</v>
      </c>
      <c r="AG16" s="18">
        <v>0</v>
      </c>
      <c r="AH16" s="18">
        <v>1</v>
      </c>
      <c r="AJ16" s="18">
        <v>2</v>
      </c>
      <c r="AM16" s="18">
        <v>1</v>
      </c>
      <c r="AN16" s="18">
        <v>2</v>
      </c>
      <c r="AO16" s="18">
        <f t="shared" si="6"/>
        <v>0.5</v>
      </c>
      <c r="AP16" s="18">
        <f t="shared" si="7"/>
        <v>-0.69314718055994529</v>
      </c>
      <c r="AQ16" s="18">
        <f t="shared" si="8"/>
        <v>-0.69314718055994529</v>
      </c>
    </row>
    <row r="17" spans="1:43" x14ac:dyDescent="0.3">
      <c r="V17" s="18">
        <v>0</v>
      </c>
      <c r="W17" s="18">
        <v>6</v>
      </c>
      <c r="X17" s="18">
        <f t="shared" si="3"/>
        <v>0</v>
      </c>
      <c r="Y17" s="18">
        <v>0</v>
      </c>
      <c r="Z17" s="18">
        <f t="shared" si="5"/>
        <v>0</v>
      </c>
      <c r="AC17" s="18">
        <v>-1</v>
      </c>
      <c r="AD17" s="18">
        <v>0</v>
      </c>
      <c r="AE17" s="18">
        <v>-1</v>
      </c>
      <c r="AF17" s="18">
        <v>0</v>
      </c>
      <c r="AG17" s="18">
        <v>0</v>
      </c>
      <c r="AH17" s="18">
        <v>1</v>
      </c>
      <c r="AJ17" s="18">
        <v>1</v>
      </c>
      <c r="AM17" s="18">
        <v>0</v>
      </c>
      <c r="AN17" s="18">
        <v>1</v>
      </c>
      <c r="AO17" s="18">
        <f t="shared" si="6"/>
        <v>0</v>
      </c>
      <c r="AP17" s="18">
        <v>0</v>
      </c>
      <c r="AQ17" s="18">
        <f t="shared" si="8"/>
        <v>0</v>
      </c>
    </row>
    <row r="18" spans="1:43" x14ac:dyDescent="0.3">
      <c r="V18" s="18">
        <v>1</v>
      </c>
      <c r="W18" s="18">
        <v>11</v>
      </c>
      <c r="X18" s="18">
        <f t="shared" si="3"/>
        <v>9.0909090909090912E-2</v>
      </c>
      <c r="Y18" s="18">
        <f t="shared" si="4"/>
        <v>-2.3978952727983707</v>
      </c>
      <c r="Z18" s="18">
        <f t="shared" si="5"/>
        <v>-26.376848000782076</v>
      </c>
      <c r="AC18" s="18">
        <v>0</v>
      </c>
      <c r="AD18" s="18">
        <v>-1</v>
      </c>
      <c r="AE18" s="18">
        <v>-1</v>
      </c>
      <c r="AF18" s="18">
        <v>0</v>
      </c>
      <c r="AG18" s="18">
        <v>0</v>
      </c>
      <c r="AH18" s="18">
        <v>0</v>
      </c>
      <c r="AJ18" s="18">
        <v>0</v>
      </c>
      <c r="AM18" s="18">
        <v>0</v>
      </c>
      <c r="AN18" s="18">
        <v>0</v>
      </c>
      <c r="AO18" s="18">
        <v>0</v>
      </c>
      <c r="AP18" s="18">
        <v>0</v>
      </c>
      <c r="AQ18" s="18">
        <f t="shared" si="8"/>
        <v>0</v>
      </c>
    </row>
    <row r="19" spans="1:43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V19" s="18">
        <v>0</v>
      </c>
      <c r="W19" s="18">
        <v>3</v>
      </c>
      <c r="X19" s="18">
        <f t="shared" si="3"/>
        <v>0</v>
      </c>
      <c r="Y19" s="18">
        <v>0</v>
      </c>
      <c r="Z19" s="18">
        <f t="shared" si="5"/>
        <v>0</v>
      </c>
      <c r="AC19" s="18">
        <v>0</v>
      </c>
      <c r="AD19" s="18">
        <v>1</v>
      </c>
      <c r="AE19" s="18">
        <v>-1</v>
      </c>
      <c r="AF19" s="18">
        <v>4</v>
      </c>
      <c r="AG19" s="18">
        <v>1</v>
      </c>
      <c r="AH19" s="18">
        <v>1</v>
      </c>
      <c r="AJ19" s="18">
        <v>6</v>
      </c>
      <c r="AM19" s="18">
        <v>4</v>
      </c>
      <c r="AN19" s="18">
        <v>6</v>
      </c>
      <c r="AO19" s="18">
        <f t="shared" si="6"/>
        <v>0.66666666666666663</v>
      </c>
      <c r="AP19" s="18">
        <f t="shared" si="7"/>
        <v>-0.40546510810816444</v>
      </c>
      <c r="AQ19" s="18">
        <f t="shared" si="8"/>
        <v>-1.6218604324326578</v>
      </c>
    </row>
    <row r="20" spans="1:43" x14ac:dyDescent="0.3">
      <c r="D20" s="21"/>
      <c r="E20" s="21"/>
      <c r="F20" s="21"/>
      <c r="G20" s="21"/>
      <c r="V20" s="18">
        <v>49</v>
      </c>
      <c r="W20" s="18">
        <v>78</v>
      </c>
      <c r="X20" s="18">
        <f t="shared" si="3"/>
        <v>0.62820512820512819</v>
      </c>
      <c r="Y20" s="18">
        <f t="shared" si="4"/>
        <v>-0.46488852857896512</v>
      </c>
      <c r="Z20" s="18">
        <f t="shared" si="5"/>
        <v>-36.261305229159277</v>
      </c>
      <c r="AC20" s="18">
        <v>0</v>
      </c>
      <c r="AD20" s="18">
        <v>-1</v>
      </c>
      <c r="AE20" s="18">
        <v>1</v>
      </c>
      <c r="AF20" s="18">
        <v>1</v>
      </c>
      <c r="AG20" s="18">
        <v>0</v>
      </c>
      <c r="AH20" s="18">
        <v>2</v>
      </c>
      <c r="AJ20" s="18">
        <v>3</v>
      </c>
      <c r="AM20" s="18">
        <v>1</v>
      </c>
      <c r="AN20" s="18">
        <v>3</v>
      </c>
      <c r="AO20" s="18">
        <f t="shared" si="6"/>
        <v>0.33333333333333331</v>
      </c>
      <c r="AP20" s="18">
        <f t="shared" si="7"/>
        <v>-1.0986122886681098</v>
      </c>
      <c r="AQ20" s="18">
        <f t="shared" si="8"/>
        <v>-1.0986122886681098</v>
      </c>
    </row>
    <row r="21" spans="1:43" x14ac:dyDescent="0.3">
      <c r="D21" s="21" t="s">
        <v>151</v>
      </c>
      <c r="E21" s="21">
        <f>G15</f>
        <v>-96.169400469550837</v>
      </c>
      <c r="F21" s="21"/>
      <c r="G21" s="21"/>
      <c r="V21" s="18">
        <v>21</v>
      </c>
      <c r="W21" s="18">
        <v>39</v>
      </c>
      <c r="X21" s="18">
        <f t="shared" si="3"/>
        <v>0.53846153846153844</v>
      </c>
      <c r="Y21" s="18">
        <f t="shared" si="4"/>
        <v>-0.61903920840622351</v>
      </c>
      <c r="Z21" s="18">
        <f t="shared" si="5"/>
        <v>-24.142529127842717</v>
      </c>
      <c r="AC21" s="18">
        <v>1</v>
      </c>
      <c r="AD21" s="18">
        <v>0</v>
      </c>
      <c r="AE21" s="18">
        <v>-1</v>
      </c>
      <c r="AF21" s="18">
        <v>1</v>
      </c>
      <c r="AG21" s="18">
        <v>0</v>
      </c>
      <c r="AH21" s="18">
        <v>1</v>
      </c>
      <c r="AJ21" s="18">
        <v>2</v>
      </c>
      <c r="AM21" s="18">
        <v>1</v>
      </c>
      <c r="AN21" s="18">
        <v>2</v>
      </c>
      <c r="AO21" s="18">
        <f t="shared" si="6"/>
        <v>0.5</v>
      </c>
      <c r="AP21" s="18">
        <f t="shared" si="7"/>
        <v>-0.69314718055994529</v>
      </c>
      <c r="AQ21" s="18">
        <f t="shared" si="8"/>
        <v>-0.69314718055994529</v>
      </c>
    </row>
    <row r="22" spans="1:43" x14ac:dyDescent="0.3">
      <c r="D22" s="21" t="s">
        <v>154</v>
      </c>
      <c r="E22" s="21" t="s">
        <v>155</v>
      </c>
      <c r="F22" s="17"/>
      <c r="G22" s="21"/>
      <c r="V22" s="18">
        <v>28</v>
      </c>
      <c r="W22" s="18">
        <v>50</v>
      </c>
      <c r="X22" s="18">
        <f t="shared" si="3"/>
        <v>0.56000000000000005</v>
      </c>
      <c r="Y22" s="18">
        <f t="shared" si="4"/>
        <v>-0.57981849525294205</v>
      </c>
      <c r="Z22" s="18">
        <f t="shared" si="5"/>
        <v>-28.990924762647101</v>
      </c>
      <c r="AC22" s="18">
        <v>-1</v>
      </c>
      <c r="AD22" s="18">
        <v>0</v>
      </c>
      <c r="AE22" s="18">
        <v>1</v>
      </c>
      <c r="AF22" s="18">
        <v>2</v>
      </c>
      <c r="AG22" s="18">
        <v>0</v>
      </c>
      <c r="AH22" s="18">
        <v>3</v>
      </c>
      <c r="AJ22" s="18">
        <v>5</v>
      </c>
      <c r="AM22" s="18">
        <v>2</v>
      </c>
      <c r="AN22" s="18">
        <v>5</v>
      </c>
      <c r="AO22" s="18">
        <f t="shared" si="6"/>
        <v>0.4</v>
      </c>
      <c r="AP22" s="18">
        <f t="shared" si="7"/>
        <v>-0.916290731874155</v>
      </c>
      <c r="AQ22" s="18">
        <f t="shared" si="8"/>
        <v>-1.83258146374831</v>
      </c>
    </row>
    <row r="23" spans="1:43" x14ac:dyDescent="0.3">
      <c r="D23" s="21" t="s">
        <v>158</v>
      </c>
      <c r="E23" s="21" t="s">
        <v>156</v>
      </c>
      <c r="F23" s="21"/>
      <c r="G23" s="21"/>
      <c r="V23" s="18">
        <v>24</v>
      </c>
      <c r="W23" s="18">
        <v>54</v>
      </c>
      <c r="X23" s="18">
        <f t="shared" si="3"/>
        <v>0.44444444444444442</v>
      </c>
      <c r="Y23" s="18">
        <f t="shared" si="4"/>
        <v>-0.81093021621632877</v>
      </c>
      <c r="Z23" s="18">
        <f t="shared" si="5"/>
        <v>-43.790231675681753</v>
      </c>
      <c r="AC23" s="18">
        <v>1</v>
      </c>
      <c r="AD23" s="18">
        <v>-1</v>
      </c>
      <c r="AE23" s="18">
        <v>0</v>
      </c>
      <c r="AF23" s="18">
        <v>2</v>
      </c>
      <c r="AG23" s="18">
        <v>0</v>
      </c>
      <c r="AH23" s="18">
        <v>2</v>
      </c>
      <c r="AJ23" s="18">
        <v>4</v>
      </c>
      <c r="AM23" s="18">
        <v>2</v>
      </c>
      <c r="AN23" s="18">
        <v>4</v>
      </c>
      <c r="AO23" s="18">
        <f t="shared" si="6"/>
        <v>0.5</v>
      </c>
      <c r="AP23" s="18">
        <f t="shared" si="7"/>
        <v>-0.69314718055994529</v>
      </c>
      <c r="AQ23" s="18">
        <f t="shared" si="8"/>
        <v>-1.3862943611198906</v>
      </c>
    </row>
    <row r="24" spans="1:43" x14ac:dyDescent="0.3">
      <c r="V24" s="18">
        <v>1</v>
      </c>
      <c r="W24" s="18">
        <v>1</v>
      </c>
      <c r="X24" s="18">
        <f t="shared" si="3"/>
        <v>1</v>
      </c>
      <c r="Y24" s="18">
        <f t="shared" si="4"/>
        <v>0</v>
      </c>
      <c r="Z24" s="18">
        <f t="shared" si="5"/>
        <v>0</v>
      </c>
      <c r="AC24" s="18">
        <v>-1</v>
      </c>
      <c r="AD24" s="18">
        <v>1</v>
      </c>
      <c r="AE24" s="18">
        <v>0</v>
      </c>
      <c r="AF24" s="18">
        <v>1</v>
      </c>
      <c r="AG24" s="18">
        <v>0</v>
      </c>
      <c r="AH24" s="18">
        <v>1</v>
      </c>
      <c r="AJ24" s="18">
        <v>2</v>
      </c>
      <c r="AM24" s="18">
        <v>1</v>
      </c>
      <c r="AN24" s="18">
        <v>2</v>
      </c>
      <c r="AO24" s="18">
        <f t="shared" si="6"/>
        <v>0.5</v>
      </c>
      <c r="AP24" s="18">
        <f t="shared" si="7"/>
        <v>-0.69314718055994529</v>
      </c>
      <c r="AQ24" s="18">
        <f t="shared" si="8"/>
        <v>-0.69314718055994529</v>
      </c>
    </row>
    <row r="25" spans="1:43" x14ac:dyDescent="0.3">
      <c r="V25" s="18">
        <v>5</v>
      </c>
      <c r="W25" s="18">
        <v>8</v>
      </c>
      <c r="X25" s="18">
        <f t="shared" si="3"/>
        <v>0.625</v>
      </c>
      <c r="Y25" s="18">
        <f t="shared" si="4"/>
        <v>-0.47000362924573558</v>
      </c>
      <c r="Z25" s="18">
        <f t="shared" si="5"/>
        <v>-3.7600290339658846</v>
      </c>
      <c r="AC25" s="18">
        <v>0</v>
      </c>
      <c r="AD25" s="18">
        <v>0</v>
      </c>
      <c r="AE25" s="18">
        <v>-1</v>
      </c>
      <c r="AF25" s="18">
        <v>0</v>
      </c>
      <c r="AG25" s="18">
        <v>0</v>
      </c>
      <c r="AH25" s="18">
        <v>0</v>
      </c>
      <c r="AJ25" s="18">
        <v>0</v>
      </c>
      <c r="AM25" s="18">
        <v>0</v>
      </c>
      <c r="AN25" s="18">
        <v>0</v>
      </c>
      <c r="AO25" s="18">
        <v>0</v>
      </c>
      <c r="AP25" s="18">
        <v>0</v>
      </c>
      <c r="AQ25" s="18">
        <f t="shared" si="8"/>
        <v>0</v>
      </c>
    </row>
    <row r="26" spans="1:43" x14ac:dyDescent="0.3">
      <c r="V26" s="18">
        <v>4</v>
      </c>
      <c r="W26" s="18">
        <v>6</v>
      </c>
      <c r="X26" s="18">
        <f t="shared" si="3"/>
        <v>0.66666666666666663</v>
      </c>
      <c r="Y26" s="18">
        <f t="shared" si="4"/>
        <v>-0.40546510810816444</v>
      </c>
      <c r="Z26" s="18">
        <f t="shared" si="5"/>
        <v>-2.4327906486489868</v>
      </c>
      <c r="AC26" s="18">
        <v>0</v>
      </c>
      <c r="AD26" s="18">
        <v>-1</v>
      </c>
      <c r="AE26" s="18">
        <v>0</v>
      </c>
      <c r="AF26" s="18">
        <v>0</v>
      </c>
      <c r="AG26" s="18">
        <v>0</v>
      </c>
      <c r="AH26" s="18">
        <v>0</v>
      </c>
      <c r="AJ26" s="18">
        <v>0</v>
      </c>
      <c r="AM26" s="18">
        <v>0</v>
      </c>
      <c r="AN26" s="18">
        <v>0</v>
      </c>
      <c r="AO26" s="18">
        <v>0</v>
      </c>
      <c r="AP26" s="18">
        <v>0</v>
      </c>
      <c r="AQ26" s="18">
        <f t="shared" si="8"/>
        <v>0</v>
      </c>
    </row>
    <row r="27" spans="1:43" x14ac:dyDescent="0.3">
      <c r="V27" s="18">
        <v>5</v>
      </c>
      <c r="W27" s="18">
        <v>11</v>
      </c>
      <c r="X27" s="18">
        <f t="shared" si="3"/>
        <v>0.45454545454545453</v>
      </c>
      <c r="Y27" s="18">
        <f t="shared" si="4"/>
        <v>-0.78845736036427017</v>
      </c>
      <c r="Z27" s="18">
        <f t="shared" si="5"/>
        <v>-8.6730309640069727</v>
      </c>
      <c r="AC27" s="18">
        <v>-1</v>
      </c>
      <c r="AD27" s="18">
        <v>0</v>
      </c>
      <c r="AE27" s="18">
        <v>0</v>
      </c>
      <c r="AF27" s="18">
        <v>0</v>
      </c>
      <c r="AG27" s="18">
        <v>0</v>
      </c>
      <c r="AH27" s="18">
        <v>0</v>
      </c>
      <c r="AJ27" s="18">
        <v>0</v>
      </c>
      <c r="AM27" s="18">
        <v>0</v>
      </c>
      <c r="AN27" s="18">
        <v>0</v>
      </c>
      <c r="AO27" s="18">
        <v>0</v>
      </c>
      <c r="AP27" s="18">
        <v>0</v>
      </c>
      <c r="AQ27" s="18">
        <f t="shared" si="8"/>
        <v>0</v>
      </c>
    </row>
    <row r="28" spans="1:43" x14ac:dyDescent="0.3">
      <c r="V28" s="18">
        <v>2</v>
      </c>
      <c r="W28" s="18">
        <v>3</v>
      </c>
      <c r="X28" s="18">
        <f t="shared" si="3"/>
        <v>0.66666666666666663</v>
      </c>
      <c r="Y28" s="18">
        <f t="shared" si="4"/>
        <v>-0.40546510810816444</v>
      </c>
      <c r="Z28" s="18">
        <f t="shared" si="5"/>
        <v>-1.2163953243244934</v>
      </c>
      <c r="AC28" s="18">
        <v>0</v>
      </c>
      <c r="AD28" s="18">
        <v>0</v>
      </c>
      <c r="AE28" s="18">
        <v>0</v>
      </c>
      <c r="AF28" s="18">
        <v>0</v>
      </c>
      <c r="AG28" s="18">
        <v>0</v>
      </c>
      <c r="AH28" s="18">
        <v>0</v>
      </c>
      <c r="AJ28" s="18">
        <v>0</v>
      </c>
      <c r="AM28" s="18">
        <v>0</v>
      </c>
      <c r="AN28" s="18">
        <v>0</v>
      </c>
      <c r="AO28" s="18">
        <v>0</v>
      </c>
      <c r="AP28" s="18">
        <v>0</v>
      </c>
      <c r="AQ28" s="18">
        <f t="shared" si="8"/>
        <v>0</v>
      </c>
    </row>
    <row r="29" spans="1:43" x14ac:dyDescent="0.3">
      <c r="AI29" s="18" t="s">
        <v>129</v>
      </c>
      <c r="AJ29" s="18">
        <v>249</v>
      </c>
      <c r="AM29" s="18">
        <v>2</v>
      </c>
      <c r="AN29" s="18">
        <v>49</v>
      </c>
      <c r="AO29" s="18">
        <f t="shared" si="6"/>
        <v>4.0816326530612242E-2</v>
      </c>
      <c r="AP29" s="18">
        <f t="shared" si="7"/>
        <v>-3.1986731175506815</v>
      </c>
      <c r="AQ29" s="18">
        <f t="shared" si="8"/>
        <v>-6.397346235101363</v>
      </c>
    </row>
    <row r="30" spans="1:43" x14ac:dyDescent="0.3">
      <c r="X30" s="18" t="s">
        <v>129</v>
      </c>
      <c r="Z30" s="18">
        <f>SUM(Z2:Z28)</f>
        <v>-909.79723622208428</v>
      </c>
      <c r="AM30" s="18">
        <v>2</v>
      </c>
      <c r="AN30" s="18">
        <v>24</v>
      </c>
      <c r="AO30" s="18">
        <f t="shared" si="6"/>
        <v>8.3333333333333329E-2</v>
      </c>
      <c r="AP30" s="18">
        <f t="shared" si="7"/>
        <v>-2.4849066497880004</v>
      </c>
      <c r="AQ30" s="18">
        <f t="shared" si="8"/>
        <v>-4.9698132995760007</v>
      </c>
    </row>
    <row r="31" spans="1:43" x14ac:dyDescent="0.3">
      <c r="AM31" s="18">
        <v>3</v>
      </c>
      <c r="AN31" s="18">
        <v>28</v>
      </c>
      <c r="AO31" s="18">
        <f t="shared" si="6"/>
        <v>0.10714285714285714</v>
      </c>
      <c r="AP31" s="18">
        <f t="shared" si="7"/>
        <v>-2.2335922215070942</v>
      </c>
      <c r="AQ31" s="18">
        <f t="shared" si="8"/>
        <v>-6.7007766645212827</v>
      </c>
    </row>
    <row r="32" spans="1:43" x14ac:dyDescent="0.3">
      <c r="AM32" s="18">
        <v>1</v>
      </c>
      <c r="AN32" s="18">
        <v>24</v>
      </c>
      <c r="AO32" s="18">
        <f t="shared" si="6"/>
        <v>4.1666666666666664E-2</v>
      </c>
      <c r="AP32" s="18">
        <f t="shared" si="7"/>
        <v>-3.1780538303479458</v>
      </c>
      <c r="AQ32" s="18">
        <f t="shared" si="8"/>
        <v>-3.1780538303479458</v>
      </c>
    </row>
    <row r="33" spans="39:43" x14ac:dyDescent="0.3">
      <c r="AM33" s="18">
        <v>2</v>
      </c>
      <c r="AN33" s="18">
        <v>21</v>
      </c>
      <c r="AO33" s="18">
        <f t="shared" si="6"/>
        <v>9.5238095238095233E-2</v>
      </c>
      <c r="AP33" s="18">
        <f t="shared" si="7"/>
        <v>-2.3513752571634776</v>
      </c>
      <c r="AQ33" s="18">
        <f t="shared" si="8"/>
        <v>-4.7027505143269552</v>
      </c>
    </row>
    <row r="34" spans="39:43" x14ac:dyDescent="0.3">
      <c r="AM34" s="18">
        <v>0</v>
      </c>
      <c r="AN34" s="18">
        <v>19</v>
      </c>
      <c r="AO34" s="18">
        <f t="shared" si="6"/>
        <v>0</v>
      </c>
      <c r="AP34" s="18">
        <v>0</v>
      </c>
      <c r="AQ34" s="18">
        <f t="shared" si="8"/>
        <v>0</v>
      </c>
    </row>
    <row r="35" spans="39:43" x14ac:dyDescent="0.3">
      <c r="AM35" s="18">
        <v>0</v>
      </c>
      <c r="AN35" s="18">
        <v>18</v>
      </c>
      <c r="AO35" s="18">
        <f t="shared" si="6"/>
        <v>0</v>
      </c>
      <c r="AP35" s="18">
        <v>0</v>
      </c>
      <c r="AQ35" s="18">
        <f t="shared" si="8"/>
        <v>0</v>
      </c>
    </row>
    <row r="36" spans="39:43" x14ac:dyDescent="0.3">
      <c r="AM36" s="18">
        <v>2</v>
      </c>
      <c r="AN36" s="18">
        <v>24</v>
      </c>
      <c r="AO36" s="18">
        <f t="shared" si="6"/>
        <v>8.3333333333333329E-2</v>
      </c>
      <c r="AP36" s="18">
        <f t="shared" si="7"/>
        <v>-2.4849066497880004</v>
      </c>
      <c r="AQ36" s="18">
        <f t="shared" si="8"/>
        <v>-4.9698132995760007</v>
      </c>
    </row>
    <row r="37" spans="39:43" x14ac:dyDescent="0.3">
      <c r="AM37" s="18">
        <v>1</v>
      </c>
      <c r="AN37" s="18">
        <v>5</v>
      </c>
      <c r="AO37" s="18">
        <f t="shared" si="6"/>
        <v>0.2</v>
      </c>
      <c r="AP37" s="18">
        <f t="shared" si="7"/>
        <v>-1.6094379124341003</v>
      </c>
      <c r="AQ37" s="18">
        <f t="shared" si="8"/>
        <v>-1.6094379124341003</v>
      </c>
    </row>
    <row r="38" spans="39:43" x14ac:dyDescent="0.3">
      <c r="AM38" s="18">
        <v>1</v>
      </c>
      <c r="AN38" s="18">
        <v>5</v>
      </c>
      <c r="AO38" s="18">
        <f t="shared" si="6"/>
        <v>0.2</v>
      </c>
      <c r="AP38" s="18">
        <f t="shared" si="7"/>
        <v>-1.6094379124341003</v>
      </c>
      <c r="AQ38" s="18">
        <f t="shared" si="8"/>
        <v>-1.6094379124341003</v>
      </c>
    </row>
    <row r="39" spans="39:43" x14ac:dyDescent="0.3">
      <c r="AM39" s="18">
        <v>0</v>
      </c>
      <c r="AN39" s="18">
        <v>4</v>
      </c>
      <c r="AO39" s="18">
        <f t="shared" si="6"/>
        <v>0</v>
      </c>
      <c r="AP39" s="18">
        <v>0</v>
      </c>
      <c r="AQ39" s="18">
        <f t="shared" si="8"/>
        <v>0</v>
      </c>
    </row>
    <row r="40" spans="39:43" x14ac:dyDescent="0.3">
      <c r="AM40" s="18">
        <v>0</v>
      </c>
      <c r="AN40" s="18">
        <v>1</v>
      </c>
      <c r="AO40" s="18">
        <f t="shared" si="6"/>
        <v>0</v>
      </c>
      <c r="AP40" s="18">
        <v>0</v>
      </c>
      <c r="AQ40" s="18">
        <f t="shared" si="8"/>
        <v>0</v>
      </c>
    </row>
    <row r="41" spans="39:43" x14ac:dyDescent="0.3">
      <c r="AM41" s="18">
        <v>0</v>
      </c>
      <c r="AN41" s="18">
        <v>1</v>
      </c>
      <c r="AO41" s="18">
        <f t="shared" si="6"/>
        <v>0</v>
      </c>
      <c r="AP41" s="18">
        <v>0</v>
      </c>
      <c r="AQ41" s="18">
        <f t="shared" si="8"/>
        <v>0</v>
      </c>
    </row>
    <row r="42" spans="39:43" x14ac:dyDescent="0.3">
      <c r="AM42" s="18">
        <v>0</v>
      </c>
      <c r="AN42" s="18">
        <v>1</v>
      </c>
      <c r="AO42" s="18">
        <f t="shared" si="6"/>
        <v>0</v>
      </c>
      <c r="AP42" s="18">
        <v>0</v>
      </c>
      <c r="AQ42" s="18">
        <f t="shared" si="8"/>
        <v>0</v>
      </c>
    </row>
    <row r="43" spans="39:43" x14ac:dyDescent="0.3">
      <c r="AM43" s="18">
        <v>0</v>
      </c>
      <c r="AN43" s="18">
        <v>2</v>
      </c>
      <c r="AO43" s="18">
        <f t="shared" si="6"/>
        <v>0</v>
      </c>
      <c r="AP43" s="18">
        <v>0</v>
      </c>
      <c r="AQ43" s="18">
        <f t="shared" si="8"/>
        <v>0</v>
      </c>
    </row>
    <row r="44" spans="39:43" x14ac:dyDescent="0.3">
      <c r="AM44" s="18">
        <v>0</v>
      </c>
      <c r="AN44" s="18">
        <v>1</v>
      </c>
      <c r="AO44" s="18">
        <f t="shared" si="6"/>
        <v>0</v>
      </c>
      <c r="AP44" s="18">
        <v>0</v>
      </c>
      <c r="AQ44" s="18">
        <f t="shared" si="8"/>
        <v>0</v>
      </c>
    </row>
    <row r="45" spans="39:43" x14ac:dyDescent="0.3">
      <c r="AM45" s="18">
        <v>0</v>
      </c>
      <c r="AN45" s="18">
        <v>0</v>
      </c>
      <c r="AO45" s="18">
        <v>0</v>
      </c>
      <c r="AP45" s="18">
        <v>0</v>
      </c>
      <c r="AQ45" s="18">
        <f t="shared" si="8"/>
        <v>0</v>
      </c>
    </row>
    <row r="46" spans="39:43" x14ac:dyDescent="0.3">
      <c r="AM46" s="18">
        <v>1</v>
      </c>
      <c r="AN46" s="18">
        <v>6</v>
      </c>
      <c r="AO46" s="18">
        <f t="shared" si="6"/>
        <v>0.16666666666666666</v>
      </c>
      <c r="AP46" s="18">
        <f t="shared" si="7"/>
        <v>-1.791759469228055</v>
      </c>
      <c r="AQ46" s="18">
        <f t="shared" si="8"/>
        <v>-1.791759469228055</v>
      </c>
    </row>
    <row r="47" spans="39:43" x14ac:dyDescent="0.3">
      <c r="AM47" s="18">
        <v>0</v>
      </c>
      <c r="AN47" s="18">
        <v>3</v>
      </c>
      <c r="AO47" s="18">
        <f t="shared" si="6"/>
        <v>0</v>
      </c>
      <c r="AP47" s="18">
        <v>0</v>
      </c>
      <c r="AQ47" s="18">
        <f t="shared" si="8"/>
        <v>0</v>
      </c>
    </row>
    <row r="48" spans="39:43" x14ac:dyDescent="0.3">
      <c r="AM48" s="18">
        <v>0</v>
      </c>
      <c r="AN48" s="18">
        <v>2</v>
      </c>
      <c r="AO48" s="18">
        <f t="shared" si="6"/>
        <v>0</v>
      </c>
      <c r="AP48" s="18">
        <v>0</v>
      </c>
      <c r="AQ48" s="18">
        <f t="shared" si="8"/>
        <v>0</v>
      </c>
    </row>
    <row r="49" spans="39:43" x14ac:dyDescent="0.3">
      <c r="AM49" s="18">
        <v>0</v>
      </c>
      <c r="AN49" s="18">
        <v>5</v>
      </c>
      <c r="AO49" s="18">
        <f t="shared" si="6"/>
        <v>0</v>
      </c>
      <c r="AP49" s="18">
        <v>0</v>
      </c>
      <c r="AQ49" s="18">
        <f t="shared" si="8"/>
        <v>0</v>
      </c>
    </row>
    <row r="50" spans="39:43" x14ac:dyDescent="0.3">
      <c r="AM50" s="18">
        <v>0</v>
      </c>
      <c r="AN50" s="18">
        <v>4</v>
      </c>
      <c r="AO50" s="18">
        <f t="shared" si="6"/>
        <v>0</v>
      </c>
      <c r="AP50" s="18">
        <v>0</v>
      </c>
      <c r="AQ50" s="18">
        <f t="shared" si="8"/>
        <v>0</v>
      </c>
    </row>
    <row r="51" spans="39:43" x14ac:dyDescent="0.3">
      <c r="AM51" s="18">
        <v>0</v>
      </c>
      <c r="AN51" s="18">
        <v>2</v>
      </c>
      <c r="AO51" s="18">
        <f t="shared" si="6"/>
        <v>0</v>
      </c>
      <c r="AP51" s="18">
        <v>0</v>
      </c>
      <c r="AQ51" s="18">
        <f t="shared" si="8"/>
        <v>0</v>
      </c>
    </row>
    <row r="52" spans="39:43" x14ac:dyDescent="0.3">
      <c r="AM52" s="18">
        <v>0</v>
      </c>
      <c r="AN52" s="18">
        <v>0</v>
      </c>
      <c r="AO52" s="18">
        <v>0</v>
      </c>
      <c r="AP52" s="18">
        <v>0</v>
      </c>
      <c r="AQ52" s="18">
        <f t="shared" si="8"/>
        <v>0</v>
      </c>
    </row>
    <row r="53" spans="39:43" x14ac:dyDescent="0.3">
      <c r="AM53" s="18">
        <v>0</v>
      </c>
      <c r="AN53" s="18">
        <v>0</v>
      </c>
      <c r="AO53" s="18">
        <v>0</v>
      </c>
      <c r="AP53" s="18">
        <v>0</v>
      </c>
      <c r="AQ53" s="18">
        <f t="shared" si="8"/>
        <v>0</v>
      </c>
    </row>
    <row r="54" spans="39:43" x14ac:dyDescent="0.3">
      <c r="AM54" s="18">
        <v>0</v>
      </c>
      <c r="AN54" s="18">
        <v>0</v>
      </c>
      <c r="AO54" s="18">
        <v>0</v>
      </c>
      <c r="AP54" s="18">
        <v>0</v>
      </c>
      <c r="AQ54" s="18">
        <f t="shared" si="8"/>
        <v>0</v>
      </c>
    </row>
    <row r="55" spans="39:43" x14ac:dyDescent="0.3">
      <c r="AM55" s="18">
        <v>0</v>
      </c>
      <c r="AN55" s="18">
        <v>0</v>
      </c>
      <c r="AO55" s="18">
        <v>0</v>
      </c>
      <c r="AP55" s="18">
        <v>0</v>
      </c>
      <c r="AQ55" s="18">
        <f t="shared" si="8"/>
        <v>0</v>
      </c>
    </row>
    <row r="56" spans="39:43" x14ac:dyDescent="0.3">
      <c r="AM56" s="18">
        <v>29</v>
      </c>
      <c r="AN56" s="18">
        <v>49</v>
      </c>
      <c r="AO56" s="18">
        <f t="shared" si="6"/>
        <v>0.59183673469387754</v>
      </c>
      <c r="AP56" s="18">
        <f t="shared" si="7"/>
        <v>-0.52452446812415254</v>
      </c>
      <c r="AQ56" s="18">
        <f t="shared" si="8"/>
        <v>-15.211209575600424</v>
      </c>
    </row>
    <row r="57" spans="39:43" x14ac:dyDescent="0.3">
      <c r="AM57" s="18">
        <v>16</v>
      </c>
      <c r="AN57" s="18">
        <v>24</v>
      </c>
      <c r="AO57" s="18">
        <f t="shared" si="6"/>
        <v>0.66666666666666663</v>
      </c>
      <c r="AP57" s="18">
        <f t="shared" si="7"/>
        <v>-0.40546510810816444</v>
      </c>
      <c r="AQ57" s="18">
        <f t="shared" si="8"/>
        <v>-6.487441729730631</v>
      </c>
    </row>
    <row r="58" spans="39:43" x14ac:dyDescent="0.3">
      <c r="AM58" s="18">
        <v>13</v>
      </c>
      <c r="AN58" s="18">
        <v>28</v>
      </c>
      <c r="AO58" s="18">
        <f t="shared" si="6"/>
        <v>0.4642857142857143</v>
      </c>
      <c r="AP58" s="18">
        <f t="shared" si="7"/>
        <v>-0.76725515271366718</v>
      </c>
      <c r="AQ58" s="18">
        <f t="shared" si="8"/>
        <v>-9.9743169852776727</v>
      </c>
    </row>
    <row r="59" spans="39:43" x14ac:dyDescent="0.3">
      <c r="AM59" s="18">
        <v>15</v>
      </c>
      <c r="AN59" s="18">
        <v>24</v>
      </c>
      <c r="AO59" s="18">
        <f t="shared" si="6"/>
        <v>0.625</v>
      </c>
      <c r="AP59" s="18">
        <f t="shared" si="7"/>
        <v>-0.47000362924573558</v>
      </c>
      <c r="AQ59" s="18">
        <f t="shared" si="8"/>
        <v>-7.0500544386860335</v>
      </c>
    </row>
    <row r="60" spans="39:43" x14ac:dyDescent="0.3">
      <c r="AM60" s="18">
        <v>9</v>
      </c>
      <c r="AN60" s="18">
        <v>21</v>
      </c>
      <c r="AO60" s="18">
        <f t="shared" si="6"/>
        <v>0.42857142857142855</v>
      </c>
      <c r="AP60" s="18">
        <f t="shared" si="7"/>
        <v>-0.84729786038720367</v>
      </c>
      <c r="AQ60" s="18">
        <f t="shared" si="8"/>
        <v>-7.6256807434848328</v>
      </c>
    </row>
    <row r="61" spans="39:43" x14ac:dyDescent="0.3">
      <c r="AM61" s="18">
        <v>12</v>
      </c>
      <c r="AN61" s="18">
        <v>19</v>
      </c>
      <c r="AO61" s="18">
        <f t="shared" si="6"/>
        <v>0.63157894736842102</v>
      </c>
      <c r="AP61" s="18">
        <f t="shared" si="7"/>
        <v>-0.45953232937844019</v>
      </c>
      <c r="AQ61" s="18">
        <f t="shared" si="8"/>
        <v>-5.5143879525412824</v>
      </c>
    </row>
    <row r="62" spans="39:43" x14ac:dyDescent="0.3">
      <c r="AM62" s="18">
        <v>8</v>
      </c>
      <c r="AN62" s="18">
        <v>18</v>
      </c>
      <c r="AO62" s="18">
        <f t="shared" si="6"/>
        <v>0.44444444444444442</v>
      </c>
      <c r="AP62" s="18">
        <f t="shared" si="7"/>
        <v>-0.81093021621632877</v>
      </c>
      <c r="AQ62" s="18">
        <f t="shared" si="8"/>
        <v>-6.4874417297306302</v>
      </c>
    </row>
    <row r="63" spans="39:43" x14ac:dyDescent="0.3">
      <c r="AM63" s="18">
        <v>12</v>
      </c>
      <c r="AN63" s="18">
        <v>24</v>
      </c>
      <c r="AO63" s="18">
        <f t="shared" si="6"/>
        <v>0.5</v>
      </c>
      <c r="AP63" s="18">
        <f t="shared" si="7"/>
        <v>-0.69314718055994529</v>
      </c>
      <c r="AQ63" s="18">
        <f t="shared" si="8"/>
        <v>-8.317766166719343</v>
      </c>
    </row>
    <row r="64" spans="39:43" x14ac:dyDescent="0.3">
      <c r="AM64" s="18">
        <v>4</v>
      </c>
      <c r="AN64" s="18">
        <v>5</v>
      </c>
      <c r="AO64" s="18">
        <f t="shared" si="6"/>
        <v>0.8</v>
      </c>
      <c r="AP64" s="18">
        <f t="shared" si="7"/>
        <v>-0.22314355131420971</v>
      </c>
      <c r="AQ64" s="18">
        <f t="shared" si="8"/>
        <v>-0.89257420525683884</v>
      </c>
    </row>
    <row r="65" spans="39:43" x14ac:dyDescent="0.3">
      <c r="AM65" s="18">
        <v>3</v>
      </c>
      <c r="AN65" s="18">
        <v>5</v>
      </c>
      <c r="AO65" s="18">
        <f t="shared" si="6"/>
        <v>0.6</v>
      </c>
      <c r="AP65" s="18">
        <f t="shared" si="7"/>
        <v>-0.51082562376599072</v>
      </c>
      <c r="AQ65" s="18">
        <f t="shared" si="8"/>
        <v>-1.5324768712979722</v>
      </c>
    </row>
    <row r="66" spans="39:43" x14ac:dyDescent="0.3">
      <c r="AM66" s="18">
        <v>3</v>
      </c>
      <c r="AN66" s="18">
        <v>4</v>
      </c>
      <c r="AO66" s="18">
        <f t="shared" si="6"/>
        <v>0.75</v>
      </c>
      <c r="AP66" s="18">
        <f t="shared" si="7"/>
        <v>-0.2876820724517809</v>
      </c>
      <c r="AQ66" s="18">
        <f t="shared" si="8"/>
        <v>-0.8630462173553427</v>
      </c>
    </row>
    <row r="67" spans="39:43" x14ac:dyDescent="0.3">
      <c r="AM67" s="18">
        <v>1</v>
      </c>
      <c r="AN67" s="18">
        <v>1</v>
      </c>
      <c r="AO67" s="18">
        <f t="shared" ref="AO67:AO78" si="9">AM67/AN67</f>
        <v>1</v>
      </c>
      <c r="AP67" s="18">
        <f t="shared" ref="AP67:AP78" si="10">LN(AO67)</f>
        <v>0</v>
      </c>
      <c r="AQ67" s="18">
        <f t="shared" ref="AQ67:AQ82" si="11">AM67*AP67</f>
        <v>0</v>
      </c>
    </row>
    <row r="68" spans="39:43" x14ac:dyDescent="0.3">
      <c r="AM68" s="18">
        <v>1</v>
      </c>
      <c r="AN68" s="18">
        <v>1</v>
      </c>
      <c r="AO68" s="18">
        <f t="shared" si="9"/>
        <v>1</v>
      </c>
      <c r="AP68" s="18">
        <f t="shared" si="10"/>
        <v>0</v>
      </c>
      <c r="AQ68" s="18">
        <f t="shared" si="11"/>
        <v>0</v>
      </c>
    </row>
    <row r="69" spans="39:43" x14ac:dyDescent="0.3">
      <c r="AM69" s="18">
        <v>1</v>
      </c>
      <c r="AN69" s="18">
        <v>1</v>
      </c>
      <c r="AO69" s="18">
        <f t="shared" si="9"/>
        <v>1</v>
      </c>
      <c r="AP69" s="18">
        <f t="shared" si="10"/>
        <v>0</v>
      </c>
      <c r="AQ69" s="18">
        <f t="shared" si="11"/>
        <v>0</v>
      </c>
    </row>
    <row r="70" spans="39:43" x14ac:dyDescent="0.3">
      <c r="AM70" s="18">
        <v>1</v>
      </c>
      <c r="AN70" s="18">
        <v>2</v>
      </c>
      <c r="AO70" s="18">
        <f t="shared" si="9"/>
        <v>0.5</v>
      </c>
      <c r="AP70" s="18">
        <f t="shared" si="10"/>
        <v>-0.69314718055994529</v>
      </c>
      <c r="AQ70" s="18">
        <f t="shared" si="11"/>
        <v>-0.69314718055994529</v>
      </c>
    </row>
    <row r="71" spans="39:43" x14ac:dyDescent="0.3">
      <c r="AM71" s="18">
        <v>1</v>
      </c>
      <c r="AN71" s="18">
        <v>1</v>
      </c>
      <c r="AO71" s="18">
        <f t="shared" si="9"/>
        <v>1</v>
      </c>
      <c r="AP71" s="18">
        <f t="shared" si="10"/>
        <v>0</v>
      </c>
      <c r="AQ71" s="18">
        <f t="shared" si="11"/>
        <v>0</v>
      </c>
    </row>
    <row r="72" spans="39:43" x14ac:dyDescent="0.3">
      <c r="AM72" s="18">
        <v>0</v>
      </c>
      <c r="AN72" s="18">
        <v>0</v>
      </c>
      <c r="AO72" s="18">
        <v>0</v>
      </c>
      <c r="AP72" s="18">
        <v>0</v>
      </c>
      <c r="AQ72" s="18">
        <f t="shared" si="11"/>
        <v>0</v>
      </c>
    </row>
    <row r="73" spans="39:43" x14ac:dyDescent="0.3">
      <c r="AM73" s="18">
        <v>1</v>
      </c>
      <c r="AN73" s="18">
        <v>6</v>
      </c>
      <c r="AO73" s="18">
        <f t="shared" si="9"/>
        <v>0.16666666666666666</v>
      </c>
      <c r="AP73" s="18">
        <f t="shared" si="10"/>
        <v>-1.791759469228055</v>
      </c>
      <c r="AQ73" s="18">
        <f t="shared" si="11"/>
        <v>-1.791759469228055</v>
      </c>
    </row>
    <row r="74" spans="39:43" x14ac:dyDescent="0.3">
      <c r="AM74" s="18">
        <v>2</v>
      </c>
      <c r="AN74" s="18">
        <v>3</v>
      </c>
      <c r="AO74" s="18">
        <f t="shared" si="9"/>
        <v>0.66666666666666663</v>
      </c>
      <c r="AP74" s="18">
        <f t="shared" si="10"/>
        <v>-0.40546510810816444</v>
      </c>
      <c r="AQ74" s="18">
        <f t="shared" si="11"/>
        <v>-0.81093021621632888</v>
      </c>
    </row>
    <row r="75" spans="39:43" x14ac:dyDescent="0.3">
      <c r="AM75" s="18">
        <v>1</v>
      </c>
      <c r="AN75" s="18">
        <v>2</v>
      </c>
      <c r="AO75" s="18">
        <f t="shared" si="9"/>
        <v>0.5</v>
      </c>
      <c r="AP75" s="18">
        <f t="shared" si="10"/>
        <v>-0.69314718055994529</v>
      </c>
      <c r="AQ75" s="18">
        <f t="shared" si="11"/>
        <v>-0.69314718055994529</v>
      </c>
    </row>
    <row r="76" spans="39:43" x14ac:dyDescent="0.3">
      <c r="AM76" s="18">
        <v>3</v>
      </c>
      <c r="AN76" s="18">
        <v>5</v>
      </c>
      <c r="AO76" s="18">
        <f t="shared" si="9"/>
        <v>0.6</v>
      </c>
      <c r="AP76" s="18">
        <f t="shared" si="10"/>
        <v>-0.51082562376599072</v>
      </c>
      <c r="AQ76" s="18">
        <f t="shared" si="11"/>
        <v>-1.5324768712979722</v>
      </c>
    </row>
    <row r="77" spans="39:43" x14ac:dyDescent="0.3">
      <c r="AM77" s="18">
        <v>2</v>
      </c>
      <c r="AN77" s="18">
        <v>4</v>
      </c>
      <c r="AO77" s="18">
        <f t="shared" si="9"/>
        <v>0.5</v>
      </c>
      <c r="AP77" s="18">
        <f t="shared" si="10"/>
        <v>-0.69314718055994529</v>
      </c>
      <c r="AQ77" s="18">
        <f t="shared" si="11"/>
        <v>-1.3862943611198906</v>
      </c>
    </row>
    <row r="78" spans="39:43" x14ac:dyDescent="0.3">
      <c r="AM78" s="18">
        <v>1</v>
      </c>
      <c r="AN78" s="18">
        <v>2</v>
      </c>
      <c r="AO78" s="18">
        <f t="shared" si="9"/>
        <v>0.5</v>
      </c>
      <c r="AP78" s="18">
        <f t="shared" si="10"/>
        <v>-0.69314718055994529</v>
      </c>
      <c r="AQ78" s="18">
        <f t="shared" si="11"/>
        <v>-0.69314718055994529</v>
      </c>
    </row>
    <row r="79" spans="39:43" x14ac:dyDescent="0.3">
      <c r="AM79" s="18">
        <v>0</v>
      </c>
      <c r="AN79" s="18">
        <v>0</v>
      </c>
      <c r="AO79" s="18">
        <v>0</v>
      </c>
      <c r="AP79" s="18">
        <v>0</v>
      </c>
      <c r="AQ79" s="18">
        <f t="shared" si="11"/>
        <v>0</v>
      </c>
    </row>
    <row r="80" spans="39:43" x14ac:dyDescent="0.3">
      <c r="AM80" s="18">
        <v>0</v>
      </c>
      <c r="AN80" s="18">
        <v>0</v>
      </c>
      <c r="AO80" s="18">
        <v>0</v>
      </c>
      <c r="AP80" s="18">
        <v>0</v>
      </c>
      <c r="AQ80" s="18">
        <f t="shared" si="11"/>
        <v>0</v>
      </c>
    </row>
    <row r="81" spans="39:43" x14ac:dyDescent="0.3">
      <c r="AM81" s="18">
        <v>0</v>
      </c>
      <c r="AN81" s="18">
        <v>0</v>
      </c>
      <c r="AO81" s="18">
        <v>0</v>
      </c>
      <c r="AP81" s="18">
        <v>0</v>
      </c>
      <c r="AQ81" s="18">
        <f t="shared" si="11"/>
        <v>0</v>
      </c>
    </row>
    <row r="82" spans="39:43" x14ac:dyDescent="0.3">
      <c r="AM82" s="18">
        <v>0</v>
      </c>
      <c r="AN82" s="18">
        <v>0</v>
      </c>
      <c r="AO82" s="18">
        <v>0</v>
      </c>
      <c r="AP82" s="18">
        <v>0</v>
      </c>
      <c r="AQ82" s="18">
        <f t="shared" si="11"/>
        <v>0</v>
      </c>
    </row>
    <row r="84" spans="39:43" x14ac:dyDescent="0.3">
      <c r="AO84" s="18" t="s">
        <v>129</v>
      </c>
      <c r="AQ84" s="18">
        <f>SUM(AQ2:AQ82)</f>
        <v>-198.84295237917451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47D410-4A52-4070-B0E8-29CBE4BD6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Stock data</vt:lpstr>
      <vt:lpstr>Second order Frequencies</vt:lpstr>
      <vt:lpstr>Generator second order</vt:lpstr>
      <vt:lpstr>First order frequencies</vt:lpstr>
      <vt:lpstr>Generator first order</vt:lpstr>
      <vt:lpstr>Third Order Frequencies</vt:lpstr>
      <vt:lpstr>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khatwani</dc:creator>
  <cp:lastModifiedBy>priyanka khatwani</cp:lastModifiedBy>
  <dcterms:created xsi:type="dcterms:W3CDTF">2021-10-09T07:22:45Z</dcterms:created>
  <dcterms:modified xsi:type="dcterms:W3CDTF">2021-11-16T15:09:28Z</dcterms:modified>
</cp:coreProperties>
</file>